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LESFORCE\LCS\SCRIPTS_LCS_2025\CHARGENT_MIGRACION\"/>
    </mc:Choice>
  </mc:AlternateContent>
  <xr:revisionPtr revIDLastSave="0" documentId="13_ncr:1_{68EBE62A-8B9C-41A8-A9A7-98E8EBA75626}" xr6:coauthVersionLast="47" xr6:coauthVersionMax="47" xr10:uidLastSave="{00000000-0000-0000-0000-000000000000}"/>
  <bookViews>
    <workbookView xWindow="-110" yWindow="-110" windowWidth="38620" windowHeight="21100" activeTab="2" xr2:uid="{5475965C-ECB4-496E-8F38-CCB654AD3AEF}"/>
  </bookViews>
  <sheets>
    <sheet name="Sheet1" sheetId="9" r:id="rId1"/>
    <sheet name="Contract" sheetId="4" r:id="rId2"/>
    <sheet name="RESUMEN" sheetId="8" r:id="rId3"/>
    <sheet name="Payment_2" sheetId="7" r:id="rId4"/>
    <sheet name="OTROS DATOS CONTRATO" sheetId="10" r:id="rId5"/>
    <sheet name="ChargentOrders" sheetId="3" r:id="rId6"/>
    <sheet name="Claude" sheetId="2" r:id="rId7"/>
  </sheets>
  <definedNames>
    <definedName name="ExternalData_1" localSheetId="5" hidden="1">'ChargentOrders'!$G$2:$BS$437</definedName>
    <definedName name="ExternalData_2" localSheetId="1" hidden="1">'Contract'!$A$1:$AE$73</definedName>
  </definedNames>
  <calcPr calcId="191029"/>
  <pivotCaches>
    <pivotCache cacheId="19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2" i="9"/>
  <c r="B3" i="9" s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D5" i="7"/>
  <c r="D6" i="7"/>
  <c r="E6" i="7" s="1"/>
  <c r="D7" i="7"/>
  <c r="D8" i="7"/>
  <c r="D9" i="7"/>
  <c r="E9" i="7" s="1"/>
  <c r="D10" i="7"/>
  <c r="D11" i="7"/>
  <c r="D12" i="7"/>
  <c r="D13" i="7"/>
  <c r="D14" i="7"/>
  <c r="E14" i="7" s="1"/>
  <c r="D15" i="7"/>
  <c r="D16" i="7"/>
  <c r="D17" i="7"/>
  <c r="E17" i="7" s="1"/>
  <c r="D18" i="7"/>
  <c r="D19" i="7"/>
  <c r="E19" i="7" s="1"/>
  <c r="D20" i="7"/>
  <c r="E20" i="7" s="1"/>
  <c r="D21" i="7"/>
  <c r="D22" i="7"/>
  <c r="E22" i="7" s="1"/>
  <c r="D23" i="7"/>
  <c r="D24" i="7"/>
  <c r="D25" i="7"/>
  <c r="E25" i="7" s="1"/>
  <c r="D26" i="7"/>
  <c r="D27" i="7"/>
  <c r="E27" i="7" s="1"/>
  <c r="D28" i="7"/>
  <c r="D29" i="7"/>
  <c r="D30" i="7"/>
  <c r="E30" i="7" s="1"/>
  <c r="D31" i="7"/>
  <c r="D32" i="7"/>
  <c r="D33" i="7"/>
  <c r="D34" i="7"/>
  <c r="D35" i="7"/>
  <c r="E35" i="7" s="1"/>
  <c r="D36" i="7"/>
  <c r="E36" i="7" s="1"/>
  <c r="D37" i="7"/>
  <c r="D38" i="7"/>
  <c r="E38" i="7" s="1"/>
  <c r="D39" i="7"/>
  <c r="D40" i="7"/>
  <c r="D41" i="7"/>
  <c r="D42" i="7"/>
  <c r="D43" i="7"/>
  <c r="D44" i="7"/>
  <c r="D45" i="7"/>
  <c r="D46" i="7"/>
  <c r="E46" i="7" s="1"/>
  <c r="D47" i="7"/>
  <c r="D48" i="7"/>
  <c r="D49" i="7"/>
  <c r="D50" i="7"/>
  <c r="D51" i="7"/>
  <c r="E51" i="7" s="1"/>
  <c r="D52" i="7"/>
  <c r="E52" i="7" s="1"/>
  <c r="D53" i="7"/>
  <c r="E53" i="7" s="1"/>
  <c r="D54" i="7"/>
  <c r="E54" i="7" s="1"/>
  <c r="D55" i="7"/>
  <c r="D56" i="7"/>
  <c r="D57" i="7"/>
  <c r="E57" i="7" s="1"/>
  <c r="D58" i="7"/>
  <c r="D59" i="7"/>
  <c r="E59" i="7" s="1"/>
  <c r="D60" i="7"/>
  <c r="E60" i="7" s="1"/>
  <c r="D61" i="7"/>
  <c r="E61" i="7" s="1"/>
  <c r="D62" i="7"/>
  <c r="E62" i="7" s="1"/>
  <c r="D63" i="7"/>
  <c r="D64" i="7"/>
  <c r="D65" i="7"/>
  <c r="E65" i="7" s="1"/>
  <c r="D66" i="7"/>
  <c r="D67" i="7"/>
  <c r="E67" i="7" s="1"/>
  <c r="D68" i="7"/>
  <c r="E68" i="7" s="1"/>
  <c r="D69" i="7"/>
  <c r="E69" i="7" s="1"/>
  <c r="D70" i="7"/>
  <c r="E70" i="7" s="1"/>
  <c r="D71" i="7"/>
  <c r="D72" i="7"/>
  <c r="D73" i="7"/>
  <c r="E73" i="7" s="1"/>
  <c r="D74" i="7"/>
  <c r="D75" i="7"/>
  <c r="D76" i="7"/>
  <c r="D77" i="7"/>
  <c r="E77" i="7" s="1"/>
  <c r="D78" i="7"/>
  <c r="E78" i="7" s="1"/>
  <c r="D79" i="7"/>
  <c r="D80" i="7"/>
  <c r="D81" i="7"/>
  <c r="E81" i="7" s="1"/>
  <c r="D82" i="7"/>
  <c r="D83" i="7"/>
  <c r="E83" i="7" s="1"/>
  <c r="D84" i="7"/>
  <c r="E84" i="7" s="1"/>
  <c r="D85" i="7"/>
  <c r="D86" i="7"/>
  <c r="E86" i="7" s="1"/>
  <c r="D87" i="7"/>
  <c r="D88" i="7"/>
  <c r="D89" i="7"/>
  <c r="D90" i="7"/>
  <c r="D91" i="7"/>
  <c r="E91" i="7" s="1"/>
  <c r="D92" i="7"/>
  <c r="E92" i="7" s="1"/>
  <c r="D93" i="7"/>
  <c r="E93" i="7" s="1"/>
  <c r="D94" i="7"/>
  <c r="E94" i="7" s="1"/>
  <c r="D95" i="7"/>
  <c r="D96" i="7"/>
  <c r="D97" i="7"/>
  <c r="D98" i="7"/>
  <c r="D99" i="7"/>
  <c r="E99" i="7" s="1"/>
  <c r="D100" i="7"/>
  <c r="E100" i="7" s="1"/>
  <c r="D101" i="7"/>
  <c r="E101" i="7" s="1"/>
  <c r="D102" i="7"/>
  <c r="E102" i="7" s="1"/>
  <c r="D103" i="7"/>
  <c r="D104" i="7"/>
  <c r="D105" i="7"/>
  <c r="E105" i="7" s="1"/>
  <c r="D106" i="7"/>
  <c r="D107" i="7"/>
  <c r="E107" i="7" s="1"/>
  <c r="D108" i="7"/>
  <c r="E108" i="7" s="1"/>
  <c r="D109" i="7"/>
  <c r="E109" i="7" s="1"/>
  <c r="D110" i="7"/>
  <c r="E110" i="7" s="1"/>
  <c r="D111" i="7"/>
  <c r="D112" i="7"/>
  <c r="D113" i="7"/>
  <c r="E113" i="7" s="1"/>
  <c r="D114" i="7"/>
  <c r="D115" i="7"/>
  <c r="E115" i="7" s="1"/>
  <c r="D116" i="7"/>
  <c r="E116" i="7" s="1"/>
  <c r="D117" i="7"/>
  <c r="E117" i="7" s="1"/>
  <c r="D118" i="7"/>
  <c r="E118" i="7" s="1"/>
  <c r="D119" i="7"/>
  <c r="D120" i="7"/>
  <c r="D121" i="7"/>
  <c r="E121" i="7" s="1"/>
  <c r="D122" i="7"/>
  <c r="D123" i="7"/>
  <c r="E123" i="7" s="1"/>
  <c r="D124" i="7"/>
  <c r="D125" i="7"/>
  <c r="D126" i="7"/>
  <c r="E126" i="7" s="1"/>
  <c r="D127" i="7"/>
  <c r="D128" i="7"/>
  <c r="D129" i="7"/>
  <c r="E129" i="7" s="1"/>
  <c r="D130" i="7"/>
  <c r="D131" i="7"/>
  <c r="E131" i="7" s="1"/>
  <c r="D132" i="7"/>
  <c r="E132" i="7" s="1"/>
  <c r="D133" i="7"/>
  <c r="E133" i="7" s="1"/>
  <c r="D134" i="7"/>
  <c r="E134" i="7" s="1"/>
  <c r="D135" i="7"/>
  <c r="D136" i="7"/>
  <c r="D137" i="7"/>
  <c r="D138" i="7"/>
  <c r="D139" i="7"/>
  <c r="E139" i="7" s="1"/>
  <c r="D140" i="7"/>
  <c r="E140" i="7" s="1"/>
  <c r="D141" i="7"/>
  <c r="E141" i="7" s="1"/>
  <c r="D142" i="7"/>
  <c r="E142" i="7" s="1"/>
  <c r="D143" i="7"/>
  <c r="D144" i="7"/>
  <c r="D145" i="7"/>
  <c r="D146" i="7"/>
  <c r="D147" i="7"/>
  <c r="E147" i="7" s="1"/>
  <c r="D148" i="7"/>
  <c r="E148" i="7" s="1"/>
  <c r="D149" i="7"/>
  <c r="E149" i="7" s="1"/>
  <c r="D150" i="7"/>
  <c r="E150" i="7" s="1"/>
  <c r="D151" i="7"/>
  <c r="D152" i="7"/>
  <c r="D153" i="7"/>
  <c r="E153" i="7" s="1"/>
  <c r="D154" i="7"/>
  <c r="D155" i="7"/>
  <c r="E155" i="7" s="1"/>
  <c r="D156" i="7"/>
  <c r="E156" i="7" s="1"/>
  <c r="D157" i="7"/>
  <c r="E157" i="7" s="1"/>
  <c r="D158" i="7"/>
  <c r="E158" i="7" s="1"/>
  <c r="D159" i="7"/>
  <c r="D160" i="7"/>
  <c r="D161" i="7"/>
  <c r="E161" i="7" s="1"/>
  <c r="D162" i="7"/>
  <c r="D163" i="7"/>
  <c r="E163" i="7" s="1"/>
  <c r="D164" i="7"/>
  <c r="E164" i="7" s="1"/>
  <c r="D165" i="7"/>
  <c r="D166" i="7"/>
  <c r="E166" i="7" s="1"/>
  <c r="D167" i="7"/>
  <c r="D168" i="7"/>
  <c r="D169" i="7"/>
  <c r="D170" i="7"/>
  <c r="D171" i="7"/>
  <c r="E171" i="7" s="1"/>
  <c r="D172" i="7"/>
  <c r="D173" i="7"/>
  <c r="D174" i="7"/>
  <c r="E174" i="7" s="1"/>
  <c r="D175" i="7"/>
  <c r="D176" i="7"/>
  <c r="D177" i="7"/>
  <c r="E177" i="7" s="1"/>
  <c r="D178" i="7"/>
  <c r="D179" i="7"/>
  <c r="E179" i="7" s="1"/>
  <c r="D180" i="7"/>
  <c r="E180" i="7" s="1"/>
  <c r="D181" i="7"/>
  <c r="E181" i="7" s="1"/>
  <c r="D182" i="7"/>
  <c r="E182" i="7" s="1"/>
  <c r="D183" i="7"/>
  <c r="D184" i="7"/>
  <c r="D185" i="7"/>
  <c r="E185" i="7" s="1"/>
  <c r="D186" i="7"/>
  <c r="D187" i="7"/>
  <c r="E187" i="7" s="1"/>
  <c r="D188" i="7"/>
  <c r="E188" i="7" s="1"/>
  <c r="D189" i="7"/>
  <c r="E189" i="7" s="1"/>
  <c r="D190" i="7"/>
  <c r="E190" i="7" s="1"/>
  <c r="D191" i="7"/>
  <c r="D192" i="7"/>
  <c r="D193" i="7"/>
  <c r="D194" i="7"/>
  <c r="D195" i="7"/>
  <c r="D196" i="7"/>
  <c r="E196" i="7" s="1"/>
  <c r="D197" i="7"/>
  <c r="E197" i="7" s="1"/>
  <c r="D198" i="7"/>
  <c r="E198" i="7" s="1"/>
  <c r="D199" i="7"/>
  <c r="E199" i="7" s="1"/>
  <c r="D200" i="7"/>
  <c r="D201" i="7"/>
  <c r="E201" i="7" s="1"/>
  <c r="D202" i="7"/>
  <c r="D203" i="7"/>
  <c r="E203" i="7" s="1"/>
  <c r="D204" i="7"/>
  <c r="D205" i="7"/>
  <c r="D206" i="7"/>
  <c r="E206" i="7" s="1"/>
  <c r="D207" i="7"/>
  <c r="E207" i="7" s="1"/>
  <c r="D208" i="7"/>
  <c r="D209" i="7"/>
  <c r="D210" i="7"/>
  <c r="D211" i="7"/>
  <c r="E211" i="7" s="1"/>
  <c r="D212" i="7"/>
  <c r="E212" i="7" s="1"/>
  <c r="D213" i="7"/>
  <c r="E213" i="7" s="1"/>
  <c r="D214" i="7"/>
  <c r="E214" i="7" s="1"/>
  <c r="D215" i="7"/>
  <c r="D216" i="7"/>
  <c r="D217" i="7"/>
  <c r="D218" i="7"/>
  <c r="D219" i="7"/>
  <c r="E219" i="7" s="1"/>
  <c r="D220" i="7"/>
  <c r="D221" i="7"/>
  <c r="D222" i="7"/>
  <c r="E222" i="7" s="1"/>
  <c r="D223" i="7"/>
  <c r="D224" i="7"/>
  <c r="D225" i="7"/>
  <c r="E225" i="7" s="1"/>
  <c r="D226" i="7"/>
  <c r="D227" i="7"/>
  <c r="E227" i="7" s="1"/>
  <c r="D228" i="7"/>
  <c r="E228" i="7" s="1"/>
  <c r="D229" i="7"/>
  <c r="D230" i="7"/>
  <c r="E230" i="7" s="1"/>
  <c r="D231" i="7"/>
  <c r="D232" i="7"/>
  <c r="D233" i="7"/>
  <c r="E233" i="7" s="1"/>
  <c r="D234" i="7"/>
  <c r="D235" i="7"/>
  <c r="E235" i="7" s="1"/>
  <c r="D236" i="7"/>
  <c r="E236" i="7" s="1"/>
  <c r="D237" i="7"/>
  <c r="D238" i="7"/>
  <c r="E238" i="7" s="1"/>
  <c r="D239" i="7"/>
  <c r="D240" i="7"/>
  <c r="D241" i="7"/>
  <c r="D242" i="7"/>
  <c r="D243" i="7"/>
  <c r="E243" i="7" s="1"/>
  <c r="D244" i="7"/>
  <c r="E244" i="7" s="1"/>
  <c r="D245" i="7"/>
  <c r="D246" i="7"/>
  <c r="E246" i="7" s="1"/>
  <c r="D247" i="7"/>
  <c r="D248" i="7"/>
  <c r="D249" i="7"/>
  <c r="D250" i="7"/>
  <c r="D251" i="7"/>
  <c r="D252" i="7"/>
  <c r="D253" i="7"/>
  <c r="D254" i="7"/>
  <c r="E254" i="7" s="1"/>
  <c r="D255" i="7"/>
  <c r="D256" i="7"/>
  <c r="D257" i="7"/>
  <c r="D258" i="7"/>
  <c r="D259" i="7"/>
  <c r="E259" i="7" s="1"/>
  <c r="D260" i="7"/>
  <c r="E260" i="7" s="1"/>
  <c r="D261" i="7"/>
  <c r="D262" i="7"/>
  <c r="E262" i="7" s="1"/>
  <c r="D263" i="7"/>
  <c r="D264" i="7"/>
  <c r="D265" i="7"/>
  <c r="E265" i="7" s="1"/>
  <c r="D266" i="7"/>
  <c r="D267" i="7"/>
  <c r="E267" i="7" s="1"/>
  <c r="D268" i="7"/>
  <c r="D269" i="7"/>
  <c r="D270" i="7"/>
  <c r="E270" i="7" s="1"/>
  <c r="D271" i="7"/>
  <c r="D272" i="7"/>
  <c r="D273" i="7"/>
  <c r="E273" i="7" s="1"/>
  <c r="D274" i="7"/>
  <c r="D275" i="7"/>
  <c r="E275" i="7" s="1"/>
  <c r="D276" i="7"/>
  <c r="E276" i="7" s="1"/>
  <c r="D277" i="7"/>
  <c r="D278" i="7"/>
  <c r="E278" i="7" s="1"/>
  <c r="D279" i="7"/>
  <c r="D280" i="7"/>
  <c r="E280" i="7" s="1"/>
  <c r="D281" i="7"/>
  <c r="E281" i="7" s="1"/>
  <c r="D282" i="7"/>
  <c r="E282" i="7" s="1"/>
  <c r="D283" i="7"/>
  <c r="D284" i="7"/>
  <c r="E284" i="7" s="1"/>
  <c r="D285" i="7"/>
  <c r="D286" i="7"/>
  <c r="E286" i="7" s="1"/>
  <c r="D287" i="7"/>
  <c r="D288" i="7"/>
  <c r="D289" i="7"/>
  <c r="E289" i="7" s="1"/>
  <c r="D290" i="7"/>
  <c r="D291" i="7"/>
  <c r="E291" i="7" s="1"/>
  <c r="D292" i="7"/>
  <c r="D293" i="7"/>
  <c r="D294" i="7"/>
  <c r="E294" i="7" s="1"/>
  <c r="D295" i="7"/>
  <c r="E295" i="7" s="1"/>
  <c r="D296" i="7"/>
  <c r="D297" i="7"/>
  <c r="E297" i="7" s="1"/>
  <c r="D298" i="7"/>
  <c r="E298" i="7" s="1"/>
  <c r="D299" i="7"/>
  <c r="E299" i="7" s="1"/>
  <c r="D300" i="7"/>
  <c r="E300" i="7" s="1"/>
  <c r="D301" i="7"/>
  <c r="E301" i="7" s="1"/>
  <c r="D302" i="7"/>
  <c r="E302" i="7" s="1"/>
  <c r="D303" i="7"/>
  <c r="E303" i="7" s="1"/>
  <c r="D304" i="7"/>
  <c r="D305" i="7"/>
  <c r="E305" i="7" s="1"/>
  <c r="D306" i="7"/>
  <c r="D307" i="7"/>
  <c r="E307" i="7" s="1"/>
  <c r="D308" i="7"/>
  <c r="E308" i="7" s="1"/>
  <c r="D309" i="7"/>
  <c r="E309" i="7" s="1"/>
  <c r="D310" i="7"/>
  <c r="E310" i="7" s="1"/>
  <c r="D311" i="7"/>
  <c r="E311" i="7" s="1"/>
  <c r="D312" i="7"/>
  <c r="D313" i="7"/>
  <c r="E313" i="7" s="1"/>
  <c r="D314" i="7"/>
  <c r="D315" i="7"/>
  <c r="E315" i="7" s="1"/>
  <c r="D316" i="7"/>
  <c r="E316" i="7" s="1"/>
  <c r="D317" i="7"/>
  <c r="E317" i="7" s="1"/>
  <c r="D318" i="7"/>
  <c r="E318" i="7" s="1"/>
  <c r="D319" i="7"/>
  <c r="E319" i="7" s="1"/>
  <c r="D320" i="7"/>
  <c r="D321" i="7"/>
  <c r="E321" i="7" s="1"/>
  <c r="D322" i="7"/>
  <c r="D323" i="7"/>
  <c r="E323" i="7" s="1"/>
  <c r="D324" i="7"/>
  <c r="E324" i="7" s="1"/>
  <c r="D325" i="7"/>
  <c r="D326" i="7"/>
  <c r="E326" i="7" s="1"/>
  <c r="D327" i="7"/>
  <c r="E327" i="7" s="1"/>
  <c r="D328" i="7"/>
  <c r="D329" i="7"/>
  <c r="E329" i="7" s="1"/>
  <c r="D330" i="7"/>
  <c r="E330" i="7" s="1"/>
  <c r="D331" i="7"/>
  <c r="E331" i="7" s="1"/>
  <c r="D332" i="7"/>
  <c r="E332" i="7" s="1"/>
  <c r="D333" i="7"/>
  <c r="D334" i="7"/>
  <c r="E334" i="7" s="1"/>
  <c r="D335" i="7"/>
  <c r="E335" i="7" s="1"/>
  <c r="D336" i="7"/>
  <c r="D337" i="7"/>
  <c r="E337" i="7" s="1"/>
  <c r="D338" i="7"/>
  <c r="E338" i="7" s="1"/>
  <c r="D339" i="7"/>
  <c r="E339" i="7" s="1"/>
  <c r="D340" i="7"/>
  <c r="E340" i="7" s="1"/>
  <c r="D341" i="7"/>
  <c r="E341" i="7" s="1"/>
  <c r="D342" i="7"/>
  <c r="E342" i="7" s="1"/>
  <c r="D343" i="7"/>
  <c r="E343" i="7" s="1"/>
  <c r="D344" i="7"/>
  <c r="D345" i="7"/>
  <c r="E345" i="7" s="1"/>
  <c r="D346" i="7"/>
  <c r="D347" i="7"/>
  <c r="E347" i="7" s="1"/>
  <c r="D348" i="7"/>
  <c r="E348" i="7" s="1"/>
  <c r="D349" i="7"/>
  <c r="D350" i="7"/>
  <c r="E350" i="7" s="1"/>
  <c r="D351" i="7"/>
  <c r="E351" i="7" s="1"/>
  <c r="D352" i="7"/>
  <c r="E352" i="7" s="1"/>
  <c r="D353" i="7"/>
  <c r="E353" i="7" s="1"/>
  <c r="D354" i="7"/>
  <c r="D355" i="7"/>
  <c r="E355" i="7" s="1"/>
  <c r="D356" i="7"/>
  <c r="E356" i="7" s="1"/>
  <c r="D357" i="7"/>
  <c r="D358" i="7"/>
  <c r="E358" i="7" s="1"/>
  <c r="D359" i="7"/>
  <c r="E359" i="7" s="1"/>
  <c r="D360" i="7"/>
  <c r="D361" i="7"/>
  <c r="D362" i="7"/>
  <c r="D363" i="7"/>
  <c r="E363" i="7" s="1"/>
  <c r="D364" i="7"/>
  <c r="E364" i="7" s="1"/>
  <c r="D365" i="7"/>
  <c r="D366" i="7"/>
  <c r="E366" i="7" s="1"/>
  <c r="D367" i="7"/>
  <c r="E367" i="7" s="1"/>
  <c r="D368" i="7"/>
  <c r="D369" i="7"/>
  <c r="E369" i="7" s="1"/>
  <c r="D370" i="7"/>
  <c r="E370" i="7" s="1"/>
  <c r="D371" i="7"/>
  <c r="E371" i="7" s="1"/>
  <c r="D372" i="7"/>
  <c r="E372" i="7" s="1"/>
  <c r="D373" i="7"/>
  <c r="D374" i="7"/>
  <c r="E374" i="7" s="1"/>
  <c r="D375" i="7"/>
  <c r="E375" i="7" s="1"/>
  <c r="D376" i="7"/>
  <c r="D377" i="7"/>
  <c r="E377" i="7" s="1"/>
  <c r="D378" i="7"/>
  <c r="E378" i="7" s="1"/>
  <c r="D379" i="7"/>
  <c r="E379" i="7" s="1"/>
  <c r="D380" i="7"/>
  <c r="E380" i="7" s="1"/>
  <c r="D381" i="7"/>
  <c r="D382" i="7"/>
  <c r="E382" i="7" s="1"/>
  <c r="D383" i="7"/>
  <c r="E383" i="7" s="1"/>
  <c r="D384" i="7"/>
  <c r="D385" i="7"/>
  <c r="E385" i="7" s="1"/>
  <c r="D386" i="7"/>
  <c r="E386" i="7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G3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E5" i="7"/>
  <c r="E7" i="7"/>
  <c r="E8" i="7"/>
  <c r="E10" i="7"/>
  <c r="E11" i="7"/>
  <c r="E12" i="7"/>
  <c r="E13" i="7"/>
  <c r="E15" i="7"/>
  <c r="E16" i="7"/>
  <c r="E18" i="7"/>
  <c r="E21" i="7"/>
  <c r="E23" i="7"/>
  <c r="E24" i="7"/>
  <c r="E26" i="7"/>
  <c r="E28" i="7"/>
  <c r="E29" i="7"/>
  <c r="E31" i="7"/>
  <c r="E32" i="7"/>
  <c r="E33" i="7"/>
  <c r="E34" i="7"/>
  <c r="E37" i="7"/>
  <c r="E39" i="7"/>
  <c r="E40" i="7"/>
  <c r="E41" i="7"/>
  <c r="E42" i="7"/>
  <c r="E43" i="7"/>
  <c r="E44" i="7"/>
  <c r="E45" i="7"/>
  <c r="E47" i="7"/>
  <c r="E48" i="7"/>
  <c r="E49" i="7"/>
  <c r="E50" i="7"/>
  <c r="E55" i="7"/>
  <c r="E56" i="7"/>
  <c r="E58" i="7"/>
  <c r="E63" i="7"/>
  <c r="E64" i="7"/>
  <c r="E66" i="7"/>
  <c r="E71" i="7"/>
  <c r="E72" i="7"/>
  <c r="E74" i="7"/>
  <c r="E75" i="7"/>
  <c r="E76" i="7"/>
  <c r="E79" i="7"/>
  <c r="E80" i="7"/>
  <c r="E82" i="7"/>
  <c r="E85" i="7"/>
  <c r="E87" i="7"/>
  <c r="E88" i="7"/>
  <c r="E89" i="7"/>
  <c r="E90" i="7"/>
  <c r="E95" i="7"/>
  <c r="E96" i="7"/>
  <c r="E97" i="7"/>
  <c r="E98" i="7"/>
  <c r="E103" i="7"/>
  <c r="E104" i="7"/>
  <c r="E106" i="7"/>
  <c r="E111" i="7"/>
  <c r="E112" i="7"/>
  <c r="E114" i="7"/>
  <c r="E119" i="7"/>
  <c r="E120" i="7"/>
  <c r="E122" i="7"/>
  <c r="E124" i="7"/>
  <c r="E125" i="7"/>
  <c r="E127" i="7"/>
  <c r="E128" i="7"/>
  <c r="E130" i="7"/>
  <c r="E135" i="7"/>
  <c r="E136" i="7"/>
  <c r="E137" i="7"/>
  <c r="E138" i="7"/>
  <c r="E143" i="7"/>
  <c r="E144" i="7"/>
  <c r="E145" i="7"/>
  <c r="E146" i="7"/>
  <c r="E151" i="7"/>
  <c r="E152" i="7"/>
  <c r="E154" i="7"/>
  <c r="E159" i="7"/>
  <c r="E160" i="7"/>
  <c r="E162" i="7"/>
  <c r="E165" i="7"/>
  <c r="E167" i="7"/>
  <c r="E168" i="7"/>
  <c r="E169" i="7"/>
  <c r="E170" i="7"/>
  <c r="E172" i="7"/>
  <c r="E173" i="7"/>
  <c r="E175" i="7"/>
  <c r="E176" i="7"/>
  <c r="E178" i="7"/>
  <c r="E183" i="7"/>
  <c r="E184" i="7"/>
  <c r="E186" i="7"/>
  <c r="E191" i="7"/>
  <c r="E192" i="7"/>
  <c r="E193" i="7"/>
  <c r="E194" i="7"/>
  <c r="E195" i="7"/>
  <c r="E200" i="7"/>
  <c r="E202" i="7"/>
  <c r="E204" i="7"/>
  <c r="E205" i="7"/>
  <c r="E208" i="7"/>
  <c r="E209" i="7"/>
  <c r="E210" i="7"/>
  <c r="E215" i="7"/>
  <c r="E216" i="7"/>
  <c r="E217" i="7"/>
  <c r="E218" i="7"/>
  <c r="E220" i="7"/>
  <c r="E221" i="7"/>
  <c r="E223" i="7"/>
  <c r="E224" i="7"/>
  <c r="E226" i="7"/>
  <c r="E229" i="7"/>
  <c r="E231" i="7"/>
  <c r="E232" i="7"/>
  <c r="E234" i="7"/>
  <c r="E237" i="7"/>
  <c r="E239" i="7"/>
  <c r="E240" i="7"/>
  <c r="E241" i="7"/>
  <c r="E242" i="7"/>
  <c r="E245" i="7"/>
  <c r="E247" i="7"/>
  <c r="E248" i="7"/>
  <c r="E249" i="7"/>
  <c r="E250" i="7"/>
  <c r="E251" i="7"/>
  <c r="E252" i="7"/>
  <c r="E253" i="7"/>
  <c r="E255" i="7"/>
  <c r="E256" i="7"/>
  <c r="E257" i="7"/>
  <c r="E258" i="7"/>
  <c r="E261" i="7"/>
  <c r="E263" i="7"/>
  <c r="E264" i="7"/>
  <c r="E266" i="7"/>
  <c r="E268" i="7"/>
  <c r="E269" i="7"/>
  <c r="E271" i="7"/>
  <c r="E272" i="7"/>
  <c r="E274" i="7"/>
  <c r="E277" i="7"/>
  <c r="E279" i="7"/>
  <c r="E283" i="7"/>
  <c r="E285" i="7"/>
  <c r="E287" i="7"/>
  <c r="E288" i="7"/>
  <c r="E290" i="7"/>
  <c r="E292" i="7"/>
  <c r="E293" i="7"/>
  <c r="E296" i="7"/>
  <c r="E304" i="7"/>
  <c r="E306" i="7"/>
  <c r="E312" i="7"/>
  <c r="E314" i="7"/>
  <c r="E320" i="7"/>
  <c r="E322" i="7"/>
  <c r="E325" i="7"/>
  <c r="E328" i="7"/>
  <c r="E333" i="7"/>
  <c r="E336" i="7"/>
  <c r="E344" i="7"/>
  <c r="E346" i="7"/>
  <c r="E349" i="7"/>
  <c r="E354" i="7"/>
  <c r="E357" i="7"/>
  <c r="E360" i="7"/>
  <c r="E361" i="7"/>
  <c r="E362" i="7"/>
  <c r="E365" i="7"/>
  <c r="E368" i="7"/>
  <c r="E373" i="7"/>
  <c r="E376" i="7"/>
  <c r="E381" i="7"/>
  <c r="E384" i="7"/>
  <c r="D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381" i="3"/>
  <c r="B382" i="3"/>
  <c r="B383" i="3"/>
  <c r="B384" i="3"/>
  <c r="B297" i="3"/>
  <c r="B35" i="3"/>
  <c r="B36" i="3"/>
  <c r="B37" i="3"/>
  <c r="B298" i="3"/>
  <c r="B299" i="3"/>
  <c r="B300" i="3"/>
  <c r="B38" i="3"/>
  <c r="B39" i="3"/>
  <c r="B40" i="3"/>
  <c r="B301" i="3"/>
  <c r="B385" i="3"/>
  <c r="B41" i="3"/>
  <c r="B42" i="3"/>
  <c r="B43" i="3"/>
  <c r="B44" i="3"/>
  <c r="B45" i="3"/>
  <c r="B302" i="3"/>
  <c r="B386" i="3"/>
  <c r="B46" i="3"/>
  <c r="B47" i="3"/>
  <c r="B48" i="3"/>
  <c r="B49" i="3"/>
  <c r="B50" i="3"/>
  <c r="B51" i="3"/>
  <c r="B52" i="3"/>
  <c r="B53" i="3"/>
  <c r="B54" i="3"/>
  <c r="B387" i="3"/>
  <c r="B55" i="3"/>
  <c r="B56" i="3"/>
  <c r="B57" i="3"/>
  <c r="B303" i="3"/>
  <c r="B304" i="3"/>
  <c r="B305" i="3"/>
  <c r="B306" i="3"/>
  <c r="B58" i="3"/>
  <c r="B59" i="3"/>
  <c r="B60" i="3"/>
  <c r="B61" i="3"/>
  <c r="B388" i="3"/>
  <c r="B62" i="3"/>
  <c r="B63" i="3"/>
  <c r="B64" i="3"/>
  <c r="B65" i="3"/>
  <c r="B173" i="3"/>
  <c r="B174" i="3"/>
  <c r="B175" i="3"/>
  <c r="B307" i="3"/>
  <c r="B66" i="3"/>
  <c r="B67" i="3"/>
  <c r="B68" i="3"/>
  <c r="B69" i="3"/>
  <c r="B213" i="3"/>
  <c r="B214" i="3"/>
  <c r="B215" i="3"/>
  <c r="B70" i="3"/>
  <c r="B71" i="3"/>
  <c r="B72" i="3"/>
  <c r="B73" i="3"/>
  <c r="B74" i="3"/>
  <c r="B3" i="3"/>
  <c r="B4" i="3"/>
  <c r="B5" i="3"/>
  <c r="B6" i="3"/>
  <c r="B7" i="3"/>
  <c r="B75" i="3"/>
  <c r="B308" i="3"/>
  <c r="B76" i="3"/>
  <c r="B77" i="3"/>
  <c r="B78" i="3"/>
  <c r="B79" i="3"/>
  <c r="B80" i="3"/>
  <c r="B185" i="3"/>
  <c r="B186" i="3"/>
  <c r="B8" i="3"/>
  <c r="B389" i="3"/>
  <c r="B390" i="3"/>
  <c r="B391" i="3"/>
  <c r="B309" i="3"/>
  <c r="B81" i="3"/>
  <c r="B82" i="3"/>
  <c r="B83" i="3"/>
  <c r="B187" i="3"/>
  <c r="B188" i="3"/>
  <c r="B310" i="3"/>
  <c r="B311" i="3"/>
  <c r="B392" i="3"/>
  <c r="B84" i="3"/>
  <c r="B85" i="3"/>
  <c r="B86" i="3"/>
  <c r="B393" i="3"/>
  <c r="B189" i="3"/>
  <c r="B87" i="3"/>
  <c r="B88" i="3"/>
  <c r="B89" i="3"/>
  <c r="B90" i="3"/>
  <c r="B394" i="3"/>
  <c r="B91" i="3"/>
  <c r="B92" i="3"/>
  <c r="B395" i="3"/>
  <c r="B93" i="3"/>
  <c r="B94" i="3"/>
  <c r="B95" i="3"/>
  <c r="B96" i="3"/>
  <c r="B97" i="3"/>
  <c r="B98" i="3"/>
  <c r="B99" i="3"/>
  <c r="B100" i="3"/>
  <c r="B101" i="3"/>
  <c r="B102" i="3"/>
  <c r="B396" i="3"/>
  <c r="B103" i="3"/>
  <c r="B104" i="3"/>
  <c r="B105" i="3"/>
  <c r="B106" i="3"/>
  <c r="B397" i="3"/>
  <c r="B107" i="3"/>
  <c r="B9" i="3"/>
  <c r="B398" i="3"/>
  <c r="B234" i="3"/>
  <c r="B235" i="3"/>
  <c r="B10" i="3"/>
  <c r="B11" i="3"/>
  <c r="B12" i="3"/>
  <c r="B436" i="3"/>
  <c r="B437" i="3"/>
  <c r="B312" i="3"/>
  <c r="B313" i="3"/>
  <c r="B314" i="3"/>
  <c r="B315" i="3"/>
  <c r="B236" i="3"/>
  <c r="B316" i="3"/>
  <c r="B317" i="3"/>
  <c r="B318" i="3"/>
  <c r="B228" i="3"/>
  <c r="B229" i="3"/>
  <c r="B230" i="3"/>
  <c r="B319" i="3"/>
  <c r="B190" i="3"/>
  <c r="B191" i="3"/>
  <c r="B352" i="3"/>
  <c r="B353" i="3"/>
  <c r="B354" i="3"/>
  <c r="B216" i="3"/>
  <c r="B205" i="3"/>
  <c r="B206" i="3"/>
  <c r="B207" i="3"/>
  <c r="B217" i="3"/>
  <c r="B253" i="3"/>
  <c r="B254" i="3"/>
  <c r="B420" i="3"/>
  <c r="B421" i="3"/>
  <c r="B422" i="3"/>
  <c r="B108" i="3"/>
  <c r="B218" i="3"/>
  <c r="B109" i="3"/>
  <c r="B192" i="3"/>
  <c r="B219" i="3"/>
  <c r="B110" i="3"/>
  <c r="B111" i="3"/>
  <c r="B399" i="3"/>
  <c r="B112" i="3"/>
  <c r="B113" i="3"/>
  <c r="B114" i="3"/>
  <c r="B115" i="3"/>
  <c r="B344" i="3"/>
  <c r="B345" i="3"/>
  <c r="B346" i="3"/>
  <c r="B340" i="3"/>
  <c r="B341" i="3"/>
  <c r="B342" i="3"/>
  <c r="B267" i="3"/>
  <c r="B268" i="3"/>
  <c r="B240" i="3"/>
  <c r="B241" i="3"/>
  <c r="B242" i="3"/>
  <c r="B237" i="3"/>
  <c r="B193" i="3"/>
  <c r="B18" i="3"/>
  <c r="B19" i="3"/>
  <c r="B20" i="3"/>
  <c r="B243" i="3"/>
  <c r="B244" i="3"/>
  <c r="B255" i="3"/>
  <c r="B256" i="3"/>
  <c r="B257" i="3"/>
  <c r="B177" i="3"/>
  <c r="B178" i="3"/>
  <c r="B179" i="3"/>
  <c r="B359" i="3"/>
  <c r="B360" i="3"/>
  <c r="B361" i="3"/>
  <c r="B320" i="3"/>
  <c r="B321" i="3"/>
  <c r="B322" i="3"/>
  <c r="B21" i="3"/>
  <c r="B269" i="3"/>
  <c r="B270" i="3"/>
  <c r="B22" i="3"/>
  <c r="B271" i="3"/>
  <c r="B23" i="3"/>
  <c r="B24" i="3"/>
  <c r="B180" i="3"/>
  <c r="B25" i="3"/>
  <c r="B209" i="3"/>
  <c r="B210" i="3"/>
  <c r="B26" i="3"/>
  <c r="B258" i="3"/>
  <c r="B259" i="3"/>
  <c r="B27" i="3"/>
  <c r="B272" i="3"/>
  <c r="B273" i="3"/>
  <c r="B260" i="3"/>
  <c r="B323" i="3"/>
  <c r="B194" i="3"/>
  <c r="B362" i="3"/>
  <c r="B355" i="3"/>
  <c r="B356" i="3"/>
  <c r="B357" i="3"/>
  <c r="B261" i="3"/>
  <c r="B363" i="3"/>
  <c r="B364" i="3"/>
  <c r="B365" i="3"/>
  <c r="B211" i="3"/>
  <c r="B324" i="3"/>
  <c r="B325" i="3"/>
  <c r="B326" i="3"/>
  <c r="B274" i="3"/>
  <c r="B220" i="3"/>
  <c r="B400" i="3"/>
  <c r="B116" i="3"/>
  <c r="B13" i="3"/>
  <c r="B117" i="3"/>
  <c r="B118" i="3"/>
  <c r="B119" i="3"/>
  <c r="B120" i="3"/>
  <c r="B221" i="3"/>
  <c r="B121" i="3"/>
  <c r="B122" i="3"/>
  <c r="B275" i="3"/>
  <c r="B123" i="3"/>
  <c r="B208" i="3"/>
  <c r="B262" i="3"/>
  <c r="B276" i="3"/>
  <c r="B195" i="3"/>
  <c r="B366" i="3"/>
  <c r="B231" i="3"/>
  <c r="B327" i="3"/>
  <c r="B328" i="3"/>
  <c r="B343" i="3"/>
  <c r="B329" i="3"/>
  <c r="B238" i="3"/>
  <c r="B245" i="3"/>
  <c r="B330" i="3"/>
  <c r="B358" i="3"/>
  <c r="B367" i="3"/>
  <c r="B124" i="3"/>
  <c r="B401" i="3"/>
  <c r="B125" i="3"/>
  <c r="B347" i="3"/>
  <c r="B348" i="3"/>
  <c r="B349" i="3"/>
  <c r="B246" i="3"/>
  <c r="B350" i="3"/>
  <c r="B181" i="3"/>
  <c r="B126" i="3"/>
  <c r="B127" i="3"/>
  <c r="B128" i="3"/>
  <c r="B28" i="3"/>
  <c r="B331" i="3"/>
  <c r="B277" i="3"/>
  <c r="B263" i="3"/>
  <c r="B368" i="3"/>
  <c r="B129" i="3"/>
  <c r="B247" i="3"/>
  <c r="B130" i="3"/>
  <c r="B196" i="3"/>
  <c r="B248" i="3"/>
  <c r="B402" i="3"/>
  <c r="B369" i="3"/>
  <c r="B29" i="3"/>
  <c r="B264" i="3"/>
  <c r="B332" i="3"/>
  <c r="B333" i="3"/>
  <c r="B14" i="3"/>
  <c r="B197" i="3"/>
  <c r="B131" i="3"/>
  <c r="B132" i="3"/>
  <c r="B133" i="3"/>
  <c r="B134" i="3"/>
  <c r="B135" i="3"/>
  <c r="B222" i="3"/>
  <c r="B136" i="3"/>
  <c r="B137" i="3"/>
  <c r="B138" i="3"/>
  <c r="B139" i="3"/>
  <c r="B223" i="3"/>
  <c r="B278" i="3"/>
  <c r="B334" i="3"/>
  <c r="B176" i="3"/>
  <c r="B232" i="3"/>
  <c r="B198" i="3"/>
  <c r="B239" i="3"/>
  <c r="B249" i="3"/>
  <c r="B250" i="3"/>
  <c r="B251" i="3"/>
  <c r="B212" i="3"/>
  <c r="B182" i="3"/>
  <c r="B30" i="3"/>
  <c r="B265" i="3"/>
  <c r="B140" i="3"/>
  <c r="B335" i="3"/>
  <c r="B370" i="3"/>
  <c r="B403" i="3"/>
  <c r="B141" i="3"/>
  <c r="B142" i="3"/>
  <c r="B143" i="3"/>
  <c r="B144" i="3"/>
  <c r="B145" i="3"/>
  <c r="B146" i="3"/>
  <c r="B199" i="3"/>
  <c r="B224" i="3"/>
  <c r="B147" i="3"/>
  <c r="B15" i="3"/>
  <c r="B148" i="3"/>
  <c r="B149" i="3"/>
  <c r="B150" i="3"/>
  <c r="B225" i="3"/>
  <c r="B200" i="3"/>
  <c r="B266" i="3"/>
  <c r="B279" i="3"/>
  <c r="B233" i="3"/>
  <c r="B351" i="3"/>
  <c r="B423" i="3"/>
  <c r="B373" i="3"/>
  <c r="B374" i="3"/>
  <c r="B424" i="3"/>
  <c r="B428" i="3"/>
  <c r="B429" i="3"/>
  <c r="B183" i="3"/>
  <c r="B412" i="3"/>
  <c r="B413" i="3"/>
  <c r="B425" i="3"/>
  <c r="B426" i="3"/>
  <c r="B31" i="3"/>
  <c r="B32" i="3"/>
  <c r="B33" i="3"/>
  <c r="B375" i="3"/>
  <c r="B414" i="3"/>
  <c r="B376" i="3"/>
  <c r="B415" i="3"/>
  <c r="B416" i="3"/>
  <c r="B404" i="3"/>
  <c r="B151" i="3"/>
  <c r="B152" i="3"/>
  <c r="B153" i="3"/>
  <c r="B154" i="3"/>
  <c r="B155" i="3"/>
  <c r="B156" i="3"/>
  <c r="B226" i="3"/>
  <c r="B157" i="3"/>
  <c r="B16" i="3"/>
  <c r="B158" i="3"/>
  <c r="B201" i="3"/>
  <c r="B159" i="3"/>
  <c r="B160" i="3"/>
  <c r="B161" i="3"/>
  <c r="B202" i="3"/>
  <c r="B371" i="3"/>
  <c r="B377" i="3"/>
  <c r="B378" i="3"/>
  <c r="B430" i="3"/>
  <c r="B406" i="3"/>
  <c r="B407" i="3"/>
  <c r="B408" i="3"/>
  <c r="B431" i="3"/>
  <c r="B432" i="3"/>
  <c r="B409" i="3"/>
  <c r="B336" i="3"/>
  <c r="B337" i="3"/>
  <c r="B410" i="3"/>
  <c r="B427" i="3"/>
  <c r="B433" i="3"/>
  <c r="B417" i="3"/>
  <c r="B418" i="3"/>
  <c r="B419" i="3"/>
  <c r="B338" i="3"/>
  <c r="B227" i="3"/>
  <c r="B252" i="3"/>
  <c r="B184" i="3"/>
  <c r="B34" i="3"/>
  <c r="B379" i="3"/>
  <c r="B380" i="3"/>
  <c r="B162" i="3"/>
  <c r="B163" i="3"/>
  <c r="B164" i="3"/>
  <c r="B165" i="3"/>
  <c r="B339" i="3"/>
  <c r="B405" i="3"/>
  <c r="B166" i="3"/>
  <c r="B167" i="3"/>
  <c r="B168" i="3"/>
  <c r="B17" i="3"/>
  <c r="B169" i="3"/>
  <c r="B203" i="3"/>
  <c r="B170" i="3"/>
  <c r="B171" i="3"/>
  <c r="B172" i="3"/>
  <c r="B204" i="3"/>
  <c r="B411" i="3"/>
  <c r="B372" i="3"/>
  <c r="B434" i="3"/>
  <c r="B435" i="3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381" i="3"/>
  <c r="A382" i="3"/>
  <c r="A383" i="3"/>
  <c r="A384" i="3"/>
  <c r="A297" i="3"/>
  <c r="A35" i="3"/>
  <c r="A36" i="3"/>
  <c r="A37" i="3"/>
  <c r="A298" i="3"/>
  <c r="A299" i="3"/>
  <c r="A300" i="3"/>
  <c r="A38" i="3"/>
  <c r="A39" i="3"/>
  <c r="A40" i="3"/>
  <c r="A301" i="3"/>
  <c r="A385" i="3"/>
  <c r="A41" i="3"/>
  <c r="A42" i="3"/>
  <c r="A43" i="3"/>
  <c r="A44" i="3"/>
  <c r="A45" i="3"/>
  <c r="A302" i="3"/>
  <c r="A386" i="3"/>
  <c r="A46" i="3"/>
  <c r="A47" i="3"/>
  <c r="A48" i="3"/>
  <c r="A49" i="3"/>
  <c r="A50" i="3"/>
  <c r="A51" i="3"/>
  <c r="A52" i="3"/>
  <c r="A53" i="3"/>
  <c r="A54" i="3"/>
  <c r="A387" i="3"/>
  <c r="A55" i="3"/>
  <c r="A56" i="3"/>
  <c r="A57" i="3"/>
  <c r="A303" i="3"/>
  <c r="A304" i="3"/>
  <c r="A305" i="3"/>
  <c r="A306" i="3"/>
  <c r="B63" i="2"/>
  <c r="A58" i="3"/>
  <c r="A59" i="3"/>
  <c r="A60" i="3"/>
  <c r="A61" i="3"/>
  <c r="A388" i="3"/>
  <c r="A62" i="3"/>
  <c r="A63" i="3"/>
  <c r="A64" i="3"/>
  <c r="A65" i="3"/>
  <c r="B73" i="2"/>
  <c r="B74" i="2"/>
  <c r="B79" i="2"/>
  <c r="A173" i="3"/>
  <c r="D173" i="3" s="1"/>
  <c r="B80" i="2" s="1"/>
  <c r="A174" i="3"/>
  <c r="D174" i="3" s="1"/>
  <c r="B81" i="2" s="1"/>
  <c r="A175" i="3"/>
  <c r="D175" i="3" s="1"/>
  <c r="B82" i="2" s="1"/>
  <c r="A307" i="3"/>
  <c r="A66" i="3"/>
  <c r="A67" i="3"/>
  <c r="A68" i="3"/>
  <c r="A69" i="3"/>
  <c r="D69" i="3" s="1"/>
  <c r="B87" i="2" s="1"/>
  <c r="A213" i="3"/>
  <c r="D213" i="3" s="1"/>
  <c r="B88" i="2" s="1"/>
  <c r="A214" i="3"/>
  <c r="D214" i="3" s="1"/>
  <c r="B89" i="2" s="1"/>
  <c r="A215" i="3"/>
  <c r="D215" i="3" s="1"/>
  <c r="B90" i="2" s="1"/>
  <c r="A70" i="3"/>
  <c r="A71" i="3"/>
  <c r="A72" i="3"/>
  <c r="A73" i="3"/>
  <c r="A74" i="3"/>
  <c r="D74" i="3" s="1"/>
  <c r="B95" i="2" s="1"/>
  <c r="A3" i="3"/>
  <c r="D3" i="3" s="1"/>
  <c r="B96" i="2" s="1"/>
  <c r="A4" i="3"/>
  <c r="D4" i="3" s="1"/>
  <c r="B97" i="2" s="1"/>
  <c r="A5" i="3"/>
  <c r="D5" i="3" s="1"/>
  <c r="B98" i="2" s="1"/>
  <c r="A6" i="3"/>
  <c r="A7" i="3"/>
  <c r="A75" i="3"/>
  <c r="A308" i="3"/>
  <c r="A76" i="3"/>
  <c r="D76" i="3" s="1"/>
  <c r="B103" i="2" s="1"/>
  <c r="A77" i="3"/>
  <c r="D77" i="3" s="1"/>
  <c r="B104" i="2" s="1"/>
  <c r="A78" i="3"/>
  <c r="D78" i="3" s="1"/>
  <c r="B105" i="2" s="1"/>
  <c r="A79" i="3"/>
  <c r="D79" i="3" s="1"/>
  <c r="B106" i="2" s="1"/>
  <c r="A80" i="3"/>
  <c r="A185" i="3"/>
  <c r="A186" i="3"/>
  <c r="A8" i="3"/>
  <c r="A389" i="3"/>
  <c r="D389" i="3" s="1"/>
  <c r="B111" i="2" s="1"/>
  <c r="A390" i="3"/>
  <c r="D390" i="3" s="1"/>
  <c r="B112" i="2" s="1"/>
  <c r="A391" i="3"/>
  <c r="D391" i="3" s="1"/>
  <c r="B113" i="2" s="1"/>
  <c r="A309" i="3"/>
  <c r="D309" i="3" s="1"/>
  <c r="B114" i="2" s="1"/>
  <c r="A81" i="3"/>
  <c r="A82" i="3"/>
  <c r="A83" i="3"/>
  <c r="A187" i="3"/>
  <c r="A188" i="3"/>
  <c r="A310" i="3"/>
  <c r="D310" i="3" s="1"/>
  <c r="B120" i="2" s="1"/>
  <c r="A311" i="3"/>
  <c r="D311" i="3" s="1"/>
  <c r="B121" i="2" s="1"/>
  <c r="A392" i="3"/>
  <c r="D392" i="3" s="1"/>
  <c r="B122" i="2" s="1"/>
  <c r="A84" i="3"/>
  <c r="A85" i="3"/>
  <c r="A86" i="3"/>
  <c r="A393" i="3"/>
  <c r="A189" i="3"/>
  <c r="A87" i="3"/>
  <c r="D87" i="3" s="1"/>
  <c r="B128" i="2" s="1"/>
  <c r="A88" i="3"/>
  <c r="D88" i="3" s="1"/>
  <c r="B129" i="2" s="1"/>
  <c r="A89" i="3"/>
  <c r="D89" i="3" s="1"/>
  <c r="B130" i="2" s="1"/>
  <c r="A90" i="3"/>
  <c r="A394" i="3"/>
  <c r="A91" i="3"/>
  <c r="A92" i="3"/>
  <c r="A395" i="3"/>
  <c r="A93" i="3"/>
  <c r="D93" i="3" s="1"/>
  <c r="B136" i="2" s="1"/>
  <c r="A94" i="3"/>
  <c r="D94" i="3" s="1"/>
  <c r="B137" i="2" s="1"/>
  <c r="A95" i="3"/>
  <c r="D95" i="3" s="1"/>
  <c r="B138" i="2" s="1"/>
  <c r="A96" i="3"/>
  <c r="A97" i="3"/>
  <c r="A98" i="3"/>
  <c r="A99" i="3"/>
  <c r="A100" i="3"/>
  <c r="D100" i="3" s="1"/>
  <c r="B143" i="2" s="1"/>
  <c r="A101" i="3"/>
  <c r="D101" i="3" s="1"/>
  <c r="B144" i="2" s="1"/>
  <c r="B145" i="2"/>
  <c r="B146" i="2"/>
  <c r="B147" i="2"/>
  <c r="A102" i="3"/>
  <c r="A396" i="3"/>
  <c r="A103" i="3"/>
  <c r="A104" i="3"/>
  <c r="A105" i="3"/>
  <c r="A106" i="3"/>
  <c r="A397" i="3"/>
  <c r="A107" i="3"/>
  <c r="A9" i="3"/>
  <c r="A398" i="3"/>
  <c r="A234" i="3"/>
  <c r="A235" i="3"/>
  <c r="A10" i="3"/>
  <c r="A11" i="3"/>
  <c r="A12" i="3"/>
  <c r="A436" i="3"/>
  <c r="A437" i="3"/>
  <c r="A312" i="3"/>
  <c r="A313" i="3"/>
  <c r="A314" i="3"/>
  <c r="A315" i="3"/>
  <c r="A236" i="3"/>
  <c r="A316" i="3"/>
  <c r="A317" i="3"/>
  <c r="A318" i="3"/>
  <c r="A228" i="3"/>
  <c r="A229" i="3"/>
  <c r="A230" i="3"/>
  <c r="A319" i="3"/>
  <c r="A190" i="3"/>
  <c r="A191" i="3"/>
  <c r="A352" i="3"/>
  <c r="A353" i="3"/>
  <c r="A354" i="3"/>
  <c r="A216" i="3"/>
  <c r="A205" i="3"/>
  <c r="A206" i="3"/>
  <c r="A207" i="3"/>
  <c r="A217" i="3"/>
  <c r="A253" i="3"/>
  <c r="A254" i="3"/>
  <c r="A420" i="3"/>
  <c r="A421" i="3"/>
  <c r="A422" i="3"/>
  <c r="A108" i="3"/>
  <c r="A218" i="3"/>
  <c r="A109" i="3"/>
  <c r="A192" i="3"/>
  <c r="A219" i="3"/>
  <c r="A110" i="3"/>
  <c r="A111" i="3"/>
  <c r="A399" i="3"/>
  <c r="A112" i="3"/>
  <c r="A113" i="3"/>
  <c r="A114" i="3"/>
  <c r="A115" i="3"/>
  <c r="A344" i="3"/>
  <c r="A345" i="3"/>
  <c r="A346" i="3"/>
  <c r="A340" i="3"/>
  <c r="A341" i="3"/>
  <c r="A342" i="3"/>
  <c r="A267" i="3"/>
  <c r="A268" i="3"/>
  <c r="A240" i="3"/>
  <c r="A241" i="3"/>
  <c r="A242" i="3"/>
  <c r="A237" i="3"/>
  <c r="A193" i="3"/>
  <c r="A18" i="3"/>
  <c r="A19" i="3"/>
  <c r="A20" i="3"/>
  <c r="A243" i="3"/>
  <c r="A244" i="3"/>
  <c r="A255" i="3"/>
  <c r="A256" i="3"/>
  <c r="A257" i="3"/>
  <c r="A177" i="3"/>
  <c r="A178" i="3"/>
  <c r="A179" i="3"/>
  <c r="A359" i="3"/>
  <c r="A360" i="3"/>
  <c r="A361" i="3"/>
  <c r="A320" i="3"/>
  <c r="A321" i="3"/>
  <c r="A322" i="3"/>
  <c r="A21" i="3"/>
  <c r="A269" i="3"/>
  <c r="A270" i="3"/>
  <c r="A22" i="3"/>
  <c r="A271" i="3"/>
  <c r="A23" i="3"/>
  <c r="A24" i="3"/>
  <c r="A180" i="3"/>
  <c r="A25" i="3"/>
  <c r="A209" i="3"/>
  <c r="A210" i="3"/>
  <c r="A26" i="3"/>
  <c r="A258" i="3"/>
  <c r="A259" i="3"/>
  <c r="A27" i="3"/>
  <c r="A272" i="3"/>
  <c r="A273" i="3"/>
  <c r="A260" i="3"/>
  <c r="A323" i="3"/>
  <c r="A194" i="3"/>
  <c r="A362" i="3"/>
  <c r="A355" i="3"/>
  <c r="A356" i="3"/>
  <c r="A357" i="3"/>
  <c r="A261" i="3"/>
  <c r="A363" i="3"/>
  <c r="A364" i="3"/>
  <c r="A365" i="3"/>
  <c r="A211" i="3"/>
  <c r="A324" i="3"/>
  <c r="A325" i="3"/>
  <c r="A326" i="3"/>
  <c r="A274" i="3"/>
  <c r="A220" i="3"/>
  <c r="A400" i="3"/>
  <c r="A116" i="3"/>
  <c r="A13" i="3"/>
  <c r="A117" i="3"/>
  <c r="A118" i="3"/>
  <c r="A119" i="3"/>
  <c r="A120" i="3"/>
  <c r="A221" i="3"/>
  <c r="A121" i="3"/>
  <c r="A122" i="3"/>
  <c r="A275" i="3"/>
  <c r="A123" i="3"/>
  <c r="A208" i="3"/>
  <c r="A262" i="3"/>
  <c r="A276" i="3"/>
  <c r="A195" i="3"/>
  <c r="A366" i="3"/>
  <c r="A231" i="3"/>
  <c r="A327" i="3"/>
  <c r="A328" i="3"/>
  <c r="A343" i="3"/>
  <c r="A329" i="3"/>
  <c r="A238" i="3"/>
  <c r="A245" i="3"/>
  <c r="A330" i="3"/>
  <c r="A358" i="3"/>
  <c r="A367" i="3"/>
  <c r="A124" i="3"/>
  <c r="A401" i="3"/>
  <c r="A125" i="3"/>
  <c r="A347" i="3"/>
  <c r="A348" i="3"/>
  <c r="A349" i="3"/>
  <c r="A246" i="3"/>
  <c r="A350" i="3"/>
  <c r="A181" i="3"/>
  <c r="A126" i="3"/>
  <c r="A127" i="3"/>
  <c r="A128" i="3"/>
  <c r="A28" i="3"/>
  <c r="A331" i="3"/>
  <c r="A277" i="3"/>
  <c r="A263" i="3"/>
  <c r="A368" i="3"/>
  <c r="A129" i="3"/>
  <c r="A247" i="3"/>
  <c r="A130" i="3"/>
  <c r="A196" i="3"/>
  <c r="A248" i="3"/>
  <c r="A402" i="3"/>
  <c r="A369" i="3"/>
  <c r="A29" i="3"/>
  <c r="A264" i="3"/>
  <c r="A332" i="3"/>
  <c r="A333" i="3"/>
  <c r="A14" i="3"/>
  <c r="A197" i="3"/>
  <c r="A131" i="3"/>
  <c r="A132" i="3"/>
  <c r="A133" i="3"/>
  <c r="A134" i="3"/>
  <c r="A135" i="3"/>
  <c r="A222" i="3"/>
  <c r="A136" i="3"/>
  <c r="A137" i="3"/>
  <c r="A138" i="3"/>
  <c r="A139" i="3"/>
  <c r="A223" i="3"/>
  <c r="A278" i="3"/>
  <c r="A334" i="3"/>
  <c r="A176" i="3"/>
  <c r="A232" i="3"/>
  <c r="A198" i="3"/>
  <c r="A239" i="3"/>
  <c r="A249" i="3"/>
  <c r="A250" i="3"/>
  <c r="A251" i="3"/>
  <c r="B345" i="2"/>
  <c r="A212" i="3"/>
  <c r="A182" i="3"/>
  <c r="A30" i="3"/>
  <c r="A265" i="3"/>
  <c r="A140" i="3"/>
  <c r="A335" i="3"/>
  <c r="A370" i="3"/>
  <c r="A403" i="3"/>
  <c r="A141" i="3"/>
  <c r="A142" i="3"/>
  <c r="A143" i="3"/>
  <c r="A144" i="3"/>
  <c r="A145" i="3"/>
  <c r="A146" i="3"/>
  <c r="A199" i="3"/>
  <c r="A224" i="3"/>
  <c r="A147" i="3"/>
  <c r="A15" i="3"/>
  <c r="A148" i="3"/>
  <c r="A149" i="3"/>
  <c r="A150" i="3"/>
  <c r="A225" i="3"/>
  <c r="A200" i="3"/>
  <c r="A266" i="3"/>
  <c r="A279" i="3"/>
  <c r="A233" i="3"/>
  <c r="A351" i="3"/>
  <c r="A423" i="3"/>
  <c r="A373" i="3"/>
  <c r="A374" i="3"/>
  <c r="A424" i="3"/>
  <c r="A428" i="3"/>
  <c r="A429" i="3"/>
  <c r="A183" i="3"/>
  <c r="A412" i="3"/>
  <c r="A413" i="3"/>
  <c r="A425" i="3"/>
  <c r="A426" i="3"/>
  <c r="A31" i="3"/>
  <c r="A32" i="3"/>
  <c r="A33" i="3"/>
  <c r="A375" i="3"/>
  <c r="A414" i="3"/>
  <c r="A376" i="3"/>
  <c r="A415" i="3"/>
  <c r="A416" i="3"/>
  <c r="A404" i="3"/>
  <c r="A151" i="3"/>
  <c r="A152" i="3"/>
  <c r="A153" i="3"/>
  <c r="A154" i="3"/>
  <c r="A155" i="3"/>
  <c r="A156" i="3"/>
  <c r="A226" i="3"/>
  <c r="A157" i="3"/>
  <c r="A16" i="3"/>
  <c r="A158" i="3"/>
  <c r="A201" i="3"/>
  <c r="A159" i="3"/>
  <c r="A160" i="3"/>
  <c r="A161" i="3"/>
  <c r="A202" i="3"/>
  <c r="A371" i="3"/>
  <c r="A377" i="3"/>
  <c r="A378" i="3"/>
  <c r="A430" i="3"/>
  <c r="A406" i="3"/>
  <c r="A407" i="3"/>
  <c r="A408" i="3"/>
  <c r="A431" i="3"/>
  <c r="A432" i="3"/>
  <c r="A409" i="3"/>
  <c r="A336" i="3"/>
  <c r="A337" i="3"/>
  <c r="A410" i="3"/>
  <c r="A427" i="3"/>
  <c r="A433" i="3"/>
  <c r="A417" i="3"/>
  <c r="A418" i="3"/>
  <c r="A419" i="3"/>
  <c r="A338" i="3"/>
  <c r="A227" i="3"/>
  <c r="A252" i="3"/>
  <c r="A184" i="3"/>
  <c r="A34" i="3"/>
  <c r="A379" i="3"/>
  <c r="A380" i="3"/>
  <c r="A162" i="3"/>
  <c r="A163" i="3"/>
  <c r="A164" i="3"/>
  <c r="A165" i="3"/>
  <c r="A339" i="3"/>
  <c r="A405" i="3"/>
  <c r="A166" i="3"/>
  <c r="A167" i="3"/>
  <c r="A168" i="3"/>
  <c r="A17" i="3"/>
  <c r="A169" i="3"/>
  <c r="A203" i="3"/>
  <c r="A170" i="3"/>
  <c r="A171" i="3"/>
  <c r="A172" i="3"/>
  <c r="A204" i="3"/>
  <c r="A411" i="3"/>
  <c r="A372" i="3"/>
  <c r="A434" i="3"/>
  <c r="A435" i="3"/>
  <c r="B3" i="2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381" i="3"/>
  <c r="C382" i="3"/>
  <c r="C383" i="3"/>
  <c r="C384" i="3"/>
  <c r="C297" i="3"/>
  <c r="C35" i="3"/>
  <c r="C36" i="3"/>
  <c r="C37" i="3"/>
  <c r="C298" i="3"/>
  <c r="C299" i="3"/>
  <c r="C300" i="3"/>
  <c r="C38" i="3"/>
  <c r="C39" i="3"/>
  <c r="C40" i="3"/>
  <c r="C301" i="3"/>
  <c r="C385" i="3"/>
  <c r="C41" i="3"/>
  <c r="C42" i="3"/>
  <c r="C43" i="3"/>
  <c r="C44" i="3"/>
  <c r="C45" i="3"/>
  <c r="C302" i="3"/>
  <c r="C386" i="3"/>
  <c r="C46" i="3"/>
  <c r="C47" i="3"/>
  <c r="C48" i="3"/>
  <c r="C49" i="3"/>
  <c r="C50" i="3"/>
  <c r="C51" i="3"/>
  <c r="C52" i="3"/>
  <c r="C53" i="3"/>
  <c r="C54" i="3"/>
  <c r="C387" i="3"/>
  <c r="C55" i="3"/>
  <c r="C56" i="3"/>
  <c r="C57" i="3"/>
  <c r="C303" i="3"/>
  <c r="C304" i="3"/>
  <c r="C305" i="3"/>
  <c r="C306" i="3"/>
  <c r="C58" i="3"/>
  <c r="C59" i="3"/>
  <c r="C60" i="3"/>
  <c r="C61" i="3"/>
  <c r="C388" i="3"/>
  <c r="C62" i="3"/>
  <c r="C63" i="3"/>
  <c r="C64" i="3"/>
  <c r="C65" i="3"/>
  <c r="C173" i="3"/>
  <c r="C174" i="3"/>
  <c r="C175" i="3"/>
  <c r="C307" i="3"/>
  <c r="C66" i="3"/>
  <c r="C67" i="3"/>
  <c r="C68" i="3"/>
  <c r="C69" i="3"/>
  <c r="C213" i="3"/>
  <c r="C214" i="3"/>
  <c r="C215" i="3"/>
  <c r="C70" i="3"/>
  <c r="C71" i="3"/>
  <c r="C72" i="3"/>
  <c r="C73" i="3"/>
  <c r="C74" i="3"/>
  <c r="C3" i="3"/>
  <c r="C4" i="3"/>
  <c r="C5" i="3"/>
  <c r="C6" i="3"/>
  <c r="C7" i="3"/>
  <c r="C75" i="3"/>
  <c r="C308" i="3"/>
  <c r="C76" i="3"/>
  <c r="C77" i="3"/>
  <c r="C78" i="3"/>
  <c r="C79" i="3"/>
  <c r="C80" i="3"/>
  <c r="C185" i="3"/>
  <c r="C186" i="3"/>
  <c r="C8" i="3"/>
  <c r="C389" i="3"/>
  <c r="C390" i="3"/>
  <c r="C391" i="3"/>
  <c r="C309" i="3"/>
  <c r="C81" i="3"/>
  <c r="C82" i="3"/>
  <c r="C83" i="3"/>
  <c r="C187" i="3"/>
  <c r="C188" i="3"/>
  <c r="C310" i="3"/>
  <c r="C311" i="3"/>
  <c r="C392" i="3"/>
  <c r="C84" i="3"/>
  <c r="C85" i="3"/>
  <c r="C86" i="3"/>
  <c r="C393" i="3"/>
  <c r="C189" i="3"/>
  <c r="C87" i="3"/>
  <c r="C88" i="3"/>
  <c r="C89" i="3"/>
  <c r="C90" i="3"/>
  <c r="C394" i="3"/>
  <c r="C91" i="3"/>
  <c r="C92" i="3"/>
  <c r="C395" i="3"/>
  <c r="C93" i="3"/>
  <c r="C94" i="3"/>
  <c r="C95" i="3"/>
  <c r="C96" i="3"/>
  <c r="C97" i="3"/>
  <c r="C98" i="3"/>
  <c r="C99" i="3"/>
  <c r="C100" i="3"/>
  <c r="C101" i="3"/>
  <c r="C102" i="3"/>
  <c r="C396" i="3"/>
  <c r="C103" i="3"/>
  <c r="C104" i="3"/>
  <c r="C105" i="3"/>
  <c r="C106" i="3"/>
  <c r="C397" i="3"/>
  <c r="C107" i="3"/>
  <c r="C9" i="3"/>
  <c r="C398" i="3"/>
  <c r="C234" i="3"/>
  <c r="C235" i="3"/>
  <c r="C10" i="3"/>
  <c r="C11" i="3"/>
  <c r="C12" i="3"/>
  <c r="C436" i="3"/>
  <c r="C437" i="3"/>
  <c r="C312" i="3"/>
  <c r="C313" i="3"/>
  <c r="C314" i="3"/>
  <c r="C315" i="3"/>
  <c r="C236" i="3"/>
  <c r="C316" i="3"/>
  <c r="C317" i="3"/>
  <c r="C318" i="3"/>
  <c r="C228" i="3"/>
  <c r="C229" i="3"/>
  <c r="C230" i="3"/>
  <c r="C319" i="3"/>
  <c r="C190" i="3"/>
  <c r="C191" i="3"/>
  <c r="C352" i="3"/>
  <c r="C353" i="3"/>
  <c r="C354" i="3"/>
  <c r="C216" i="3"/>
  <c r="C205" i="3"/>
  <c r="C206" i="3"/>
  <c r="C207" i="3"/>
  <c r="C217" i="3"/>
  <c r="C253" i="3"/>
  <c r="C254" i="3"/>
  <c r="C420" i="3"/>
  <c r="C421" i="3"/>
  <c r="C422" i="3"/>
  <c r="C108" i="3"/>
  <c r="C218" i="3"/>
  <c r="C109" i="3"/>
  <c r="C192" i="3"/>
  <c r="C219" i="3"/>
  <c r="C110" i="3"/>
  <c r="C111" i="3"/>
  <c r="C399" i="3"/>
  <c r="C112" i="3"/>
  <c r="C113" i="3"/>
  <c r="C114" i="3"/>
  <c r="C115" i="3"/>
  <c r="C344" i="3"/>
  <c r="C345" i="3"/>
  <c r="C346" i="3"/>
  <c r="C340" i="3"/>
  <c r="C341" i="3"/>
  <c r="C342" i="3"/>
  <c r="C267" i="3"/>
  <c r="C268" i="3"/>
  <c r="C240" i="3"/>
  <c r="C241" i="3"/>
  <c r="C242" i="3"/>
  <c r="C237" i="3"/>
  <c r="C193" i="3"/>
  <c r="C18" i="3"/>
  <c r="C19" i="3"/>
  <c r="C20" i="3"/>
  <c r="C243" i="3"/>
  <c r="C244" i="3"/>
  <c r="C255" i="3"/>
  <c r="C256" i="3"/>
  <c r="C257" i="3"/>
  <c r="C177" i="3"/>
  <c r="C178" i="3"/>
  <c r="C179" i="3"/>
  <c r="C359" i="3"/>
  <c r="C360" i="3"/>
  <c r="C361" i="3"/>
  <c r="C320" i="3"/>
  <c r="C321" i="3"/>
  <c r="C322" i="3"/>
  <c r="C21" i="3"/>
  <c r="C269" i="3"/>
  <c r="C270" i="3"/>
  <c r="C22" i="3"/>
  <c r="C271" i="3"/>
  <c r="C23" i="3"/>
  <c r="C24" i="3"/>
  <c r="C180" i="3"/>
  <c r="C25" i="3"/>
  <c r="C209" i="3"/>
  <c r="C210" i="3"/>
  <c r="C26" i="3"/>
  <c r="C258" i="3"/>
  <c r="C259" i="3"/>
  <c r="C27" i="3"/>
  <c r="C272" i="3"/>
  <c r="C273" i="3"/>
  <c r="C260" i="3"/>
  <c r="C323" i="3"/>
  <c r="C194" i="3"/>
  <c r="C362" i="3"/>
  <c r="C355" i="3"/>
  <c r="C356" i="3"/>
  <c r="C357" i="3"/>
  <c r="C261" i="3"/>
  <c r="C363" i="3"/>
  <c r="C364" i="3"/>
  <c r="C365" i="3"/>
  <c r="C211" i="3"/>
  <c r="C324" i="3"/>
  <c r="C325" i="3"/>
  <c r="C326" i="3"/>
  <c r="C274" i="3"/>
  <c r="C220" i="3"/>
  <c r="C400" i="3"/>
  <c r="C116" i="3"/>
  <c r="C13" i="3"/>
  <c r="C117" i="3"/>
  <c r="C118" i="3"/>
  <c r="C119" i="3"/>
  <c r="C120" i="3"/>
  <c r="C221" i="3"/>
  <c r="C121" i="3"/>
  <c r="C122" i="3"/>
  <c r="C275" i="3"/>
  <c r="C123" i="3"/>
  <c r="C208" i="3"/>
  <c r="C262" i="3"/>
  <c r="C276" i="3"/>
  <c r="C195" i="3"/>
  <c r="C366" i="3"/>
  <c r="C231" i="3"/>
  <c r="C327" i="3"/>
  <c r="C328" i="3"/>
  <c r="C343" i="3"/>
  <c r="C329" i="3"/>
  <c r="C238" i="3"/>
  <c r="C245" i="3"/>
  <c r="C330" i="3"/>
  <c r="C358" i="3"/>
  <c r="C367" i="3"/>
  <c r="C124" i="3"/>
  <c r="C401" i="3"/>
  <c r="C125" i="3"/>
  <c r="C347" i="3"/>
  <c r="C348" i="3"/>
  <c r="C349" i="3"/>
  <c r="C246" i="3"/>
  <c r="C350" i="3"/>
  <c r="C181" i="3"/>
  <c r="C126" i="3"/>
  <c r="C127" i="3"/>
  <c r="C128" i="3"/>
  <c r="C28" i="3"/>
  <c r="C331" i="3"/>
  <c r="C277" i="3"/>
  <c r="C263" i="3"/>
  <c r="C368" i="3"/>
  <c r="C129" i="3"/>
  <c r="C247" i="3"/>
  <c r="C130" i="3"/>
  <c r="C196" i="3"/>
  <c r="C248" i="3"/>
  <c r="C402" i="3"/>
  <c r="C369" i="3"/>
  <c r="C29" i="3"/>
  <c r="C264" i="3"/>
  <c r="C332" i="3"/>
  <c r="C333" i="3"/>
  <c r="C14" i="3"/>
  <c r="C197" i="3"/>
  <c r="C131" i="3"/>
  <c r="C132" i="3"/>
  <c r="C133" i="3"/>
  <c r="C134" i="3"/>
  <c r="C135" i="3"/>
  <c r="C222" i="3"/>
  <c r="C136" i="3"/>
  <c r="C137" i="3"/>
  <c r="C138" i="3"/>
  <c r="C139" i="3"/>
  <c r="C223" i="3"/>
  <c r="C278" i="3"/>
  <c r="C334" i="3"/>
  <c r="C176" i="3"/>
  <c r="C232" i="3"/>
  <c r="C198" i="3"/>
  <c r="C239" i="3"/>
  <c r="C249" i="3"/>
  <c r="C250" i="3"/>
  <c r="C251" i="3"/>
  <c r="C212" i="3"/>
  <c r="C182" i="3"/>
  <c r="C30" i="3"/>
  <c r="C265" i="3"/>
  <c r="C140" i="3"/>
  <c r="C335" i="3"/>
  <c r="C370" i="3"/>
  <c r="C403" i="3"/>
  <c r="C141" i="3"/>
  <c r="C142" i="3"/>
  <c r="C143" i="3"/>
  <c r="C144" i="3"/>
  <c r="C145" i="3"/>
  <c r="C146" i="3"/>
  <c r="C199" i="3"/>
  <c r="C224" i="3"/>
  <c r="C147" i="3"/>
  <c r="C15" i="3"/>
  <c r="C148" i="3"/>
  <c r="C149" i="3"/>
  <c r="C150" i="3"/>
  <c r="C225" i="3"/>
  <c r="C200" i="3"/>
  <c r="C266" i="3"/>
  <c r="C279" i="3"/>
  <c r="C233" i="3"/>
  <c r="C351" i="3"/>
  <c r="C423" i="3"/>
  <c r="C373" i="3"/>
  <c r="C374" i="3"/>
  <c r="C424" i="3"/>
  <c r="C428" i="3"/>
  <c r="C429" i="3"/>
  <c r="C183" i="3"/>
  <c r="C412" i="3"/>
  <c r="C413" i="3"/>
  <c r="C425" i="3"/>
  <c r="C426" i="3"/>
  <c r="C31" i="3"/>
  <c r="C32" i="3"/>
  <c r="C33" i="3"/>
  <c r="C375" i="3"/>
  <c r="C414" i="3"/>
  <c r="C376" i="3"/>
  <c r="C415" i="3"/>
  <c r="C416" i="3"/>
  <c r="C404" i="3"/>
  <c r="C151" i="3"/>
  <c r="C152" i="3"/>
  <c r="C153" i="3"/>
  <c r="C154" i="3"/>
  <c r="C155" i="3"/>
  <c r="C156" i="3"/>
  <c r="C226" i="3"/>
  <c r="C157" i="3"/>
  <c r="C16" i="3"/>
  <c r="C158" i="3"/>
  <c r="C201" i="3"/>
  <c r="C159" i="3"/>
  <c r="C160" i="3"/>
  <c r="C161" i="3"/>
  <c r="C202" i="3"/>
  <c r="C371" i="3"/>
  <c r="C377" i="3"/>
  <c r="C378" i="3"/>
  <c r="C430" i="3"/>
  <c r="C406" i="3"/>
  <c r="C407" i="3"/>
  <c r="C408" i="3"/>
  <c r="C431" i="3"/>
  <c r="C432" i="3"/>
  <c r="C409" i="3"/>
  <c r="C336" i="3"/>
  <c r="C337" i="3"/>
  <c r="C410" i="3"/>
  <c r="C427" i="3"/>
  <c r="C433" i="3"/>
  <c r="C417" i="3"/>
  <c r="C418" i="3"/>
  <c r="C419" i="3"/>
  <c r="C338" i="3"/>
  <c r="C227" i="3"/>
  <c r="C252" i="3"/>
  <c r="C184" i="3"/>
  <c r="C34" i="3"/>
  <c r="C379" i="3"/>
  <c r="C380" i="3"/>
  <c r="C162" i="3"/>
  <c r="C163" i="3"/>
  <c r="C164" i="3"/>
  <c r="C165" i="3"/>
  <c r="C339" i="3"/>
  <c r="C405" i="3"/>
  <c r="C166" i="3"/>
  <c r="C167" i="3"/>
  <c r="C168" i="3"/>
  <c r="C17" i="3"/>
  <c r="C169" i="3"/>
  <c r="C203" i="3"/>
  <c r="C170" i="3"/>
  <c r="C171" i="3"/>
  <c r="C172" i="3"/>
  <c r="C204" i="3"/>
  <c r="C411" i="3"/>
  <c r="C372" i="3"/>
  <c r="C434" i="3"/>
  <c r="C435" i="3"/>
  <c r="A3" i="2"/>
  <c r="G1" i="3"/>
  <c r="I382" i="7" l="1"/>
  <c r="H382" i="7" s="1"/>
  <c r="I361" i="7"/>
  <c r="H361" i="7" s="1"/>
  <c r="I334" i="7"/>
  <c r="H334" i="7" s="1"/>
  <c r="I378" i="7"/>
  <c r="H378" i="7" s="1"/>
  <c r="I386" i="7"/>
  <c r="H386" i="7" s="1"/>
  <c r="I383" i="7"/>
  <c r="H383" i="7" s="1"/>
  <c r="I323" i="7"/>
  <c r="H323" i="7" s="1"/>
  <c r="I308" i="7"/>
  <c r="H308" i="7" s="1"/>
  <c r="I316" i="7"/>
  <c r="H316" i="7" s="1"/>
  <c r="I349" i="7"/>
  <c r="H349" i="7" s="1"/>
  <c r="I305" i="7"/>
  <c r="H305" i="7" s="1"/>
  <c r="I357" i="7"/>
  <c r="H357" i="7" s="1"/>
  <c r="I360" i="7"/>
  <c r="H360" i="7" s="1"/>
  <c r="I345" i="7"/>
  <c r="H345" i="7" s="1"/>
  <c r="I359" i="7"/>
  <c r="H359" i="7" s="1"/>
  <c r="I307" i="7"/>
  <c r="H307" i="7" s="1"/>
  <c r="I371" i="7"/>
  <c r="H371" i="7" s="1"/>
  <c r="I142" i="7"/>
  <c r="H142" i="7" s="1"/>
  <c r="I299" i="7"/>
  <c r="H299" i="7" s="1"/>
  <c r="I208" i="7"/>
  <c r="H208" i="7" s="1"/>
  <c r="I207" i="7"/>
  <c r="H207" i="7" s="1"/>
  <c r="I134" i="7"/>
  <c r="H134" i="7" s="1"/>
  <c r="I122" i="7"/>
  <c r="H122" i="7" s="1"/>
  <c r="I97" i="7"/>
  <c r="H97" i="7" s="1"/>
  <c r="I93" i="7"/>
  <c r="H93" i="7" s="1"/>
  <c r="I61" i="7"/>
  <c r="H61" i="7" s="1"/>
  <c r="I377" i="7"/>
  <c r="H377" i="7" s="1"/>
  <c r="I130" i="7"/>
  <c r="H130" i="7" s="1"/>
  <c r="I75" i="7"/>
  <c r="H75" i="7" s="1"/>
  <c r="I385" i="7"/>
  <c r="H385" i="7" s="1"/>
  <c r="I348" i="7"/>
  <c r="H348" i="7" s="1"/>
  <c r="I344" i="7"/>
  <c r="H344" i="7" s="1"/>
  <c r="I117" i="7"/>
  <c r="H117" i="7" s="1"/>
  <c r="I105" i="7"/>
  <c r="H105" i="7" s="1"/>
  <c r="I53" i="7"/>
  <c r="H53" i="7" s="1"/>
  <c r="I375" i="7"/>
  <c r="H375" i="7" s="1"/>
  <c r="I370" i="7"/>
  <c r="H370" i="7" s="1"/>
  <c r="I356" i="7"/>
  <c r="H356" i="7" s="1"/>
  <c r="I85" i="7"/>
  <c r="H85" i="7" s="1"/>
  <c r="I69" i="7"/>
  <c r="H69" i="7" s="1"/>
  <c r="I366" i="7"/>
  <c r="H366" i="7" s="1"/>
  <c r="I362" i="7"/>
  <c r="H362" i="7" s="1"/>
  <c r="I274" i="7"/>
  <c r="H274" i="7" s="1"/>
  <c r="I242" i="7"/>
  <c r="H242" i="7" s="1"/>
  <c r="I279" i="7"/>
  <c r="H279" i="7" s="1"/>
  <c r="I259" i="7"/>
  <c r="H259" i="7" s="1"/>
  <c r="I255" i="7"/>
  <c r="H255" i="7" s="1"/>
  <c r="I248" i="7"/>
  <c r="H248" i="7" s="1"/>
  <c r="I384" i="7"/>
  <c r="H384" i="7" s="1"/>
  <c r="I374" i="7"/>
  <c r="H374" i="7" s="1"/>
  <c r="I329" i="7"/>
  <c r="H329" i="7" s="1"/>
  <c r="I313" i="7"/>
  <c r="H313" i="7" s="1"/>
  <c r="I376" i="7"/>
  <c r="H376" i="7" s="1"/>
  <c r="I292" i="7"/>
  <c r="H292" i="7" s="1"/>
  <c r="I288" i="7"/>
  <c r="H288" i="7" s="1"/>
  <c r="I270" i="7"/>
  <c r="H270" i="7" s="1"/>
  <c r="I264" i="7"/>
  <c r="H264" i="7" s="1"/>
  <c r="I256" i="7"/>
  <c r="H256" i="7" s="1"/>
  <c r="I252" i="7"/>
  <c r="H252" i="7" s="1"/>
  <c r="I358" i="7"/>
  <c r="H358" i="7" s="1"/>
  <c r="I346" i="7"/>
  <c r="H346" i="7" s="1"/>
  <c r="I340" i="7"/>
  <c r="H340" i="7" s="1"/>
  <c r="I315" i="7"/>
  <c r="H315" i="7" s="1"/>
  <c r="I369" i="7"/>
  <c r="H369" i="7" s="1"/>
  <c r="I368" i="7"/>
  <c r="H368" i="7" s="1"/>
  <c r="I337" i="7"/>
  <c r="H337" i="7" s="1"/>
  <c r="I328" i="7"/>
  <c r="H328" i="7" s="1"/>
  <c r="I326" i="7"/>
  <c r="H326" i="7" s="1"/>
  <c r="I321" i="7"/>
  <c r="H321" i="7" s="1"/>
  <c r="I297" i="7"/>
  <c r="H297" i="7" s="1"/>
  <c r="I294" i="7"/>
  <c r="H294" i="7" s="1"/>
  <c r="I272" i="7"/>
  <c r="H272" i="7" s="1"/>
  <c r="I258" i="7"/>
  <c r="H258" i="7" s="1"/>
  <c r="I254" i="7"/>
  <c r="H254" i="7" s="1"/>
  <c r="I214" i="7"/>
  <c r="H214" i="7" s="1"/>
  <c r="I373" i="7"/>
  <c r="H373" i="7" s="1"/>
  <c r="I367" i="7"/>
  <c r="H367" i="7" s="1"/>
  <c r="I336" i="7"/>
  <c r="H336" i="7" s="1"/>
  <c r="I325" i="7"/>
  <c r="H325" i="7" s="1"/>
  <c r="I296" i="7"/>
  <c r="H296" i="7" s="1"/>
  <c r="I271" i="7"/>
  <c r="H271" i="7" s="1"/>
  <c r="I278" i="7"/>
  <c r="H278" i="7" s="1"/>
  <c r="I273" i="7"/>
  <c r="H273" i="7" s="1"/>
  <c r="I205" i="7"/>
  <c r="H205" i="7" s="1"/>
  <c r="I347" i="7"/>
  <c r="H347" i="7" s="1"/>
  <c r="I335" i="7"/>
  <c r="H335" i="7" s="1"/>
  <c r="I324" i="7"/>
  <c r="H324" i="7" s="1"/>
  <c r="I322" i="7"/>
  <c r="H322" i="7" s="1"/>
  <c r="I314" i="7"/>
  <c r="H314" i="7" s="1"/>
  <c r="I306" i="7"/>
  <c r="H306" i="7" s="1"/>
  <c r="I295" i="7"/>
  <c r="H295" i="7" s="1"/>
  <c r="I293" i="7"/>
  <c r="H293" i="7" s="1"/>
  <c r="I289" i="7"/>
  <c r="H289" i="7" s="1"/>
  <c r="I209" i="7"/>
  <c r="H209" i="7" s="1"/>
  <c r="I51" i="7"/>
  <c r="H51" i="7" s="1"/>
  <c r="I43" i="7"/>
  <c r="H43" i="7" s="1"/>
  <c r="I241" i="7"/>
  <c r="H241" i="7" s="1"/>
  <c r="I232" i="7"/>
  <c r="H232" i="7" s="1"/>
  <c r="I224" i="7"/>
  <c r="H224" i="7" s="1"/>
  <c r="I219" i="7"/>
  <c r="H219" i="7" s="1"/>
  <c r="I247" i="7"/>
  <c r="H247" i="7" s="1"/>
  <c r="I277" i="7"/>
  <c r="H277" i="7" s="1"/>
  <c r="D417" i="3"/>
  <c r="B423" i="2" s="1"/>
  <c r="D223" i="3"/>
  <c r="B335" i="2" s="1"/>
  <c r="D303" i="3"/>
  <c r="B57" i="2" s="1"/>
  <c r="D51" i="3"/>
  <c r="B49" i="2" s="1"/>
  <c r="D45" i="3"/>
  <c r="B41" i="2" s="1"/>
  <c r="D39" i="3"/>
  <c r="B33" i="2" s="1"/>
  <c r="D297" i="3"/>
  <c r="B25" i="2" s="1"/>
  <c r="D293" i="3"/>
  <c r="B17" i="2" s="1"/>
  <c r="I240" i="7"/>
  <c r="H240" i="7" s="1"/>
  <c r="I231" i="7"/>
  <c r="H231" i="7" s="1"/>
  <c r="I223" i="7"/>
  <c r="H223" i="7" s="1"/>
  <c r="I218" i="7"/>
  <c r="H218" i="7" s="1"/>
  <c r="I238" i="7"/>
  <c r="H238" i="7" s="1"/>
  <c r="I229" i="7"/>
  <c r="H229" i="7" s="1"/>
  <c r="I221" i="7"/>
  <c r="H221" i="7" s="1"/>
  <c r="I216" i="7"/>
  <c r="H216" i="7" s="1"/>
  <c r="I25" i="7"/>
  <c r="H25" i="7" s="1"/>
  <c r="I257" i="7"/>
  <c r="H257" i="7" s="1"/>
  <c r="I253" i="7"/>
  <c r="H253" i="7" s="1"/>
  <c r="I239" i="7"/>
  <c r="H239" i="7" s="1"/>
  <c r="I230" i="7"/>
  <c r="H230" i="7" s="1"/>
  <c r="I222" i="7"/>
  <c r="H222" i="7" s="1"/>
  <c r="I217" i="7"/>
  <c r="H217" i="7" s="1"/>
  <c r="I213" i="7"/>
  <c r="H213" i="7" s="1"/>
  <c r="I215" i="7"/>
  <c r="H215" i="7" s="1"/>
  <c r="I137" i="7"/>
  <c r="H137" i="7" s="1"/>
  <c r="I125" i="7"/>
  <c r="H125" i="7" s="1"/>
  <c r="I120" i="7"/>
  <c r="H120" i="7" s="1"/>
  <c r="I112" i="7"/>
  <c r="H112" i="7" s="1"/>
  <c r="I199" i="7"/>
  <c r="H199" i="7" s="1"/>
  <c r="I186" i="7"/>
  <c r="H186" i="7" s="1"/>
  <c r="I179" i="7"/>
  <c r="H179" i="7" s="1"/>
  <c r="I166" i="7"/>
  <c r="H166" i="7" s="1"/>
  <c r="D57" i="3"/>
  <c r="B56" i="2" s="1"/>
  <c r="D384" i="3"/>
  <c r="B24" i="2" s="1"/>
  <c r="D49" i="3"/>
  <c r="B47" i="2" s="1"/>
  <c r="D383" i="3"/>
  <c r="B23" i="2" s="1"/>
  <c r="D283" i="3"/>
  <c r="B7" i="2" s="1"/>
  <c r="I268" i="7"/>
  <c r="H268" i="7" s="1"/>
  <c r="D198" i="3"/>
  <c r="B340" i="2" s="1"/>
  <c r="D44" i="3"/>
  <c r="B40" i="2" s="1"/>
  <c r="D284" i="3"/>
  <c r="B8" i="2" s="1"/>
  <c r="D56" i="3"/>
  <c r="B55" i="2" s="1"/>
  <c r="D300" i="3"/>
  <c r="B31" i="2" s="1"/>
  <c r="D291" i="3"/>
  <c r="B15" i="2" s="1"/>
  <c r="I354" i="7"/>
  <c r="H354" i="7" s="1"/>
  <c r="I333" i="7"/>
  <c r="H333" i="7" s="1"/>
  <c r="I287" i="7"/>
  <c r="H287" i="7" s="1"/>
  <c r="I159" i="7"/>
  <c r="H159" i="7" s="1"/>
  <c r="I154" i="7"/>
  <c r="H154" i="7" s="1"/>
  <c r="I146" i="7"/>
  <c r="H146" i="7" s="1"/>
  <c r="I14" i="7"/>
  <c r="H14" i="7" s="1"/>
  <c r="I6" i="7"/>
  <c r="H6" i="7" s="1"/>
  <c r="D60" i="3"/>
  <c r="B66" i="2" s="1"/>
  <c r="D38" i="3"/>
  <c r="B32" i="2" s="1"/>
  <c r="D50" i="3"/>
  <c r="B48" i="2" s="1"/>
  <c r="D292" i="3"/>
  <c r="B16" i="2" s="1"/>
  <c r="D43" i="3"/>
  <c r="B39" i="2" s="1"/>
  <c r="I381" i="7"/>
  <c r="H381" i="7" s="1"/>
  <c r="I198" i="7"/>
  <c r="H198" i="7" s="1"/>
  <c r="I193" i="7"/>
  <c r="H193" i="7" s="1"/>
  <c r="I185" i="7"/>
  <c r="H185" i="7" s="1"/>
  <c r="I178" i="7"/>
  <c r="H178" i="7" s="1"/>
  <c r="I165" i="7"/>
  <c r="H165" i="7" s="1"/>
  <c r="I158" i="7"/>
  <c r="H158" i="7" s="1"/>
  <c r="I153" i="7"/>
  <c r="H153" i="7" s="1"/>
  <c r="I196" i="7"/>
  <c r="H196" i="7" s="1"/>
  <c r="I191" i="7"/>
  <c r="H191" i="7" s="1"/>
  <c r="I144" i="7"/>
  <c r="H144" i="7" s="1"/>
  <c r="I136" i="7"/>
  <c r="H136" i="7" s="1"/>
  <c r="I145" i="7"/>
  <c r="H145" i="7" s="1"/>
  <c r="I183" i="7"/>
  <c r="H183" i="7" s="1"/>
  <c r="I176" i="7"/>
  <c r="H176" i="7" s="1"/>
  <c r="I171" i="7"/>
  <c r="H171" i="7" s="1"/>
  <c r="I164" i="7"/>
  <c r="H164" i="7" s="1"/>
  <c r="I156" i="7"/>
  <c r="H156" i="7" s="1"/>
  <c r="I151" i="7"/>
  <c r="H151" i="7" s="1"/>
  <c r="I132" i="7"/>
  <c r="H132" i="7" s="1"/>
  <c r="I124" i="7"/>
  <c r="H124" i="7" s="1"/>
  <c r="I119" i="7"/>
  <c r="H119" i="7" s="1"/>
  <c r="I111" i="7"/>
  <c r="H111" i="7" s="1"/>
  <c r="I107" i="7"/>
  <c r="H107" i="7" s="1"/>
  <c r="I99" i="7"/>
  <c r="H99" i="7" s="1"/>
  <c r="I206" i="7"/>
  <c r="H206" i="7" s="1"/>
  <c r="I197" i="7"/>
  <c r="H197" i="7" s="1"/>
  <c r="I372" i="7"/>
  <c r="H372" i="7" s="1"/>
  <c r="I291" i="7"/>
  <c r="H291" i="7" s="1"/>
  <c r="I263" i="7"/>
  <c r="H263" i="7" s="1"/>
  <c r="I355" i="7"/>
  <c r="H355" i="7" s="1"/>
  <c r="I320" i="7"/>
  <c r="H320" i="7" s="1"/>
  <c r="I283" i="7"/>
  <c r="H283" i="7" s="1"/>
  <c r="I269" i="7"/>
  <c r="H269" i="7" s="1"/>
  <c r="I365" i="7"/>
  <c r="H365" i="7" s="1"/>
  <c r="I312" i="7"/>
  <c r="H312" i="7" s="1"/>
  <c r="I237" i="7"/>
  <c r="H237" i="7" s="1"/>
  <c r="I304" i="7"/>
  <c r="H304" i="7" s="1"/>
  <c r="I246" i="7"/>
  <c r="H246" i="7" s="1"/>
  <c r="I228" i="7"/>
  <c r="H228" i="7" s="1"/>
  <c r="I108" i="7"/>
  <c r="H108" i="7" s="1"/>
  <c r="I100" i="7"/>
  <c r="H100" i="7" s="1"/>
  <c r="I95" i="7"/>
  <c r="H95" i="7" s="1"/>
  <c r="I87" i="7"/>
  <c r="H87" i="7" s="1"/>
  <c r="I192" i="7"/>
  <c r="H192" i="7" s="1"/>
  <c r="I184" i="7"/>
  <c r="H184" i="7" s="1"/>
  <c r="I177" i="7"/>
  <c r="H177" i="7" s="1"/>
  <c r="I157" i="7"/>
  <c r="H157" i="7" s="1"/>
  <c r="I204" i="7"/>
  <c r="H204" i="7" s="1"/>
  <c r="I96" i="7"/>
  <c r="H96" i="7" s="1"/>
  <c r="I88" i="7"/>
  <c r="H88" i="7" s="1"/>
  <c r="I319" i="7"/>
  <c r="H319" i="7" s="1"/>
  <c r="I302" i="7"/>
  <c r="H302" i="7" s="1"/>
  <c r="I282" i="7"/>
  <c r="H282" i="7" s="1"/>
  <c r="I262" i="7"/>
  <c r="H262" i="7" s="1"/>
  <c r="I353" i="7"/>
  <c r="H353" i="7" s="1"/>
  <c r="I343" i="7"/>
  <c r="H343" i="7" s="1"/>
  <c r="I311" i="7"/>
  <c r="H311" i="7" s="1"/>
  <c r="I290" i="7"/>
  <c r="H290" i="7" s="1"/>
  <c r="I286" i="7"/>
  <c r="H286" i="7" s="1"/>
  <c r="I267" i="7"/>
  <c r="H267" i="7" s="1"/>
  <c r="I251" i="7"/>
  <c r="H251" i="7" s="1"/>
  <c r="I245" i="7"/>
  <c r="H245" i="7" s="1"/>
  <c r="I212" i="7"/>
  <c r="H212" i="7" s="1"/>
  <c r="I332" i="7"/>
  <c r="H332" i="7" s="1"/>
  <c r="I303" i="7"/>
  <c r="H303" i="7" s="1"/>
  <c r="I380" i="7"/>
  <c r="H380" i="7" s="1"/>
  <c r="I77" i="7"/>
  <c r="H77" i="7" s="1"/>
  <c r="I152" i="7"/>
  <c r="H152" i="7" s="1"/>
  <c r="I203" i="7"/>
  <c r="H203" i="7" s="1"/>
  <c r="I195" i="7"/>
  <c r="H195" i="7" s="1"/>
  <c r="I190" i="7"/>
  <c r="H190" i="7" s="1"/>
  <c r="I182" i="7"/>
  <c r="H182" i="7" s="1"/>
  <c r="I175" i="7"/>
  <c r="H175" i="7" s="1"/>
  <c r="I170" i="7"/>
  <c r="H170" i="7" s="1"/>
  <c r="I227" i="7"/>
  <c r="H227" i="7" s="1"/>
  <c r="I236" i="7"/>
  <c r="H236" i="7" s="1"/>
  <c r="I78" i="7"/>
  <c r="H78" i="7" s="1"/>
  <c r="I70" i="7"/>
  <c r="H70" i="7" s="1"/>
  <c r="I143" i="7"/>
  <c r="H143" i="7" s="1"/>
  <c r="I135" i="7"/>
  <c r="H135" i="7" s="1"/>
  <c r="I163" i="7"/>
  <c r="H163" i="7" s="1"/>
  <c r="I155" i="7"/>
  <c r="H155" i="7" s="1"/>
  <c r="I150" i="7"/>
  <c r="H150" i="7" s="1"/>
  <c r="I202" i="7"/>
  <c r="H202" i="7" s="1"/>
  <c r="I189" i="7"/>
  <c r="H189" i="7" s="1"/>
  <c r="I162" i="7"/>
  <c r="H162" i="7" s="1"/>
  <c r="I194" i="7"/>
  <c r="H194" i="7" s="1"/>
  <c r="I169" i="7"/>
  <c r="H169" i="7" s="1"/>
  <c r="I149" i="7"/>
  <c r="H149" i="7" s="1"/>
  <c r="I181" i="7"/>
  <c r="H181" i="7" s="1"/>
  <c r="I174" i="7"/>
  <c r="H174" i="7" s="1"/>
  <c r="I64" i="7"/>
  <c r="H64" i="7" s="1"/>
  <c r="I56" i="7"/>
  <c r="H56" i="7" s="1"/>
  <c r="I131" i="7"/>
  <c r="H131" i="7" s="1"/>
  <c r="I123" i="7"/>
  <c r="H123" i="7" s="1"/>
  <c r="I118" i="7"/>
  <c r="H118" i="7" s="1"/>
  <c r="I110" i="7"/>
  <c r="H110" i="7" s="1"/>
  <c r="I106" i="7"/>
  <c r="H106" i="7" s="1"/>
  <c r="I98" i="7"/>
  <c r="H98" i="7" s="1"/>
  <c r="I141" i="7"/>
  <c r="H141" i="7" s="1"/>
  <c r="I133" i="7"/>
  <c r="H133" i="7" s="1"/>
  <c r="I140" i="7"/>
  <c r="H140" i="7" s="1"/>
  <c r="I128" i="7"/>
  <c r="H128" i="7" s="1"/>
  <c r="I379" i="7"/>
  <c r="H379" i="7" s="1"/>
  <c r="I46" i="7"/>
  <c r="H46" i="7" s="1"/>
  <c r="I38" i="7"/>
  <c r="H38" i="7" s="1"/>
  <c r="I129" i="7"/>
  <c r="H129" i="7" s="1"/>
  <c r="I116" i="7"/>
  <c r="H116" i="7" s="1"/>
  <c r="I104" i="7"/>
  <c r="H104" i="7" s="1"/>
  <c r="I115" i="7"/>
  <c r="H115" i="7" s="1"/>
  <c r="I364" i="7"/>
  <c r="H364" i="7" s="1"/>
  <c r="I352" i="7"/>
  <c r="H352" i="7" s="1"/>
  <c r="I342" i="7"/>
  <c r="H342" i="7" s="1"/>
  <c r="I339" i="7"/>
  <c r="H339" i="7" s="1"/>
  <c r="I331" i="7"/>
  <c r="H331" i="7" s="1"/>
  <c r="I318" i="7"/>
  <c r="H318" i="7" s="1"/>
  <c r="I310" i="7"/>
  <c r="H310" i="7" s="1"/>
  <c r="I363" i="7"/>
  <c r="H363" i="7" s="1"/>
  <c r="I351" i="7"/>
  <c r="H351" i="7" s="1"/>
  <c r="I350" i="7"/>
  <c r="H350" i="7" s="1"/>
  <c r="I341" i="7"/>
  <c r="H341" i="7" s="1"/>
  <c r="I338" i="7"/>
  <c r="H338" i="7" s="1"/>
  <c r="I330" i="7"/>
  <c r="H330" i="7" s="1"/>
  <c r="I327" i="7"/>
  <c r="H327" i="7" s="1"/>
  <c r="I301" i="7"/>
  <c r="H301" i="7" s="1"/>
  <c r="I285" i="7"/>
  <c r="H285" i="7" s="1"/>
  <c r="I281" i="7"/>
  <c r="H281" i="7" s="1"/>
  <c r="I276" i="7"/>
  <c r="H276" i="7" s="1"/>
  <c r="I266" i="7"/>
  <c r="H266" i="7" s="1"/>
  <c r="I261" i="7"/>
  <c r="H261" i="7" s="1"/>
  <c r="I244" i="7"/>
  <c r="H244" i="7" s="1"/>
  <c r="I317" i="7"/>
  <c r="H317" i="7" s="1"/>
  <c r="I309" i="7"/>
  <c r="H309" i="7" s="1"/>
  <c r="I300" i="7"/>
  <c r="H300" i="7" s="1"/>
  <c r="I298" i="7"/>
  <c r="H298" i="7" s="1"/>
  <c r="I284" i="7"/>
  <c r="H284" i="7" s="1"/>
  <c r="I280" i="7"/>
  <c r="H280" i="7" s="1"/>
  <c r="I265" i="7"/>
  <c r="H265" i="7" s="1"/>
  <c r="I260" i="7"/>
  <c r="H260" i="7" s="1"/>
  <c r="I275" i="7"/>
  <c r="H275" i="7" s="1"/>
  <c r="I63" i="7"/>
  <c r="H63" i="7" s="1"/>
  <c r="I55" i="7"/>
  <c r="H55" i="7" s="1"/>
  <c r="I45" i="7"/>
  <c r="H45" i="7" s="1"/>
  <c r="I37" i="7"/>
  <c r="H37" i="7" s="1"/>
  <c r="I94" i="7"/>
  <c r="H94" i="7" s="1"/>
  <c r="I86" i="7"/>
  <c r="H86" i="7" s="1"/>
  <c r="I76" i="7"/>
  <c r="H76" i="7" s="1"/>
  <c r="I92" i="7"/>
  <c r="H92" i="7" s="1"/>
  <c r="I84" i="7"/>
  <c r="H84" i="7" s="1"/>
  <c r="I103" i="7"/>
  <c r="H103" i="7" s="1"/>
  <c r="I91" i="7"/>
  <c r="H91" i="7" s="1"/>
  <c r="I83" i="7"/>
  <c r="H83" i="7" s="1"/>
  <c r="I250" i="7"/>
  <c r="H250" i="7" s="1"/>
  <c r="I235" i="7"/>
  <c r="H235" i="7" s="1"/>
  <c r="I226" i="7"/>
  <c r="H226" i="7" s="1"/>
  <c r="I249" i="7"/>
  <c r="H249" i="7" s="1"/>
  <c r="I243" i="7"/>
  <c r="H243" i="7" s="1"/>
  <c r="I234" i="7"/>
  <c r="H234" i="7" s="1"/>
  <c r="I233" i="7"/>
  <c r="H233" i="7" s="1"/>
  <c r="I225" i="7"/>
  <c r="H225" i="7" s="1"/>
  <c r="I220" i="7"/>
  <c r="H220" i="7" s="1"/>
  <c r="I62" i="7"/>
  <c r="H62" i="7" s="1"/>
  <c r="I54" i="7"/>
  <c r="H54" i="7" s="1"/>
  <c r="I82" i="7"/>
  <c r="H82" i="7" s="1"/>
  <c r="I74" i="7"/>
  <c r="H74" i="7" s="1"/>
  <c r="I81" i="7"/>
  <c r="H81" i="7" s="1"/>
  <c r="I73" i="7"/>
  <c r="H73" i="7" s="1"/>
  <c r="I211" i="7"/>
  <c r="H211" i="7" s="1"/>
  <c r="I68" i="7"/>
  <c r="H68" i="7" s="1"/>
  <c r="I60" i="7"/>
  <c r="H60" i="7" s="1"/>
  <c r="I67" i="7"/>
  <c r="H67" i="7" s="1"/>
  <c r="I59" i="7"/>
  <c r="H59" i="7" s="1"/>
  <c r="I201" i="7"/>
  <c r="H201" i="7" s="1"/>
  <c r="I210" i="7"/>
  <c r="H210" i="7" s="1"/>
  <c r="I188" i="7"/>
  <c r="H188" i="7" s="1"/>
  <c r="I173" i="7"/>
  <c r="H173" i="7" s="1"/>
  <c r="I168" i="7"/>
  <c r="H168" i="7" s="1"/>
  <c r="I161" i="7"/>
  <c r="H161" i="7" s="1"/>
  <c r="I200" i="7"/>
  <c r="H200" i="7" s="1"/>
  <c r="I187" i="7"/>
  <c r="H187" i="7" s="1"/>
  <c r="I27" i="7"/>
  <c r="H27" i="7" s="1"/>
  <c r="I52" i="7"/>
  <c r="H52" i="7" s="1"/>
  <c r="I44" i="7"/>
  <c r="H44" i="7" s="1"/>
  <c r="I36" i="7"/>
  <c r="H36" i="7" s="1"/>
  <c r="I50" i="7"/>
  <c r="H50" i="7" s="1"/>
  <c r="I42" i="7"/>
  <c r="H42" i="7" s="1"/>
  <c r="I49" i="7"/>
  <c r="H49" i="7" s="1"/>
  <c r="I41" i="7"/>
  <c r="H41" i="7" s="1"/>
  <c r="I148" i="7"/>
  <c r="H148" i="7" s="1"/>
  <c r="I180" i="7"/>
  <c r="H180" i="7" s="1"/>
  <c r="I172" i="7"/>
  <c r="H172" i="7" s="1"/>
  <c r="I167" i="7"/>
  <c r="H167" i="7" s="1"/>
  <c r="I160" i="7"/>
  <c r="H160" i="7" s="1"/>
  <c r="I147" i="7"/>
  <c r="H147" i="7" s="1"/>
  <c r="I28" i="7"/>
  <c r="H28" i="7" s="1"/>
  <c r="I16" i="7"/>
  <c r="H16" i="7" s="1"/>
  <c r="I8" i="7"/>
  <c r="H8" i="7" s="1"/>
  <c r="I33" i="7"/>
  <c r="H33" i="7" s="1"/>
  <c r="I35" i="7"/>
  <c r="H35" i="7" s="1"/>
  <c r="I32" i="7"/>
  <c r="H32" i="7" s="1"/>
  <c r="I17" i="7"/>
  <c r="H17" i="7" s="1"/>
  <c r="I9" i="7"/>
  <c r="H9" i="7" s="1"/>
  <c r="I26" i="7"/>
  <c r="H26" i="7" s="1"/>
  <c r="I15" i="7"/>
  <c r="H15" i="7" s="1"/>
  <c r="I7" i="7"/>
  <c r="H7" i="7" s="1"/>
  <c r="I24" i="7"/>
  <c r="H24" i="7" s="1"/>
  <c r="I13" i="7"/>
  <c r="H13" i="7" s="1"/>
  <c r="I5" i="7"/>
  <c r="H5" i="7" s="1"/>
  <c r="I23" i="7"/>
  <c r="H23" i="7" s="1"/>
  <c r="I20" i="7"/>
  <c r="H20" i="7" s="1"/>
  <c r="I12" i="7"/>
  <c r="H12" i="7" s="1"/>
  <c r="I139" i="7"/>
  <c r="H139" i="7" s="1"/>
  <c r="I127" i="7"/>
  <c r="H127" i="7" s="1"/>
  <c r="I114" i="7"/>
  <c r="H114" i="7" s="1"/>
  <c r="I102" i="7"/>
  <c r="H102" i="7" s="1"/>
  <c r="I138" i="7"/>
  <c r="H138" i="7" s="1"/>
  <c r="I126" i="7"/>
  <c r="H126" i="7" s="1"/>
  <c r="I121" i="7"/>
  <c r="H121" i="7" s="1"/>
  <c r="I113" i="7"/>
  <c r="H113" i="7" s="1"/>
  <c r="I90" i="7"/>
  <c r="H90" i="7" s="1"/>
  <c r="I109" i="7"/>
  <c r="H109" i="7" s="1"/>
  <c r="I101" i="7"/>
  <c r="H101" i="7" s="1"/>
  <c r="I89" i="7"/>
  <c r="H89" i="7" s="1"/>
  <c r="I79" i="7"/>
  <c r="H79" i="7" s="1"/>
  <c r="I71" i="7"/>
  <c r="H71" i="7" s="1"/>
  <c r="I80" i="7"/>
  <c r="H80" i="7" s="1"/>
  <c r="I72" i="7"/>
  <c r="H72" i="7" s="1"/>
  <c r="I66" i="7"/>
  <c r="H66" i="7" s="1"/>
  <c r="I58" i="7"/>
  <c r="H58" i="7" s="1"/>
  <c r="I48" i="7"/>
  <c r="H48" i="7" s="1"/>
  <c r="I40" i="7"/>
  <c r="H40" i="7" s="1"/>
  <c r="I65" i="7"/>
  <c r="H65" i="7" s="1"/>
  <c r="I57" i="7"/>
  <c r="H57" i="7" s="1"/>
  <c r="I47" i="7"/>
  <c r="H47" i="7" s="1"/>
  <c r="I39" i="7"/>
  <c r="H39" i="7" s="1"/>
  <c r="I34" i="7"/>
  <c r="H34" i="7" s="1"/>
  <c r="I31" i="7"/>
  <c r="H31" i="7" s="1"/>
  <c r="I22" i="7"/>
  <c r="H22" i="7" s="1"/>
  <c r="I30" i="7"/>
  <c r="H30" i="7" s="1"/>
  <c r="I29" i="7"/>
  <c r="H29" i="7" s="1"/>
  <c r="I21" i="7"/>
  <c r="H21" i="7" s="1"/>
  <c r="I18" i="7"/>
  <c r="H18" i="7" s="1"/>
  <c r="I10" i="7"/>
  <c r="H10" i="7" s="1"/>
  <c r="I19" i="7"/>
  <c r="H19" i="7" s="1"/>
  <c r="I11" i="7"/>
  <c r="H11" i="7" s="1"/>
  <c r="D136" i="3"/>
  <c r="B331" i="2" s="1"/>
  <c r="D196" i="3"/>
  <c r="B315" i="2" s="1"/>
  <c r="D348" i="3"/>
  <c r="B299" i="2" s="1"/>
  <c r="D195" i="3"/>
  <c r="B283" i="2" s="1"/>
  <c r="D220" i="3"/>
  <c r="B267" i="2" s="1"/>
  <c r="D260" i="3"/>
  <c r="B251" i="2" s="1"/>
  <c r="D269" i="3"/>
  <c r="B235" i="2" s="1"/>
  <c r="D268" i="3"/>
  <c r="B211" i="2" s="1"/>
  <c r="D59" i="3"/>
  <c r="B65" i="2" s="1"/>
  <c r="D290" i="3"/>
  <c r="B14" i="2" s="1"/>
  <c r="D232" i="3"/>
  <c r="B339" i="2" s="1"/>
  <c r="D14" i="3"/>
  <c r="B323" i="2" s="1"/>
  <c r="D28" i="3"/>
  <c r="B307" i="2" s="1"/>
  <c r="D245" i="3"/>
  <c r="B291" i="2" s="1"/>
  <c r="D221" i="3"/>
  <c r="B275" i="2" s="1"/>
  <c r="D363" i="3"/>
  <c r="B259" i="2" s="1"/>
  <c r="D209" i="3"/>
  <c r="B243" i="2" s="1"/>
  <c r="D179" i="3"/>
  <c r="B227" i="2" s="1"/>
  <c r="D20" i="3"/>
  <c r="B219" i="2" s="1"/>
  <c r="D115" i="3"/>
  <c r="B203" i="2" s="1"/>
  <c r="D192" i="3"/>
  <c r="B195" i="2" s="1"/>
  <c r="D253" i="3"/>
  <c r="B187" i="2" s="1"/>
  <c r="D436" i="3"/>
  <c r="B163" i="2" s="1"/>
  <c r="D107" i="3"/>
  <c r="B155" i="2" s="1"/>
  <c r="D58" i="3"/>
  <c r="B64" i="2" s="1"/>
  <c r="D279" i="3"/>
  <c r="B370" i="2" s="1"/>
  <c r="D147" i="3"/>
  <c r="B362" i="2" s="1"/>
  <c r="D141" i="3"/>
  <c r="B354" i="2" s="1"/>
  <c r="D212" i="3"/>
  <c r="B346" i="2" s="1"/>
  <c r="D176" i="3"/>
  <c r="B338" i="2" s="1"/>
  <c r="D222" i="3"/>
  <c r="B330" i="2" s="1"/>
  <c r="D333" i="3"/>
  <c r="B322" i="2" s="1"/>
  <c r="D130" i="3"/>
  <c r="B314" i="2" s="1"/>
  <c r="D128" i="3"/>
  <c r="B306" i="2" s="1"/>
  <c r="D347" i="3"/>
  <c r="B298" i="2" s="1"/>
  <c r="D238" i="3"/>
  <c r="B290" i="2" s="1"/>
  <c r="D276" i="3"/>
  <c r="B282" i="2" s="1"/>
  <c r="D120" i="3"/>
  <c r="B274" i="2" s="1"/>
  <c r="D274" i="3"/>
  <c r="B266" i="2" s="1"/>
  <c r="D261" i="3"/>
  <c r="B258" i="2" s="1"/>
  <c r="D273" i="3"/>
  <c r="B250" i="2" s="1"/>
  <c r="D25" i="3"/>
  <c r="B242" i="2" s="1"/>
  <c r="D21" i="3"/>
  <c r="B234" i="2" s="1"/>
  <c r="D178" i="3"/>
  <c r="B226" i="2" s="1"/>
  <c r="D19" i="3"/>
  <c r="B218" i="2" s="1"/>
  <c r="D267" i="3"/>
  <c r="B210" i="2" s="1"/>
  <c r="D114" i="3"/>
  <c r="B202" i="2" s="1"/>
  <c r="D109" i="3"/>
  <c r="B194" i="2" s="1"/>
  <c r="D217" i="3"/>
  <c r="B186" i="2" s="1"/>
  <c r="D191" i="3"/>
  <c r="B178" i="2" s="1"/>
  <c r="D316" i="3"/>
  <c r="B170" i="2" s="1"/>
  <c r="D12" i="3"/>
  <c r="B162" i="2" s="1"/>
  <c r="D397" i="3"/>
  <c r="B154" i="2" s="1"/>
  <c r="D424" i="3"/>
  <c r="B376" i="2" s="1"/>
  <c r="D199" i="3"/>
  <c r="B360" i="2" s="1"/>
  <c r="D304" i="3"/>
  <c r="B58" i="2" s="1"/>
  <c r="D52" i="3"/>
  <c r="B50" i="2" s="1"/>
  <c r="D302" i="3"/>
  <c r="B42" i="2" s="1"/>
  <c r="D40" i="3"/>
  <c r="B34" i="2" s="1"/>
  <c r="D35" i="3"/>
  <c r="B26" i="2" s="1"/>
  <c r="D294" i="3"/>
  <c r="B18" i="2" s="1"/>
  <c r="D286" i="3"/>
  <c r="B10" i="2" s="1"/>
  <c r="D65" i="3"/>
  <c r="B72" i="2" s="1"/>
  <c r="D169" i="3"/>
  <c r="B443" i="2" s="1"/>
  <c r="D227" i="3"/>
  <c r="B427" i="2" s="1"/>
  <c r="D337" i="3"/>
  <c r="B419" i="2" s="1"/>
  <c r="D430" i="3"/>
  <c r="B411" i="2" s="1"/>
  <c r="D201" i="3"/>
  <c r="B403" i="2" s="1"/>
  <c r="D375" i="3"/>
  <c r="B387" i="2" s="1"/>
  <c r="D183" i="3"/>
  <c r="B379" i="2" s="1"/>
  <c r="D233" i="3"/>
  <c r="B371" i="2" s="1"/>
  <c r="D15" i="3"/>
  <c r="B363" i="2" s="1"/>
  <c r="D142" i="3"/>
  <c r="B355" i="2" s="1"/>
  <c r="D182" i="3"/>
  <c r="B347" i="2" s="1"/>
  <c r="D434" i="3"/>
  <c r="B451" i="2" s="1"/>
  <c r="D164" i="3"/>
  <c r="B435" i="2" s="1"/>
  <c r="D64" i="3"/>
  <c r="B71" i="2" s="1"/>
  <c r="D411" i="3"/>
  <c r="B449" i="2" s="1"/>
  <c r="D168" i="3"/>
  <c r="B441" i="2" s="1"/>
  <c r="D162" i="3"/>
  <c r="B433" i="2" s="1"/>
  <c r="D419" i="3"/>
  <c r="B425" i="2" s="1"/>
  <c r="D409" i="3"/>
  <c r="B417" i="2" s="1"/>
  <c r="D377" i="3"/>
  <c r="B409" i="2" s="1"/>
  <c r="D16" i="3"/>
  <c r="B401" i="2" s="1"/>
  <c r="D151" i="3"/>
  <c r="B393" i="2" s="1"/>
  <c r="D32" i="3"/>
  <c r="B385" i="2" s="1"/>
  <c r="D428" i="3"/>
  <c r="B377" i="2" s="1"/>
  <c r="D266" i="3"/>
  <c r="B369" i="2" s="1"/>
  <c r="D224" i="3"/>
  <c r="B361" i="2" s="1"/>
  <c r="D403" i="3"/>
  <c r="B353" i="2" s="1"/>
  <c r="D180" i="3"/>
  <c r="B241" i="2" s="1"/>
  <c r="D322" i="3"/>
  <c r="B233" i="2" s="1"/>
  <c r="D177" i="3"/>
  <c r="B225" i="2" s="1"/>
  <c r="D18" i="3"/>
  <c r="B217" i="2" s="1"/>
  <c r="D342" i="3"/>
  <c r="B209" i="2" s="1"/>
  <c r="D113" i="3"/>
  <c r="B201" i="2" s="1"/>
  <c r="D218" i="3"/>
  <c r="B193" i="2" s="1"/>
  <c r="D207" i="3"/>
  <c r="B185" i="2" s="1"/>
  <c r="D190" i="3"/>
  <c r="B177" i="2" s="1"/>
  <c r="D236" i="3"/>
  <c r="B169" i="2" s="1"/>
  <c r="D11" i="3"/>
  <c r="B161" i="2" s="1"/>
  <c r="D106" i="3"/>
  <c r="B153" i="2" s="1"/>
  <c r="D386" i="3"/>
  <c r="B43" i="2" s="1"/>
  <c r="D301" i="3"/>
  <c r="B35" i="2" s="1"/>
  <c r="F379" i="7"/>
  <c r="E431" i="3" s="1"/>
  <c r="D334" i="3"/>
  <c r="B337" i="2" s="1"/>
  <c r="D135" i="3"/>
  <c r="B329" i="2" s="1"/>
  <c r="D332" i="3"/>
  <c r="B321" i="2" s="1"/>
  <c r="D247" i="3"/>
  <c r="B313" i="2" s="1"/>
  <c r="D127" i="3"/>
  <c r="B305" i="2" s="1"/>
  <c r="D125" i="3"/>
  <c r="B297" i="2" s="1"/>
  <c r="D329" i="3"/>
  <c r="B289" i="2" s="1"/>
  <c r="D262" i="3"/>
  <c r="B281" i="2" s="1"/>
  <c r="D119" i="3"/>
  <c r="B273" i="2" s="1"/>
  <c r="D326" i="3"/>
  <c r="B265" i="2" s="1"/>
  <c r="D272" i="3"/>
  <c r="B249" i="2" s="1"/>
  <c r="D372" i="3"/>
  <c r="B450" i="2" s="1"/>
  <c r="D17" i="3"/>
  <c r="B442" i="2" s="1"/>
  <c r="D163" i="3"/>
  <c r="B434" i="2" s="1"/>
  <c r="D338" i="3"/>
  <c r="B426" i="2" s="1"/>
  <c r="D336" i="3"/>
  <c r="B418" i="2" s="1"/>
  <c r="D378" i="3"/>
  <c r="B410" i="2" s="1"/>
  <c r="D158" i="3"/>
  <c r="B402" i="2" s="1"/>
  <c r="D152" i="3"/>
  <c r="B394" i="2" s="1"/>
  <c r="D33" i="3"/>
  <c r="B386" i="2" s="1"/>
  <c r="D429" i="3"/>
  <c r="B378" i="2" s="1"/>
  <c r="D96" i="3"/>
  <c r="B139" i="2" s="1"/>
  <c r="D90" i="3"/>
  <c r="B131" i="2" s="1"/>
  <c r="D84" i="3"/>
  <c r="B123" i="2" s="1"/>
  <c r="D81" i="3"/>
  <c r="B115" i="2" s="1"/>
  <c r="D80" i="3"/>
  <c r="B107" i="2" s="1"/>
  <c r="D6" i="3"/>
  <c r="B99" i="2" s="1"/>
  <c r="D307" i="3"/>
  <c r="B83" i="2" s="1"/>
  <c r="B75" i="2"/>
  <c r="D61" i="3"/>
  <c r="B67" i="2" s="1"/>
  <c r="D278" i="3"/>
  <c r="B336" i="2" s="1"/>
  <c r="D401" i="3"/>
  <c r="B296" i="2" s="1"/>
  <c r="D321" i="3"/>
  <c r="B232" i="2" s="1"/>
  <c r="D257" i="3"/>
  <c r="B224" i="2" s="1"/>
  <c r="D193" i="3"/>
  <c r="B216" i="2" s="1"/>
  <c r="D341" i="3"/>
  <c r="B208" i="2" s="1"/>
  <c r="D112" i="3"/>
  <c r="B200" i="2" s="1"/>
  <c r="D108" i="3"/>
  <c r="B192" i="2" s="1"/>
  <c r="D206" i="3"/>
  <c r="B184" i="2" s="1"/>
  <c r="D319" i="3"/>
  <c r="B176" i="2" s="1"/>
  <c r="D315" i="3"/>
  <c r="B168" i="2" s="1"/>
  <c r="D10" i="3"/>
  <c r="B160" i="2" s="1"/>
  <c r="D105" i="3"/>
  <c r="B152" i="2" s="1"/>
  <c r="D160" i="3"/>
  <c r="B405" i="2" s="1"/>
  <c r="D423" i="3"/>
  <c r="B373" i="2" s="1"/>
  <c r="D144" i="3"/>
  <c r="B357" i="2" s="1"/>
  <c r="D137" i="3"/>
  <c r="B332" i="2" s="1"/>
  <c r="D349" i="3"/>
  <c r="B300" i="2" s="1"/>
  <c r="D210" i="3"/>
  <c r="B244" i="2" s="1"/>
  <c r="D344" i="3"/>
  <c r="B204" i="2" s="1"/>
  <c r="D219" i="3"/>
  <c r="B196" i="2" s="1"/>
  <c r="D437" i="3"/>
  <c r="B164" i="2" s="1"/>
  <c r="D296" i="3"/>
  <c r="B20" i="2" s="1"/>
  <c r="D288" i="3"/>
  <c r="B12" i="2" s="1"/>
  <c r="D53" i="3"/>
  <c r="B51" i="2" s="1"/>
  <c r="D312" i="3"/>
  <c r="B165" i="2" s="1"/>
  <c r="D70" i="3"/>
  <c r="B91" i="2" s="1"/>
  <c r="D317" i="3"/>
  <c r="B171" i="2" s="1"/>
  <c r="D287" i="3"/>
  <c r="B11" i="2" s="1"/>
  <c r="D285" i="3"/>
  <c r="B9" i="2" s="1"/>
  <c r="D27" i="3"/>
  <c r="B248" i="2" s="1"/>
  <c r="D153" i="3"/>
  <c r="B395" i="2" s="1"/>
  <c r="D352" i="3"/>
  <c r="B179" i="2" s="1"/>
  <c r="D295" i="3"/>
  <c r="B19" i="2" s="1"/>
  <c r="D305" i="3"/>
  <c r="B59" i="2" s="1"/>
  <c r="D36" i="3"/>
  <c r="B27" i="2" s="1"/>
  <c r="D357" i="3"/>
  <c r="B257" i="2" s="1"/>
  <c r="D405" i="3"/>
  <c r="B438" i="2" s="1"/>
  <c r="D433" i="3"/>
  <c r="B422" i="2" s="1"/>
  <c r="D161" i="3"/>
  <c r="B406" i="2" s="1"/>
  <c r="D415" i="3"/>
  <c r="B390" i="2" s="1"/>
  <c r="D373" i="3"/>
  <c r="B374" i="2" s="1"/>
  <c r="D145" i="3"/>
  <c r="B358" i="2" s="1"/>
  <c r="D249" i="3"/>
  <c r="B342" i="2" s="1"/>
  <c r="D132" i="3"/>
  <c r="B326" i="2" s="1"/>
  <c r="D350" i="3"/>
  <c r="B302" i="2" s="1"/>
  <c r="D367" i="3"/>
  <c r="B294" i="2" s="1"/>
  <c r="D275" i="3"/>
  <c r="B278" i="2" s="1"/>
  <c r="D211" i="3"/>
  <c r="B262" i="2" s="1"/>
  <c r="D258" i="3"/>
  <c r="B246" i="2" s="1"/>
  <c r="D361" i="3"/>
  <c r="B230" i="2" s="1"/>
  <c r="D242" i="3"/>
  <c r="B214" i="2" s="1"/>
  <c r="D421" i="3"/>
  <c r="B190" i="2" s="1"/>
  <c r="D229" i="3"/>
  <c r="B174" i="2" s="1"/>
  <c r="D313" i="3"/>
  <c r="B166" i="2" s="1"/>
  <c r="D103" i="3"/>
  <c r="B150" i="2" s="1"/>
  <c r="D92" i="3"/>
  <c r="B134" i="2" s="1"/>
  <c r="D187" i="3"/>
  <c r="B118" i="2" s="1"/>
  <c r="D308" i="3"/>
  <c r="B102" i="2" s="1"/>
  <c r="D68" i="3"/>
  <c r="B86" i="2" s="1"/>
  <c r="D63" i="3"/>
  <c r="B70" i="2" s="1"/>
  <c r="D55" i="3"/>
  <c r="B54" i="2" s="1"/>
  <c r="D42" i="3"/>
  <c r="B38" i="2" s="1"/>
  <c r="D382" i="3"/>
  <c r="B22" i="2" s="1"/>
  <c r="D282" i="3"/>
  <c r="B6" i="2" s="1"/>
  <c r="D170" i="3"/>
  <c r="B445" i="2" s="1"/>
  <c r="D339" i="3"/>
  <c r="B437" i="2" s="1"/>
  <c r="D184" i="3"/>
  <c r="B429" i="2" s="1"/>
  <c r="D427" i="3"/>
  <c r="B421" i="2" s="1"/>
  <c r="D407" i="3"/>
  <c r="B413" i="2" s="1"/>
  <c r="D155" i="3"/>
  <c r="B397" i="2" s="1"/>
  <c r="D376" i="3"/>
  <c r="B389" i="2" s="1"/>
  <c r="D413" i="3"/>
  <c r="B381" i="2" s="1"/>
  <c r="D149" i="3"/>
  <c r="B365" i="2" s="1"/>
  <c r="D265" i="3"/>
  <c r="B349" i="2" s="1"/>
  <c r="D239" i="3"/>
  <c r="B341" i="2" s="1"/>
  <c r="D138" i="3"/>
  <c r="B333" i="2" s="1"/>
  <c r="D131" i="3"/>
  <c r="B325" i="2" s="1"/>
  <c r="D402" i="3"/>
  <c r="B317" i="2" s="1"/>
  <c r="D277" i="3"/>
  <c r="B309" i="2" s="1"/>
  <c r="D246" i="3"/>
  <c r="B301" i="2" s="1"/>
  <c r="D358" i="3"/>
  <c r="B293" i="2" s="1"/>
  <c r="D231" i="3"/>
  <c r="B285" i="2" s="1"/>
  <c r="D122" i="3"/>
  <c r="B277" i="2" s="1"/>
  <c r="D116" i="3"/>
  <c r="B269" i="2" s="1"/>
  <c r="D365" i="3"/>
  <c r="B261" i="2" s="1"/>
  <c r="D194" i="3"/>
  <c r="B253" i="2" s="1"/>
  <c r="D26" i="3"/>
  <c r="B245" i="2" s="1"/>
  <c r="D22" i="3"/>
  <c r="B237" i="2" s="1"/>
  <c r="D360" i="3"/>
  <c r="B229" i="2" s="1"/>
  <c r="D244" i="3"/>
  <c r="B221" i="2" s="1"/>
  <c r="D241" i="3"/>
  <c r="B213" i="2" s="1"/>
  <c r="D345" i="3"/>
  <c r="B205" i="2" s="1"/>
  <c r="F386" i="7"/>
  <c r="F378" i="7"/>
  <c r="F385" i="7"/>
  <c r="F384" i="7"/>
  <c r="F383" i="7"/>
  <c r="D171" i="3"/>
  <c r="B446" i="2" s="1"/>
  <c r="D34" i="3"/>
  <c r="B430" i="2" s="1"/>
  <c r="D408" i="3"/>
  <c r="B414" i="2" s="1"/>
  <c r="D156" i="3"/>
  <c r="B398" i="2" s="1"/>
  <c r="D425" i="3"/>
  <c r="B382" i="2" s="1"/>
  <c r="D150" i="3"/>
  <c r="B366" i="2" s="1"/>
  <c r="D140" i="3"/>
  <c r="B350" i="2" s="1"/>
  <c r="D139" i="3"/>
  <c r="B334" i="2" s="1"/>
  <c r="D369" i="3"/>
  <c r="B318" i="2" s="1"/>
  <c r="D263" i="3"/>
  <c r="B310" i="2" s="1"/>
  <c r="D327" i="3"/>
  <c r="B286" i="2" s="1"/>
  <c r="D13" i="3"/>
  <c r="B270" i="2" s="1"/>
  <c r="D362" i="3"/>
  <c r="B254" i="2" s="1"/>
  <c r="D271" i="3"/>
  <c r="B238" i="2" s="1"/>
  <c r="D255" i="3"/>
  <c r="B222" i="2" s="1"/>
  <c r="D346" i="3"/>
  <c r="B206" i="2" s="1"/>
  <c r="D111" i="3"/>
  <c r="B198" i="2" s="1"/>
  <c r="D216" i="3"/>
  <c r="B182" i="2" s="1"/>
  <c r="D234" i="3"/>
  <c r="B158" i="2" s="1"/>
  <c r="D99" i="3"/>
  <c r="B142" i="2" s="1"/>
  <c r="D393" i="3"/>
  <c r="B126" i="2" s="1"/>
  <c r="D8" i="3"/>
  <c r="B110" i="2" s="1"/>
  <c r="D73" i="3"/>
  <c r="B94" i="2" s="1"/>
  <c r="B78" i="2"/>
  <c r="B62" i="2"/>
  <c r="D48" i="3"/>
  <c r="B46" i="2" s="1"/>
  <c r="D299" i="3"/>
  <c r="B30" i="2" s="1"/>
  <c r="F382" i="7"/>
  <c r="F376" i="7"/>
  <c r="D110" i="3"/>
  <c r="B197" i="2" s="1"/>
  <c r="D420" i="3"/>
  <c r="B189" i="2" s="1"/>
  <c r="D354" i="3"/>
  <c r="B181" i="2" s="1"/>
  <c r="D228" i="3"/>
  <c r="B173" i="2" s="1"/>
  <c r="D398" i="3"/>
  <c r="B157" i="2" s="1"/>
  <c r="D396" i="3"/>
  <c r="B149" i="2" s="1"/>
  <c r="D98" i="3"/>
  <c r="B141" i="2" s="1"/>
  <c r="D91" i="3"/>
  <c r="B133" i="2" s="1"/>
  <c r="D86" i="3"/>
  <c r="B125" i="2" s="1"/>
  <c r="D83" i="3"/>
  <c r="B117" i="2" s="1"/>
  <c r="D186" i="3"/>
  <c r="B109" i="2" s="1"/>
  <c r="D75" i="3"/>
  <c r="B101" i="2" s="1"/>
  <c r="D72" i="3"/>
  <c r="B93" i="2" s="1"/>
  <c r="D67" i="3"/>
  <c r="B85" i="2" s="1"/>
  <c r="B77" i="2"/>
  <c r="D62" i="3"/>
  <c r="B69" i="2" s="1"/>
  <c r="B61" i="2"/>
  <c r="D387" i="3"/>
  <c r="B53" i="2" s="1"/>
  <c r="D47" i="3"/>
  <c r="B45" i="2" s="1"/>
  <c r="D41" i="3"/>
  <c r="B37" i="2" s="1"/>
  <c r="D298" i="3"/>
  <c r="B29" i="2" s="1"/>
  <c r="D381" i="3"/>
  <c r="B21" i="2" s="1"/>
  <c r="D289" i="3"/>
  <c r="B13" i="2" s="1"/>
  <c r="D281" i="3"/>
  <c r="B5" i="2" s="1"/>
  <c r="D166" i="3"/>
  <c r="B439" i="2" s="1"/>
  <c r="D374" i="3"/>
  <c r="B375" i="2" s="1"/>
  <c r="D250" i="3"/>
  <c r="B343" i="2" s="1"/>
  <c r="D133" i="3"/>
  <c r="B327" i="2" s="1"/>
  <c r="D205" i="3"/>
  <c r="B183" i="2" s="1"/>
  <c r="D435" i="3"/>
  <c r="B452" i="2" s="1"/>
  <c r="D203" i="3"/>
  <c r="B444" i="2" s="1"/>
  <c r="D165" i="3"/>
  <c r="B436" i="2" s="1"/>
  <c r="D252" i="3"/>
  <c r="B428" i="2" s="1"/>
  <c r="D410" i="3"/>
  <c r="B420" i="2" s="1"/>
  <c r="D406" i="3"/>
  <c r="B412" i="2" s="1"/>
  <c r="D159" i="3"/>
  <c r="B404" i="2" s="1"/>
  <c r="D154" i="3"/>
  <c r="B396" i="2" s="1"/>
  <c r="D414" i="3"/>
  <c r="B388" i="2" s="1"/>
  <c r="D412" i="3"/>
  <c r="B380" i="2" s="1"/>
  <c r="D351" i="3"/>
  <c r="B372" i="2" s="1"/>
  <c r="D148" i="3"/>
  <c r="B364" i="2" s="1"/>
  <c r="D143" i="3"/>
  <c r="B356" i="2" s="1"/>
  <c r="D30" i="3"/>
  <c r="B348" i="2" s="1"/>
  <c r="D197" i="3"/>
  <c r="B324" i="2" s="1"/>
  <c r="D248" i="3"/>
  <c r="B316" i="2" s="1"/>
  <c r="D331" i="3"/>
  <c r="B308" i="2" s="1"/>
  <c r="D330" i="3"/>
  <c r="B292" i="2" s="1"/>
  <c r="D366" i="3"/>
  <c r="B284" i="2" s="1"/>
  <c r="D121" i="3"/>
  <c r="B276" i="2" s="1"/>
  <c r="D400" i="3"/>
  <c r="B268" i="2" s="1"/>
  <c r="D364" i="3"/>
  <c r="B260" i="2" s="1"/>
  <c r="D323" i="3"/>
  <c r="B252" i="2" s="1"/>
  <c r="D270" i="3"/>
  <c r="B236" i="2" s="1"/>
  <c r="D359" i="3"/>
  <c r="B228" i="2" s="1"/>
  <c r="D243" i="3"/>
  <c r="B220" i="2" s="1"/>
  <c r="D240" i="3"/>
  <c r="B212" i="2" s="1"/>
  <c r="D254" i="3"/>
  <c r="B188" i="2" s="1"/>
  <c r="D353" i="3"/>
  <c r="B180" i="2" s="1"/>
  <c r="D318" i="3"/>
  <c r="B172" i="2" s="1"/>
  <c r="D9" i="3"/>
  <c r="B156" i="2" s="1"/>
  <c r="D102" i="3"/>
  <c r="B148" i="2" s="1"/>
  <c r="D97" i="3"/>
  <c r="B140" i="2" s="1"/>
  <c r="D394" i="3"/>
  <c r="B132" i="2" s="1"/>
  <c r="D85" i="3"/>
  <c r="B124" i="2" s="1"/>
  <c r="D82" i="3"/>
  <c r="B116" i="2" s="1"/>
  <c r="D185" i="3"/>
  <c r="B108" i="2" s="1"/>
  <c r="D7" i="3"/>
  <c r="B100" i="2" s="1"/>
  <c r="D71" i="3"/>
  <c r="B92" i="2" s="1"/>
  <c r="D66" i="3"/>
  <c r="B84" i="2" s="1"/>
  <c r="B76" i="2"/>
  <c r="D388" i="3"/>
  <c r="B68" i="2" s="1"/>
  <c r="D306" i="3"/>
  <c r="B60" i="2" s="1"/>
  <c r="D54" i="3"/>
  <c r="B52" i="2" s="1"/>
  <c r="D46" i="3"/>
  <c r="B44" i="2" s="1"/>
  <c r="D385" i="3"/>
  <c r="B36" i="2" s="1"/>
  <c r="D37" i="3"/>
  <c r="B28" i="2" s="1"/>
  <c r="D280" i="3"/>
  <c r="B4" i="2" s="1"/>
  <c r="D172" i="3"/>
  <c r="B447" i="2" s="1"/>
  <c r="D379" i="3"/>
  <c r="B431" i="2" s="1"/>
  <c r="D431" i="3"/>
  <c r="B415" i="2" s="1"/>
  <c r="D202" i="3"/>
  <c r="B407" i="2" s="1"/>
  <c r="D226" i="3"/>
  <c r="B399" i="2" s="1"/>
  <c r="D416" i="3"/>
  <c r="B391" i="2" s="1"/>
  <c r="D426" i="3"/>
  <c r="B383" i="2" s="1"/>
  <c r="D225" i="3"/>
  <c r="B367" i="2" s="1"/>
  <c r="D146" i="3"/>
  <c r="B359" i="2" s="1"/>
  <c r="D335" i="3"/>
  <c r="B351" i="2" s="1"/>
  <c r="D29" i="3"/>
  <c r="B319" i="2" s="1"/>
  <c r="D368" i="3"/>
  <c r="B311" i="2" s="1"/>
  <c r="D181" i="3"/>
  <c r="B303" i="2" s="1"/>
  <c r="D124" i="3"/>
  <c r="B295" i="2" s="1"/>
  <c r="D328" i="3"/>
  <c r="B287" i="2" s="1"/>
  <c r="D123" i="3"/>
  <c r="B279" i="2" s="1"/>
  <c r="D117" i="3"/>
  <c r="B271" i="2" s="1"/>
  <c r="D324" i="3"/>
  <c r="B263" i="2" s="1"/>
  <c r="D355" i="3"/>
  <c r="B255" i="2" s="1"/>
  <c r="D259" i="3"/>
  <c r="B247" i="2" s="1"/>
  <c r="D23" i="3"/>
  <c r="B239" i="2" s="1"/>
  <c r="D320" i="3"/>
  <c r="B231" i="2" s="1"/>
  <c r="D256" i="3"/>
  <c r="B223" i="2" s="1"/>
  <c r="D237" i="3"/>
  <c r="B215" i="2" s="1"/>
  <c r="D340" i="3"/>
  <c r="B207" i="2" s="1"/>
  <c r="D399" i="3"/>
  <c r="B199" i="2" s="1"/>
  <c r="D422" i="3"/>
  <c r="B191" i="2" s="1"/>
  <c r="D230" i="3"/>
  <c r="B175" i="2" s="1"/>
  <c r="D314" i="3"/>
  <c r="B167" i="2" s="1"/>
  <c r="D235" i="3"/>
  <c r="B159" i="2" s="1"/>
  <c r="D104" i="3"/>
  <c r="B151" i="2" s="1"/>
  <c r="D395" i="3"/>
  <c r="B135" i="2" s="1"/>
  <c r="D189" i="3"/>
  <c r="B127" i="2" s="1"/>
  <c r="D188" i="3"/>
  <c r="B119" i="2" s="1"/>
  <c r="D204" i="3"/>
  <c r="B448" i="2" s="1"/>
  <c r="D167" i="3"/>
  <c r="B440" i="2" s="1"/>
  <c r="D380" i="3"/>
  <c r="B432" i="2" s="1"/>
  <c r="D418" i="3"/>
  <c r="B424" i="2" s="1"/>
  <c r="D432" i="3"/>
  <c r="B416" i="2" s="1"/>
  <c r="D371" i="3"/>
  <c r="B408" i="2" s="1"/>
  <c r="D157" i="3"/>
  <c r="B400" i="2" s="1"/>
  <c r="D404" i="3"/>
  <c r="B392" i="2" s="1"/>
  <c r="D31" i="3"/>
  <c r="B384" i="2" s="1"/>
  <c r="D200" i="3"/>
  <c r="B368" i="2" s="1"/>
  <c r="D370" i="3"/>
  <c r="B352" i="2" s="1"/>
  <c r="D251" i="3"/>
  <c r="B344" i="2" s="1"/>
  <c r="D134" i="3"/>
  <c r="B328" i="2" s="1"/>
  <c r="D264" i="3"/>
  <c r="B320" i="2" s="1"/>
  <c r="D129" i="3"/>
  <c r="B312" i="2" s="1"/>
  <c r="D126" i="3"/>
  <c r="B304" i="2" s="1"/>
  <c r="D343" i="3"/>
  <c r="B288" i="2" s="1"/>
  <c r="D208" i="3"/>
  <c r="B280" i="2" s="1"/>
  <c r="D118" i="3"/>
  <c r="B272" i="2" s="1"/>
  <c r="D325" i="3"/>
  <c r="B264" i="2" s="1"/>
  <c r="D356" i="3"/>
  <c r="B256" i="2" s="1"/>
  <c r="D24" i="3"/>
  <c r="B240" i="2" s="1"/>
  <c r="F308" i="7"/>
  <c r="F316" i="7"/>
  <c r="F309" i="7"/>
  <c r="F317" i="7"/>
  <c r="F310" i="7"/>
  <c r="F318" i="7"/>
  <c r="F303" i="7"/>
  <c r="F311" i="7"/>
  <c r="F319" i="7"/>
  <c r="F304" i="7"/>
  <c r="F312" i="7"/>
  <c r="F320" i="7"/>
  <c r="F305" i="7"/>
  <c r="F313" i="7"/>
  <c r="F321" i="7"/>
  <c r="F306" i="7"/>
  <c r="F314" i="7"/>
  <c r="F322" i="7"/>
  <c r="F307" i="7"/>
  <c r="F315" i="7"/>
  <c r="F291" i="7"/>
  <c r="F290" i="7"/>
  <c r="F292" i="7"/>
  <c r="F293" i="7"/>
  <c r="F294" i="7"/>
  <c r="F213" i="7"/>
  <c r="F214" i="7"/>
  <c r="F215" i="7"/>
  <c r="F212" i="7"/>
  <c r="F197" i="7"/>
  <c r="F198" i="7"/>
  <c r="F199" i="7"/>
  <c r="F200" i="7"/>
  <c r="F201" i="7"/>
  <c r="F194" i="7"/>
  <c r="F202" i="7"/>
  <c r="F195" i="7"/>
  <c r="F203" i="7"/>
  <c r="F196" i="7"/>
  <c r="F184" i="7"/>
  <c r="F185" i="7"/>
  <c r="F186" i="7"/>
  <c r="F181" i="7"/>
  <c r="F182" i="7"/>
  <c r="F183" i="7"/>
  <c r="F229" i="7"/>
  <c r="F230" i="7"/>
  <c r="F231" i="7"/>
  <c r="F232" i="7"/>
  <c r="F233" i="7"/>
  <c r="F226" i="7"/>
  <c r="F227" i="7"/>
  <c r="F228" i="7"/>
  <c r="F35" i="7"/>
  <c r="F34" i="7"/>
  <c r="F90" i="7"/>
  <c r="F83" i="7"/>
  <c r="F91" i="7"/>
  <c r="F84" i="7"/>
  <c r="F92" i="7"/>
  <c r="F85" i="7"/>
  <c r="F93" i="7"/>
  <c r="F86" i="7"/>
  <c r="F94" i="7"/>
  <c r="F87" i="7"/>
  <c r="F95" i="7"/>
  <c r="F88" i="7"/>
  <c r="F96" i="7"/>
  <c r="F89" i="7"/>
  <c r="F377" i="7"/>
  <c r="F351" i="7"/>
  <c r="F352" i="7"/>
  <c r="F353" i="7"/>
  <c r="F354" i="7"/>
  <c r="F330" i="7"/>
  <c r="F331" i="7"/>
  <c r="F332" i="7"/>
  <c r="F333" i="7"/>
  <c r="F334" i="7"/>
  <c r="F335" i="7"/>
  <c r="F284" i="7"/>
  <c r="F286" i="7"/>
  <c r="F287" i="7"/>
  <c r="F285" i="7"/>
  <c r="F288" i="7"/>
  <c r="F289" i="7"/>
  <c r="F265" i="7"/>
  <c r="F266" i="7"/>
  <c r="F267" i="7"/>
  <c r="F268" i="7"/>
  <c r="F238" i="7"/>
  <c r="F239" i="7"/>
  <c r="F240" i="7"/>
  <c r="F241" i="7"/>
  <c r="F234" i="7"/>
  <c r="F235" i="7"/>
  <c r="F236" i="7"/>
  <c r="F237" i="7"/>
  <c r="F192" i="7"/>
  <c r="F193" i="7"/>
  <c r="F187" i="7"/>
  <c r="F188" i="7"/>
  <c r="F189" i="7"/>
  <c r="F190" i="7"/>
  <c r="F191" i="7"/>
  <c r="F177" i="7"/>
  <c r="F178" i="7"/>
  <c r="F179" i="7"/>
  <c r="F172" i="7"/>
  <c r="F180" i="7"/>
  <c r="F173" i="7"/>
  <c r="F174" i="7"/>
  <c r="F175" i="7"/>
  <c r="F176" i="7"/>
  <c r="F32" i="7"/>
  <c r="F33" i="7"/>
  <c r="F30" i="7"/>
  <c r="F31" i="7"/>
  <c r="F72" i="7"/>
  <c r="F80" i="7"/>
  <c r="F73" i="7"/>
  <c r="F81" i="7"/>
  <c r="F74" i="7"/>
  <c r="F82" i="7"/>
  <c r="F75" i="7"/>
  <c r="F76" i="7"/>
  <c r="F77" i="7"/>
  <c r="F70" i="7"/>
  <c r="F78" i="7"/>
  <c r="F71" i="7"/>
  <c r="F79" i="7"/>
  <c r="F21" i="7"/>
  <c r="F29" i="7"/>
  <c r="F22" i="7"/>
  <c r="F23" i="7"/>
  <c r="F24" i="7"/>
  <c r="F25" i="7"/>
  <c r="F26" i="7"/>
  <c r="F27" i="7"/>
  <c r="F28" i="7"/>
  <c r="F58" i="7"/>
  <c r="F61" i="7"/>
  <c r="F69" i="7"/>
  <c r="F53" i="7"/>
  <c r="F62" i="7"/>
  <c r="F54" i="7"/>
  <c r="F63" i="7"/>
  <c r="F55" i="7"/>
  <c r="F64" i="7"/>
  <c r="F56" i="7"/>
  <c r="F65" i="7"/>
  <c r="F57" i="7"/>
  <c r="F66" i="7"/>
  <c r="F59" i="7"/>
  <c r="F67" i="7"/>
  <c r="F60" i="7"/>
  <c r="F68" i="7"/>
  <c r="F340" i="7"/>
  <c r="F341" i="7"/>
  <c r="F342" i="7"/>
  <c r="F343" i="7"/>
  <c r="F299" i="7"/>
  <c r="F300" i="7"/>
  <c r="F301" i="7"/>
  <c r="F302" i="7"/>
  <c r="F264" i="7"/>
  <c r="F259" i="7"/>
  <c r="F260" i="7"/>
  <c r="F261" i="7"/>
  <c r="F262" i="7"/>
  <c r="F263" i="7"/>
  <c r="F242" i="7"/>
  <c r="F243" i="7"/>
  <c r="F244" i="7"/>
  <c r="F245" i="7"/>
  <c r="F246" i="7"/>
  <c r="F337" i="7"/>
  <c r="F338" i="7"/>
  <c r="F339" i="7"/>
  <c r="F336" i="7"/>
  <c r="F329" i="7"/>
  <c r="F328" i="7"/>
  <c r="F273" i="7"/>
  <c r="F274" i="7"/>
  <c r="F275" i="7"/>
  <c r="F276" i="7"/>
  <c r="F247" i="7"/>
  <c r="F248" i="7"/>
  <c r="F249" i="7"/>
  <c r="F250" i="7"/>
  <c r="F251" i="7"/>
  <c r="F208" i="7"/>
  <c r="F209" i="7"/>
  <c r="F210" i="7"/>
  <c r="F211" i="7"/>
  <c r="F165" i="7"/>
  <c r="F166" i="7"/>
  <c r="F167" i="7"/>
  <c r="F168" i="7"/>
  <c r="F169" i="7"/>
  <c r="F170" i="7"/>
  <c r="F171" i="7"/>
  <c r="F152" i="7"/>
  <c r="F145" i="7"/>
  <c r="F153" i="7"/>
  <c r="F146" i="7"/>
  <c r="F154" i="7"/>
  <c r="F147" i="7"/>
  <c r="F150" i="7"/>
  <c r="F151" i="7"/>
  <c r="F148" i="7"/>
  <c r="F149" i="7"/>
  <c r="F371" i="7"/>
  <c r="F369" i="7"/>
  <c r="F370" i="7"/>
  <c r="F362" i="7"/>
  <c r="F363" i="7"/>
  <c r="F364" i="7"/>
  <c r="F360" i="7"/>
  <c r="F361" i="7"/>
  <c r="F349" i="7"/>
  <c r="F350" i="7"/>
  <c r="F347" i="7"/>
  <c r="F348" i="7"/>
  <c r="F297" i="7"/>
  <c r="F298" i="7"/>
  <c r="F295" i="7"/>
  <c r="F296" i="7"/>
  <c r="F277" i="7"/>
  <c r="F278" i="7"/>
  <c r="F279" i="7"/>
  <c r="F280" i="7"/>
  <c r="F281" i="7"/>
  <c r="F282" i="7"/>
  <c r="F283" i="7"/>
  <c r="F110" i="7"/>
  <c r="F118" i="7"/>
  <c r="F111" i="7"/>
  <c r="F119" i="7"/>
  <c r="F112" i="7"/>
  <c r="F120" i="7"/>
  <c r="F113" i="7"/>
  <c r="F121" i="7"/>
  <c r="F114" i="7"/>
  <c r="F115" i="7"/>
  <c r="F116" i="7"/>
  <c r="F117" i="7"/>
  <c r="F381" i="7"/>
  <c r="F344" i="7"/>
  <c r="F345" i="7"/>
  <c r="F346" i="7"/>
  <c r="F326" i="7"/>
  <c r="F327" i="7"/>
  <c r="F323" i="7"/>
  <c r="F324" i="7"/>
  <c r="F325" i="7"/>
  <c r="F256" i="7"/>
  <c r="F257" i="7"/>
  <c r="F258" i="7"/>
  <c r="F252" i="7"/>
  <c r="F253" i="7"/>
  <c r="F254" i="7"/>
  <c r="F255" i="7"/>
  <c r="F221" i="7"/>
  <c r="F222" i="7"/>
  <c r="F223" i="7"/>
  <c r="F224" i="7"/>
  <c r="F225" i="7"/>
  <c r="F216" i="7"/>
  <c r="F217" i="7"/>
  <c r="F218" i="7"/>
  <c r="F219" i="7"/>
  <c r="F220" i="7"/>
  <c r="F123" i="7"/>
  <c r="F131" i="7"/>
  <c r="F124" i="7"/>
  <c r="F132" i="7"/>
  <c r="F125" i="7"/>
  <c r="F126" i="7"/>
  <c r="F127" i="7"/>
  <c r="F128" i="7"/>
  <c r="F129" i="7"/>
  <c r="F122" i="7"/>
  <c r="F130" i="7"/>
  <c r="F104" i="7"/>
  <c r="F97" i="7"/>
  <c r="F105" i="7"/>
  <c r="F98" i="7"/>
  <c r="F106" i="7"/>
  <c r="F99" i="7"/>
  <c r="F107" i="7"/>
  <c r="F100" i="7"/>
  <c r="F108" i="7"/>
  <c r="F101" i="7"/>
  <c r="F109" i="7"/>
  <c r="F102" i="7"/>
  <c r="F103" i="7"/>
  <c r="F380" i="7"/>
  <c r="F372" i="7"/>
  <c r="F373" i="7"/>
  <c r="F374" i="7"/>
  <c r="F375" i="7"/>
  <c r="F365" i="7"/>
  <c r="F366" i="7"/>
  <c r="F367" i="7"/>
  <c r="F368" i="7"/>
  <c r="F359" i="7"/>
  <c r="F355" i="7"/>
  <c r="F356" i="7"/>
  <c r="F357" i="7"/>
  <c r="F358" i="7"/>
  <c r="F270" i="7"/>
  <c r="F271" i="7"/>
  <c r="F272" i="7"/>
  <c r="F269" i="7"/>
  <c r="F207" i="7"/>
  <c r="F204" i="7"/>
  <c r="F205" i="7"/>
  <c r="F206" i="7"/>
  <c r="F157" i="7"/>
  <c r="F158" i="7"/>
  <c r="F159" i="7"/>
  <c r="F160" i="7"/>
  <c r="F161" i="7"/>
  <c r="F162" i="7"/>
  <c r="F155" i="7"/>
  <c r="F163" i="7"/>
  <c r="F156" i="7"/>
  <c r="F164" i="7"/>
  <c r="F135" i="7"/>
  <c r="F143" i="7"/>
  <c r="F136" i="7"/>
  <c r="F144" i="7"/>
  <c r="F137" i="7"/>
  <c r="F138" i="7"/>
  <c r="F139" i="7"/>
  <c r="F140" i="7"/>
  <c r="F133" i="7"/>
  <c r="F141" i="7"/>
  <c r="F134" i="7"/>
  <c r="F142" i="7"/>
  <c r="F9" i="7"/>
  <c r="F17" i="7"/>
  <c r="F10" i="7"/>
  <c r="F18" i="7"/>
  <c r="F11" i="7"/>
  <c r="F19" i="7"/>
  <c r="F12" i="7"/>
  <c r="F20" i="7"/>
  <c r="F5" i="7"/>
  <c r="F13" i="7"/>
  <c r="F6" i="7"/>
  <c r="F14" i="7"/>
  <c r="F7" i="7"/>
  <c r="F15" i="7"/>
  <c r="F8" i="7"/>
  <c r="F16" i="7"/>
  <c r="F43" i="7"/>
  <c r="F37" i="7"/>
  <c r="F45" i="7"/>
  <c r="F41" i="7"/>
  <c r="F51" i="7"/>
  <c r="F42" i="7"/>
  <c r="F52" i="7"/>
  <c r="F44" i="7"/>
  <c r="F46" i="7"/>
  <c r="F36" i="7"/>
  <c r="F47" i="7"/>
  <c r="F38" i="7"/>
  <c r="F48" i="7"/>
  <c r="F39" i="7"/>
  <c r="F49" i="7"/>
  <c r="F40" i="7"/>
  <c r="F50" i="7"/>
  <c r="C1" i="3"/>
  <c r="F332" i="3" l="1"/>
  <c r="F336" i="3"/>
  <c r="F328" i="3"/>
  <c r="F327" i="3"/>
  <c r="F329" i="3"/>
  <c r="F337" i="3"/>
  <c r="F338" i="3"/>
  <c r="F211" i="3"/>
  <c r="F212" i="3"/>
  <c r="F209" i="3"/>
  <c r="F210" i="3"/>
  <c r="F43" i="3"/>
  <c r="F51" i="3"/>
  <c r="F44" i="3"/>
  <c r="F45" i="3"/>
  <c r="F133" i="3"/>
  <c r="F94" i="3"/>
  <c r="F118" i="3"/>
  <c r="F64" i="3"/>
  <c r="F144" i="3"/>
  <c r="F105" i="3"/>
  <c r="F113" i="3"/>
  <c r="F154" i="3"/>
  <c r="F162" i="3"/>
  <c r="F434" i="3"/>
  <c r="F435" i="3"/>
  <c r="F356" i="3"/>
  <c r="F357" i="3"/>
  <c r="F358" i="3"/>
  <c r="F355" i="3"/>
  <c r="F83" i="3"/>
  <c r="F155" i="3"/>
  <c r="F52" i="3"/>
  <c r="F68" i="3"/>
  <c r="F53" i="3"/>
  <c r="F77" i="3"/>
  <c r="F85" i="3"/>
  <c r="F125" i="3"/>
  <c r="F54" i="3"/>
  <c r="F110" i="3"/>
  <c r="F134" i="3"/>
  <c r="F87" i="3"/>
  <c r="F95" i="3"/>
  <c r="F119" i="3"/>
  <c r="F168" i="3"/>
  <c r="F65" i="3"/>
  <c r="F145" i="3"/>
  <c r="F106" i="3"/>
  <c r="F260" i="3"/>
  <c r="F255" i="3"/>
  <c r="F256" i="3"/>
  <c r="F257" i="3"/>
  <c r="F266" i="3"/>
  <c r="F35" i="3"/>
  <c r="F75" i="3"/>
  <c r="F36" i="3"/>
  <c r="F84" i="3"/>
  <c r="F116" i="3"/>
  <c r="F37" i="3"/>
  <c r="F62" i="3"/>
  <c r="F142" i="3"/>
  <c r="F166" i="3"/>
  <c r="F103" i="3"/>
  <c r="F111" i="3"/>
  <c r="F151" i="3"/>
  <c r="F41" i="3"/>
  <c r="F49" i="3"/>
  <c r="F81" i="3"/>
  <c r="F129" i="3"/>
  <c r="F66" i="3"/>
  <c r="F59" i="3"/>
  <c r="F108" i="3"/>
  <c r="F156" i="3"/>
  <c r="F164" i="3"/>
  <c r="F69" i="3"/>
  <c r="F86" i="3"/>
  <c r="F56" i="3"/>
  <c r="F55" i="3"/>
  <c r="F135" i="3"/>
  <c r="F96" i="3"/>
  <c r="F120" i="3"/>
  <c r="F57" i="3"/>
  <c r="F146" i="3"/>
  <c r="F147" i="3"/>
  <c r="F163" i="3"/>
  <c r="F109" i="3"/>
  <c r="F157" i="3"/>
  <c r="F72" i="3"/>
  <c r="F73" i="3"/>
  <c r="F97" i="3"/>
  <c r="F121" i="3"/>
  <c r="F74" i="3"/>
  <c r="F130" i="3"/>
  <c r="F235" i="3"/>
  <c r="F236" i="3"/>
  <c r="F237" i="3"/>
  <c r="F238" i="3"/>
  <c r="F239" i="3"/>
  <c r="F234" i="3"/>
  <c r="F421" i="3"/>
  <c r="F420" i="3"/>
  <c r="F422" i="3"/>
  <c r="F424" i="3"/>
  <c r="F423" i="3"/>
  <c r="F320" i="3"/>
  <c r="F334" i="3"/>
  <c r="F321" i="3"/>
  <c r="F322" i="3"/>
  <c r="F330" i="3"/>
  <c r="F269" i="3"/>
  <c r="F277" i="3"/>
  <c r="F270" i="3"/>
  <c r="F278" i="3"/>
  <c r="F271" i="3"/>
  <c r="F279" i="3"/>
  <c r="F274" i="3"/>
  <c r="F353" i="3"/>
  <c r="F352" i="3"/>
  <c r="F354" i="3"/>
  <c r="F416" i="3"/>
  <c r="F415" i="3"/>
  <c r="F419" i="3"/>
  <c r="F427" i="3"/>
  <c r="F425" i="3"/>
  <c r="F426" i="3"/>
  <c r="F275" i="3"/>
  <c r="F272" i="3"/>
  <c r="F273" i="3"/>
  <c r="F173" i="3"/>
  <c r="F174" i="3"/>
  <c r="F175" i="3"/>
  <c r="F176" i="3"/>
  <c r="F313" i="3"/>
  <c r="F312" i="3"/>
  <c r="F316" i="3"/>
  <c r="F317" i="3"/>
  <c r="F318" i="3"/>
  <c r="F259" i="3"/>
  <c r="F261" i="3"/>
  <c r="F263" i="3"/>
  <c r="F265" i="3"/>
  <c r="F258" i="3"/>
  <c r="F264" i="3"/>
  <c r="F417" i="3"/>
  <c r="F418" i="3"/>
  <c r="F371" i="3"/>
  <c r="F364" i="3"/>
  <c r="F365" i="3"/>
  <c r="F368" i="3"/>
  <c r="F366" i="3"/>
  <c r="F367" i="3"/>
  <c r="F369" i="3"/>
  <c r="F363" i="3"/>
  <c r="F370" i="3"/>
  <c r="F406" i="3"/>
  <c r="F407" i="3"/>
  <c r="F408" i="3"/>
  <c r="F409" i="3"/>
  <c r="F410" i="3"/>
  <c r="F411" i="3"/>
  <c r="F187" i="3"/>
  <c r="F203" i="3"/>
  <c r="F188" i="3"/>
  <c r="F189" i="3"/>
  <c r="F197" i="3"/>
  <c r="F199" i="3"/>
  <c r="F185" i="3"/>
  <c r="F201" i="3"/>
  <c r="F186" i="3"/>
  <c r="F194" i="3"/>
  <c r="F436" i="3"/>
  <c r="F437" i="3"/>
  <c r="F372" i="3"/>
  <c r="F359" i="3"/>
  <c r="F360" i="3"/>
  <c r="F361" i="3"/>
  <c r="F362" i="3"/>
  <c r="F347" i="3"/>
  <c r="F348" i="3"/>
  <c r="F349" i="3"/>
  <c r="F350" i="3"/>
  <c r="F351" i="3"/>
  <c r="F315" i="3"/>
  <c r="F319" i="3"/>
  <c r="F314" i="3"/>
  <c r="F91" i="3"/>
  <c r="F171" i="3"/>
  <c r="F92" i="3"/>
  <c r="F140" i="3"/>
  <c r="F160" i="3"/>
  <c r="F128" i="3"/>
  <c r="F98" i="3"/>
  <c r="F138" i="3"/>
  <c r="F379" i="3"/>
  <c r="F373" i="3"/>
  <c r="F374" i="3"/>
  <c r="F377" i="3"/>
  <c r="F397" i="3"/>
  <c r="F390" i="3"/>
  <c r="F398" i="3"/>
  <c r="F391" i="3"/>
  <c r="F393" i="3"/>
  <c r="F401" i="3"/>
  <c r="F394" i="3"/>
  <c r="F389" i="3"/>
  <c r="F67" i="3"/>
  <c r="F131" i="3"/>
  <c r="F38" i="3"/>
  <c r="F70" i="3"/>
  <c r="F126" i="3"/>
  <c r="F40" i="3"/>
  <c r="F152" i="3"/>
  <c r="F39" i="3"/>
  <c r="F63" i="3"/>
  <c r="F143" i="3"/>
  <c r="F167" i="3"/>
  <c r="F42" i="3"/>
  <c r="F50" i="3"/>
  <c r="F205" i="3"/>
  <c r="F206" i="3"/>
  <c r="F207" i="3"/>
  <c r="F208" i="3"/>
  <c r="F148" i="3"/>
  <c r="F78" i="3"/>
  <c r="F158" i="3"/>
  <c r="F136" i="3"/>
  <c r="F79" i="3"/>
  <c r="F127" i="3"/>
  <c r="F80" i="3"/>
  <c r="F169" i="3"/>
  <c r="F227" i="3"/>
  <c r="F213" i="3"/>
  <c r="F221" i="3"/>
  <c r="F214" i="3"/>
  <c r="F222" i="3"/>
  <c r="F215" i="3"/>
  <c r="F224" i="3"/>
  <c r="F218" i="3"/>
  <c r="F226" i="3"/>
  <c r="F340" i="3"/>
  <c r="F341" i="3"/>
  <c r="F342" i="3"/>
  <c r="F343" i="3"/>
  <c r="F331" i="3"/>
  <c r="F324" i="3"/>
  <c r="F325" i="3"/>
  <c r="F326" i="3"/>
  <c r="F267" i="3"/>
  <c r="F268" i="3"/>
  <c r="F276" i="3"/>
  <c r="F253" i="3"/>
  <c r="F254" i="3"/>
  <c r="F262" i="3"/>
  <c r="F179" i="3"/>
  <c r="F180" i="3"/>
  <c r="F181" i="3"/>
  <c r="F182" i="3"/>
  <c r="F184" i="3"/>
  <c r="F183" i="3"/>
  <c r="F177" i="3"/>
  <c r="F178" i="3"/>
  <c r="F228" i="3"/>
  <c r="F229" i="3"/>
  <c r="F230" i="3"/>
  <c r="F231" i="3"/>
  <c r="F232" i="3"/>
  <c r="F233" i="3"/>
  <c r="F243" i="3"/>
  <c r="F251" i="3"/>
  <c r="F244" i="3"/>
  <c r="F252" i="3"/>
  <c r="F245" i="3"/>
  <c r="F246" i="3"/>
  <c r="F240" i="3"/>
  <c r="F247" i="3"/>
  <c r="F248" i="3"/>
  <c r="F241" i="3"/>
  <c r="F249" i="3"/>
  <c r="F242" i="3"/>
  <c r="F250" i="3"/>
  <c r="F60" i="3"/>
  <c r="F76" i="3"/>
  <c r="F132" i="3"/>
  <c r="F61" i="3"/>
  <c r="F93" i="3"/>
  <c r="F117" i="3"/>
  <c r="F141" i="3"/>
  <c r="F165" i="3"/>
  <c r="F46" i="3"/>
  <c r="F48" i="3"/>
  <c r="F112" i="3"/>
  <c r="F47" i="3"/>
  <c r="F71" i="3"/>
  <c r="F104" i="3"/>
  <c r="F153" i="3"/>
  <c r="F58" i="3"/>
  <c r="F82" i="3"/>
  <c r="F19" i="3"/>
  <c r="F27" i="3"/>
  <c r="F20" i="3"/>
  <c r="F28" i="3"/>
  <c r="F21" i="3"/>
  <c r="F29" i="3"/>
  <c r="F22" i="3"/>
  <c r="F30" i="3"/>
  <c r="F24" i="3"/>
  <c r="F23" i="3"/>
  <c r="F31" i="3"/>
  <c r="F32" i="3"/>
  <c r="F25" i="3"/>
  <c r="F33" i="3"/>
  <c r="F18" i="3"/>
  <c r="F26" i="3"/>
  <c r="F34" i="3"/>
  <c r="F219" i="3"/>
  <c r="F220" i="3"/>
  <c r="F216" i="3"/>
  <c r="F223" i="3"/>
  <c r="F217" i="3"/>
  <c r="F225" i="3"/>
  <c r="F195" i="3"/>
  <c r="F196" i="3"/>
  <c r="F204" i="3"/>
  <c r="F190" i="3"/>
  <c r="F198" i="3"/>
  <c r="F200" i="3"/>
  <c r="F191" i="3"/>
  <c r="F192" i="3"/>
  <c r="F193" i="3"/>
  <c r="F202" i="3"/>
  <c r="F3" i="3"/>
  <c r="F11" i="3"/>
  <c r="F4" i="3"/>
  <c r="F12" i="3"/>
  <c r="F5" i="3"/>
  <c r="F13" i="3"/>
  <c r="F6" i="3"/>
  <c r="F14" i="3"/>
  <c r="F16" i="3"/>
  <c r="F7" i="3"/>
  <c r="F15" i="3"/>
  <c r="F8" i="3"/>
  <c r="F9" i="3"/>
  <c r="F17" i="3"/>
  <c r="F10" i="3"/>
  <c r="F99" i="3"/>
  <c r="F115" i="3"/>
  <c r="F123" i="3"/>
  <c r="F139" i="3"/>
  <c r="F100" i="3"/>
  <c r="F172" i="3"/>
  <c r="F101" i="3"/>
  <c r="F102" i="3"/>
  <c r="F150" i="3"/>
  <c r="F161" i="3"/>
  <c r="F405" i="3"/>
  <c r="F384" i="3"/>
  <c r="F392" i="3"/>
  <c r="F400" i="3"/>
  <c r="F388" i="3"/>
  <c r="F396" i="3"/>
  <c r="F404" i="3"/>
  <c r="F382" i="3"/>
  <c r="F383" i="3"/>
  <c r="F399" i="3"/>
  <c r="F385" i="3"/>
  <c r="F381" i="3"/>
  <c r="F386" i="3"/>
  <c r="F402" i="3"/>
  <c r="F387" i="3"/>
  <c r="F395" i="3"/>
  <c r="F403" i="3"/>
  <c r="F283" i="3"/>
  <c r="F291" i="3"/>
  <c r="F299" i="3"/>
  <c r="F307" i="3"/>
  <c r="F323" i="3"/>
  <c r="F339" i="3"/>
  <c r="F284" i="3"/>
  <c r="F292" i="3"/>
  <c r="F300" i="3"/>
  <c r="F308" i="3"/>
  <c r="F280" i="3"/>
  <c r="F296" i="3"/>
  <c r="F304" i="3"/>
  <c r="F285" i="3"/>
  <c r="F293" i="3"/>
  <c r="F301" i="3"/>
  <c r="F309" i="3"/>
  <c r="F333" i="3"/>
  <c r="F286" i="3"/>
  <c r="F294" i="3"/>
  <c r="F302" i="3"/>
  <c r="F310" i="3"/>
  <c r="F287" i="3"/>
  <c r="F295" i="3"/>
  <c r="F303" i="3"/>
  <c r="F311" i="3"/>
  <c r="F335" i="3"/>
  <c r="F281" i="3"/>
  <c r="F289" i="3"/>
  <c r="F297" i="3"/>
  <c r="F305" i="3"/>
  <c r="F288" i="3"/>
  <c r="F282" i="3"/>
  <c r="F290" i="3"/>
  <c r="F298" i="3"/>
  <c r="F306" i="3"/>
  <c r="F344" i="3"/>
  <c r="F345" i="3"/>
  <c r="F346" i="3"/>
  <c r="F428" i="3"/>
  <c r="F429" i="3"/>
  <c r="F430" i="3"/>
  <c r="F431" i="3"/>
  <c r="F433" i="3"/>
  <c r="F432" i="3"/>
  <c r="F107" i="3"/>
  <c r="F124" i="3"/>
  <c r="F149" i="3"/>
  <c r="F88" i="3"/>
  <c r="F159" i="3"/>
  <c r="F89" i="3"/>
  <c r="F137" i="3"/>
  <c r="F90" i="3"/>
  <c r="F114" i="3"/>
  <c r="F122" i="3"/>
  <c r="F170" i="3"/>
  <c r="F380" i="3"/>
  <c r="F375" i="3"/>
  <c r="F378" i="3"/>
  <c r="F376" i="3"/>
  <c r="F412" i="3"/>
  <c r="F414" i="3"/>
  <c r="F413" i="3"/>
  <c r="E429" i="3"/>
  <c r="E433" i="3"/>
  <c r="E430" i="3"/>
  <c r="E428" i="3"/>
  <c r="E432" i="3"/>
  <c r="E280" i="3"/>
  <c r="E288" i="3"/>
  <c r="E296" i="3"/>
  <c r="E306" i="3"/>
  <c r="E323" i="3"/>
  <c r="E281" i="3"/>
  <c r="E289" i="3"/>
  <c r="E298" i="3"/>
  <c r="E339" i="3"/>
  <c r="E282" i="3"/>
  <c r="E290" i="3"/>
  <c r="E299" i="3"/>
  <c r="E308" i="3"/>
  <c r="E283" i="3"/>
  <c r="E291" i="3"/>
  <c r="E300" i="3"/>
  <c r="E335" i="3"/>
  <c r="E284" i="3"/>
  <c r="E292" i="3"/>
  <c r="E310" i="3"/>
  <c r="E285" i="3"/>
  <c r="E293" i="3"/>
  <c r="E297" i="3"/>
  <c r="E303" i="3"/>
  <c r="E311" i="3"/>
  <c r="E286" i="3"/>
  <c r="E294" i="3"/>
  <c r="E302" i="3"/>
  <c r="E304" i="3"/>
  <c r="E309" i="3"/>
  <c r="E333" i="3"/>
  <c r="E287" i="3"/>
  <c r="E295" i="3"/>
  <c r="E301" i="3"/>
  <c r="E305" i="3"/>
  <c r="E307" i="3"/>
  <c r="E358" i="3"/>
  <c r="E355" i="3"/>
  <c r="E356" i="3"/>
  <c r="E357" i="3"/>
  <c r="E54" i="3"/>
  <c r="E85" i="3"/>
  <c r="E83" i="3"/>
  <c r="E110" i="3"/>
  <c r="E155" i="3"/>
  <c r="E68" i="3"/>
  <c r="E145" i="3"/>
  <c r="E65" i="3"/>
  <c r="E77" i="3"/>
  <c r="E87" i="3"/>
  <c r="E134" i="3"/>
  <c r="E106" i="3"/>
  <c r="E119" i="3"/>
  <c r="E125" i="3"/>
  <c r="E168" i="3"/>
  <c r="E52" i="3"/>
  <c r="E95" i="3"/>
  <c r="E53" i="3"/>
  <c r="E255" i="3"/>
  <c r="E256" i="3"/>
  <c r="E257" i="3"/>
  <c r="E266" i="3"/>
  <c r="E260" i="3"/>
  <c r="E267" i="3"/>
  <c r="E276" i="3"/>
  <c r="E268" i="3"/>
  <c r="E184" i="3"/>
  <c r="E181" i="3"/>
  <c r="E177" i="3"/>
  <c r="E180" i="3"/>
  <c r="E178" i="3"/>
  <c r="E179" i="3"/>
  <c r="E182" i="3"/>
  <c r="E183" i="3"/>
  <c r="E353" i="3"/>
  <c r="E354" i="3"/>
  <c r="E352" i="3"/>
  <c r="E385" i="3"/>
  <c r="E388" i="3"/>
  <c r="E400" i="3"/>
  <c r="E381" i="3"/>
  <c r="E387" i="3"/>
  <c r="E396" i="3"/>
  <c r="E402" i="3"/>
  <c r="E382" i="3"/>
  <c r="E405" i="3"/>
  <c r="E383" i="3"/>
  <c r="E395" i="3"/>
  <c r="E399" i="3"/>
  <c r="E384" i="3"/>
  <c r="E404" i="3"/>
  <c r="E403" i="3"/>
  <c r="E392" i="3"/>
  <c r="E386" i="3"/>
  <c r="E7" i="3"/>
  <c r="E9" i="3"/>
  <c r="E8" i="3"/>
  <c r="E13" i="3"/>
  <c r="E3" i="3"/>
  <c r="E10" i="3"/>
  <c r="E4" i="3"/>
  <c r="E11" i="3"/>
  <c r="E16" i="3"/>
  <c r="E5" i="3"/>
  <c r="E12" i="3"/>
  <c r="E17" i="3"/>
  <c r="E6" i="3"/>
  <c r="E14" i="3"/>
  <c r="E15" i="3"/>
  <c r="E185" i="3"/>
  <c r="E197" i="3"/>
  <c r="E203" i="3"/>
  <c r="E186" i="3"/>
  <c r="E194" i="3"/>
  <c r="E187" i="3"/>
  <c r="E188" i="3"/>
  <c r="E189" i="3"/>
  <c r="E199" i="3"/>
  <c r="E201" i="3"/>
  <c r="E219" i="3"/>
  <c r="E216" i="3"/>
  <c r="E223" i="3"/>
  <c r="E225" i="3"/>
  <c r="E217" i="3"/>
  <c r="E220" i="3"/>
  <c r="E154" i="3"/>
  <c r="E144" i="3"/>
  <c r="E43" i="3"/>
  <c r="E64" i="3"/>
  <c r="E133" i="3"/>
  <c r="E44" i="3"/>
  <c r="E105" i="3"/>
  <c r="E118" i="3"/>
  <c r="E45" i="3"/>
  <c r="E51" i="3"/>
  <c r="E94" i="3"/>
  <c r="E113" i="3"/>
  <c r="E162" i="3"/>
  <c r="E420" i="3"/>
  <c r="E423" i="3"/>
  <c r="E421" i="3"/>
  <c r="E422" i="3"/>
  <c r="E424" i="3"/>
  <c r="E314" i="3"/>
  <c r="E315" i="3"/>
  <c r="E319" i="3"/>
  <c r="E240" i="3"/>
  <c r="E243" i="3"/>
  <c r="E248" i="3"/>
  <c r="E252" i="3"/>
  <c r="E241" i="3"/>
  <c r="E244" i="3"/>
  <c r="E246" i="3"/>
  <c r="E242" i="3"/>
  <c r="E249" i="3"/>
  <c r="E250" i="3"/>
  <c r="E251" i="3"/>
  <c r="E247" i="3"/>
  <c r="E245" i="3"/>
  <c r="E427" i="3"/>
  <c r="E425" i="3"/>
  <c r="E426" i="3"/>
  <c r="E137" i="3"/>
  <c r="E159" i="3"/>
  <c r="E122" i="3"/>
  <c r="E149" i="3"/>
  <c r="E170" i="3"/>
  <c r="E124" i="3"/>
  <c r="E88" i="3"/>
  <c r="E89" i="3"/>
  <c r="E114" i="3"/>
  <c r="E90" i="3"/>
  <c r="E107" i="3"/>
  <c r="E210" i="3"/>
  <c r="E211" i="3"/>
  <c r="E212" i="3"/>
  <c r="E209" i="3"/>
  <c r="E46" i="3"/>
  <c r="E71" i="3"/>
  <c r="E82" i="3"/>
  <c r="E165" i="3"/>
  <c r="E47" i="3"/>
  <c r="E48" i="3"/>
  <c r="E132" i="3"/>
  <c r="E76" i="3"/>
  <c r="E104" i="3"/>
  <c r="E117" i="3"/>
  <c r="E58" i="3"/>
  <c r="E93" i="3"/>
  <c r="E112" i="3"/>
  <c r="E60" i="3"/>
  <c r="E141" i="3"/>
  <c r="E61" i="3"/>
  <c r="E153" i="3"/>
  <c r="E254" i="3"/>
  <c r="E262" i="3"/>
  <c r="E253" i="3"/>
  <c r="E330" i="3"/>
  <c r="E320" i="3"/>
  <c r="E321" i="3"/>
  <c r="E322" i="3"/>
  <c r="E334" i="3"/>
  <c r="E275" i="3"/>
  <c r="E272" i="3"/>
  <c r="E273" i="3"/>
  <c r="E394" i="3"/>
  <c r="E398" i="3"/>
  <c r="E393" i="3"/>
  <c r="E389" i="3"/>
  <c r="E390" i="3"/>
  <c r="E401" i="3"/>
  <c r="E391" i="3"/>
  <c r="E397" i="3"/>
  <c r="E102" i="3"/>
  <c r="E99" i="3"/>
  <c r="E139" i="3"/>
  <c r="E150" i="3"/>
  <c r="E161" i="3"/>
  <c r="E100" i="3"/>
  <c r="E123" i="3"/>
  <c r="E172" i="3"/>
  <c r="E101" i="3"/>
  <c r="E115" i="3"/>
  <c r="E340" i="3"/>
  <c r="E341" i="3"/>
  <c r="E343" i="3"/>
  <c r="E342" i="3"/>
  <c r="E412" i="3"/>
  <c r="E414" i="3"/>
  <c r="E413" i="3"/>
  <c r="E376" i="3"/>
  <c r="E380" i="3"/>
  <c r="E378" i="3"/>
  <c r="E375" i="3"/>
  <c r="E331" i="3"/>
  <c r="E324" i="3"/>
  <c r="E325" i="3"/>
  <c r="E326" i="3"/>
  <c r="E265" i="3"/>
  <c r="E258" i="3"/>
  <c r="E263" i="3"/>
  <c r="E259" i="3"/>
  <c r="E264" i="3"/>
  <c r="E261" i="3"/>
  <c r="E173" i="3"/>
  <c r="E174" i="3"/>
  <c r="E175" i="3"/>
  <c r="E176" i="3"/>
  <c r="E91" i="3"/>
  <c r="E98" i="3"/>
  <c r="E138" i="3"/>
  <c r="E160" i="3"/>
  <c r="E92" i="3"/>
  <c r="E140" i="3"/>
  <c r="E171" i="3"/>
  <c r="E128" i="3"/>
  <c r="E37" i="3"/>
  <c r="E66" i="3"/>
  <c r="E41" i="3"/>
  <c r="E62" i="3"/>
  <c r="E75" i="3"/>
  <c r="E116" i="3"/>
  <c r="E103" i="3"/>
  <c r="E111" i="3"/>
  <c r="E49" i="3"/>
  <c r="E166" i="3"/>
  <c r="E129" i="3"/>
  <c r="E151" i="3"/>
  <c r="E35" i="3"/>
  <c r="E36" i="3"/>
  <c r="E81" i="3"/>
  <c r="E84" i="3"/>
  <c r="E142" i="3"/>
  <c r="E349" i="3"/>
  <c r="E351" i="3"/>
  <c r="E350" i="3"/>
  <c r="E347" i="3"/>
  <c r="E348" i="3"/>
  <c r="E239" i="3"/>
  <c r="E234" i="3"/>
  <c r="E235" i="3"/>
  <c r="E237" i="3"/>
  <c r="E236" i="3"/>
  <c r="E238" i="3"/>
  <c r="E312" i="3"/>
  <c r="E313" i="3"/>
  <c r="E270" i="3"/>
  <c r="E277" i="3"/>
  <c r="E271" i="3"/>
  <c r="E278" i="3"/>
  <c r="E274" i="3"/>
  <c r="E279" i="3"/>
  <c r="E269" i="3"/>
  <c r="E359" i="3"/>
  <c r="E360" i="3"/>
  <c r="E361" i="3"/>
  <c r="E362" i="3"/>
  <c r="E372" i="3"/>
  <c r="E415" i="3"/>
  <c r="E416" i="3"/>
  <c r="E419" i="3"/>
  <c r="E228" i="3"/>
  <c r="E231" i="3"/>
  <c r="E229" i="3"/>
  <c r="E230" i="3"/>
  <c r="E232" i="3"/>
  <c r="E233" i="3"/>
  <c r="E198" i="3"/>
  <c r="E202" i="3"/>
  <c r="E193" i="3"/>
  <c r="E200" i="3"/>
  <c r="E204" i="3"/>
  <c r="E190" i="3"/>
  <c r="E191" i="3"/>
  <c r="E192" i="3"/>
  <c r="E195" i="3"/>
  <c r="E196" i="3"/>
  <c r="E205" i="3"/>
  <c r="E206" i="3"/>
  <c r="E208" i="3"/>
  <c r="E207" i="3"/>
  <c r="E437" i="3"/>
  <c r="E436" i="3"/>
  <c r="E148" i="3"/>
  <c r="E78" i="3"/>
  <c r="E127" i="3"/>
  <c r="E79" i="3"/>
  <c r="E158" i="3"/>
  <c r="E80" i="3"/>
  <c r="E136" i="3"/>
  <c r="E169" i="3"/>
  <c r="E364" i="3"/>
  <c r="E366" i="3"/>
  <c r="E365" i="3"/>
  <c r="E367" i="3"/>
  <c r="E369" i="3"/>
  <c r="E368" i="3"/>
  <c r="E370" i="3"/>
  <c r="E371" i="3"/>
  <c r="E363" i="3"/>
  <c r="E327" i="3"/>
  <c r="E328" i="3"/>
  <c r="E329" i="3"/>
  <c r="E332" i="3"/>
  <c r="E336" i="3"/>
  <c r="E338" i="3"/>
  <c r="E337" i="3"/>
  <c r="E97" i="3"/>
  <c r="E121" i="3"/>
  <c r="E72" i="3"/>
  <c r="E73" i="3"/>
  <c r="E74" i="3"/>
  <c r="E157" i="3"/>
  <c r="E109" i="3"/>
  <c r="E130" i="3"/>
  <c r="E147" i="3"/>
  <c r="E163" i="3"/>
  <c r="E344" i="3"/>
  <c r="E345" i="3"/>
  <c r="E346" i="3"/>
  <c r="E143" i="3"/>
  <c r="E67" i="3"/>
  <c r="E131" i="3"/>
  <c r="E42" i="3"/>
  <c r="E63" i="3"/>
  <c r="E38" i="3"/>
  <c r="E50" i="3"/>
  <c r="E126" i="3"/>
  <c r="E167" i="3"/>
  <c r="E39" i="3"/>
  <c r="E40" i="3"/>
  <c r="E152" i="3"/>
  <c r="E70" i="3"/>
  <c r="E30" i="3"/>
  <c r="E22" i="3"/>
  <c r="E26" i="3"/>
  <c r="E34" i="3"/>
  <c r="E23" i="3"/>
  <c r="E29" i="3"/>
  <c r="E24" i="3"/>
  <c r="E27" i="3"/>
  <c r="E31" i="3"/>
  <c r="E18" i="3"/>
  <c r="E32" i="3"/>
  <c r="E19" i="3"/>
  <c r="E21" i="3"/>
  <c r="E25" i="3"/>
  <c r="E33" i="3"/>
  <c r="E20" i="3"/>
  <c r="E28" i="3"/>
  <c r="E417" i="3"/>
  <c r="E418" i="3"/>
  <c r="E373" i="3"/>
  <c r="E374" i="3"/>
  <c r="E379" i="3"/>
  <c r="E377" i="3"/>
  <c r="E86" i="3"/>
  <c r="E55" i="3"/>
  <c r="E156" i="3"/>
  <c r="E56" i="3"/>
  <c r="E69" i="3"/>
  <c r="E146" i="3"/>
  <c r="E57" i="3"/>
  <c r="E108" i="3"/>
  <c r="E59" i="3"/>
  <c r="E135" i="3"/>
  <c r="E120" i="3"/>
  <c r="E96" i="3"/>
  <c r="E164" i="3"/>
  <c r="E226" i="3"/>
  <c r="E213" i="3"/>
  <c r="E214" i="3"/>
  <c r="E218" i="3"/>
  <c r="E224" i="3"/>
  <c r="E215" i="3"/>
  <c r="E222" i="3"/>
  <c r="E221" i="3"/>
  <c r="E227" i="3"/>
  <c r="E318" i="3"/>
  <c r="E316" i="3"/>
  <c r="E317" i="3"/>
  <c r="E435" i="3"/>
  <c r="E434" i="3"/>
  <c r="E406" i="3"/>
  <c r="E410" i="3"/>
  <c r="E407" i="3"/>
  <c r="E408" i="3"/>
  <c r="E409" i="3"/>
  <c r="E4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A810B-61CB-4452-B75B-D4391F9985B4}" keepAlive="1" name="Query - ChargentOrders" description="Connection to the 'ChargentOrders' query in the workbook." type="5" refreshedVersion="8" background="1" saveData="1">
    <dbPr connection="Provider=Microsoft.Mashup.OleDb.1;Data Source=$Workbook$;Location=ChargentOrders;Extended Properties=&quot;&quot;" command="SELECT * FROM [ChargentOrders]"/>
  </connection>
  <connection id="2" xr16:uid="{399A5232-B442-474C-BA07-54AB126B0D75}" keepAlive="1" name="Query - Contract" description="Connection to the 'Contract' query in the workbook." type="5" refreshedVersion="8" background="1" saveData="1">
    <dbPr connection="Provider=Microsoft.Mashup.OleDb.1;Data Source=$Workbook$;Location=Contract;Extended Properties=&quot;&quot;" command="SELECT * FROM [Contract]"/>
  </connection>
  <connection id="3" xr16:uid="{AFC18A23-31D7-4BF7-99C7-C7FEB2FD6DA9}" keepAlive="1" name="Query - Payment" description="Connection to the 'Payment' query in the workbook." type="5" refreshedVersion="8" background="1" saveData="1">
    <dbPr connection="Provider=Microsoft.Mashup.OleDb.1;Data Source=$Workbook$;Location=Payment;Extended Properties=&quot;&quot;" command="SELECT * FROM [Payment]"/>
  </connection>
</connections>
</file>

<file path=xl/sharedStrings.xml><?xml version="1.0" encoding="utf-8"?>
<sst xmlns="http://schemas.openxmlformats.org/spreadsheetml/2006/main" count="49681" uniqueCount="7317">
  <si>
    <t>Id</t>
  </si>
  <si>
    <t>OwnerId</t>
  </si>
  <si>
    <t>Name</t>
  </si>
  <si>
    <t>CreatedDate</t>
  </si>
  <si>
    <t>ChargentOrders__Card_Expiration_Month__c</t>
  </si>
  <si>
    <t>ChargentOrders__Card_Expiration_Year__c</t>
  </si>
  <si>
    <t>ChargentOrders__Card_Last_4__c</t>
  </si>
  <si>
    <t>ChargentOrders__Card_Month_Indicator__c</t>
  </si>
  <si>
    <t>ChargentOrders__Card_Number__c</t>
  </si>
  <si>
    <t>ChargentOrders__Card_Type__c</t>
  </si>
  <si>
    <t>ChargentOrders__Card_Year_Indicator__c</t>
  </si>
  <si>
    <t>ChargentOrders__Charge_Amount__c</t>
  </si>
  <si>
    <t>ChargentOrders__Charge_Date__c</t>
  </si>
  <si>
    <t>ChargentOrders__Gateway__c</t>
  </si>
  <si>
    <t>ChargentOrders__Next_Transaction_Date__c</t>
  </si>
  <si>
    <t>ChargentOrders__No_Tax__c</t>
  </si>
  <si>
    <t>ChargentOrders__Payment_Method__c</t>
  </si>
  <si>
    <t>ChargentOrders__Payment_Start_Date__c</t>
  </si>
  <si>
    <t>ChargentOrders__Payment_Status__c</t>
  </si>
  <si>
    <t>ChargentOrders__Status__c</t>
  </si>
  <si>
    <t>ChargentOrders__Subtotal__c</t>
  </si>
  <si>
    <t>ChargentOrders__Tax__c</t>
  </si>
  <si>
    <t>ChargentOrders__Tokenization__c</t>
  </si>
  <si>
    <t>ChargentOrders__Tracking_Number__c</t>
  </si>
  <si>
    <t>ChargentOrders__Update_Token__c</t>
  </si>
  <si>
    <t>ChargentOrders__Last_Recurring_Transaction__c</t>
  </si>
  <si>
    <t>ChargentOrders__Last_Transaction__c</t>
  </si>
  <si>
    <t>ChargentOrders__Transaction_Count_Recurring__c</t>
  </si>
  <si>
    <t>ChargentOrders__Transaction_Count__c</t>
  </si>
  <si>
    <t>ChargentOrders__Transaction_Total__c</t>
  </si>
  <si>
    <t>Contract__c</t>
  </si>
  <si>
    <t>SM_Payment_Type__c</t>
  </si>
  <si>
    <t>SM_Id_Salesforce_LCS__c</t>
  </si>
  <si>
    <t>SM_Migrated__c</t>
  </si>
  <si>
    <t>SM_Migration_Date__c</t>
  </si>
  <si>
    <t>SM_Fee_to_collect__c</t>
  </si>
  <si>
    <t>SM_P_IVU_Municipal_Amount__c</t>
  </si>
  <si>
    <t>SM_P_IVU_State_Amount__c</t>
  </si>
  <si>
    <t>SM_Purpose_of_Payment__c</t>
  </si>
  <si>
    <t>SM_ACH_Order_source__c</t>
  </si>
  <si>
    <t>SM_Apply_Penalty__c</t>
  </si>
  <si>
    <t>SM_Failed_Payment__c</t>
  </si>
  <si>
    <t>SM_IsRegisterToken__c</t>
  </si>
  <si>
    <t>SM_Penalty_Date__c</t>
  </si>
  <si>
    <t>SM_Penalty_Value__c</t>
  </si>
  <si>
    <t>SM_Tokenization_error__c</t>
  </si>
  <si>
    <t>SM_User_Who_Applies_Penalty__c</t>
  </si>
  <si>
    <t>SM_Approval_status__c</t>
  </si>
  <si>
    <t>SM_Reason_to_approve_exoneration__c</t>
  </si>
  <si>
    <t>SM_IsApplyingDaysCollectedPenalty__c</t>
  </si>
  <si>
    <t>SM_Last_Rejected_Payment__c</t>
  </si>
  <si>
    <t>SM_Last_Payment_date__c</t>
  </si>
  <si>
    <t>Discount_Original_Subtotal__c</t>
  </si>
  <si>
    <t>SM_Discount_Type__c</t>
  </si>
  <si>
    <t>SM_Discount_Percentage__c</t>
  </si>
  <si>
    <t>SM_Discount_Value__c</t>
  </si>
  <si>
    <t>SM_Discount_Reason__c</t>
  </si>
  <si>
    <t>SM_User_Who_Request_Discount__c</t>
  </si>
  <si>
    <t>SM_User_Who_Applies_Discount__c</t>
  </si>
  <si>
    <t>SM_Discount_Status__c</t>
  </si>
  <si>
    <t>SM_Discount_Applies_Date__c</t>
  </si>
  <si>
    <t>SM_Apply_Discount__c</t>
  </si>
  <si>
    <t>User_Who_Approve_Discount__c</t>
  </si>
  <si>
    <t>Discount_Original_Total__c</t>
  </si>
  <si>
    <t>SM_PTP_Montly__c</t>
  </si>
  <si>
    <t>0051U000001MRFeQAO</t>
  </si>
  <si>
    <t>Mastercard</t>
  </si>
  <si>
    <t>a1A1U000003TQL5UAO</t>
  </si>
  <si>
    <t/>
  </si>
  <si>
    <t>Credit Card</t>
  </si>
  <si>
    <t>Canceled</t>
  </si>
  <si>
    <t>Late payment fee</t>
  </si>
  <si>
    <t>Collect</t>
  </si>
  <si>
    <t>Visa</t>
  </si>
  <si>
    <t>Complete</t>
  </si>
  <si>
    <t>Contract fee</t>
  </si>
  <si>
    <t>Subscription</t>
  </si>
  <si>
    <t>AC</t>
  </si>
  <si>
    <t>0051U000007bbx5QAA</t>
  </si>
  <si>
    <t>0051U0000076sWHQAY</t>
  </si>
  <si>
    <t>0051U000008cYxlQAE</t>
  </si>
  <si>
    <t>0051U000006wdfeQAA</t>
  </si>
  <si>
    <t>Customer pays amount owed and makes more than one payment</t>
  </si>
  <si>
    <t>Fee</t>
  </si>
  <si>
    <t>FOR REVIEW</t>
  </si>
  <si>
    <t>a1E1U000005gQKMUA2</t>
  </si>
  <si>
    <t>ORD-000007256</t>
  </si>
  <si>
    <t>D18EA6A0BE990375E0531D588D0AD817</t>
  </si>
  <si>
    <t>8001U000001p8XRQAY</t>
  </si>
  <si>
    <t>0051U000006x71ZQAQ</t>
  </si>
  <si>
    <t>Error</t>
  </si>
  <si>
    <t>79.0</t>
  </si>
  <si>
    <t>0.00</t>
  </si>
  <si>
    <t>0.0</t>
  </si>
  <si>
    <t>100.0</t>
  </si>
  <si>
    <t>94.0</t>
  </si>
  <si>
    <t>1900-01-01 00:00:00</t>
  </si>
  <si>
    <t>0058W00000AlFWvQAN</t>
  </si>
  <si>
    <t>a1A8W0000180s2RUAQ</t>
  </si>
  <si>
    <t>0051U000007NuGRQA0</t>
  </si>
  <si>
    <t>69.0</t>
  </si>
  <si>
    <t>0058W00000AiinSQAR</t>
  </si>
  <si>
    <t>0051U000007NuGSQA0</t>
  </si>
  <si>
    <t>10</t>
  </si>
  <si>
    <t>115.96</t>
  </si>
  <si>
    <t>88.09</t>
  </si>
  <si>
    <t>75.0</t>
  </si>
  <si>
    <t>a1A8W00002K9pptUAB</t>
  </si>
  <si>
    <t>69.00</t>
  </si>
  <si>
    <t>25.00</t>
  </si>
  <si>
    <t>a1E8W0000075BYhUAM</t>
  </si>
  <si>
    <t>ORD-000018771</t>
  </si>
  <si>
    <t>8008W0000055W7KQAU</t>
  </si>
  <si>
    <t>a1E8W0000075BYiUAM</t>
  </si>
  <si>
    <t>ORD-000018773</t>
  </si>
  <si>
    <t>038AED7DE4AE091AE0631D588D0A02F6</t>
  </si>
  <si>
    <t>a1E8W0000075BYjUAM</t>
  </si>
  <si>
    <t>ORD-000018774</t>
  </si>
  <si>
    <t>03AE9AFBA02512A1E0631D588D0A7B0C</t>
  </si>
  <si>
    <t>a1E8W0000075BYkUAM</t>
  </si>
  <si>
    <t>ORD-000018775</t>
  </si>
  <si>
    <t>a1E8W0000075BYmUAM</t>
  </si>
  <si>
    <t>ORD-000018772</t>
  </si>
  <si>
    <t>a1E8W0000075PpPUAU</t>
  </si>
  <si>
    <t>ORD-000019047</t>
  </si>
  <si>
    <t>04532177B3C32AADE0631D588D0A6E9C</t>
  </si>
  <si>
    <t>a248W000004TWm0QAG</t>
  </si>
  <si>
    <t>a1E8W0000075Pz0UAE</t>
  </si>
  <si>
    <t>ORD-000019061</t>
  </si>
  <si>
    <t>a1E8W0000075PzAUAU</t>
  </si>
  <si>
    <t>ORD-000019062</t>
  </si>
  <si>
    <t>a1E8W0000075QO1UAM</t>
  </si>
  <si>
    <t>ORD-000019070</t>
  </si>
  <si>
    <t>a1E8W0000075QO6UAM</t>
  </si>
  <si>
    <t>ORD-000019071</t>
  </si>
  <si>
    <t>a1E8W0000075QOuUAM</t>
  </si>
  <si>
    <t>ORD-000019072</t>
  </si>
  <si>
    <t>a1E8W0000075QP4UAM</t>
  </si>
  <si>
    <t>ORD-000019073</t>
  </si>
  <si>
    <t>a1E8W0000075QQCUA2</t>
  </si>
  <si>
    <t>ORD-000019074</t>
  </si>
  <si>
    <t>a1E8W0000075QV7UAM</t>
  </si>
  <si>
    <t>ORD-000019076</t>
  </si>
  <si>
    <t>a1E8W0000075QVCUA2</t>
  </si>
  <si>
    <t>ORD-000019077</t>
  </si>
  <si>
    <t>a1E8W0000075QVMUA2</t>
  </si>
  <si>
    <t>ORD-000019078</t>
  </si>
  <si>
    <t>3DE82889839BDCBBE0631D588D0AF879</t>
  </si>
  <si>
    <t>25.0</t>
  </si>
  <si>
    <t>83.63</t>
  </si>
  <si>
    <t>139.0</t>
  </si>
  <si>
    <t>a1E8W000008nztyUAA</t>
  </si>
  <si>
    <t>ORD-000019903</t>
  </si>
  <si>
    <t>a248W000004jW47QAE</t>
  </si>
  <si>
    <t>JUL</t>
  </si>
  <si>
    <t>005UU000000aQnBYAU</t>
  </si>
  <si>
    <t>a1EUU000000UBIz2AO</t>
  </si>
  <si>
    <t>ORD-000023276</t>
  </si>
  <si>
    <t>15C4F651140342C2E0631D588D0AFE90</t>
  </si>
  <si>
    <t>800UU000006eB2xYAE</t>
  </si>
  <si>
    <t>a1EUU000000UBMD2A4</t>
  </si>
  <si>
    <t>ORD-000023277</t>
  </si>
  <si>
    <t>a1EUU000000UBPR2A4</t>
  </si>
  <si>
    <t>ORD-000023278</t>
  </si>
  <si>
    <t>APR</t>
  </si>
  <si>
    <t>16F2A47E1B38711FE0631D588D0A349D</t>
  </si>
  <si>
    <t>DEC</t>
  </si>
  <si>
    <t>99.0</t>
  </si>
  <si>
    <t>110.39</t>
  </si>
  <si>
    <t>a1EUU000000rUUc2AM</t>
  </si>
  <si>
    <t>ORD-000026007</t>
  </si>
  <si>
    <t>a24UU000000Xf1HYAS</t>
  </si>
  <si>
    <t>MANUAL-290824</t>
  </si>
  <si>
    <t>a1EUU000000vkJ32AI</t>
  </si>
  <si>
    <t>ORD-000026767</t>
  </si>
  <si>
    <t>3041F659C37B246BE0631E588D0A53BD</t>
  </si>
  <si>
    <t>a1EUU000000xKYz2AM</t>
  </si>
  <si>
    <t>ORD-000027216</t>
  </si>
  <si>
    <t>21DCF6D26DBB8C08E0631E588D0ABB0D</t>
  </si>
  <si>
    <t>800UU00000HS91pYAD</t>
  </si>
  <si>
    <t>a1EUU000000xKp72AE</t>
  </si>
  <si>
    <t>ORD-000027217</t>
  </si>
  <si>
    <t>a1EUU000000xKsL2AU</t>
  </si>
  <si>
    <t>ORD-000027218</t>
  </si>
  <si>
    <t>a1EUU000000zktx2AA</t>
  </si>
  <si>
    <t>ORD-000027585</t>
  </si>
  <si>
    <t>a1EUU000000zl3d2AA</t>
  </si>
  <si>
    <t>ORD-000027586</t>
  </si>
  <si>
    <t>230C437B0C0118F3E0631E588D0A1522</t>
  </si>
  <si>
    <t>a1EUU000000zqUl2AI</t>
  </si>
  <si>
    <t>ORD-000027652</t>
  </si>
  <si>
    <t>a24UU000000oW1ZYAU</t>
  </si>
  <si>
    <t>SEP</t>
  </si>
  <si>
    <t>OCT</t>
  </si>
  <si>
    <t>a1EUU0000013b2T2AQ</t>
  </si>
  <si>
    <t>ORD-000028413</t>
  </si>
  <si>
    <t>2541AC8711D14F5BE0631D588D0A4780</t>
  </si>
  <si>
    <t>800UU00000J4rfVYAR</t>
  </si>
  <si>
    <t>a1EUU0000013b5h2AA</t>
  </si>
  <si>
    <t>ORD-000028414</t>
  </si>
  <si>
    <t>a1EUU0000013b7J2AQ</t>
  </si>
  <si>
    <t>ORD-000028415</t>
  </si>
  <si>
    <t>37F523A3BE7BD4C0E0631E588D0AC1AE</t>
  </si>
  <si>
    <t>a1EUU0000014JgG2AU</t>
  </si>
  <si>
    <t>ORD-000028542</t>
  </si>
  <si>
    <t>a24UU000000xqlpYAA</t>
  </si>
  <si>
    <t>a1EUU0000014Jza2AE</t>
  </si>
  <si>
    <t>ORD-000028612</t>
  </si>
  <si>
    <t>a24UU000000xr3YYAQ</t>
  </si>
  <si>
    <t>a1EUU0000014Kaf2AE</t>
  </si>
  <si>
    <t>ORD-000028693</t>
  </si>
  <si>
    <t>a24UU000000xroKYAQ</t>
  </si>
  <si>
    <t>NOV</t>
  </si>
  <si>
    <t>a1EUU000001BanZ2AS</t>
  </si>
  <si>
    <t>ORD-000030238</t>
  </si>
  <si>
    <t>a24UU000001DTwYYAW</t>
  </si>
  <si>
    <t>a1EUU000001E8Wb2AK</t>
  </si>
  <si>
    <t>ORD-000030673</t>
  </si>
  <si>
    <t>X CANCELED</t>
  </si>
  <si>
    <t>2C4D9B61CF3728CFE0631D588D0A97A0</t>
  </si>
  <si>
    <t>800UU00000M8FlEYAV</t>
  </si>
  <si>
    <t>a1EUU000001E8Zp2AK</t>
  </si>
  <si>
    <t>ORD-000030674</t>
  </si>
  <si>
    <t>a1EUU000001E8Zq2AK</t>
  </si>
  <si>
    <t>ORD-000030675</t>
  </si>
  <si>
    <t>a1EUU000001FGLj2AO</t>
  </si>
  <si>
    <t>ORD-000030899</t>
  </si>
  <si>
    <t>a24UU000001LgAKYA0</t>
  </si>
  <si>
    <t>a1EUU000001FGgf2AG</t>
  </si>
  <si>
    <t>ORD-000030953</t>
  </si>
  <si>
    <t>a24UU000001LgWsYAK</t>
  </si>
  <si>
    <t>FEB</t>
  </si>
  <si>
    <t>a1EUU000001HMze2AG</t>
  </si>
  <si>
    <t>ORD-000031418</t>
  </si>
  <si>
    <t>2E207A24EADC1BBAE0631D588D0ADAA3</t>
  </si>
  <si>
    <t>800UU00000N36DJYAZ</t>
  </si>
  <si>
    <t>a1EUU000001HN2r2AG</t>
  </si>
  <si>
    <t>ORD-000031419</t>
  </si>
  <si>
    <t>a1EUU000001HN4T2AW</t>
  </si>
  <si>
    <t>ORD-000031420</t>
  </si>
  <si>
    <t>31A7E5BC5B42EC69E0631E588D0ACC62</t>
  </si>
  <si>
    <t>a1EUU000001J5xt2AC</t>
  </si>
  <si>
    <t>ORD-000031697</t>
  </si>
  <si>
    <t>a24UU000001TzQvYAK</t>
  </si>
  <si>
    <t>a1EUU000001J64M2AS</t>
  </si>
  <si>
    <t>ORD-000031703</t>
  </si>
  <si>
    <t>a24UU000001TzSgYAK</t>
  </si>
  <si>
    <t>a1EUU000001J6Ir2AK</t>
  </si>
  <si>
    <t>ORD-000031716</t>
  </si>
  <si>
    <t>MAR</t>
  </si>
  <si>
    <t>a1EUU000001JMx72AG</t>
  </si>
  <si>
    <t>ORD-000031757</t>
  </si>
  <si>
    <t>2F718077E833E7A6E0631E588D0A7829</t>
  </si>
  <si>
    <t>800UU00000NfC87YAF</t>
  </si>
  <si>
    <t>a1EUU000001JMyj2AG</t>
  </si>
  <si>
    <t>ORD-000031758</t>
  </si>
  <si>
    <t>NO LPF - En Mes</t>
  </si>
  <si>
    <t>a1EUU000001JzC62AK</t>
  </si>
  <si>
    <t>ORD-000031910</t>
  </si>
  <si>
    <t>MANUAL-090325</t>
  </si>
  <si>
    <t>a1EUU000001KEUT2A4</t>
  </si>
  <si>
    <t>ORD-000032001</t>
  </si>
  <si>
    <t>a1EUU000001KoZZ2A0</t>
  </si>
  <si>
    <t>ORD-000032142</t>
  </si>
  <si>
    <t>30404D68E36C0325E0631E588D0A65BE</t>
  </si>
  <si>
    <t>800UU00000O4xgWYAR</t>
  </si>
  <si>
    <t>a1EUU000001Kocn2AC</t>
  </si>
  <si>
    <t>ORD-000032143</t>
  </si>
  <si>
    <t>a1EUU000001Koco2AC</t>
  </si>
  <si>
    <t>ORD-000032144</t>
  </si>
  <si>
    <t>a1EUU000001KpSP2A0</t>
  </si>
  <si>
    <t>ORD-000032145</t>
  </si>
  <si>
    <t>a1EUU000001KpU12AK</t>
  </si>
  <si>
    <t>ORD-000032146</t>
  </si>
  <si>
    <t>a1EUU000001KpfJ2AS</t>
  </si>
  <si>
    <t>ORD-000032156</t>
  </si>
  <si>
    <t>a1EUU000001Kvcg2AC</t>
  </si>
  <si>
    <t>ORD-000032242</t>
  </si>
  <si>
    <t>MANUAL-140325</t>
  </si>
  <si>
    <t>MAY</t>
  </si>
  <si>
    <t>a1EUU000001LADV2A4</t>
  </si>
  <si>
    <t>ORD-000032274</t>
  </si>
  <si>
    <t>308BDC79D13C288AE0631E588D0AFC37</t>
  </si>
  <si>
    <t>800UU00000OBnsQYAT</t>
  </si>
  <si>
    <t>a1EUU000001LAF72AO</t>
  </si>
  <si>
    <t>ORD-000032275</t>
  </si>
  <si>
    <t>a1EUU000001LAGj2AO</t>
  </si>
  <si>
    <t>ORD-000032276</t>
  </si>
  <si>
    <t>a1EUU000001MzIo2AK</t>
  </si>
  <si>
    <t>ORD-000032705</t>
  </si>
  <si>
    <t>a24UU000001inMJYAY</t>
  </si>
  <si>
    <t>a1EUU000001MzU52AK</t>
  </si>
  <si>
    <t>ORD-000032713</t>
  </si>
  <si>
    <t>a1EUU000001NLkj2AG</t>
  </si>
  <si>
    <t>ORD-000032731</t>
  </si>
  <si>
    <t>31A626609AADE945E0631E588D0A3800</t>
  </si>
  <si>
    <t>a1EUU000001NO2f2AG</t>
  </si>
  <si>
    <t>ORD-000032733</t>
  </si>
  <si>
    <t>a1EUU000001RmuP2AS</t>
  </si>
  <si>
    <t>ORD-000033367</t>
  </si>
  <si>
    <t>a24UU0000027mQ9YAI</t>
  </si>
  <si>
    <t>a1EUU000001RnDm2AK</t>
  </si>
  <si>
    <t>ORD-000033406</t>
  </si>
  <si>
    <t>a24UU0000027mbVYAQ</t>
  </si>
  <si>
    <t>a1EUU000001RnLr2AK</t>
  </si>
  <si>
    <t>ORD-000033423</t>
  </si>
  <si>
    <t>a24UU0000027mhyYAA</t>
  </si>
  <si>
    <t>a1EUU000001Rnle2AC</t>
  </si>
  <si>
    <t>ORD-000033482</t>
  </si>
  <si>
    <t>a24UU0000027nB8YAI</t>
  </si>
  <si>
    <t>a1EUU000001Rnor2AC</t>
  </si>
  <si>
    <t>ORD-000033487</t>
  </si>
  <si>
    <t>a24UU0000027kkwYAA</t>
  </si>
  <si>
    <t>a1EUU000001TWOv2AO</t>
  </si>
  <si>
    <t>ORD-000033724</t>
  </si>
  <si>
    <t>800UU00000QPwTIYA1</t>
  </si>
  <si>
    <t>a1EUU000001TWS92AO</t>
  </si>
  <si>
    <t>ORD-000033725</t>
  </si>
  <si>
    <t>a1EUU000001TWTl2AO</t>
  </si>
  <si>
    <t>ORD-000033726</t>
  </si>
  <si>
    <t>a1EUU000001TWYb2AO</t>
  </si>
  <si>
    <t>ORD-000033727</t>
  </si>
  <si>
    <t>a1EUU000001TWbp2AG</t>
  </si>
  <si>
    <t>ORD-000033728</t>
  </si>
  <si>
    <t>a1EUU000001TWjt2AG</t>
  </si>
  <si>
    <t>ORD-000033729</t>
  </si>
  <si>
    <t>a1EUU000001TWtZ2AW</t>
  </si>
  <si>
    <t>ORD-000033731</t>
  </si>
  <si>
    <t>7751532839796455503695</t>
  </si>
  <si>
    <t>a1EUU000001Tvrx2AC</t>
  </si>
  <si>
    <t>ORD-000033828</t>
  </si>
  <si>
    <t>1112207377-1125362006</t>
  </si>
  <si>
    <t>800UU00000QWWKOYA5</t>
  </si>
  <si>
    <t>a1EUU000001TvtZ2AS</t>
  </si>
  <si>
    <t>ORD-000033829</t>
  </si>
  <si>
    <t>a1EUU000001TvvB2AS</t>
  </si>
  <si>
    <t>ORD-000033830</t>
  </si>
  <si>
    <t>a1EUU000001VvmG2AS</t>
  </si>
  <si>
    <t>ORD-000034105</t>
  </si>
  <si>
    <t>a24UU000002HWc4YAG</t>
  </si>
  <si>
    <t>a1EUU000001Vw8n2AC</t>
  </si>
  <si>
    <t>ORD-000034153</t>
  </si>
  <si>
    <t>a24UU000002HWyRYAW</t>
  </si>
  <si>
    <t>a1EUU000001VwFG2A0</t>
  </si>
  <si>
    <t>ORD-000034169</t>
  </si>
  <si>
    <t>a24UU000002HX4sYAG</t>
  </si>
  <si>
    <t>JUN</t>
  </si>
  <si>
    <t>a1EUU000001Vwgg2AC</t>
  </si>
  <si>
    <t>ORD-000034231</t>
  </si>
  <si>
    <t>a24UU000002HXZaYAO</t>
  </si>
  <si>
    <t>a1EUU000001Vwrx2AC</t>
  </si>
  <si>
    <t>ORD-000034242</t>
  </si>
  <si>
    <t>a24UU000002HXpdYAG</t>
  </si>
  <si>
    <t>a1EUU000001WvLx2AK</t>
  </si>
  <si>
    <t>ORD-000034361</t>
  </si>
  <si>
    <t>36C344710F8642B7E0631E588D0A11F8</t>
  </si>
  <si>
    <t>800UU00000RHL28YAH</t>
  </si>
  <si>
    <t>a1EUU000001WvNZ2A0</t>
  </si>
  <si>
    <t>ORD-000034362</t>
  </si>
  <si>
    <t>a1EUU000001WvPB2A0</t>
  </si>
  <si>
    <t>ORD-000034363</t>
  </si>
  <si>
    <t>a1EUU000001ZBmP2AW</t>
  </si>
  <si>
    <t>ORD-000034658</t>
  </si>
  <si>
    <t>a1EUU000001aBvh2AE</t>
  </si>
  <si>
    <t>ORD-000034821</t>
  </si>
  <si>
    <t>a24UU000002SBm5YAG</t>
  </si>
  <si>
    <t>a1EUU000001cR3R2AU</t>
  </si>
  <si>
    <t>ORD-000035034</t>
  </si>
  <si>
    <t>1312527331-762301197</t>
  </si>
  <si>
    <t>800UU00000SnSmEYAV</t>
  </si>
  <si>
    <t>a1EUU000001cR6f2AE</t>
  </si>
  <si>
    <t>ORD-000035035</t>
  </si>
  <si>
    <t>a1EUU000001cR9t2AE</t>
  </si>
  <si>
    <t>ORD-000035036</t>
  </si>
  <si>
    <t>99.00</t>
  </si>
  <si>
    <t>a1EUU000001eAOH2A2</t>
  </si>
  <si>
    <t>ORD-000035279</t>
  </si>
  <si>
    <t>3A86D8B6B444536BE0631D588D0ACC9D</t>
  </si>
  <si>
    <t>800UU00000SyDC1YAN</t>
  </si>
  <si>
    <t>a1EUU000001eAPt2AM</t>
  </si>
  <si>
    <t>ORD-000035280</t>
  </si>
  <si>
    <t>a04UU00000DEAPpYAP</t>
  </si>
  <si>
    <t>a1EUU000001eAPu2AM</t>
  </si>
  <si>
    <t>ORD-000035281</t>
  </si>
  <si>
    <t>a04UU00000DEAPqYAP</t>
  </si>
  <si>
    <t>a1EUU000001eIbx2AE</t>
  </si>
  <si>
    <t>ORD-000035295</t>
  </si>
  <si>
    <t>MANUAL-230725</t>
  </si>
  <si>
    <t>a24UU000002b6ZxYAI</t>
  </si>
  <si>
    <t>a1EUU000001f4Ld2AI</t>
  </si>
  <si>
    <t>ORD-000035353</t>
  </si>
  <si>
    <t>a1EUU000001fldZ2AQ</t>
  </si>
  <si>
    <t>ORD-000035454</t>
  </si>
  <si>
    <t>a24UU000002drwGYAQ</t>
  </si>
  <si>
    <t>a1EUU000001fmOL2AY</t>
  </si>
  <si>
    <t>ORD-000035413</t>
  </si>
  <si>
    <t>a24UU000002drecYAA</t>
  </si>
  <si>
    <t>a1EUU000001fmuZ2AQ</t>
  </si>
  <si>
    <t>ORD-000035525</t>
  </si>
  <si>
    <t>a24UU000002dsDwYAI</t>
  </si>
  <si>
    <t>a1EUU000001fmzS2AQ</t>
  </si>
  <si>
    <t>ORD-000035541</t>
  </si>
  <si>
    <t>a24UU000002dsIsYAI</t>
  </si>
  <si>
    <t>AUG</t>
  </si>
  <si>
    <t>a1EUU000001guzh2AA</t>
  </si>
  <si>
    <t>ORD-000035676</t>
  </si>
  <si>
    <t>3BA1772D946C0861E0631D588D0A9AEE</t>
  </si>
  <si>
    <t>800UU00000TmpZ1YAJ</t>
  </si>
  <si>
    <t>a1EUU000001gv1J2AQ</t>
  </si>
  <si>
    <t>ORD-000035677</t>
  </si>
  <si>
    <t>a1EUU000001gv2v2AA</t>
  </si>
  <si>
    <t>ORD-000035678</t>
  </si>
  <si>
    <t>a1EUU000001ijnF2AQ</t>
  </si>
  <si>
    <t>ORD-000035858</t>
  </si>
  <si>
    <t>3C59604AE3E768ADE0631D588D0A69B4</t>
  </si>
  <si>
    <t>800UU00000UCZAXYA5</t>
  </si>
  <si>
    <t>a1EUU000001ijqT2AQ</t>
  </si>
  <si>
    <t>ORD-000035859</t>
  </si>
  <si>
    <t>a1EUU000001k9pJ2AQ</t>
  </si>
  <si>
    <t>ORD-000036069</t>
  </si>
  <si>
    <t>a24UU000002mcWiYAI</t>
  </si>
  <si>
    <t>a1EUU000001kV0D2AU</t>
  </si>
  <si>
    <t>ORD-000036097</t>
  </si>
  <si>
    <t>3D321CDE0B3A81C0E0631D588D0A370E</t>
  </si>
  <si>
    <t>800UU00000UcnbEYAR</t>
  </si>
  <si>
    <t>a1EUU000001kV1p2AE</t>
  </si>
  <si>
    <t>ORD-000036098</t>
  </si>
  <si>
    <t>a1EUU000001kV3R2AU</t>
  </si>
  <si>
    <t>ORD-000036099</t>
  </si>
  <si>
    <t>44B056B20C6159BAE0631E588D0AC39E</t>
  </si>
  <si>
    <t>a1EUU000001la132AA</t>
  </si>
  <si>
    <t>ORD-000036219</t>
  </si>
  <si>
    <t>a24UU000002pBYAYA2</t>
  </si>
  <si>
    <t>a1EUU000001laM22AI</t>
  </si>
  <si>
    <t>ORD-000036257</t>
  </si>
  <si>
    <t>a24UU000002pBoNYAU</t>
  </si>
  <si>
    <t>a1EUU000001ladn2AA</t>
  </si>
  <si>
    <t>ORD-000036325</t>
  </si>
  <si>
    <t>a24UU000002pC65YAE</t>
  </si>
  <si>
    <t>a1EUU000001ladt2AA</t>
  </si>
  <si>
    <t>ORD-000036337</t>
  </si>
  <si>
    <t>a24UU000002pC6GYAU</t>
  </si>
  <si>
    <t>a1EUU000001lbQC2AY</t>
  </si>
  <si>
    <t>ORD-000036405</t>
  </si>
  <si>
    <t>a24UU000002pDbbYAE</t>
  </si>
  <si>
    <t>a1EUU000001lrMr2AI</t>
  </si>
  <si>
    <t>ORD-000036436</t>
  </si>
  <si>
    <t>a1EUU000001mHKX2A2</t>
  </si>
  <si>
    <t>ORD-000036463</t>
  </si>
  <si>
    <t>124.00</t>
  </si>
  <si>
    <t>138.26</t>
  </si>
  <si>
    <t>a1EUU000001qses2AA</t>
  </si>
  <si>
    <t>ORD-000037041</t>
  </si>
  <si>
    <t>a24UU0000030oCsYAI</t>
  </si>
  <si>
    <t>a1EUU000001qsmv2AA</t>
  </si>
  <si>
    <t>ORD-000037057</t>
  </si>
  <si>
    <t>a24UU0000030oKrYAI</t>
  </si>
  <si>
    <t>a1EUU000001qsrm2AA</t>
  </si>
  <si>
    <t>ORD-000037082</t>
  </si>
  <si>
    <t>a24UU0000030oSzYAI</t>
  </si>
  <si>
    <t>a1EUU000001qtBA2AY</t>
  </si>
  <si>
    <t>ORD-000037147</t>
  </si>
  <si>
    <t>a24UU0000030omLYAQ</t>
  </si>
  <si>
    <t>a1EUU000001qtFy2AI</t>
  </si>
  <si>
    <t>ORD-000037157</t>
  </si>
  <si>
    <t>a24UU0000030or8YAA</t>
  </si>
  <si>
    <t>a1EUU000001qtW62AI</t>
  </si>
  <si>
    <t>ORD-000037210</t>
  </si>
  <si>
    <t>4149225BB69AD5FCE0631D588D0A1A0D</t>
  </si>
  <si>
    <t>a24UU0000030p8wYAA</t>
  </si>
  <si>
    <t>a1EUU000001qtay2AA</t>
  </si>
  <si>
    <t>ORD-000037217</t>
  </si>
  <si>
    <t>a24UU0000030pAbYAI</t>
  </si>
  <si>
    <t>79.00</t>
  </si>
  <si>
    <t>a1EUU000001rhmD2AQ</t>
  </si>
  <si>
    <t>ORD-000037294</t>
  </si>
  <si>
    <t>Manual_lpf_10/3/2025</t>
  </si>
  <si>
    <t>a1EUU000001tMAb2AM</t>
  </si>
  <si>
    <t>ORD-000037520</t>
  </si>
  <si>
    <t>4120D76CF3086218E0631D588D0A7CAC</t>
  </si>
  <si>
    <t>800UU00000WxhMfYAJ</t>
  </si>
  <si>
    <t>a1EUU000001tMDp2AM</t>
  </si>
  <si>
    <t>ORD-000037521</t>
  </si>
  <si>
    <t>a1EUU000001tMFR2A2</t>
  </si>
  <si>
    <t>ORD-000037522</t>
  </si>
  <si>
    <t>a1EUU000001tmBV2AY</t>
  </si>
  <si>
    <t>ORD-000037653</t>
  </si>
  <si>
    <t>a1EUU000001uqEf2AI</t>
  </si>
  <si>
    <t>ORD-000037830</t>
  </si>
  <si>
    <t>1335216889-784675339</t>
  </si>
  <si>
    <t>800UU00000XZUppYAH</t>
  </si>
  <si>
    <t>a1EUU000001uqHt2AI</t>
  </si>
  <si>
    <t>ORD-000037831</t>
  </si>
  <si>
    <t>a1EUU000001w2AX2AY</t>
  </si>
  <si>
    <t>ORD-000037969</t>
  </si>
  <si>
    <t>a24UU000003Bed8YAC</t>
  </si>
  <si>
    <t>a1EUU000001w2Qk2AI</t>
  </si>
  <si>
    <t>ORD-000038034</t>
  </si>
  <si>
    <t>a24UU000003Bf4gYAC</t>
  </si>
  <si>
    <t>a1EUU000001w2VV2AY</t>
  </si>
  <si>
    <t>ORD-000038036</t>
  </si>
  <si>
    <t>a24UU000003Bf9OYAS</t>
  </si>
  <si>
    <t>a1EUU000001w2XA2AY</t>
  </si>
  <si>
    <t>ORD-000038045</t>
  </si>
  <si>
    <t>a24UU000003BfB3YAK</t>
  </si>
  <si>
    <t>a1EUU000001w2Yk2AI</t>
  </si>
  <si>
    <t>ORD-000038054</t>
  </si>
  <si>
    <t>a24UU000003BfCeYAK</t>
  </si>
  <si>
    <t>a1EUU000001w2de2AA</t>
  </si>
  <si>
    <t>ORD-000038096</t>
  </si>
  <si>
    <t>a24UU000003BfG0YAK</t>
  </si>
  <si>
    <t>a1EUU000001wJwB2AU</t>
  </si>
  <si>
    <t>ORD-000038163</t>
  </si>
  <si>
    <t>a1EUU00000268Mj2AI</t>
  </si>
  <si>
    <t>ORD-000038424</t>
  </si>
  <si>
    <t>437ACBF6DB3C983AE0631E588D0A467B</t>
  </si>
  <si>
    <t>800UU00000YsAusYAF</t>
  </si>
  <si>
    <t>a1EUU00000268RZ2AY</t>
  </si>
  <si>
    <t>ORD-000038425</t>
  </si>
  <si>
    <t>a1EUU00000268Ra2AI</t>
  </si>
  <si>
    <t>ORD-000038426</t>
  </si>
  <si>
    <t>a1EUU0000028uez2AA</t>
  </si>
  <si>
    <t>ORD-000038562</t>
  </si>
  <si>
    <t>800UU00000Z5de9YAB</t>
  </si>
  <si>
    <t>Manual_lpf_11/17/2025</t>
  </si>
  <si>
    <t>a1EUU000002980P2AQ</t>
  </si>
  <si>
    <t>ORD-000038567</t>
  </si>
  <si>
    <t>800UU00000Z7nflYAB</t>
  </si>
  <si>
    <t>a1EUU000002ARPB2A4</t>
  </si>
  <si>
    <t>ORD-000038605</t>
  </si>
  <si>
    <t>800UU00000ZDMBRYA5</t>
  </si>
  <si>
    <t>005UU000006TWfNYAW</t>
  </si>
  <si>
    <t>a1EUU000002E6XR2A0</t>
  </si>
  <si>
    <t>ORD-000038715</t>
  </si>
  <si>
    <t>a1EUU000002Glui2AC</t>
  </si>
  <si>
    <t>ORD-000038835</t>
  </si>
  <si>
    <t>a24UU000003KepGYAS</t>
  </si>
  <si>
    <t>a1EUU000002Glza2AC</t>
  </si>
  <si>
    <t>ORD-000038855</t>
  </si>
  <si>
    <t>a24UU000003Keu8YAC</t>
  </si>
  <si>
    <t>a1EUU000002GmFe2AK</t>
  </si>
  <si>
    <t>ORD-000038897</t>
  </si>
  <si>
    <t>a24UU000003KfBmYAK</t>
  </si>
  <si>
    <t>a1EUU000002GmHF2A0</t>
  </si>
  <si>
    <t>ORD-000038899</t>
  </si>
  <si>
    <t>a24UU000003KfDNYA0</t>
  </si>
  <si>
    <t>a1EUU000002GmIr2AK</t>
  </si>
  <si>
    <t>ORD-000038905</t>
  </si>
  <si>
    <t>a24UU000003KfEzYAK</t>
  </si>
  <si>
    <t>a1EUU000002GmcE2AS</t>
  </si>
  <si>
    <t>ORD-000038969</t>
  </si>
  <si>
    <t>a24UU000003KfYQYA0</t>
  </si>
  <si>
    <t>a1EUU000002GmnX2AS</t>
  </si>
  <si>
    <t>ORD-000038992</t>
  </si>
  <si>
    <t>a24UU000003Kfi7YAC</t>
  </si>
  <si>
    <t>a1EUU000002HoGz2AK</t>
  </si>
  <si>
    <t>ORD-000039065</t>
  </si>
  <si>
    <t>a24UU000003LD0gYAG</t>
  </si>
  <si>
    <t>a1EUU000002HvFF2A0</t>
  </si>
  <si>
    <t>ORD-000039175</t>
  </si>
  <si>
    <t>a1EUU000002IDor2AG</t>
  </si>
  <si>
    <t>ORD-000039189</t>
  </si>
  <si>
    <t>44BF07D8EFE1A61EE0631E588D0AB4A4</t>
  </si>
  <si>
    <t>800UU00000ZoI41YAF</t>
  </si>
  <si>
    <t>a1EUU000002IDs52AG</t>
  </si>
  <si>
    <t>ORD-000039190</t>
  </si>
  <si>
    <t>a1EUU000002Ii342AC</t>
  </si>
  <si>
    <t>ORD-000039245</t>
  </si>
  <si>
    <t>Manual_lpf_12/1/2025</t>
  </si>
  <si>
    <t>a1EUU000002IiKn2AK</t>
  </si>
  <si>
    <t>ORD-000039243</t>
  </si>
  <si>
    <t>a1EUU000002IiMP2A0</t>
  </si>
  <si>
    <t>ORD-000039244</t>
  </si>
  <si>
    <t>a1EUU000002JNSn2AO</t>
  </si>
  <si>
    <t>ORD-000039293</t>
  </si>
  <si>
    <t>44ECA66056CD645FE0631E588D0AACA1</t>
  </si>
  <si>
    <t>800UU00000Zt82SYAR</t>
  </si>
  <si>
    <t>a1EUU000002JNar2AG</t>
  </si>
  <si>
    <t>ORD-000039294</t>
  </si>
  <si>
    <t>a1EUU000002JOgc2AG</t>
  </si>
  <si>
    <t>ORD-000039297</t>
  </si>
  <si>
    <t>44ECB4049790E602E0631E588D0A219B</t>
  </si>
  <si>
    <t>800UU00000Zt6iAYAR</t>
  </si>
  <si>
    <t>a1EUU000002JP1Z2AW</t>
  </si>
  <si>
    <t>ORD-000039298</t>
  </si>
  <si>
    <t>a1EUU000002NO8X2AW</t>
  </si>
  <si>
    <t>ORD-000039480</t>
  </si>
  <si>
    <t>45397E09D5877163E0631E588D0A428D</t>
  </si>
  <si>
    <t>800UU00000a6OChYAM</t>
  </si>
  <si>
    <t>a1EUU000002NODN2A4</t>
  </si>
  <si>
    <t>ORD-000039481</t>
  </si>
  <si>
    <t>a1EUU000002R2hK2AS</t>
  </si>
  <si>
    <t>ORD-000039558</t>
  </si>
  <si>
    <t>a24UU000003PltJYAS</t>
  </si>
  <si>
    <t>a1EUU000002R69p2AC</t>
  </si>
  <si>
    <t>ORD-000039562</t>
  </si>
  <si>
    <t>459B10FEE03B5744E0631E588D0A4788</t>
  </si>
  <si>
    <t>800UU00000aKAhlYAG</t>
  </si>
  <si>
    <t>a1EUU000002R6BR2A0</t>
  </si>
  <si>
    <t>ORD-000039563</t>
  </si>
  <si>
    <t>a1EUU000002R6D32AK</t>
  </si>
  <si>
    <t>ORD-000039564</t>
  </si>
  <si>
    <t>a1EUU000002RZi52AG</t>
  </si>
  <si>
    <t>ORD-000039582</t>
  </si>
  <si>
    <t>459FD154E53B08BBE0631E588D0A7839</t>
  </si>
  <si>
    <t>800UU00000aM0nrYAC</t>
  </si>
  <si>
    <t>a1EUU000002RdfF2AS</t>
  </si>
  <si>
    <t>ORD-000039587</t>
  </si>
  <si>
    <t>a1EUU000002RdfG2AS</t>
  </si>
  <si>
    <t>ORD-000039588</t>
  </si>
  <si>
    <t>005UU000006iWjtYAE</t>
  </si>
  <si>
    <t>a1EUU000002UcoH2AS</t>
  </si>
  <si>
    <t>ORD-000039784</t>
  </si>
  <si>
    <t>On Hold</t>
  </si>
  <si>
    <t>a1EUU000002Vy5C2AS</t>
  </si>
  <si>
    <t>ORD-000039872</t>
  </si>
  <si>
    <t>4617369647263E1EE0631E588D0AC7EB</t>
  </si>
  <si>
    <t>800UU00000afS0VYAU</t>
  </si>
  <si>
    <t>a1EUU000002Vz9K2AS</t>
  </si>
  <si>
    <t>ORD-000039871</t>
  </si>
  <si>
    <t>a1EUU000002W8Kf2AK</t>
  </si>
  <si>
    <t>ORD-000039881</t>
  </si>
  <si>
    <t>46187BB13F504CC4E0631E588D0A48DA</t>
  </si>
  <si>
    <t>800UU00000afmlXYAQ</t>
  </si>
  <si>
    <t>a1EUU000002W8XZ2A0</t>
  </si>
  <si>
    <t>ORD-000039882</t>
  </si>
  <si>
    <t>a1EUU000002WpB82AK</t>
  </si>
  <si>
    <t>ORD-000039905</t>
  </si>
  <si>
    <t>a1EUU000002WxTf2AK</t>
  </si>
  <si>
    <t>ORD-000039945</t>
  </si>
  <si>
    <t>7659960003766733303095</t>
  </si>
  <si>
    <t>800UU00000ajftWYAQ</t>
  </si>
  <si>
    <t>a1EUU000002Wxzt2AC</t>
  </si>
  <si>
    <t>ORD-000039937</t>
  </si>
  <si>
    <t>462A12FF35A03C1CE0631E588D0AE1A0</t>
  </si>
  <si>
    <t>800UU00000ajOClYAM</t>
  </si>
  <si>
    <t>a1EUU000002WypV2AS</t>
  </si>
  <si>
    <t>ORD-000039938</t>
  </si>
  <si>
    <t>a1EUU000002WypW2AS</t>
  </si>
  <si>
    <t>ORD-000039939</t>
  </si>
  <si>
    <t>a1EUU000002X3fV2AS</t>
  </si>
  <si>
    <t>ORD-000039943</t>
  </si>
  <si>
    <t>a1EUU000002XwLp2AK</t>
  </si>
  <si>
    <t>ORD-000039978</t>
  </si>
  <si>
    <t>7660695957956548803701</t>
  </si>
  <si>
    <t>800UU00000amZYEYA2</t>
  </si>
  <si>
    <t>a1EUU000002XwTt2AK</t>
  </si>
  <si>
    <t>ORD-000039979</t>
  </si>
  <si>
    <t>a1EUU000002Y4cn2AC</t>
  </si>
  <si>
    <t>ORD-000040001</t>
  </si>
  <si>
    <t>52315444901C55E7E0631D588D0A7903</t>
  </si>
  <si>
    <t>800UU00000anaKBYAY</t>
  </si>
  <si>
    <t>a1EUU000002Y9Fr2AK</t>
  </si>
  <si>
    <t>ORD-000039999</t>
  </si>
  <si>
    <t>463F4FA65C971008E0631E588D0AED70</t>
  </si>
  <si>
    <t>a1EUU000002YGPN2A4</t>
  </si>
  <si>
    <t>ORD-000040000</t>
  </si>
  <si>
    <t>a1EUU000002cbzx2AA</t>
  </si>
  <si>
    <t>ORD-000040247</t>
  </si>
  <si>
    <t>a24UU000003Vem4YAC</t>
  </si>
  <si>
    <t>a1EUU000002ccHf2AI</t>
  </si>
  <si>
    <t>ORD-000040256</t>
  </si>
  <si>
    <t>a24UU000003Vf3dYAC</t>
  </si>
  <si>
    <t>a1EUU000002ccKs2AI</t>
  </si>
  <si>
    <t>ORD-000040260</t>
  </si>
  <si>
    <t>a24UU000003Vf6rYAC</t>
  </si>
  <si>
    <t>a1EUU000002cczB2AQ</t>
  </si>
  <si>
    <t>ORD-000040296</t>
  </si>
  <si>
    <t>a24UU000003VgZ9YAK</t>
  </si>
  <si>
    <t>a1EUU000002cd0n2AA</t>
  </si>
  <si>
    <t>ORD-000040297</t>
  </si>
  <si>
    <t>a1EUU000002d50H2AQ</t>
  </si>
  <si>
    <t>ORD-000040332</t>
  </si>
  <si>
    <t>a24UU000003VnNoYAK</t>
  </si>
  <si>
    <t>a1EUU000002e8nJ2AQ</t>
  </si>
  <si>
    <t>ORD-000040411</t>
  </si>
  <si>
    <t>a24UU000003Wc22YAC</t>
  </si>
  <si>
    <t>a1EUU000002eHnO2AU</t>
  </si>
  <si>
    <t>ORD-000040430</t>
  </si>
  <si>
    <t>a24UU000003Wk7eYAC</t>
  </si>
  <si>
    <t>a1EUU000002eHx32AE</t>
  </si>
  <si>
    <t>ORD-000040463</t>
  </si>
  <si>
    <t>a24UU000003WkIvYAK</t>
  </si>
  <si>
    <t>a1EUU000002eHx52AE</t>
  </si>
  <si>
    <t>ORD-000040465</t>
  </si>
  <si>
    <t>a24UU000003WkIxYAK</t>
  </si>
  <si>
    <t>a1EUU000002eII12AM</t>
  </si>
  <si>
    <t>ORD-000040502</t>
  </si>
  <si>
    <t>a24UU000003WkfWYAS</t>
  </si>
  <si>
    <t>a1EUU000002eIOW2A2</t>
  </si>
  <si>
    <t>ORD-000040523</t>
  </si>
  <si>
    <t>a24UU000003Wkm4YAC</t>
  </si>
  <si>
    <t>a1EUU000002eTrl2AE</t>
  </si>
  <si>
    <t>ORD-000040578</t>
  </si>
  <si>
    <t>472F8CD1FC8E2025E0631E588D0A07D3</t>
  </si>
  <si>
    <t>800UU00000bGDGzYAO</t>
  </si>
  <si>
    <t>a1EUU000002eU332AE</t>
  </si>
  <si>
    <t>ORD-000040579</t>
  </si>
  <si>
    <t>a1EUU000002eU7t2AE</t>
  </si>
  <si>
    <t>ORD-000040580</t>
  </si>
  <si>
    <t>a1EUU000002gLtJ2AU</t>
  </si>
  <si>
    <t>ORD-000040677</t>
  </si>
  <si>
    <t>476E45F7B16EF081E0631E588D0A20D9</t>
  </si>
  <si>
    <t>800UU00000bO0OKYA0</t>
  </si>
  <si>
    <t>a1EUU000002gLwX2AU</t>
  </si>
  <si>
    <t>ORD-000040678</t>
  </si>
  <si>
    <t>a1EUU000002gM2z2AE</t>
  </si>
  <si>
    <t>ORD-000040679</t>
  </si>
  <si>
    <t>a1EUU000002jovZ2AQ</t>
  </si>
  <si>
    <t>ORD-000040788</t>
  </si>
  <si>
    <t>47D42C1C6994BAECE0631E588D0AA1C2</t>
  </si>
  <si>
    <t>800UU00000bdH2AYAU</t>
  </si>
  <si>
    <t>a1EUU000002jpbV2AQ</t>
  </si>
  <si>
    <t>ORD-000040789</t>
  </si>
  <si>
    <t>a1EUU000002kW5O2AU</t>
  </si>
  <si>
    <t>ORD-000040821</t>
  </si>
  <si>
    <t>1349958911-799853147</t>
  </si>
  <si>
    <t>800UU00000bgUIyYAM</t>
  </si>
  <si>
    <t>a1EUU000002kYyP2AU</t>
  </si>
  <si>
    <t>ORD-000040822</t>
  </si>
  <si>
    <t>a1EUU000002kZ3F2AU</t>
  </si>
  <si>
    <t>ORD-000040823</t>
  </si>
  <si>
    <t>1350154263-800055595</t>
  </si>
  <si>
    <t>a24UU000003aQQTYA2</t>
  </si>
  <si>
    <t>a1EUU000002lMaD2AU</t>
  </si>
  <si>
    <t>ORD-000040861</t>
  </si>
  <si>
    <t>a24UU000003ampCYAQ</t>
  </si>
  <si>
    <t>a1EUU000002lMgf2AE</t>
  </si>
  <si>
    <t>ORD-000040866</t>
  </si>
  <si>
    <t>a1EUU000002lOiT2AU</t>
  </si>
  <si>
    <t>ORD-000040873</t>
  </si>
  <si>
    <t>47F61D052F136997E0631E588E0A0E51</t>
  </si>
  <si>
    <t>800UU00000bjnCFYAY</t>
  </si>
  <si>
    <t>a1EUU000002lOlh2AE</t>
  </si>
  <si>
    <t>ORD-000040874</t>
  </si>
  <si>
    <t>a1EUU000002lOli2AE</t>
  </si>
  <si>
    <t>ORD-000040875</t>
  </si>
  <si>
    <t>a1EUU000002lTGj2AM</t>
  </si>
  <si>
    <t>ORD-000040894</t>
  </si>
  <si>
    <t>a1EUU000002lTIL2A2</t>
  </si>
  <si>
    <t>ORD-000040895</t>
  </si>
  <si>
    <t>1369722899-820900104</t>
  </si>
  <si>
    <t>a1EUU000002pkpF2AQ</t>
  </si>
  <si>
    <t>ORD-000041041</t>
  </si>
  <si>
    <t>485E7A9487CBA248E0631E588D0A4FF9</t>
  </si>
  <si>
    <t>800UU00000bzox5YAA</t>
  </si>
  <si>
    <t>a1EUU000002pksT2AQ</t>
  </si>
  <si>
    <t>ORD-000041042</t>
  </si>
  <si>
    <t>a1EUU000002pksU2AQ</t>
  </si>
  <si>
    <t>ORD-000041043</t>
  </si>
  <si>
    <t>a1EUU000002rEWj2AM</t>
  </si>
  <si>
    <t>ORD-000041217</t>
  </si>
  <si>
    <t>800UU00000c3tLVYAY</t>
  </si>
  <si>
    <t>a1EUU000002rEen2AE</t>
  </si>
  <si>
    <t>ORD-000041218</t>
  </si>
  <si>
    <t>487263B968842C25E0631E588D0AEF77</t>
  </si>
  <si>
    <t>a1EUU000002rEoT2AU</t>
  </si>
  <si>
    <t>ORD-000041219</t>
  </si>
  <si>
    <t>a1EUU000002rI5h2AE</t>
  </si>
  <si>
    <t>ORD-000041220</t>
  </si>
  <si>
    <t>487301DAECEF38CDE0631E588D0A0702</t>
  </si>
  <si>
    <t>800UU00000c3yWXYAY</t>
  </si>
  <si>
    <t>a1EUU000002rIC92AM</t>
  </si>
  <si>
    <t>ORD-000041221</t>
  </si>
  <si>
    <t>a1EUU000002rICA2A2</t>
  </si>
  <si>
    <t>ORD-000041222</t>
  </si>
  <si>
    <t>a1EUU000002rwxZ2AQ</t>
  </si>
  <si>
    <t>ORD-000041277</t>
  </si>
  <si>
    <t>48837F2B727BC252E0631E588D0AD223</t>
  </si>
  <si>
    <t>800UU00000c6XTOYA2</t>
  </si>
  <si>
    <t>a1EUU000002rx2P2AQ</t>
  </si>
  <si>
    <t>ORD-000041278</t>
  </si>
  <si>
    <t>a1EUU000002rx2Q2AQ</t>
  </si>
  <si>
    <t>ORD-000041279</t>
  </si>
  <si>
    <t>a1EUU000002tGUP2A2</t>
  </si>
  <si>
    <t>ORD-000041311</t>
  </si>
  <si>
    <t>a1EUU000002tHNF2A2</t>
  </si>
  <si>
    <t>ORD-000041316</t>
  </si>
  <si>
    <t>48971328AD4F9083E0631E588D0AF450</t>
  </si>
  <si>
    <t>800UU00000cA6JDYA0</t>
  </si>
  <si>
    <t>a1EUU000002tHOr2AM</t>
  </si>
  <si>
    <t>ORD-000041317</t>
  </si>
  <si>
    <t>a1EUU000002tnF42AI</t>
  </si>
  <si>
    <t>ORD-000041365</t>
  </si>
  <si>
    <t>a24UU000003fQxjYAE</t>
  </si>
  <si>
    <t>a1EUU000002tnGg2AI</t>
  </si>
  <si>
    <t>ORD-000041369</t>
  </si>
  <si>
    <t>a24UU000003fQwIYAU</t>
  </si>
  <si>
    <t>a1EUU000002tplW2AQ</t>
  </si>
  <si>
    <t>ORD-000041374</t>
  </si>
  <si>
    <t>a24UU000003fV9OYAU</t>
  </si>
  <si>
    <t>a1EUU000002uj9Q2AQ</t>
  </si>
  <si>
    <t>ORD-000041405</t>
  </si>
  <si>
    <t>a24UU000003ftICYAY</t>
  </si>
  <si>
    <t>a1EUU000002ujB12AI</t>
  </si>
  <si>
    <t>ORD-000041409</t>
  </si>
  <si>
    <t>a24UU000003ftJqYAI</t>
  </si>
  <si>
    <t>a1EUU000002ukWs2AI</t>
  </si>
  <si>
    <t>ORD-000041413</t>
  </si>
  <si>
    <t>a24UU000003fzQoYAI</t>
  </si>
  <si>
    <t>a1EUU000002uvFN2AY</t>
  </si>
  <si>
    <t>ORD-000041421</t>
  </si>
  <si>
    <t>7690171726566056503699</t>
  </si>
  <si>
    <t>800UU00000cIyj9YAC</t>
  </si>
  <si>
    <t>a1EUU000002uvIb2AI</t>
  </si>
  <si>
    <t>ORD-000041422</t>
  </si>
  <si>
    <t>a1EUU000002vhTi2AI</t>
  </si>
  <si>
    <t>ORD-000041445</t>
  </si>
  <si>
    <t>a24UU000003gQcXYAU</t>
  </si>
  <si>
    <t>a1EUU000002vihV2AQ</t>
  </si>
  <si>
    <t>ORD-000041450</t>
  </si>
  <si>
    <t>48FB32F2D31B379AE0631E588D0A3489</t>
  </si>
  <si>
    <t>800UU00000cLnRHYA0</t>
  </si>
  <si>
    <t>a1EUU000002vimL2AQ</t>
  </si>
  <si>
    <t>ORD-000041453</t>
  </si>
  <si>
    <t>a1EUU000002vjX82AI</t>
  </si>
  <si>
    <t>ORD-000041459</t>
  </si>
  <si>
    <t>a24UU000003gWEjYAM</t>
  </si>
  <si>
    <t>a1EUU000002vyzB2AQ</t>
  </si>
  <si>
    <t>ORD-000041469</t>
  </si>
  <si>
    <t>48FF753B8921CB16E0631E588D0A5559</t>
  </si>
  <si>
    <t>800UU00000cMXFgYAO</t>
  </si>
  <si>
    <t>a1EUU000002vz5d2AA</t>
  </si>
  <si>
    <t>ORD-000041470</t>
  </si>
  <si>
    <t>a1EUU000002wTq62AE</t>
  </si>
  <si>
    <t>ORD-000041510</t>
  </si>
  <si>
    <t>a1EUU000002xcrL2AQ</t>
  </si>
  <si>
    <t>ORD-000041548</t>
  </si>
  <si>
    <t>a24UU000003hp7FYAQ</t>
  </si>
  <si>
    <t>a1EUU000002xdCH2AY</t>
  </si>
  <si>
    <t>ORD-000041571</t>
  </si>
  <si>
    <t>a24UU000003hpaKYAQ</t>
  </si>
  <si>
    <t>a1EUU000002xdk92AA</t>
  </si>
  <si>
    <t>ORD-000041599</t>
  </si>
  <si>
    <t>a1EUU000002xebN2AQ</t>
  </si>
  <si>
    <t>ORD-000041601</t>
  </si>
  <si>
    <t>494C1519E6D20853E0631E588D0A903A</t>
  </si>
  <si>
    <t>800UU00000cU88oYAC</t>
  </si>
  <si>
    <t>a1EUU000002xeeb2AA</t>
  </si>
  <si>
    <t>ORD-000041602</t>
  </si>
  <si>
    <t>a1EUU000002xeec2AA</t>
  </si>
  <si>
    <t>ORD-000041603</t>
  </si>
  <si>
    <t>a1EUU000002ybZq2AI</t>
  </si>
  <si>
    <t>ORD-000041647</t>
  </si>
  <si>
    <t>a1EUU000002ymLZ2AY</t>
  </si>
  <si>
    <t>ORD-000041672</t>
  </si>
  <si>
    <t>800UU00000cXN4qYAG</t>
  </si>
  <si>
    <t>a1EUU000002ymS12AI</t>
  </si>
  <si>
    <t>ORD-000041674</t>
  </si>
  <si>
    <t>496206E37312D729E0631E588D0AAC6E</t>
  </si>
  <si>
    <t>a1EUU000002ymdJ2AQ</t>
  </si>
  <si>
    <t>ORD-000041676</t>
  </si>
  <si>
    <t>a1EUU000002zgu12AA</t>
  </si>
  <si>
    <t>ORD-000041708</t>
  </si>
  <si>
    <t>a1EUU00000300xZ2AQ</t>
  </si>
  <si>
    <t>ORD-000041728</t>
  </si>
  <si>
    <t>4977DBBE25ED9115E0631E588D0AF239</t>
  </si>
  <si>
    <t>800UU00000cb3pAYAQ</t>
  </si>
  <si>
    <t>a1EUU00000304xx2AA</t>
  </si>
  <si>
    <t>ORD-000041731</t>
  </si>
  <si>
    <t>a1EUU00000304xy2AA</t>
  </si>
  <si>
    <t>ORD-000041732</t>
  </si>
  <si>
    <t>a1EUU0000030e3l2AA</t>
  </si>
  <si>
    <t>ORD-000041745</t>
  </si>
  <si>
    <t>a1EUU0000031Wgs2AE</t>
  </si>
  <si>
    <t>ORD-000042007</t>
  </si>
  <si>
    <t>a24UU000003k0kyYAA</t>
  </si>
  <si>
    <t>a1EUU0000031XGP2A2</t>
  </si>
  <si>
    <t>ORD-000041811</t>
  </si>
  <si>
    <t>a24UU000003jyOEYAY</t>
  </si>
  <si>
    <t>a1EUU0000031XJh2AM</t>
  </si>
  <si>
    <t>ORD-000041827</t>
  </si>
  <si>
    <t>a24UU000003jyuXYAQ</t>
  </si>
  <si>
    <t>a1EUU0000031XOf2AM</t>
  </si>
  <si>
    <t>ORD-000041903</t>
  </si>
  <si>
    <t>a24UU000003jz15YAA</t>
  </si>
  <si>
    <t>a1EUU0000031XQ52AM</t>
  </si>
  <si>
    <t>ORD-000041856</t>
  </si>
  <si>
    <t>a24UU000003jz2TYAQ</t>
  </si>
  <si>
    <t>a1EUU0000031XRe2AM</t>
  </si>
  <si>
    <t>ORD-000041859</t>
  </si>
  <si>
    <t>a24UU000003jz42YAA</t>
  </si>
  <si>
    <t>a1EUU0000031XRh2AM</t>
  </si>
  <si>
    <t>ORD-000041862</t>
  </si>
  <si>
    <t>a24UU000003jz46YAA</t>
  </si>
  <si>
    <t>a1EUU0000031XTI2A2</t>
  </si>
  <si>
    <t>ORD-000041868</t>
  </si>
  <si>
    <t>a24UU000003jz5hYAA</t>
  </si>
  <si>
    <t>a1EUU0000031XZh2AM</t>
  </si>
  <si>
    <t>ORD-000041887</t>
  </si>
  <si>
    <t>a24UU000003jzDkYAI</t>
  </si>
  <si>
    <t>a1EUU0000031Xcy2AE</t>
  </si>
  <si>
    <t>ORD-000041898</t>
  </si>
  <si>
    <t>a24UU000003jzH1YAI</t>
  </si>
  <si>
    <t>a1EUU0000031Xt52AE</t>
  </si>
  <si>
    <t>ORD-000041927</t>
  </si>
  <si>
    <t>a24UU000003jzfEYAQ</t>
  </si>
  <si>
    <t>a1EUU0000031Y2l2AE</t>
  </si>
  <si>
    <t>ORD-000042032</t>
  </si>
  <si>
    <t>a1EUU0000031Y612AE</t>
  </si>
  <si>
    <t>ORD-000041951</t>
  </si>
  <si>
    <t>a24UU000003k01nYAA</t>
  </si>
  <si>
    <t>a1EUU0000031YYz2AM</t>
  </si>
  <si>
    <t>ORD-000041996</t>
  </si>
  <si>
    <t>a1EUU0000031Yab2AE</t>
  </si>
  <si>
    <t>ORD-000041999</t>
  </si>
  <si>
    <t>a1EUU0000031Yii2AE</t>
  </si>
  <si>
    <t>ORD-000042018</t>
  </si>
  <si>
    <t>a1EUU0000031YkH2AU</t>
  </si>
  <si>
    <t>ORD-000042020</t>
  </si>
  <si>
    <t>a24UU000003k17aYAA</t>
  </si>
  <si>
    <t>a1EUU0000031Yvc2AE</t>
  </si>
  <si>
    <t>ORD-000042040</t>
  </si>
  <si>
    <t>a24UU000003k1h2YAA</t>
  </si>
  <si>
    <t>a1EUU0000032Znx2AE</t>
  </si>
  <si>
    <t>ORD-000042084</t>
  </si>
  <si>
    <t>a1EUU0000034Z0g2AE</t>
  </si>
  <si>
    <t>ORD-000042168</t>
  </si>
  <si>
    <t>1355339862-805565835</t>
  </si>
  <si>
    <t>800UU00000crjh3YAA</t>
  </si>
  <si>
    <t>a1EUU0000034Z5V2AU</t>
  </si>
  <si>
    <t>ORD-000042169</t>
  </si>
  <si>
    <t>a1EUU0000036JUT2A2</t>
  </si>
  <si>
    <t>ORD-000042246</t>
  </si>
  <si>
    <t>a24UU000003nRTiYAM</t>
  </si>
  <si>
    <t>a1EUU0000036JhO2AU</t>
  </si>
  <si>
    <t>ORD-000042256</t>
  </si>
  <si>
    <t>a1EUU0000038Fhi2AE</t>
  </si>
  <si>
    <t>ORD-000042338</t>
  </si>
  <si>
    <t>a24UU000003p0xAYAQ</t>
  </si>
  <si>
    <t>Manual_lpf_2/12/2026</t>
  </si>
  <si>
    <t>a1EUU000003ACZF2A4</t>
  </si>
  <si>
    <t>ORD-000042401</t>
  </si>
  <si>
    <t>a1EUU000003B0pO2AS</t>
  </si>
  <si>
    <t>ORD-000042505</t>
  </si>
  <si>
    <t>a1EUU000003B0vp2AC</t>
  </si>
  <si>
    <t>ORD-000042509</t>
  </si>
  <si>
    <t>a1EUU000003ByaE2AS</t>
  </si>
  <si>
    <t>ORD-000042565</t>
  </si>
  <si>
    <t>a1EUU000003CMr92AG</t>
  </si>
  <si>
    <t>ORD-000042592</t>
  </si>
  <si>
    <t>a24UU000003sDxwYAE</t>
  </si>
  <si>
    <t>a1EUU000003CMrA2AW</t>
  </si>
  <si>
    <t>ORD-000042593</t>
  </si>
  <si>
    <t>a24UU000003sDxxYAE</t>
  </si>
  <si>
    <t>a1EUU000003CMrN2AW</t>
  </si>
  <si>
    <t>ORD-000042606</t>
  </si>
  <si>
    <t>a24UU000003sDyAYAU</t>
  </si>
  <si>
    <t>a1EUU000003CUev2AG</t>
  </si>
  <si>
    <t>ORD-000042626</t>
  </si>
  <si>
    <t>4B0972C482D40D85E0631E588D0AC8C9</t>
  </si>
  <si>
    <t>800UU00000dMcHxYAK</t>
  </si>
  <si>
    <t>a1EUU000003CUmz2AG</t>
  </si>
  <si>
    <t>ORD-000042627</t>
  </si>
  <si>
    <t>a1EUU000003EyIm2AK</t>
  </si>
  <si>
    <t>ORD-000042746</t>
  </si>
  <si>
    <t>a24UU000003tsnjYAA</t>
  </si>
  <si>
    <t>a1EUU000003EzOT2A0</t>
  </si>
  <si>
    <t>ORD-000042748</t>
  </si>
  <si>
    <t>1361559021-812142040</t>
  </si>
  <si>
    <t>a24UU000003txAbYAI</t>
  </si>
  <si>
    <t>a1EUU000003FL412AG</t>
  </si>
  <si>
    <t>ORD-000042751</t>
  </si>
  <si>
    <t>a1EUU000003IpVN2A0</t>
  </si>
  <si>
    <t>ORD-000042846</t>
  </si>
  <si>
    <t>a1EUU000003K2C32AK</t>
  </si>
  <si>
    <t>ORD-000042890</t>
  </si>
  <si>
    <t>a24UU000003wzcYYAQ</t>
  </si>
  <si>
    <t>a1EUU000003K2SA2A0</t>
  </si>
  <si>
    <t>ORD-000042911</t>
  </si>
  <si>
    <t>a24UU000003wzsfYAA</t>
  </si>
  <si>
    <t>a1EUU000003K2f32AC</t>
  </si>
  <si>
    <t>ORD-000042932</t>
  </si>
  <si>
    <t>a24UU000003x0ALYAY</t>
  </si>
  <si>
    <t>a1EUU000003K33F2AS</t>
  </si>
  <si>
    <t>ORD-000042950</t>
  </si>
  <si>
    <t>a24UU000003x13BYAQ</t>
  </si>
  <si>
    <t>a1EUU000003K39i2AC</t>
  </si>
  <si>
    <t>ORD-000042958</t>
  </si>
  <si>
    <t>a1EUU000003K39k2AC</t>
  </si>
  <si>
    <t>ORD-000042960</t>
  </si>
  <si>
    <t>a24UU000003x1BSYAY</t>
  </si>
  <si>
    <t>a1EUU000003K3Cv2AK</t>
  </si>
  <si>
    <t>ORD-000042957</t>
  </si>
  <si>
    <t>a24UU000003wz6GYAQ</t>
  </si>
  <si>
    <t>a1EUU000003K3OE2A0</t>
  </si>
  <si>
    <t>ORD-000042980</t>
  </si>
  <si>
    <t>a24UU000003x1UjYAI</t>
  </si>
  <si>
    <t>a1EUU000003KaYf2AK</t>
  </si>
  <si>
    <t>ORD-000042996</t>
  </si>
  <si>
    <t>a24UU000003xHG1YAM</t>
  </si>
  <si>
    <t>a1EUU000003Nqgv2AC</t>
  </si>
  <si>
    <t>ORD-000043071</t>
  </si>
  <si>
    <t>74.00</t>
  </si>
  <si>
    <t>a1EUU000003SfwB2AS</t>
  </si>
  <si>
    <t>ORD-000043159</t>
  </si>
  <si>
    <t>a24UU0000042pYnYAI</t>
  </si>
  <si>
    <t>a1EUU000003Shpt2AC</t>
  </si>
  <si>
    <t>ORD-000043162</t>
  </si>
  <si>
    <t>a24UU0000042q9tYAA</t>
  </si>
  <si>
    <t>a1EUU000003UWvB2AW</t>
  </si>
  <si>
    <t>ORD-000043307</t>
  </si>
  <si>
    <t>1384256753-836206272</t>
  </si>
  <si>
    <t>a24UU00000441uTYAQ</t>
  </si>
  <si>
    <t>a1EUU000003WZSL2A4</t>
  </si>
  <si>
    <t>ORD-000043369</t>
  </si>
  <si>
    <t>a24UU0000045Q9GYAU</t>
  </si>
  <si>
    <t>Manual_lpf_3/26/2026</t>
  </si>
  <si>
    <t>a1EUU000003cuNd2AI</t>
  </si>
  <si>
    <t>ORD-000043523</t>
  </si>
  <si>
    <t>a1EUU000003d4vJ2AQ</t>
  </si>
  <si>
    <t>ORD-000043547</t>
  </si>
  <si>
    <t>a24UU0000049jlpYAA</t>
  </si>
  <si>
    <t>a1EUU000003d5ni2AA</t>
  </si>
  <si>
    <t>ORD-000043552</t>
  </si>
  <si>
    <t>a24UU0000049l3tYAA</t>
  </si>
  <si>
    <t>a1EUU000003d5sX2AQ</t>
  </si>
  <si>
    <t>ORD-000043557</t>
  </si>
  <si>
    <t>a24UU0000049kxXYAQ</t>
  </si>
  <si>
    <t>a1EUU000003eDCx2AM</t>
  </si>
  <si>
    <t>ORD-000043591</t>
  </si>
  <si>
    <t>a24UU000004AjUeYAK</t>
  </si>
  <si>
    <t>a1EUU000003eDGG2A2</t>
  </si>
  <si>
    <t>ORD-000043662</t>
  </si>
  <si>
    <t>a24UU000004AjZiYAK</t>
  </si>
  <si>
    <t>a1EUU000003eDGH2A2</t>
  </si>
  <si>
    <t>ORD-000043670</t>
  </si>
  <si>
    <t>a24UU000004AjZkYAK</t>
  </si>
  <si>
    <t>a1EUU000003eDJQ2A2</t>
  </si>
  <si>
    <t>ORD-000043607</t>
  </si>
  <si>
    <t>a24UU000004AjeRYAS</t>
  </si>
  <si>
    <t>a1EUU000003eDMe2AM</t>
  </si>
  <si>
    <t>ORD-000043623</t>
  </si>
  <si>
    <t>a24UU000004AjjDYAS</t>
  </si>
  <si>
    <t>a1EUU000003eDOF2A2</t>
  </si>
  <si>
    <t>ORD-000043626</t>
  </si>
  <si>
    <t>a24UU000004AjknYAC</t>
  </si>
  <si>
    <t>a1EUU000003eDOH2A2</t>
  </si>
  <si>
    <t>ORD-000043628</t>
  </si>
  <si>
    <t>a24UU000004AjkrYAC</t>
  </si>
  <si>
    <t>a1EUU000003eDRR2A2</t>
  </si>
  <si>
    <t>ORD-000043630</t>
  </si>
  <si>
    <t>a24UU000004AjnxYAC</t>
  </si>
  <si>
    <t>a1EUU000003eDXx2AM</t>
  </si>
  <si>
    <t>ORD-000043650</t>
  </si>
  <si>
    <t>a24UU000004Ajw5YAC</t>
  </si>
  <si>
    <t>a1EUU000003eDb82AE</t>
  </si>
  <si>
    <t>ORD-000043664</t>
  </si>
  <si>
    <t>a24UU000004AjzHYAS</t>
  </si>
  <si>
    <t>a1EUU000003eDfy2AE</t>
  </si>
  <si>
    <t>ORD-000043684</t>
  </si>
  <si>
    <t>a24UU000004Ak7MYAS</t>
  </si>
  <si>
    <t>a1EUU000003eDkn2AE</t>
  </si>
  <si>
    <t>ORD-000043696</t>
  </si>
  <si>
    <t>a24UU000004AkC9YAK</t>
  </si>
  <si>
    <t>a1EUU000003eDpf2AE</t>
  </si>
  <si>
    <t>ORD-000043706</t>
  </si>
  <si>
    <t>a24UU000004AkH7YAK</t>
  </si>
  <si>
    <t>a1EUU000003eE942AE</t>
  </si>
  <si>
    <t>ORD-000043752</t>
  </si>
  <si>
    <t>a24UU000004AkaTYAS</t>
  </si>
  <si>
    <t>a1EUU000003eEH42AM</t>
  </si>
  <si>
    <t>ORD-000043762</t>
  </si>
  <si>
    <t>a24UU000004Aj85YAC</t>
  </si>
  <si>
    <t>a1EUU000003eEQk2AM</t>
  </si>
  <si>
    <t>ORD-000043772</t>
  </si>
  <si>
    <t>a24UU000004Al54YAC</t>
  </si>
  <si>
    <t>Manual_lpf_4/2/2026</t>
  </si>
  <si>
    <t>a1EUU000003h3vN2AQ</t>
  </si>
  <si>
    <t>ORD-000043836</t>
  </si>
  <si>
    <t>a24UU000004C7ufYAC</t>
  </si>
  <si>
    <t>a1EUU000003hAjx2AE</t>
  </si>
  <si>
    <t>ORD-000043844</t>
  </si>
  <si>
    <t>a24UU000004CIYUYA4</t>
  </si>
  <si>
    <t>a1EUU000003hBsv2AE</t>
  </si>
  <si>
    <t>ORD-000043849</t>
  </si>
  <si>
    <t>a1EUU000003mZTB2A2</t>
  </si>
  <si>
    <t>ORD-000043946</t>
  </si>
  <si>
    <t>a24UU000004FbeTYAS</t>
  </si>
  <si>
    <t>a1EUU000003nxhy2AA</t>
  </si>
  <si>
    <t>ORD-000043968</t>
  </si>
  <si>
    <t>1369169742-820319358</t>
  </si>
  <si>
    <t>a1EUU000003oWsb2AE</t>
  </si>
  <si>
    <t>ORD-000043982</t>
  </si>
  <si>
    <t>a24UU000004H3IYYA0</t>
  </si>
  <si>
    <t>a1EUU000003q4nN2AQ</t>
  </si>
  <si>
    <t>ORD-000044103</t>
  </si>
  <si>
    <t>a1EUU000003sCC92AM</t>
  </si>
  <si>
    <t>ORD-000044188</t>
  </si>
  <si>
    <t>a1EUU000003vjY92AI</t>
  </si>
  <si>
    <t>ORD-000044279</t>
  </si>
  <si>
    <t>a24UU000004LVg3YAG</t>
  </si>
  <si>
    <t>a1EUU000003vjbN2AQ</t>
  </si>
  <si>
    <t>ORD-000044281</t>
  </si>
  <si>
    <t>a24UU000004LW5sYAG</t>
  </si>
  <si>
    <t>a1EUU000003wk2M2AQ</t>
  </si>
  <si>
    <t>ORD-000044308</t>
  </si>
  <si>
    <t>a24UU000004MQBHYA4</t>
  </si>
  <si>
    <t>a1EUU000003wk5Z2AQ</t>
  </si>
  <si>
    <t>ORD-000044312</t>
  </si>
  <si>
    <t>a24UU000004MQHjYAO</t>
  </si>
  <si>
    <t>a1EUU000003zUcE2AU</t>
  </si>
  <si>
    <t>ORD-000044469</t>
  </si>
  <si>
    <t>a24UU000004Nz2CYAS</t>
  </si>
  <si>
    <t>a1EUU000003zUtu2AE</t>
  </si>
  <si>
    <t>ORD-000044365</t>
  </si>
  <si>
    <t>a24UU000004NzLUYA0</t>
  </si>
  <si>
    <t>a1EUU000003zUtw2AE</t>
  </si>
  <si>
    <t>ORD-000044560</t>
  </si>
  <si>
    <t>a24UU000004NzLYYA0</t>
  </si>
  <si>
    <t>a1EUU000003zV0O2AU</t>
  </si>
  <si>
    <t>ORD-000044375</t>
  </si>
  <si>
    <t>a24UU000004NzRyYAK</t>
  </si>
  <si>
    <t>a1EUU000003zV222AE</t>
  </si>
  <si>
    <t>ORD-000044394</t>
  </si>
  <si>
    <t>a24UU000004NzTiYAK</t>
  </si>
  <si>
    <t>a1EUU000003zV3a2AE</t>
  </si>
  <si>
    <t>ORD-000044381</t>
  </si>
  <si>
    <t>a24UU000004NzVBYA0</t>
  </si>
  <si>
    <t>a1EUU000003zV5B2AU</t>
  </si>
  <si>
    <t>ORD-000044383</t>
  </si>
  <si>
    <t>a24UU000004NzYPYA0</t>
  </si>
  <si>
    <t>a1EUU000003zVA32AM</t>
  </si>
  <si>
    <t>ORD-000044398</t>
  </si>
  <si>
    <t>a24UU000004NzZzYAK</t>
  </si>
  <si>
    <t>a1EUU000003zVA52AM</t>
  </si>
  <si>
    <t>ORD-000044400</t>
  </si>
  <si>
    <t>a24UU000004Nza3YAC</t>
  </si>
  <si>
    <t>a1EUU000003zVBh2AM</t>
  </si>
  <si>
    <t>ORD-000044405</t>
  </si>
  <si>
    <t>a24UU000004NzbiYAC</t>
  </si>
  <si>
    <t>a1EUU000003zVEy2AM</t>
  </si>
  <si>
    <t>ORD-000044442</t>
  </si>
  <si>
    <t>a24UU000004Nzf0YAC</t>
  </si>
  <si>
    <t>a1EUU000003zVGW2A2</t>
  </si>
  <si>
    <t>ORD-000044422</t>
  </si>
  <si>
    <t>a24UU000004NzgVYAS</t>
  </si>
  <si>
    <t>a1EUU000003zVJj2AM</t>
  </si>
  <si>
    <t>ORD-000044429</t>
  </si>
  <si>
    <t>a24UU000004NzjgYAC</t>
  </si>
  <si>
    <t>a1EUU000003zVLK2A2</t>
  </si>
  <si>
    <t>ORD-000044434</t>
  </si>
  <si>
    <t>a24UU000004NzlHYAS</t>
  </si>
  <si>
    <t>a1EUU000003zVLM2A2</t>
  </si>
  <si>
    <t>ORD-000044436</t>
  </si>
  <si>
    <t>a24UU000004NzlKYAS</t>
  </si>
  <si>
    <t>a1EUU000003zVRl2AM</t>
  </si>
  <si>
    <t>ORD-000044454</t>
  </si>
  <si>
    <t>a24UU000004NztKYAS</t>
  </si>
  <si>
    <t>a1EUU000003zVbS2AU</t>
  </si>
  <si>
    <t>ORD-000044484</t>
  </si>
  <si>
    <t>a24UU000004O04cYAC</t>
  </si>
  <si>
    <t>a1EUU000003zVwP2AU</t>
  </si>
  <si>
    <t>ORD-000044539</t>
  </si>
  <si>
    <t>a24UU000004O0PaYAK</t>
  </si>
  <si>
    <t>a1EUU000003zW1F2AU</t>
  </si>
  <si>
    <t>ORD-000044544</t>
  </si>
  <si>
    <t>a24UU000004O0UUYA0</t>
  </si>
  <si>
    <t>a1EUU000003zW652AE</t>
  </si>
  <si>
    <t>ORD-000044547</t>
  </si>
  <si>
    <t>a24UU000004O0fhYAC</t>
  </si>
  <si>
    <t>a1EUU000003zW9J2AU</t>
  </si>
  <si>
    <t>ORD-000044551</t>
  </si>
  <si>
    <t>a24UU000004O0kXYAS</t>
  </si>
  <si>
    <t>a1EUU0000040NIU2A2</t>
  </si>
  <si>
    <t>ORD-000044603</t>
  </si>
  <si>
    <t>a24UU000004OfXhYAK</t>
  </si>
  <si>
    <t>CONTRA CARGO</t>
  </si>
  <si>
    <t>a1EUU0000045TYX2A2</t>
  </si>
  <si>
    <t>ORD-000044706</t>
  </si>
  <si>
    <t>a24UU000004S1GdYAK</t>
  </si>
  <si>
    <t>a1EUU000004BURt2AO</t>
  </si>
  <si>
    <t>ORD-000044920</t>
  </si>
  <si>
    <t>a24UU000004VzZbYAK</t>
  </si>
  <si>
    <t>a1EUU000004CJML2A4</t>
  </si>
  <si>
    <t>ORD-000044951</t>
  </si>
  <si>
    <t>522BE34D11A9CADEE0631D588D0AB47B</t>
  </si>
  <si>
    <t>800UU00000ggCnnYAE</t>
  </si>
  <si>
    <t>a1EUU000004CJPZ2A4</t>
  </si>
  <si>
    <t>ORD-000044952</t>
  </si>
  <si>
    <t>a1EUU000004CoI52AK</t>
  </si>
  <si>
    <t>ORD-000044956</t>
  </si>
  <si>
    <t>a1EUU000004F3bB2AS</t>
  </si>
  <si>
    <t>ORD-000045017</t>
  </si>
  <si>
    <t>526972FCEC1B2A30E0631D588D0A7418</t>
  </si>
  <si>
    <t>800UU00000gpa9PYAQ</t>
  </si>
  <si>
    <t>a1EUU000004F3cn2AC</t>
  </si>
  <si>
    <t>ORD-000045018</t>
  </si>
  <si>
    <t>a1EUU000004G3R32AK</t>
  </si>
  <si>
    <t>ORD-000045033</t>
  </si>
  <si>
    <t>a24UU000004Z0VzYAK</t>
  </si>
  <si>
    <t>a1EUU000004GJSb2AO</t>
  </si>
  <si>
    <t>ORD-000045047</t>
  </si>
  <si>
    <t>52B9EFCA4936A845E0631D588D0AC002</t>
  </si>
  <si>
    <t>800UU00000gwSOkYAM</t>
  </si>
  <si>
    <t>a1EUU000004GJVp2AO</t>
  </si>
  <si>
    <t>ORD-000045048</t>
  </si>
  <si>
    <t>a1EUU000004GLxR2AW</t>
  </si>
  <si>
    <t>ORD-000045049</t>
  </si>
  <si>
    <t>52BABFD4F055A5BCE0631D588D0AA004</t>
  </si>
  <si>
    <t>800UU00000gwgy0YAA</t>
  </si>
  <si>
    <t>a1EUU000004GM2H2AW</t>
  </si>
  <si>
    <t>ORD-000045050</t>
  </si>
  <si>
    <t>a1EUU000004HFtI2AW</t>
  </si>
  <si>
    <t>ORD-000045063</t>
  </si>
  <si>
    <t>a24UU000004ZjZaYAK</t>
  </si>
  <si>
    <t>a1EUU000004HIr52AG</t>
  </si>
  <si>
    <t>ORD-000045071</t>
  </si>
  <si>
    <t>CONTRACARGO 459833 PY-01780028</t>
  </si>
  <si>
    <t>a1EUU000004HQJx2AO</t>
  </si>
  <si>
    <t>ORD-000045072</t>
  </si>
  <si>
    <t>CONTRACARGO 278945 PY-01783403</t>
  </si>
  <si>
    <t>a1EUU000004IEv42AG</t>
  </si>
  <si>
    <t>ORD-000045078</t>
  </si>
  <si>
    <t>52E35F3943FED87DE0631D588D0A5E5D</t>
  </si>
  <si>
    <t>800UU00000h2fuWYAQ</t>
  </si>
  <si>
    <t>a1EUU000004IIoz2AG</t>
  </si>
  <si>
    <t>ORD-000045077</t>
  </si>
  <si>
    <t>a1EUU000004ILbZ2AW</t>
  </si>
  <si>
    <t>ORD-000045079</t>
  </si>
  <si>
    <t>a1EUU000004IpwD2AS</t>
  </si>
  <si>
    <t>ORD-000045080</t>
  </si>
  <si>
    <t>52E747A4285C7A22E0631D588D0A716C</t>
  </si>
  <si>
    <t>800UU00000h47i7YAA</t>
  </si>
  <si>
    <t>a1EUU000004IpzR2AS</t>
  </si>
  <si>
    <t>ORD-000045081</t>
  </si>
  <si>
    <t>a1EUU000004JGOb2AO</t>
  </si>
  <si>
    <t>ORD-000045087</t>
  </si>
  <si>
    <t>a24UU000004ait8YAA</t>
  </si>
  <si>
    <t>a1EUU000004JGOd2AO</t>
  </si>
  <si>
    <t>ORD-000045089</t>
  </si>
  <si>
    <t>a24UU000004aitAYAQ</t>
  </si>
  <si>
    <t>a1EUU000004JGOe2AO</t>
  </si>
  <si>
    <t>ORD-000045090</t>
  </si>
  <si>
    <t>a24UU000004aitBYAQ</t>
  </si>
  <si>
    <t>a1EUU000004JGOf2AO</t>
  </si>
  <si>
    <t>ORD-000045091</t>
  </si>
  <si>
    <t>a24UU000004aitCYAQ</t>
  </si>
  <si>
    <t>a1EUU000004JGQA2A4</t>
  </si>
  <si>
    <t>ORD-000045093</t>
  </si>
  <si>
    <t>a24UU000004aiugYAA</t>
  </si>
  <si>
    <t>a1EUU000004JGQC2A4</t>
  </si>
  <si>
    <t>ORD-000045095</t>
  </si>
  <si>
    <t>a24UU000004aiuiYAA</t>
  </si>
  <si>
    <t>a1EUU000004JGQE2A4</t>
  </si>
  <si>
    <t>ORD-000045097</t>
  </si>
  <si>
    <t>a24UU000004aiukYAA</t>
  </si>
  <si>
    <t>a1EUU000004JGRm2AO</t>
  </si>
  <si>
    <t>ORD-000045103</t>
  </si>
  <si>
    <t>a24UU000004aixuYAA</t>
  </si>
  <si>
    <t>a1EUU000004JGRp2AO</t>
  </si>
  <si>
    <t>ORD-000045106</t>
  </si>
  <si>
    <t>a24UU000004aixxYAA</t>
  </si>
  <si>
    <t>a1EUU000004JGRs2AO</t>
  </si>
  <si>
    <t>ORD-000045109</t>
  </si>
  <si>
    <t>a24UU000004aiy0YAA</t>
  </si>
  <si>
    <t>a1EUU000004JGRt2AO</t>
  </si>
  <si>
    <t>ORD-000045110</t>
  </si>
  <si>
    <t>a24UU000004aiy1YAA</t>
  </si>
  <si>
    <t>a1EUU000004JGRu2AO</t>
  </si>
  <si>
    <t>ORD-000045111</t>
  </si>
  <si>
    <t>a24UU000004aiy2YAA</t>
  </si>
  <si>
    <t>a1EUU000004JGTR2A4</t>
  </si>
  <si>
    <t>ORD-000045116</t>
  </si>
  <si>
    <t>a24UU000004aizZYAQ</t>
  </si>
  <si>
    <t>a1EUU000004JGTU2A4</t>
  </si>
  <si>
    <t>ORD-000045119</t>
  </si>
  <si>
    <t>a24UU000004aizdYAA</t>
  </si>
  <si>
    <t>a1EUU000004JGTY2A4</t>
  </si>
  <si>
    <t>ORD-000045123</t>
  </si>
  <si>
    <t>a24UU000004aizmYAA</t>
  </si>
  <si>
    <t>a1EUU000004JGYD2A4</t>
  </si>
  <si>
    <t>ORD-000045133</t>
  </si>
  <si>
    <t>a24UU000004aj9IYAQ</t>
  </si>
  <si>
    <t>a1EUU000004JGd32AG</t>
  </si>
  <si>
    <t>ORD-000045137</t>
  </si>
  <si>
    <t>a24UU000004ajUAYAY</t>
  </si>
  <si>
    <t>a1EUU000004JGht2AG</t>
  </si>
  <si>
    <t>ORD-000045138</t>
  </si>
  <si>
    <t>a1EUU000004JGhu2AG</t>
  </si>
  <si>
    <t>ORD-000045140</t>
  </si>
  <si>
    <t>a1EUU000004JGjV2AW</t>
  </si>
  <si>
    <t>ORD-000045139</t>
  </si>
  <si>
    <t>52FA36ECCC1D0580E0631D588D0A0703</t>
  </si>
  <si>
    <t>a24UU000004akRuYAI</t>
  </si>
  <si>
    <t>a1EUU000004JLcj2AG</t>
  </si>
  <si>
    <t>ORD-000045141</t>
  </si>
  <si>
    <t>800UU00000h5gh2YAA</t>
  </si>
  <si>
    <t>a1EUU000004JLo12AG</t>
  </si>
  <si>
    <t>ORD-000045142</t>
  </si>
  <si>
    <t>52F76EA636FC4F20E0631D588D0A2394</t>
  </si>
  <si>
    <t>a1EUU000004JLw52AG</t>
  </si>
  <si>
    <t>ORD-000045143</t>
  </si>
  <si>
    <t>a1EUU000004JYlH2AW</t>
  </si>
  <si>
    <t>ORD-000045144</t>
  </si>
  <si>
    <t>a1EUU000004Jk9i2AC</t>
  </si>
  <si>
    <t>ORD-000045145</t>
  </si>
  <si>
    <t>a1EUU000004NIRl2AO</t>
  </si>
  <si>
    <t>ORD-000045153</t>
  </si>
  <si>
    <t>a24UU000004dVzJYAU</t>
  </si>
  <si>
    <t>a1EUU000004NOx02AG</t>
  </si>
  <si>
    <t>ORD-000045154</t>
  </si>
  <si>
    <t>Manual_lpf_6/4/2026</t>
  </si>
  <si>
    <t>a1EUU000004NcYY2A0</t>
  </si>
  <si>
    <t>ORD-000045155</t>
  </si>
  <si>
    <t>a1EUU000004Nd9d2AC</t>
  </si>
  <si>
    <t>ORD-000045156</t>
  </si>
  <si>
    <t>a1EUU000004OIJF2A4</t>
  </si>
  <si>
    <t>ORD-000045165</t>
  </si>
  <si>
    <t>a1EUU000004OIKr2AO</t>
  </si>
  <si>
    <t>ORD-000045166</t>
  </si>
  <si>
    <t>a24UU000004e1EgYAI</t>
  </si>
  <si>
    <t>a1EUU000004PQgB2AW</t>
  </si>
  <si>
    <t>ORD-000045173</t>
  </si>
  <si>
    <t>53C0404070F6F73CE0631D588D0A9009</t>
  </si>
  <si>
    <t>800UU00000geZi4YAE</t>
  </si>
  <si>
    <t>a04UU00000HNoS9YAL</t>
  </si>
  <si>
    <t>a1EUU000004PTm52AG</t>
  </si>
  <si>
    <t>ORD-000045172</t>
  </si>
  <si>
    <t>a1EUU000004RZfJ2AW</t>
  </si>
  <si>
    <t>ORD-000045177</t>
  </si>
  <si>
    <t>a1EUU000004Vf9R2AS</t>
  </si>
  <si>
    <t>ORD-000045213</t>
  </si>
  <si>
    <t>a24UU000004iuPBYAY</t>
  </si>
  <si>
    <t>a1EUU000004YpAf2AK</t>
  </si>
  <si>
    <t>ORD-000045226</t>
  </si>
  <si>
    <t>a24UU000004kZJpYAM</t>
  </si>
  <si>
    <t>a1EUU000004axAX2AY</t>
  </si>
  <si>
    <t>ORD-000045231</t>
  </si>
  <si>
    <t>a1EUU000004cTWX2A2</t>
  </si>
  <si>
    <t>ORD-000045234</t>
  </si>
  <si>
    <t>a24UU000004mliNYAQ</t>
  </si>
  <si>
    <t>a1EUU000004dh4P2AQ</t>
  </si>
  <si>
    <t>ORD-000045238</t>
  </si>
  <si>
    <t>a24UU000004nHzuYAE</t>
  </si>
  <si>
    <t>49.00</t>
  </si>
  <si>
    <t>a1EUU000004er6X2AQ</t>
  </si>
  <si>
    <t>ORD-000045241</t>
  </si>
  <si>
    <t>a24UU000004oOhiYAE</t>
  </si>
  <si>
    <t>a1EUU000004er892AA</t>
  </si>
  <si>
    <t>ORD-000045242</t>
  </si>
  <si>
    <t>a24UU000004oOjBYAU</t>
  </si>
  <si>
    <t>a1EUU000004fSsT2AU</t>
  </si>
  <si>
    <t>ORD-000045243</t>
  </si>
  <si>
    <t>a24UU000004ohSTYAY</t>
  </si>
  <si>
    <t>a1EUU000004fTgT2AU</t>
  </si>
  <si>
    <t>ORD-000045244</t>
  </si>
  <si>
    <t>a24UU000004ohnRYAQ</t>
  </si>
  <si>
    <t>a1EUU000004fTwb2AE</t>
  </si>
  <si>
    <t>ORD-000045245</t>
  </si>
  <si>
    <t>a24UU000004ohvVYAQ</t>
  </si>
  <si>
    <t>a1EUU000004fUHZ2A2</t>
  </si>
  <si>
    <t>ORD-000045246</t>
  </si>
  <si>
    <t>a24UU000004oi1xYAA</t>
  </si>
  <si>
    <t>a1EUU000004fptt2AA</t>
  </si>
  <si>
    <t>ORD-000045247</t>
  </si>
  <si>
    <t>a24UU000004ow1hYAA</t>
  </si>
  <si>
    <t>a1EUU000004fptx2AA</t>
  </si>
  <si>
    <t>ORD-000045251</t>
  </si>
  <si>
    <t>a24UU000004ow1lYAA</t>
  </si>
  <si>
    <t>a1EUU000004fpty2AA</t>
  </si>
  <si>
    <t>ORD-000045252</t>
  </si>
  <si>
    <t>a24UU000004ow1mYAA</t>
  </si>
  <si>
    <t>a1EUU000004fptz2AA</t>
  </si>
  <si>
    <t>ORD-000045253</t>
  </si>
  <si>
    <t>a24UU000004ow1nYAA</t>
  </si>
  <si>
    <t>a1EUU000004fpvV2AQ</t>
  </si>
  <si>
    <t>ORD-000045256</t>
  </si>
  <si>
    <t>a24UU000004ow6XYAQ</t>
  </si>
  <si>
    <t>a1EUU000004fpvY2AQ</t>
  </si>
  <si>
    <t>ORD-000045259</t>
  </si>
  <si>
    <t>a24UU000004ow6aYAA</t>
  </si>
  <si>
    <t>a1EUU000004fpvZ2AQ</t>
  </si>
  <si>
    <t>ORD-000045260</t>
  </si>
  <si>
    <t>a24UU000004ow6bYAA</t>
  </si>
  <si>
    <t>a1EUU000004fpva2AA</t>
  </si>
  <si>
    <t>ORD-000045261</t>
  </si>
  <si>
    <t>a24UU000004ow6cYAA</t>
  </si>
  <si>
    <t>a1EUU000004fpvc2AA</t>
  </si>
  <si>
    <t>ORD-000045263</t>
  </si>
  <si>
    <t>a24UU000004ow6eYAA</t>
  </si>
  <si>
    <t>a1EUU000004fpx72AA</t>
  </si>
  <si>
    <t>ORD-000045266</t>
  </si>
  <si>
    <t>a24UU000004ow89YAA</t>
  </si>
  <si>
    <t>a1EUU000004fpxA2AQ</t>
  </si>
  <si>
    <t>ORD-000045269</t>
  </si>
  <si>
    <t>a24UU000004ow8CYAQ</t>
  </si>
  <si>
    <t>a1EUU000004fpxE2AQ</t>
  </si>
  <si>
    <t>ORD-000045273</t>
  </si>
  <si>
    <t>a24UU000004ow8HYAQ</t>
  </si>
  <si>
    <t>a1EUU000004hqc92AA</t>
  </si>
  <si>
    <t>ORD-000045282</t>
  </si>
  <si>
    <t>a24UU000004q7fyYAA</t>
  </si>
  <si>
    <t>a1EUU000004iMaP2AU</t>
  </si>
  <si>
    <t>ORD-000045283</t>
  </si>
  <si>
    <t>Manual_lpf_7/2/2026</t>
  </si>
  <si>
    <t>a1EUU000004kl9i2AA</t>
  </si>
  <si>
    <t>ORD-000045298</t>
  </si>
  <si>
    <t>560AC131504367CDE0631E588D0A0100</t>
  </si>
  <si>
    <t>800UU00000ZvCRkYAN</t>
  </si>
  <si>
    <t>a04UU00000GrYolYAF</t>
  </si>
  <si>
    <t>a1EUU000004km0v2AA</t>
  </si>
  <si>
    <t>ORD-000045297</t>
  </si>
  <si>
    <t>3412</t>
  </si>
  <si>
    <t>1620</t>
  </si>
  <si>
    <t>8794</t>
  </si>
  <si>
    <t>7328</t>
  </si>
  <si>
    <t>7405</t>
  </si>
  <si>
    <t>2027</t>
  </si>
  <si>
    <t>6709</t>
  </si>
  <si>
    <t>2772</t>
  </si>
  <si>
    <t>3025</t>
  </si>
  <si>
    <t>1120</t>
  </si>
  <si>
    <t>2031</t>
  </si>
  <si>
    <t>2774</t>
  </si>
  <si>
    <t>4549516985532774</t>
  </si>
  <si>
    <t>6085</t>
  </si>
  <si>
    <t>2473</t>
  </si>
  <si>
    <t>4549542114082473</t>
  </si>
  <si>
    <t>4500</t>
  </si>
  <si>
    <t>9582</t>
  </si>
  <si>
    <t>6681</t>
  </si>
  <si>
    <t>4040</t>
  </si>
  <si>
    <t>9211</t>
  </si>
  <si>
    <t>1912</t>
  </si>
  <si>
    <t>4242</t>
  </si>
  <si>
    <t>0636</t>
  </si>
  <si>
    <t>0799</t>
  </si>
  <si>
    <t>6139</t>
  </si>
  <si>
    <t>6463</t>
  </si>
  <si>
    <t>1524</t>
  </si>
  <si>
    <t>4549516625621524</t>
  </si>
  <si>
    <t>4327</t>
  </si>
  <si>
    <t>4549516808074327</t>
  </si>
  <si>
    <t>5696</t>
  </si>
  <si>
    <t>5142</t>
  </si>
  <si>
    <t>5666</t>
  </si>
  <si>
    <t>4870389490805666</t>
  </si>
  <si>
    <t>5191</t>
  </si>
  <si>
    <t>5392871341924040</t>
  </si>
  <si>
    <t>1962</t>
  </si>
  <si>
    <t>4549516910811962</t>
  </si>
  <si>
    <t>4549516847817405</t>
  </si>
  <si>
    <t>************1524</t>
  </si>
  <si>
    <t>6484</t>
  </si>
  <si>
    <t>4549518380296484</t>
  </si>
  <si>
    <t>************2774</t>
  </si>
  <si>
    <t>6818</t>
  </si>
  <si>
    <t>4870388115256818</t>
  </si>
  <si>
    <t>4870383558035191</t>
  </si>
  <si>
    <t>0233</t>
  </si>
  <si>
    <t>5392879776413025</t>
  </si>
  <si>
    <t>************3025</t>
  </si>
  <si>
    <t>2506</t>
  </si>
  <si>
    <t>4549516901832506</t>
  </si>
  <si>
    <t>2362</t>
  </si>
  <si>
    <t>4549516362132362</t>
  </si>
  <si>
    <t>6590</t>
  </si>
  <si>
    <t>5159489901146590</t>
  </si>
  <si>
    <t>1352</t>
  </si>
  <si>
    <t>7054</t>
  </si>
  <si>
    <t>3323</t>
  </si>
  <si>
    <t>************7405</t>
  </si>
  <si>
    <t>4428</t>
  </si>
  <si>
    <t>4549519099984428</t>
  </si>
  <si>
    <t>4870388416529582</t>
  </si>
  <si>
    <t>4549518508501120</t>
  </si>
  <si>
    <t>1669</t>
  </si>
  <si>
    <t>4870389332151352</t>
  </si>
  <si>
    <t>5275150098765142</t>
  </si>
  <si>
    <t>4549518066746463</t>
  </si>
  <si>
    <t>2649</t>
  </si>
  <si>
    <t>4870382927532649</t>
  </si>
  <si>
    <t>8346</t>
  </si>
  <si>
    <t>4549516852918346</t>
  </si>
  <si>
    <t>4549259008423412</t>
  </si>
  <si>
    <t>4549518614741669</t>
  </si>
  <si>
    <t>4549519496022772</t>
  </si>
  <si>
    <t>7110</t>
  </si>
  <si>
    <t>4549519598587110</t>
  </si>
  <si>
    <t>9728</t>
  </si>
  <si>
    <t>4549525023689728</t>
  </si>
  <si>
    <t>0883</t>
  </si>
  <si>
    <t>4549519853410883</t>
  </si>
  <si>
    <t>3070</t>
  </si>
  <si>
    <t>5189207065123070</t>
  </si>
  <si>
    <t>4549516240226139</t>
  </si>
  <si>
    <t>8550</t>
  </si>
  <si>
    <t>4549519092968550</t>
  </si>
  <si>
    <t>4549519711041912</t>
  </si>
  <si>
    <t>2944</t>
  </si>
  <si>
    <t>4549519542582944</t>
  </si>
  <si>
    <t>7090</t>
  </si>
  <si>
    <t>9468</t>
  </si>
  <si>
    <t>4549516761820799</t>
  </si>
  <si>
    <t>4549519221367054</t>
  </si>
  <si>
    <t>1311</t>
  </si>
  <si>
    <t>4549519302711311</t>
  </si>
  <si>
    <t>2681</t>
  </si>
  <si>
    <t>5189207017712681</t>
  </si>
  <si>
    <t>7352</t>
  </si>
  <si>
    <t>5189207019437352</t>
  </si>
  <si>
    <t>4457</t>
  </si>
  <si>
    <t>4549518476894457</t>
  </si>
  <si>
    <t>4549519054534242</t>
  </si>
  <si>
    <t>4011051011484500</t>
  </si>
  <si>
    <t>9675</t>
  </si>
  <si>
    <t>4549518721389675</t>
  </si>
  <si>
    <t>9833</t>
  </si>
  <si>
    <t>4549516001739833</t>
  </si>
  <si>
    <t>6088</t>
  </si>
  <si>
    <t>5159480011686088</t>
  </si>
  <si>
    <t>9070</t>
  </si>
  <si>
    <t>4549519869399070</t>
  </si>
  <si>
    <t>8375</t>
  </si>
  <si>
    <t>************9468</t>
  </si>
  <si>
    <t>4549519108118794</t>
  </si>
  <si>
    <t>************6088</t>
  </si>
  <si>
    <t>************2772</t>
  </si>
  <si>
    <t>5247</t>
  </si>
  <si>
    <t>4549518632905247</t>
  </si>
  <si>
    <t>0638</t>
  </si>
  <si>
    <t>4549519997380638</t>
  </si>
  <si>
    <t>4549519006700636</t>
  </si>
  <si>
    <t>4549518802306085</t>
  </si>
  <si>
    <t>9490</t>
  </si>
  <si>
    <t>4549518240099490</t>
  </si>
  <si>
    <t>4549519008729211</t>
  </si>
  <si>
    <t>5241</t>
  </si>
  <si>
    <t>4232230224246681</t>
  </si>
  <si>
    <t>4031630649205241</t>
  </si>
  <si>
    <t>************8375</t>
  </si>
  <si>
    <t>7711</t>
  </si>
  <si>
    <t>4549519914747711</t>
  </si>
  <si>
    <t>************2681</t>
  </si>
  <si>
    <t>1328</t>
  </si>
  <si>
    <t>5121065278791328</t>
  </si>
  <si>
    <t>SM_Client_Id__c</t>
  </si>
  <si>
    <t>Status</t>
  </si>
  <si>
    <t>SM_AC_start_date__c</t>
  </si>
  <si>
    <t>SM_AC_Split_Date__c</t>
  </si>
  <si>
    <t>SM_Start_date__c</t>
  </si>
  <si>
    <t>SM_Total_ac__c</t>
  </si>
  <si>
    <t>SM_Monthly_offer__c</t>
  </si>
  <si>
    <t>SM_Plan_Months__c</t>
  </si>
  <si>
    <t>SM_Payment_day__c</t>
  </si>
  <si>
    <t>SM_Previous_Payment_day__c</t>
  </si>
  <si>
    <t>Reasons_for_change__c</t>
  </si>
  <si>
    <t>SM_Number_of_Refund__c</t>
  </si>
  <si>
    <t>Outstanding_installments__c</t>
  </si>
  <si>
    <t>Count_Monthly_Payment_Pending__c</t>
  </si>
  <si>
    <t>SM_Payment_methods__c</t>
  </si>
  <si>
    <t>SM_Registered_Card_Token__c</t>
  </si>
  <si>
    <t>GatewayId__c</t>
  </si>
  <si>
    <t>SM_Customer_Cancellation__c</t>
  </si>
  <si>
    <t>SM_ContractMonitoring__c</t>
  </si>
  <si>
    <t>SM_Payment_Method__c</t>
  </si>
  <si>
    <t>SM_Email_to_send_contract__c</t>
  </si>
  <si>
    <t>SM_Account_Name__c</t>
  </si>
  <si>
    <t>AccountId</t>
  </si>
  <si>
    <t>RecordTypeId</t>
  </si>
  <si>
    <t>CB_Subscription__c</t>
  </si>
  <si>
    <t>CANCELAR_CONTRATO__c</t>
  </si>
  <si>
    <t>Activated</t>
  </si>
  <si>
    <t>0121U00000085thQAA</t>
  </si>
  <si>
    <t>navedosteven@gmail.com</t>
  </si>
  <si>
    <t>61381</t>
  </si>
  <si>
    <t>a10UU000007QSizYAG</t>
  </si>
  <si>
    <t>jcquintero36@gmail.com</t>
  </si>
  <si>
    <t>Jean  Quintero Torres</t>
  </si>
  <si>
    <t>0011U00001tFRH4QAO</t>
  </si>
  <si>
    <t>Change Payment Date Contract</t>
  </si>
  <si>
    <t>29198</t>
  </si>
  <si>
    <t>a10UU000001lI5lYAE</t>
  </si>
  <si>
    <t>luisburgos601@gmail.com</t>
  </si>
  <si>
    <t>LUIS ANTONIO BURGOS MORALES</t>
  </si>
  <si>
    <t>0011U00001tFQOYQA4</t>
  </si>
  <si>
    <t>00144181</t>
  </si>
  <si>
    <t>a10UU000001w7jhYAA</t>
  </si>
  <si>
    <t>lk-quinones@hotmail.com</t>
  </si>
  <si>
    <t>LYANNE K. QUINONES RODRIGUEZ</t>
  </si>
  <si>
    <t>001UU0000075edYYAQ</t>
  </si>
  <si>
    <t>00145721</t>
  </si>
  <si>
    <t>a10UU000006gnldYAA</t>
  </si>
  <si>
    <t>carlosoquendope@hotmail.com</t>
  </si>
  <si>
    <t>DALMA  RAMOS BARRIOS</t>
  </si>
  <si>
    <t>001UU00000Dm6TVYAZ</t>
  </si>
  <si>
    <t>00146539</t>
  </si>
  <si>
    <t>a10UU000005rSZZYA2</t>
  </si>
  <si>
    <t>amaurysnew04@gmail.com</t>
  </si>
  <si>
    <t>AMAURYS RAFAEL SANTANA SOTO</t>
  </si>
  <si>
    <t>001UU00000HlueWYAR</t>
  </si>
  <si>
    <t>00146660</t>
  </si>
  <si>
    <t>a10UU000005ZiMfYAK</t>
  </si>
  <si>
    <t>trujillomanueleric@gmail.com</t>
  </si>
  <si>
    <t>ERIC MANUEL TRUJILLO PACHECO</t>
  </si>
  <si>
    <t>001UU00000IPt5QYAT</t>
  </si>
  <si>
    <t>00146775</t>
  </si>
  <si>
    <t>a10UU000005gvmzYAA</t>
  </si>
  <si>
    <t>leishka17@gmail.com</t>
  </si>
  <si>
    <t>LEISHKA Y. CANALES RIVERA</t>
  </si>
  <si>
    <t>001UU00000IsmznYAB</t>
  </si>
  <si>
    <t>barton2078@gmail.com</t>
  </si>
  <si>
    <t>001UU00000IzTluYAF</t>
  </si>
  <si>
    <t>00147228</t>
  </si>
  <si>
    <t>a10UU000006Iif3YAC</t>
  </si>
  <si>
    <t>grcotty@gmail.com</t>
  </si>
  <si>
    <t>GISELLE M. RIVERA COTTY</t>
  </si>
  <si>
    <t>800UU00000QPHI5YAP</t>
  </si>
  <si>
    <t>001UU00000LGkaoYAD</t>
  </si>
  <si>
    <t>0128W000000Jw50QAC</t>
  </si>
  <si>
    <t>800UU00000QPHI7YAP</t>
  </si>
  <si>
    <t>800UU00000QPHI8YAP</t>
  </si>
  <si>
    <t>0128W000000Jw4qQAC</t>
  </si>
  <si>
    <t>800UU00000QPHI9YAP</t>
  </si>
  <si>
    <t>0128W000000Jw4vQAC</t>
  </si>
  <si>
    <t>800UU00000QPHIAYA5</t>
  </si>
  <si>
    <t>0128W000000Jw4wQAC</t>
  </si>
  <si>
    <t>testcreditelevatorharmonie@yopmail.com</t>
  </si>
  <si>
    <t>Payment Process</t>
  </si>
  <si>
    <t>00147289</t>
  </si>
  <si>
    <t>a10UU000006KSPhYAO</t>
  </si>
  <si>
    <t>magdielarroyo@hotmail.com</t>
  </si>
  <si>
    <t>MAGDIEL  ARROYO CLAUDIO</t>
  </si>
  <si>
    <t>001UU00000LOdLvYAL</t>
  </si>
  <si>
    <t>00147464</t>
  </si>
  <si>
    <t>a10UU000006VaLVYA0</t>
  </si>
  <si>
    <t>renaldo4973@gmail.com</t>
  </si>
  <si>
    <t>LUIS R FONSECA PRADO</t>
  </si>
  <si>
    <t>001UU00000MB98FYAT</t>
  </si>
  <si>
    <t>123440</t>
  </si>
  <si>
    <t>a10UU000006tAZaYAM</t>
  </si>
  <si>
    <t>orukyshop.2019@hotmail.com</t>
  </si>
  <si>
    <t>JUAN LUIS GARCIA ORTIZ</t>
  </si>
  <si>
    <t>0011U00001tFMg3QAG</t>
  </si>
  <si>
    <t>00147640</t>
  </si>
  <si>
    <t>a10UU000006zJQTYA2</t>
  </si>
  <si>
    <t>jjramirez0908@gmail.com</t>
  </si>
  <si>
    <t>JESSICA  RAMIREZ VELEZ</t>
  </si>
  <si>
    <t>001UU00000Nu2JhYAJ</t>
  </si>
  <si>
    <t>00147753</t>
  </si>
  <si>
    <t>a10UU00000787GPYAY</t>
  </si>
  <si>
    <t>luviceyashkin@gmail.com</t>
  </si>
  <si>
    <t>YASHKIN  LUVICE</t>
  </si>
  <si>
    <t>001UU00000OkRaTYAV</t>
  </si>
  <si>
    <t>00147820</t>
  </si>
  <si>
    <t>a10UU000007EDivYAG</t>
  </si>
  <si>
    <t>trochevazquezcj@gmail.com</t>
  </si>
  <si>
    <t>CHRISTIAN JOEL TROCHE VAZQUEZ</t>
  </si>
  <si>
    <t>001UU00000PC1i0YAD</t>
  </si>
  <si>
    <t>00147881</t>
  </si>
  <si>
    <t>a10UU000008hU6HYAU</t>
  </si>
  <si>
    <t>rutorres208@gmail.com</t>
  </si>
  <si>
    <t>RUBEN  TORRES MARTINEZ</t>
  </si>
  <si>
    <t>001UU00000Plz1iYAB</t>
  </si>
  <si>
    <t>00148293</t>
  </si>
  <si>
    <t>a10UU000007xi2cYAA</t>
  </si>
  <si>
    <t>navedomela13@gmail.com</t>
  </si>
  <si>
    <t>MELANIE  MALDONADO NAVEDO</t>
  </si>
  <si>
    <t>001UU00000SBSk3YAH</t>
  </si>
  <si>
    <t>00148416</t>
  </si>
  <si>
    <t>a10UU00000871h7YAA</t>
  </si>
  <si>
    <t>geraldorivera300@gmail.com</t>
  </si>
  <si>
    <t>GERALDO  RIVERA GARCIA</t>
  </si>
  <si>
    <t>001UU00000SnAKhYAN</t>
  </si>
  <si>
    <t>00148673</t>
  </si>
  <si>
    <t>a10UU000008RwT7YAK</t>
  </si>
  <si>
    <t>niicafranco@yahoo.com</t>
  </si>
  <si>
    <t>VERONICA  FRANCO ROMAN</t>
  </si>
  <si>
    <t>001UU00000U5vM9YAJ</t>
  </si>
  <si>
    <t>testneoce@yopmail.com</t>
  </si>
  <si>
    <t>001UU00000UJRbBYAX</t>
  </si>
  <si>
    <t>ceneotestv2@yopmail.com</t>
  </si>
  <si>
    <t>001UU00000ULWLQYA5</t>
  </si>
  <si>
    <t>00149035</t>
  </si>
  <si>
    <t>a10UU000008i069YAA</t>
  </si>
  <si>
    <t>angel_ramos1819@yahoo.com</t>
  </si>
  <si>
    <t>ANGEL LUIS RAMOS DEL VALLE</t>
  </si>
  <si>
    <t>001UU00000V1Fo7YAF</t>
  </si>
  <si>
    <t>00149150</t>
  </si>
  <si>
    <t>a10UU000008k6U2YAI</t>
  </si>
  <si>
    <t>marrero173@gmail.com</t>
  </si>
  <si>
    <t>LIZA M. MARRERO SANTANA</t>
  </si>
  <si>
    <t>001UU00000V5uKgYAJ</t>
  </si>
  <si>
    <t>00149148</t>
  </si>
  <si>
    <t>a10UU000008k5o6YAA</t>
  </si>
  <si>
    <t>jmoralesrivera1612@gmail.com</t>
  </si>
  <si>
    <t>JULIO R MORALES RIVERA</t>
  </si>
  <si>
    <t>001UU00000V5oFHYAZ</t>
  </si>
  <si>
    <t>19819</t>
  </si>
  <si>
    <t>a10UU00000D2gBlYAJ</t>
  </si>
  <si>
    <t>elsalsero37.cag@gmail.com</t>
  </si>
  <si>
    <t>CARLOS ALBERTO GOMEZ</t>
  </si>
  <si>
    <t>0011U00001tFRquQAG</t>
  </si>
  <si>
    <t>00149257</t>
  </si>
  <si>
    <t>a10UU000008owfJYAQ</t>
  </si>
  <si>
    <t>lisj14@yahoo.com</t>
  </si>
  <si>
    <t>LISANKA BEATRIZ BAEZ SANTIAGO</t>
  </si>
  <si>
    <t>001UU00000VKvI5YAL</t>
  </si>
  <si>
    <t>00149341</t>
  </si>
  <si>
    <t>a10UU000008uYnBYAU</t>
  </si>
  <si>
    <t>angely_1689@icloud.com</t>
  </si>
  <si>
    <t>MERCEDES ANGELY FELIX FERRER</t>
  </si>
  <si>
    <t>001UU00000VanmlYAB</t>
  </si>
  <si>
    <t>00149456</t>
  </si>
  <si>
    <t>a10UU0000091MMHYA2</t>
  </si>
  <si>
    <t>jhiciano5@gmail.com</t>
  </si>
  <si>
    <t>JULIANNA  HICIANO MARTINEZ</t>
  </si>
  <si>
    <t>001UU00000VuKv8YAF</t>
  </si>
  <si>
    <t>00149465</t>
  </si>
  <si>
    <t>a10UU0000091TArYAM</t>
  </si>
  <si>
    <t>vanelau1@gmail.com</t>
  </si>
  <si>
    <t>VANESSA  MARRERO LAUSELL</t>
  </si>
  <si>
    <t>001UU00000VusGnYAJ</t>
  </si>
  <si>
    <t>00149515</t>
  </si>
  <si>
    <t>a10UU0000092bJFYAY</t>
  </si>
  <si>
    <t>riverafernando662@gmail.com</t>
  </si>
  <si>
    <t>FERNANDO L. RIVERA AFANADOR</t>
  </si>
  <si>
    <t>001UU00000VyRJgYAN</t>
  </si>
  <si>
    <t>00149542</t>
  </si>
  <si>
    <t>a10UU0000093XbmYAE</t>
  </si>
  <si>
    <t>elena_77@hotmail.com</t>
  </si>
  <si>
    <t>MERCEDES ELENA SEPULVEDA POLANCO</t>
  </si>
  <si>
    <t>001UU00000W1UmQYAV</t>
  </si>
  <si>
    <t>00149557</t>
  </si>
  <si>
    <t>a10UU00000BwR9ZYAV</t>
  </si>
  <si>
    <t>dizzaquino@gmail.com</t>
  </si>
  <si>
    <t>LUIS M. DISLA AQUINO</t>
  </si>
  <si>
    <t>001UU00000W2EcQYAV</t>
  </si>
  <si>
    <t>00149784</t>
  </si>
  <si>
    <t>a10UU000009F1GOYA0</t>
  </si>
  <si>
    <t>vpelaezpr@gmail.com</t>
  </si>
  <si>
    <t>VALENTIN MANUEL PELAEZ GRANIELA</t>
  </si>
  <si>
    <t>001UU00000WVxChYAL</t>
  </si>
  <si>
    <t>00149833</t>
  </si>
  <si>
    <t>a10UU000009HyozYAC</t>
  </si>
  <si>
    <t>erolonrodriguez@gmail.com</t>
  </si>
  <si>
    <t>EDGAR ANDRES ROLON RODRIGUEZ</t>
  </si>
  <si>
    <t>001UU00000Wdub2YAB</t>
  </si>
  <si>
    <t>00149915</t>
  </si>
  <si>
    <t>a10UU000009NbBNYA0</t>
  </si>
  <si>
    <t>hemr8048@gmail.com</t>
  </si>
  <si>
    <t>HECTOR ENRIQUE MALDONADO RIVERA</t>
  </si>
  <si>
    <t>001UU00000WszvTYAR</t>
  </si>
  <si>
    <t>00149939</t>
  </si>
  <si>
    <t>a10UU00000CiDPGYA3</t>
  </si>
  <si>
    <t>jeskana85@icloud.com</t>
  </si>
  <si>
    <t>JESSICA MARIA RUIZ CABAN</t>
  </si>
  <si>
    <t>001UU00000WwhOmYAJ</t>
  </si>
  <si>
    <t>00149970</t>
  </si>
  <si>
    <t>a10UU000009QMR7YAO</t>
  </si>
  <si>
    <t>crys.arroyo@gmail.com</t>
  </si>
  <si>
    <t>CRYSTAL M ARROYO TORRES</t>
  </si>
  <si>
    <t>001UU00000X00JZYAZ</t>
  </si>
  <si>
    <t>00150096</t>
  </si>
  <si>
    <t>a10UU000009YsDhYAK</t>
  </si>
  <si>
    <t>a.marielgonzalez@icloud.com</t>
  </si>
  <si>
    <t>ANGIE M. GONZALEZ REYES</t>
  </si>
  <si>
    <t>001UU00000XGEnDYAX</t>
  </si>
  <si>
    <t>00150136</t>
  </si>
  <si>
    <t>a10UU000009arYTYAY</t>
  </si>
  <si>
    <t>gelygarciakatherine@gmail.com</t>
  </si>
  <si>
    <t>KATHERINE LIZBETH GELY GARCIA</t>
  </si>
  <si>
    <t>001UU00000XKJTOYA5</t>
  </si>
  <si>
    <t>00150138</t>
  </si>
  <si>
    <t>a10UU000009awOTYAY</t>
  </si>
  <si>
    <t>l6205952@gmail.com</t>
  </si>
  <si>
    <t>Lizmarie  Rosado Carmona</t>
  </si>
  <si>
    <t>001UU00000XKQ3UYAX</t>
  </si>
  <si>
    <t>00150150</t>
  </si>
  <si>
    <t>a10UU000009cOfFYAU</t>
  </si>
  <si>
    <t>jordanramossoto@gmail.com</t>
  </si>
  <si>
    <t>Jordan A. Ramos Soto</t>
  </si>
  <si>
    <t>001UU00000XN89zYAD</t>
  </si>
  <si>
    <t>00150178</t>
  </si>
  <si>
    <t>a10UU000009e5wgYAA</t>
  </si>
  <si>
    <t>manolo.ortizsuarez@gmail.com</t>
  </si>
  <si>
    <t>Manuel A. Ortiz Suarez</t>
  </si>
  <si>
    <t>001UU00000XPuNOYA1</t>
  </si>
  <si>
    <t>00150219</t>
  </si>
  <si>
    <t>a10UU000009hiX7YAI</t>
  </si>
  <si>
    <t>marysaezcatala@gmail.com</t>
  </si>
  <si>
    <t>MARI CARMEN SAEZ CATALA</t>
  </si>
  <si>
    <t>001UU00000XZtuhYAD</t>
  </si>
  <si>
    <t>00150236</t>
  </si>
  <si>
    <t>a10UU000009iOClYAM</t>
  </si>
  <si>
    <t>alejandra.alicea02@gmail.com</t>
  </si>
  <si>
    <t>ALEJANDRA  ALICEA QUIÑONES</t>
  </si>
  <si>
    <t>001UU00000XcZrYYAV</t>
  </si>
  <si>
    <t>00150256</t>
  </si>
  <si>
    <t>a10UU000009inO1YAI</t>
  </si>
  <si>
    <t>robertoacordero9@gmail.com</t>
  </si>
  <si>
    <t>ROBERTO LUIS APONTE CORDERO</t>
  </si>
  <si>
    <t>001UU00000XdKjvYAF</t>
  </si>
  <si>
    <t>00150298</t>
  </si>
  <si>
    <t>a10UU000009lVeIYAU</t>
  </si>
  <si>
    <t>jeanmrosado@gmail.com</t>
  </si>
  <si>
    <t>JEAN M. ROSADO DE JESUS</t>
  </si>
  <si>
    <t>001UU00000XlC18YAF</t>
  </si>
  <si>
    <t>54678</t>
  </si>
  <si>
    <t>a10UU000009mgxRYAQ</t>
  </si>
  <si>
    <t>maryfeliciano91@gmail.com</t>
  </si>
  <si>
    <t>Mary  Feliciano Torres</t>
  </si>
  <si>
    <t>0011U00001tFSBlQAO</t>
  </si>
  <si>
    <t>78802</t>
  </si>
  <si>
    <t>a10UU000009np12YAA</t>
  </si>
  <si>
    <t>nieveslizette091@gmail.com</t>
  </si>
  <si>
    <t>Lizette  Nieves Rodriguez</t>
  </si>
  <si>
    <t>0011U00001tFWUWQA4</t>
  </si>
  <si>
    <t>00150508</t>
  </si>
  <si>
    <t>a10UU000009tgB7YAI</t>
  </si>
  <si>
    <t>damaris1delgado@gmail.com</t>
  </si>
  <si>
    <t>DAMARIS  DELGADO</t>
  </si>
  <si>
    <t>001UU00000Y9TQiYAN</t>
  </si>
  <si>
    <t>00150655</t>
  </si>
  <si>
    <t>a10UU00000A6TWEYA3</t>
  </si>
  <si>
    <t>reyesliam094@gmail.com</t>
  </si>
  <si>
    <t>JONATHAN MICHAEL REYES MILLAN</t>
  </si>
  <si>
    <t>001UU00000YfDc1YAF</t>
  </si>
  <si>
    <t>00152274</t>
  </si>
  <si>
    <t>a10UU00000CGsiIYAT</t>
  </si>
  <si>
    <t>kevin.irozarry@gmail.com</t>
  </si>
  <si>
    <t>KEVIN MANUEL IRIZARRY FLORES</t>
  </si>
  <si>
    <t>001UU00000c3RXKYA2</t>
  </si>
  <si>
    <t>00152295</t>
  </si>
  <si>
    <t>a10UU00000BvxEjYAJ</t>
  </si>
  <si>
    <t>aquiles3401@hotmail.com</t>
  </si>
  <si>
    <t>JOSE ANTONIO QUILES RODRIGUEZ</t>
  </si>
  <si>
    <t>001UU00000c5qZZYAY</t>
  </si>
  <si>
    <t>00152354</t>
  </si>
  <si>
    <t>a10UU00000C0HunYAF</t>
  </si>
  <si>
    <t>omayrazuniga@yahoo.com</t>
  </si>
  <si>
    <t>OMAYRA  ZUNIGA</t>
  </si>
  <si>
    <t>001UU00000cFS1JYAW</t>
  </si>
  <si>
    <t>00152394</t>
  </si>
  <si>
    <t>a10UU00000C3WajYAF</t>
  </si>
  <si>
    <t>omarmun95@gmail.com</t>
  </si>
  <si>
    <t>CARLOS OMAR MUÑIZ TIRU</t>
  </si>
  <si>
    <t>001UU00000cMq0TYAS</t>
  </si>
  <si>
    <t>00152396</t>
  </si>
  <si>
    <t>a10UU00000C3bDpYAJ</t>
  </si>
  <si>
    <t>keilac-11@hotmail.com</t>
  </si>
  <si>
    <t>KEILA CAROLINA DE LEON</t>
  </si>
  <si>
    <t>001UU00000cMa5QYAS</t>
  </si>
  <si>
    <t>00152441</t>
  </si>
  <si>
    <t>a10UU00000C643dYAB</t>
  </si>
  <si>
    <t>desiree.lopez4@outlook.com</t>
  </si>
  <si>
    <t>DESIREE  LOPEZ PADILLA</t>
  </si>
  <si>
    <t>001UU00000cSUoaYAG</t>
  </si>
  <si>
    <t>00152456</t>
  </si>
  <si>
    <t>a10UU00000C6OyPYAV</t>
  </si>
  <si>
    <t>yeshua022415@gmail.com</t>
  </si>
  <si>
    <t>CASILDA  MERCADO OYOLA</t>
  </si>
  <si>
    <t>001UU00000cU4rWYAS</t>
  </si>
  <si>
    <t>00152466</t>
  </si>
  <si>
    <t>a10UU00000C74w5YAB</t>
  </si>
  <si>
    <t>silvermagazineus@gmail.com</t>
  </si>
  <si>
    <t>DANNA  GONZALEZ VILLEGAS</t>
  </si>
  <si>
    <t>001UU00000cWAzFYAW</t>
  </si>
  <si>
    <t>00153277</t>
  </si>
  <si>
    <t>a10UU00000DMcWzYAL</t>
  </si>
  <si>
    <t>santarcaceres@gmail.com</t>
  </si>
  <si>
    <t>SANTA ROSA  CACERES RIVERA</t>
  </si>
  <si>
    <t>800UU00000jKN6kYAG</t>
  </si>
  <si>
    <t>001UU00000epFuEYAU</t>
  </si>
  <si>
    <t>119048</t>
  </si>
  <si>
    <t>a101U000006odsBQAQ</t>
  </si>
  <si>
    <t>osvaldomatos2230@gmail.com</t>
  </si>
  <si>
    <t>Osvaldo Haniel  Matos Rivera</t>
  </si>
  <si>
    <t>800UU00000jNYaHYAW</t>
  </si>
  <si>
    <t>0011U00001tFPOxQAO</t>
  </si>
  <si>
    <t>00153288</t>
  </si>
  <si>
    <t>a10UU00000DOjyzYAD</t>
  </si>
  <si>
    <t>jeimy1011@gmail.com</t>
  </si>
  <si>
    <t>JAIME OSCAR  CAMARENO CABELLO</t>
  </si>
  <si>
    <t>800UU00000jNrTNYA0</t>
  </si>
  <si>
    <t>001UU00000etOU5YAM</t>
  </si>
  <si>
    <t>00153290</t>
  </si>
  <si>
    <t>a10UU00000DQ1FVYA1</t>
  </si>
  <si>
    <t>mariestephanie205@gmail.com</t>
  </si>
  <si>
    <t>STEPHANIE MARIE OLIVERA GARCIA</t>
  </si>
  <si>
    <t>800UU00000jQ2h7YAC</t>
  </si>
  <si>
    <t>001UU00000evWPDYA2</t>
  </si>
  <si>
    <t>00153292</t>
  </si>
  <si>
    <t>a10UU00000DQW81YAH</t>
  </si>
  <si>
    <t>mariepierantoniv@gmail.com</t>
  </si>
  <si>
    <t>VIRGEN M PIERANTONI PACHECO</t>
  </si>
  <si>
    <t>800UU00000jQTKeYAO</t>
  </si>
  <si>
    <t>001UU00000ew1kfYAA</t>
  </si>
  <si>
    <t>00153299</t>
  </si>
  <si>
    <t>a10UU00000DQgH3YAL</t>
  </si>
  <si>
    <t>iliamarismary1577@icloud.com</t>
  </si>
  <si>
    <t>ILIAMARIS  LOPEZ RUIZ</t>
  </si>
  <si>
    <t>800UU00000jQuw3YAC</t>
  </si>
  <si>
    <t>001UU00000ewQhZYAU</t>
  </si>
  <si>
    <t>00153298</t>
  </si>
  <si>
    <t>a10UU00000DQdr3YAD</t>
  </si>
  <si>
    <t>angelyanymia@gmail.com</t>
  </si>
  <si>
    <t>ABIGAIL  TORRES ESTREMERA</t>
  </si>
  <si>
    <t>800UU00000jR5GHYA0</t>
  </si>
  <si>
    <t>001UU00000ewMZ3YAM</t>
  </si>
  <si>
    <t>_Contract</t>
  </si>
  <si>
    <t>CB Subscription</t>
  </si>
  <si>
    <t>Claude</t>
  </si>
  <si>
    <t>SM_Billing_status__c</t>
  </si>
  <si>
    <t>LATE PAYMENTS</t>
  </si>
  <si>
    <t>PAYMENTS UP TO DATE</t>
  </si>
  <si>
    <t>WITHOUT PAYMENT REGISTER</t>
  </si>
  <si>
    <t>00153307</t>
  </si>
  <si>
    <t>a10UU00000DRrTmYAL</t>
  </si>
  <si>
    <t>pere16zmanuel@gmail.com</t>
  </si>
  <si>
    <t>MANUEL RICARDO  PEREZ QUINONES</t>
  </si>
  <si>
    <t>800UU00000jTmIhYAK</t>
  </si>
  <si>
    <t>001UU00000ez2M3YAI</t>
  </si>
  <si>
    <t>IsDeleted</t>
  </si>
  <si>
    <t>CreatedById</t>
  </si>
  <si>
    <t>LastModifiedDate</t>
  </si>
  <si>
    <t>LastModifiedById</t>
  </si>
  <si>
    <t>SystemModstamp</t>
  </si>
  <si>
    <t>ChargentOrders__Account__c</t>
  </si>
  <si>
    <t>ChargentOrders__Billing_Address__c</t>
  </si>
  <si>
    <t>ChargentOrders__Billing_City__c</t>
  </si>
  <si>
    <t>ChargentOrders__Billing_Country__c</t>
  </si>
  <si>
    <t>URB LEVITTOWN 7MA SECCION   CALLE PEDRO ARCILAGOS HY 47</t>
  </si>
  <si>
    <t>TOA BAJA</t>
  </si>
  <si>
    <t>PR</t>
  </si>
  <si>
    <t>Jean</t>
  </si>
  <si>
    <t>Quintero</t>
  </si>
  <si>
    <t>Puerto Rico</t>
  </si>
  <si>
    <t>United States dollar</t>
  </si>
  <si>
    <t>ecommerce</t>
  </si>
  <si>
    <t>Once</t>
  </si>
  <si>
    <t>Full</t>
  </si>
  <si>
    <t>55.19</t>
  </si>
  <si>
    <t>Partial</t>
  </si>
  <si>
    <t>Count</t>
  </si>
  <si>
    <t>49.5</t>
  </si>
  <si>
    <t>1.00</t>
  </si>
  <si>
    <t>10.50</t>
  </si>
  <si>
    <t>49.50</t>
  </si>
  <si>
    <t>55.2</t>
  </si>
  <si>
    <t>5.7</t>
  </si>
  <si>
    <t>75.00</t>
  </si>
  <si>
    <t>Monthly</t>
  </si>
  <si>
    <t>Unending</t>
  </si>
  <si>
    <t>pm_16CSU2VKHIOTJ1ocR</t>
  </si>
  <si>
    <t>8.63</t>
  </si>
  <si>
    <t>COAMO HOUSING EDIF 5 APTO 46c</t>
  </si>
  <si>
    <t>COAMO</t>
  </si>
  <si>
    <t>LUIS</t>
  </si>
  <si>
    <t>BURGOS</t>
  </si>
  <si>
    <t>pm_Azq9E1VKHMxoe1qwF</t>
  </si>
  <si>
    <t>104.00</t>
  </si>
  <si>
    <t>11.96</t>
  </si>
  <si>
    <t>URB LEVITTOWN 7MA SECCION  CALLE PEDRO ARCILAGOS HY 47</t>
  </si>
  <si>
    <t>111.51</t>
  </si>
  <si>
    <t>100.01</t>
  </si>
  <si>
    <t>11.5</t>
  </si>
  <si>
    <t>1.0</t>
  </si>
  <si>
    <t>10.5</t>
  </si>
  <si>
    <t>P O BOX 1052</t>
  </si>
  <si>
    <t>GURABO</t>
  </si>
  <si>
    <t>LYANNE</t>
  </si>
  <si>
    <t>QUINONES</t>
  </si>
  <si>
    <t>003UU00000CV2ZkYAL</t>
  </si>
  <si>
    <t>528.54</t>
  </si>
  <si>
    <t>pm_16CVc5VKHWMK61wDy</t>
  </si>
  <si>
    <t>0038W00002IzOp1QAF</t>
  </si>
  <si>
    <t>URB LEVITTOWN 7MA SECCION CALLE PEDRO ARCILAGOS HY 47</t>
  </si>
  <si>
    <t>111.50</t>
  </si>
  <si>
    <t>100.00</t>
  </si>
  <si>
    <t>11.50</t>
  </si>
  <si>
    <t>111.5</t>
  </si>
  <si>
    <t>URB MUNOZ RIVERA CALLE AZALEA #22</t>
  </si>
  <si>
    <t>GUAYNABO</t>
  </si>
  <si>
    <t>DALMA</t>
  </si>
  <si>
    <t>RAMOS</t>
  </si>
  <si>
    <t>003UU00000EQkiOYAT</t>
  </si>
  <si>
    <t>132.69</t>
  </si>
  <si>
    <t>119.00</t>
  </si>
  <si>
    <t>894.04</t>
  </si>
  <si>
    <t>pm_AzZoFMVKHXTR7274u</t>
  </si>
  <si>
    <t>HC 2 BOX 7393 MONTONES 4</t>
  </si>
  <si>
    <t>LAS PIEDRAS</t>
  </si>
  <si>
    <t>kandres425@gmail.com</t>
  </si>
  <si>
    <t>KENETH</t>
  </si>
  <si>
    <t>MEDINA</t>
  </si>
  <si>
    <t>003UU00000Hl1rmYAB</t>
  </si>
  <si>
    <t>001UU00000GrYwnYAF</t>
  </si>
  <si>
    <t>RESIDENCIAL LAS CASAS EDIFICIO 20 APTO 239</t>
  </si>
  <si>
    <t>SAN JUAN</t>
  </si>
  <si>
    <t>AMAURYS</t>
  </si>
  <si>
    <t>SANTANA</t>
  </si>
  <si>
    <t>003UU00000IkIPNYA3</t>
  </si>
  <si>
    <t>264.27</t>
  </si>
  <si>
    <t>pm_AzZNgwVKHZwMn1zBB</t>
  </si>
  <si>
    <t>pm_AzqeSyVKHbGSF29WG</t>
  </si>
  <si>
    <t>1 RES SAN ANTONIO EDIFICIO A APTO 599</t>
  </si>
  <si>
    <t>ERIC</t>
  </si>
  <si>
    <t>TRUJILLO</t>
  </si>
  <si>
    <t>003UU00000JRELpYAP</t>
  </si>
  <si>
    <t>177.29</t>
  </si>
  <si>
    <t>159.00</t>
  </si>
  <si>
    <t>pm_6orL2VKHbhja29FA</t>
  </si>
  <si>
    <t>9.09</t>
  </si>
  <si>
    <t>310 CALLE FORTUNATO VISCARRONDO APT 1005</t>
  </si>
  <si>
    <t>CAROLINA</t>
  </si>
  <si>
    <t>LEISHKA</t>
  </si>
  <si>
    <t>CANALES</t>
  </si>
  <si>
    <t>003UU00000JvbJKYAZ</t>
  </si>
  <si>
    <t>88.64</t>
  </si>
  <si>
    <t>79.5</t>
  </si>
  <si>
    <t>79.50</t>
  </si>
  <si>
    <t>URB CIUDAD JARDIN 425</t>
  </si>
  <si>
    <t>JUNCOS</t>
  </si>
  <si>
    <t>usa</t>
  </si>
  <si>
    <t>RICARDO</t>
  </si>
  <si>
    <t>ESPARRA</t>
  </si>
  <si>
    <t>003UU00000K2tszYAB</t>
  </si>
  <si>
    <t>431.36</t>
  </si>
  <si>
    <t>pm_AzZZVeVKHcuyc2AtO</t>
  </si>
  <si>
    <t>Test Bill - 525 Avenida Franklin Delano Roosevelt</t>
  </si>
  <si>
    <t>San Juan</t>
  </si>
  <si>
    <t>Credit</t>
  </si>
  <si>
    <t>Elevator (HAR) TEST</t>
  </si>
  <si>
    <t>003UU00000MSN1vYAH</t>
  </si>
  <si>
    <t>500 CALLE EL CASTILLO APT. 3</t>
  </si>
  <si>
    <t>AGUADILLA</t>
  </si>
  <si>
    <t>MAGDIEL</t>
  </si>
  <si>
    <t>ARROYO</t>
  </si>
  <si>
    <t>003UU00000MZaf8YAD</t>
  </si>
  <si>
    <t>936.56</t>
  </si>
  <si>
    <t>HC 70 BOX 26026</t>
  </si>
  <si>
    <t>SAN LORENZO</t>
  </si>
  <si>
    <t>FONSECA</t>
  </si>
  <si>
    <t>003UU00000NQQGFYA5</t>
  </si>
  <si>
    <t>pm_16BVooVKHgJGl22Vw</t>
  </si>
  <si>
    <t>P O BOX 1344</t>
  </si>
  <si>
    <t>JUAN</t>
  </si>
  <si>
    <t>GARCIA</t>
  </si>
  <si>
    <t>003UU00000P4NZ9YAN</t>
  </si>
  <si>
    <t>255.18</t>
  </si>
  <si>
    <t>pm_AzyzhiVGmWaNS53Xt</t>
  </si>
  <si>
    <t>URB. JOSE MERCADO CALLE WILSON U107A APT 1</t>
  </si>
  <si>
    <t>CAGUAS</t>
  </si>
  <si>
    <t>JESSICA</t>
  </si>
  <si>
    <t>RAMIREZ</t>
  </si>
  <si>
    <t>003UU00000PFw8bYAD</t>
  </si>
  <si>
    <t>9.14</t>
  </si>
  <si>
    <t>88.65</t>
  </si>
  <si>
    <t>9.15</t>
  </si>
  <si>
    <t>pm_Azq9E1VKHkf8L240L</t>
  </si>
  <si>
    <t>HC 66 BOX 9730</t>
  </si>
  <si>
    <t>FAJARDO</t>
  </si>
  <si>
    <t>YASHKIN</t>
  </si>
  <si>
    <t>LUVICE</t>
  </si>
  <si>
    <t>003UU00000Q9oBeYAJ</t>
  </si>
  <si>
    <t>413.18</t>
  </si>
  <si>
    <t>pm_AzqM50VKHkpID24Y2</t>
  </si>
  <si>
    <t>COOP VILLA KENEDY EDIFICIO 30 APT 456</t>
  </si>
  <si>
    <t>CHRISTIAN</t>
  </si>
  <si>
    <t>JOEL TROCHE VAZQUEZ</t>
  </si>
  <si>
    <t>003UU00000Qc6zvYAB</t>
  </si>
  <si>
    <t>104.50</t>
  </si>
  <si>
    <t>104.5</t>
  </si>
  <si>
    <t>URB BAYAMON GARDENS CALLE C AA-9 APT 1</t>
  </si>
  <si>
    <t>BAYAMON</t>
  </si>
  <si>
    <t>RUBEN</t>
  </si>
  <si>
    <t>TORRES</t>
  </si>
  <si>
    <t>003UU00000RCxsrYAD</t>
  </si>
  <si>
    <t>383.63</t>
  </si>
  <si>
    <t>14.26</t>
  </si>
  <si>
    <t>407.39</t>
  </si>
  <si>
    <t>pm_AzqM50VKHm2gm25B7</t>
  </si>
  <si>
    <t>RR-7 BOX 8220</t>
  </si>
  <si>
    <t>MELANIE</t>
  </si>
  <si>
    <t>MALDONADO</t>
  </si>
  <si>
    <t>003UU00000Tm2ejYAB</t>
  </si>
  <si>
    <t>149.0</t>
  </si>
  <si>
    <t>149.00</t>
  </si>
  <si>
    <t>pm_Azz10vVKHtf9n2KrW</t>
  </si>
  <si>
    <t>114 BLACK FORD BVL APT 3320 LEVANON</t>
  </si>
  <si>
    <t>PENSILVANIA</t>
  </si>
  <si>
    <t>GERALDO</t>
  </si>
  <si>
    <t>RIVERA GARCIA</t>
  </si>
  <si>
    <t>USA</t>
  </si>
  <si>
    <t>003UU00000UQxUbYAL</t>
  </si>
  <si>
    <t>104.0</t>
  </si>
  <si>
    <t>207.0</t>
  </si>
  <si>
    <t>pm_16CRkKVGmWbQQ54ab</t>
  </si>
  <si>
    <t>HC 01 BOX 15657</t>
  </si>
  <si>
    <t>VERONICA</t>
  </si>
  <si>
    <t>FRANCO</t>
  </si>
  <si>
    <t>003UU00000VqJEPYA3</t>
  </si>
  <si>
    <t>74.5</t>
  </si>
  <si>
    <t>Test Bill - 525 Avenida Franklin Delano Roosevelt 218</t>
  </si>
  <si>
    <t>CE ESteo Neo</t>
  </si>
  <si>
    <t>Test</t>
  </si>
  <si>
    <t>ce neo</t>
  </si>
  <si>
    <t>test v2</t>
  </si>
  <si>
    <t>pm_AzqeSyVKI2bR32T1l</t>
  </si>
  <si>
    <t>94.00</t>
  </si>
  <si>
    <t>HC 65 BOX 4186</t>
  </si>
  <si>
    <t>Patillas</t>
  </si>
  <si>
    <t>ANGEL</t>
  </si>
  <si>
    <t>RAMOS DEL VALLE</t>
  </si>
  <si>
    <t>003UU00000WtgHCYAZ</t>
  </si>
  <si>
    <t>HC 4 BOX 6187</t>
  </si>
  <si>
    <t>COROZAL</t>
  </si>
  <si>
    <t>LISA</t>
  </si>
  <si>
    <t>MARRERO</t>
  </si>
  <si>
    <t>003UU00000WzGlNYAV</t>
  </si>
  <si>
    <t>414.0</t>
  </si>
  <si>
    <t>003UU00000Wz7OsYAJ</t>
  </si>
  <si>
    <t>#12 CALLE BASILIO MILAN</t>
  </si>
  <si>
    <t>LISANKA</t>
  </si>
  <si>
    <t>BAEZ</t>
  </si>
  <si>
    <t>003UU00000XFDA6YAP</t>
  </si>
  <si>
    <t>URB VILLA ALEGRE CALLE MALAVE #29</t>
  </si>
  <si>
    <t>CAYEY</t>
  </si>
  <si>
    <t>joelaviles_38@yahoo.com</t>
  </si>
  <si>
    <t>JOEL</t>
  </si>
  <si>
    <t>AVILES</t>
  </si>
  <si>
    <t>003UU00000XVBM1YAP</t>
  </si>
  <si>
    <t>001UU00000VZPBNYA5</t>
  </si>
  <si>
    <t>316.0</t>
  </si>
  <si>
    <t>ALTOS DE DAGUAO NUM 2</t>
  </si>
  <si>
    <t>NAGUABO</t>
  </si>
  <si>
    <t>MERCEDES</t>
  </si>
  <si>
    <t>FELIX FERRER</t>
  </si>
  <si>
    <t>003UU00000XWnYsYAL</t>
  </si>
  <si>
    <t>74.50</t>
  </si>
  <si>
    <t>URB SANTA JUANITA CALLE DINUVA D-42 5TA SECCION</t>
  </si>
  <si>
    <t>JULIANNA</t>
  </si>
  <si>
    <t>HICIANO</t>
  </si>
  <si>
    <t>003UU00000XspsDYAR</t>
  </si>
  <si>
    <t>CALLE JESUS RAMOS 334</t>
  </si>
  <si>
    <t>MOCA</t>
  </si>
  <si>
    <t>VANESSA</t>
  </si>
  <si>
    <t>MARRERO LAUSELL</t>
  </si>
  <si>
    <t>003UU00000XtKhSYAV</t>
  </si>
  <si>
    <t>395.0</t>
  </si>
  <si>
    <t>PO BOX 1258</t>
  </si>
  <si>
    <t>UTUADO</t>
  </si>
  <si>
    <t>FERNANDO</t>
  </si>
  <si>
    <t>RIVERA</t>
  </si>
  <si>
    <t>119.0</t>
  </si>
  <si>
    <t>003UU00000XxRXSYA3</t>
  </si>
  <si>
    <t>BOX 7867 AVENIDA BORINQUEN</t>
  </si>
  <si>
    <t>polancorafaela350@gmail.com</t>
  </si>
  <si>
    <t>RAFAELA</t>
  </si>
  <si>
    <t>POLANCO POLANCO</t>
  </si>
  <si>
    <t>003UU00000Xx8HvYAJ</t>
  </si>
  <si>
    <t>001UU00000VyBZsYAN</t>
  </si>
  <si>
    <t>URB VILLAS DEL OESTE CALLE ARIES 651</t>
  </si>
  <si>
    <t>MAYAGUEZ</t>
  </si>
  <si>
    <t>MARIA</t>
  </si>
  <si>
    <t>SEPULVEDA POLANCO</t>
  </si>
  <si>
    <t>003UU00000Y0eJeYAJ</t>
  </si>
  <si>
    <t>CALLE 442 BLOQUE 178 VILLA CAROLINA</t>
  </si>
  <si>
    <t>DISLA</t>
  </si>
  <si>
    <t>003UU00000Y1j9HYAR</t>
  </si>
  <si>
    <t>174.00</t>
  </si>
  <si>
    <t>174.0</t>
  </si>
  <si>
    <t>769 DOCTOR AUGUSTO PEREA GUANAJIBO HOMES</t>
  </si>
  <si>
    <t>VALENTIN</t>
  </si>
  <si>
    <t>MANUEL PELAEZ GRANIELA</t>
  </si>
  <si>
    <t>003UU00000Ya2UNYAZ</t>
  </si>
  <si>
    <t>495.0</t>
  </si>
  <si>
    <t>URB SAN GERARDO CALLE ATLANTA NUM 559</t>
  </si>
  <si>
    <t>EDGAR</t>
  </si>
  <si>
    <t>A ROLON RODRIGUEZ</t>
  </si>
  <si>
    <t>003UU00000YjHakYAF</t>
  </si>
  <si>
    <t>297.0</t>
  </si>
  <si>
    <t>PO BOX 360704</t>
  </si>
  <si>
    <t>HECTOR</t>
  </si>
  <si>
    <t>MALDONADO RIVERA</t>
  </si>
  <si>
    <t>003UU00000Z0jCMYAZ</t>
  </si>
  <si>
    <t>4209 SOUTH SEMORAN BLD APT 6</t>
  </si>
  <si>
    <t>ORLANDO</t>
  </si>
  <si>
    <t>FL</t>
  </si>
  <si>
    <t>MARIA RUIZ CABAN</t>
  </si>
  <si>
    <t>Florida</t>
  </si>
  <si>
    <t>003UU00000Z4CXyYAN</t>
  </si>
  <si>
    <t>pm_16BdzZVKIL3GH2fqb</t>
  </si>
  <si>
    <t>CALLE MARTINETE #48 PARCELAS CARMEN</t>
  </si>
  <si>
    <t>VEGA ALTA</t>
  </si>
  <si>
    <t>CRYSTAL</t>
  </si>
  <si>
    <t>003UU00000Z7t26YAB</t>
  </si>
  <si>
    <t>149.5</t>
  </si>
  <si>
    <t>149.50</t>
  </si>
  <si>
    <t>299.0</t>
  </si>
  <si>
    <t>0.000</t>
  </si>
  <si>
    <t>RUIZ</t>
  </si>
  <si>
    <t>CALLE YORK M26 VILLA CONTESA</t>
  </si>
  <si>
    <t>ANGIE</t>
  </si>
  <si>
    <t>GONZALEZ</t>
  </si>
  <si>
    <t>003UU00000ZQ76bYAD</t>
  </si>
  <si>
    <t>URB HACIENDA LOS RECREOS 97 CALLE SOLAZ C 2</t>
  </si>
  <si>
    <t>GUAYAMA</t>
  </si>
  <si>
    <t>KATHERINE</t>
  </si>
  <si>
    <t>LIZBETH GELY GARCIA</t>
  </si>
  <si>
    <t>003UU00000ZUXgnYAH</t>
  </si>
  <si>
    <t>CALLE B 52 VISTA ALEGRE</t>
  </si>
  <si>
    <t>Lizmarie</t>
  </si>
  <si>
    <t>Rosado</t>
  </si>
  <si>
    <t>003UU00000ZUbFnYAL</t>
  </si>
  <si>
    <t>PARCELAS IMBERY 269 CALLE POMARROSA</t>
  </si>
  <si>
    <t>BARCELONETA</t>
  </si>
  <si>
    <t>Jordan</t>
  </si>
  <si>
    <t>Ramos</t>
  </si>
  <si>
    <t>003UU00000ZXxemYAD</t>
  </si>
  <si>
    <t>pm_AzZSvVVKIMkkX2W3M</t>
  </si>
  <si>
    <t>URB EL PARAISO CALLE A 11</t>
  </si>
  <si>
    <t>HUMACAO</t>
  </si>
  <si>
    <t>Manuel</t>
  </si>
  <si>
    <t>Ortiz</t>
  </si>
  <si>
    <t>003UU00000ZbDmwYAF</t>
  </si>
  <si>
    <t>174.5</t>
  </si>
  <si>
    <t>174.50</t>
  </si>
  <si>
    <t>124.0</t>
  </si>
  <si>
    <t>HC 75 BOX 1544</t>
  </si>
  <si>
    <t>NARANJITO</t>
  </si>
  <si>
    <t>MARI</t>
  </si>
  <si>
    <t>SAEZ</t>
  </si>
  <si>
    <t>003UU00000ZmA93YAF</t>
  </si>
  <si>
    <t>139.00</t>
  </si>
  <si>
    <t>VILLA DEL CAFETAL CALLE 4 B-13</t>
  </si>
  <si>
    <t>YAUCO</t>
  </si>
  <si>
    <t>alejadra.alicea02@gmail.com</t>
  </si>
  <si>
    <t>ALEJANDRA</t>
  </si>
  <si>
    <t>ALICEA QUIÑONES</t>
  </si>
  <si>
    <t>003UU00000ZpJUHYA3</t>
  </si>
  <si>
    <t>URB COUNTRY CLUB CALLE 215 HA 30</t>
  </si>
  <si>
    <t>ROBERTO</t>
  </si>
  <si>
    <t>APONTE CORDERO</t>
  </si>
  <si>
    <t>003UU00000ZpwSZYAZ</t>
  </si>
  <si>
    <t>198.0</t>
  </si>
  <si>
    <t>396.0</t>
  </si>
  <si>
    <t>CALLE DR FONT GUILLOT BI 13 5TA SECC LEVITTOWN</t>
  </si>
  <si>
    <t>JEAN</t>
  </si>
  <si>
    <t>ROSADO</t>
  </si>
  <si>
    <t>003UU00000ZzBKBYA3</t>
  </si>
  <si>
    <t>URB ALTURAS DE SAN PEDRO P8 CALLE SAN CRISTOBAL</t>
  </si>
  <si>
    <t>Mary</t>
  </si>
  <si>
    <t>Feliciano</t>
  </si>
  <si>
    <t>003UU00000a2rd6YAA</t>
  </si>
  <si>
    <t>278.0</t>
  </si>
  <si>
    <t>PO BOX 706</t>
  </si>
  <si>
    <t>BARRANQUITAS</t>
  </si>
  <si>
    <t>Lizette</t>
  </si>
  <si>
    <t>Nieves</t>
  </si>
  <si>
    <t>003UU00000a6w37YAA</t>
  </si>
  <si>
    <t>144.00</t>
  </si>
  <si>
    <t>144.0</t>
  </si>
  <si>
    <t>158.0</t>
  </si>
  <si>
    <t>357.0</t>
  </si>
  <si>
    <t>HC 01 BOX 5481</t>
  </si>
  <si>
    <t>SABANA HOYOS</t>
  </si>
  <si>
    <t>DAMARIS</t>
  </si>
  <si>
    <t>DELGADO</t>
  </si>
  <si>
    <t>003UU00000aQ9FpYAK</t>
  </si>
  <si>
    <t>pm_16CI3DVGmWZii5RGM</t>
  </si>
  <si>
    <t>pm_16CL40VKMdE8k1UJb</t>
  </si>
  <si>
    <t>RR 8 BOX 9211 BO DAJAO</t>
  </si>
  <si>
    <t>JONATHAN</t>
  </si>
  <si>
    <t>MICHAEL REYES MILLAN</t>
  </si>
  <si>
    <t>003UU00000b0HMxYAM</t>
  </si>
  <si>
    <t>199.00</t>
  </si>
  <si>
    <t>199.0</t>
  </si>
  <si>
    <t>pm_AzypH1VKIXo9L2cHT</t>
  </si>
  <si>
    <t>164.00</t>
  </si>
  <si>
    <t>HC 3 BOX 86591</t>
  </si>
  <si>
    <t>GUYNABO</t>
  </si>
  <si>
    <t>JOSE</t>
  </si>
  <si>
    <t>A  QUILES RODRIGUEZ</t>
  </si>
  <si>
    <t>00971-9728</t>
  </si>
  <si>
    <t>003UU00000ew7RtYAI</t>
  </si>
  <si>
    <t>SECTOR PARABUEYON CAMINO OLIVERAS NUM 134</t>
  </si>
  <si>
    <t>CABO ROJO</t>
  </si>
  <si>
    <t>OMAYRA</t>
  </si>
  <si>
    <t>ZUNIGA</t>
  </si>
  <si>
    <t>003UU00000f6RPOYA2</t>
  </si>
  <si>
    <t>HC 02 BOX 10419</t>
  </si>
  <si>
    <t>CARLOS</t>
  </si>
  <si>
    <t>O MUÑIZ TIRU</t>
  </si>
  <si>
    <t>003UU00000fFVNFYA4</t>
  </si>
  <si>
    <t>BQ-7 CALLE 109 VALLE ARRIBA HEIGHTS</t>
  </si>
  <si>
    <t>KEILA</t>
  </si>
  <si>
    <t>C DE LEON</t>
  </si>
  <si>
    <t>003UU00000fFOIZYA4</t>
  </si>
  <si>
    <t>US</t>
  </si>
  <si>
    <t>RR 07 P O BOX 17040</t>
  </si>
  <si>
    <t>TOA ALTA</t>
  </si>
  <si>
    <t>DESIREE</t>
  </si>
  <si>
    <t>LOPEZ PADILLA</t>
  </si>
  <si>
    <t>003UU00000fMksbYAC</t>
  </si>
  <si>
    <t>URB ALTURAS DE RIO GRANDE CALLE 14 H 114</t>
  </si>
  <si>
    <t>RIO GRANDE</t>
  </si>
  <si>
    <t>CASILDA</t>
  </si>
  <si>
    <t>MERCADO OYOLA</t>
  </si>
  <si>
    <t>003UU00000fNf2rYAC</t>
  </si>
  <si>
    <t>267 CALLE SIERRA MORENA PMB 471</t>
  </si>
  <si>
    <t>DANNA</t>
  </si>
  <si>
    <t>GONZALEZ VILLEGAS</t>
  </si>
  <si>
    <t>003UU00000fPr7zYAC</t>
  </si>
  <si>
    <t>HC 3 BOX 26850</t>
  </si>
  <si>
    <t>LAJAS</t>
  </si>
  <si>
    <t>KEVIN</t>
  </si>
  <si>
    <t>IRIZARRY</t>
  </si>
  <si>
    <t>003UU00000etjDaYAI</t>
  </si>
  <si>
    <t>HC 04 BOX 15804 BO CACAO</t>
  </si>
  <si>
    <t>GOMEZ</t>
  </si>
  <si>
    <t>003UU00000X1oNzYAJ</t>
  </si>
  <si>
    <t>ChargentOrders__Billing_Email__c</t>
  </si>
  <si>
    <t>ChargentOrders__Billing_First_Name__c</t>
  </si>
  <si>
    <t>ChargentOrders__Billing_Last_Name__c</t>
  </si>
  <si>
    <t>ChargentOrders__Billing_State__c</t>
  </si>
  <si>
    <t>ChargentOrders__Billing_Zip_Postal__c</t>
  </si>
  <si>
    <t>ChargentOrders__Currency__c</t>
  </si>
  <si>
    <t>ChargentOrders__Manual_Charge__c</t>
  </si>
  <si>
    <t>ChargentOrders__OrderSource__c</t>
  </si>
  <si>
    <t>ChargentOrders__Payment_Count__c</t>
  </si>
  <si>
    <t>ChargentOrders__Payment_End_Date__c</t>
  </si>
  <si>
    <t>ChargentOrders__Payment_Frequency__c</t>
  </si>
  <si>
    <t>ChargentOrders__Payment_Received__c</t>
  </si>
  <si>
    <t>ChargentOrders__Payment_Stop__c</t>
  </si>
  <si>
    <t>ChargentOrders__Tax_Exempt__c</t>
  </si>
  <si>
    <t>ChargentOrders__Contact__c</t>
  </si>
  <si>
    <t>ChargentOrders__Waive_Fee__c</t>
  </si>
  <si>
    <t>Merchant_Descriptor_State__c</t>
  </si>
  <si>
    <t>Pmnt_Token_Migrated_to_CB_PM_Source_ID__c</t>
  </si>
  <si>
    <t>Pmnt_Token_Migrated_to_CB_Error__c</t>
  </si>
  <si>
    <t>en Chargent</t>
  </si>
  <si>
    <t>00146359</t>
  </si>
  <si>
    <t>a10UU0000054PUnYAM</t>
  </si>
  <si>
    <t>KENETH ANDRES MEDINA ORTIZ</t>
  </si>
  <si>
    <t>00149324</t>
  </si>
  <si>
    <t>a10UU000008u5urYAA</t>
  </si>
  <si>
    <t>JOEL ROBERTO AVILES COLON</t>
  </si>
  <si>
    <t>00149505</t>
  </si>
  <si>
    <t>a10UU0000092X5xYAE</t>
  </si>
  <si>
    <t>RAFAELA  POLANCO POLANCO</t>
  </si>
  <si>
    <t>LastActivityDate</t>
  </si>
  <si>
    <t>ChargentOrders__Date__c</t>
  </si>
  <si>
    <t>URB VILLA CONTESA</t>
  </si>
  <si>
    <t>Steven</t>
  </si>
  <si>
    <t>Navedo</t>
  </si>
  <si>
    <t>VALIDO</t>
  </si>
  <si>
    <t>SM_Type__c</t>
  </si>
  <si>
    <t>SM_Original_Type__c</t>
  </si>
  <si>
    <t>Payment_Status__c</t>
  </si>
  <si>
    <t>SM_Payment_execution_date__c</t>
  </si>
  <si>
    <t>SM_Fee_value__c</t>
  </si>
  <si>
    <t>SM_Net_Amount__c</t>
  </si>
  <si>
    <t>SM_Failed_payment__c</t>
  </si>
  <si>
    <t>SM_Payments_refunded__c</t>
  </si>
  <si>
    <t>SM_Contract__c</t>
  </si>
  <si>
    <t>SM_Contract__r.ContractNumber</t>
  </si>
  <si>
    <t>SM_Contract__r.Status</t>
  </si>
  <si>
    <t>SM_Amount__c</t>
  </si>
  <si>
    <t>SM_Penalty_value__c</t>
  </si>
  <si>
    <t>SM_Payment_Date__c</t>
  </si>
  <si>
    <t>ACCEPTED</t>
  </si>
  <si>
    <t>REFUNDED</t>
  </si>
  <si>
    <t>2024-11-29T10:06:48.000Z</t>
  </si>
  <si>
    <t>-25.0</t>
  </si>
  <si>
    <t>2024-10-03T10:17:10.000Z</t>
  </si>
  <si>
    <t>a248W000004TUtMQAW</t>
  </si>
  <si>
    <t>PY-01518322</t>
  </si>
  <si>
    <t>2023-08-24T16:32:38.000Z</t>
  </si>
  <si>
    <t>a248W000004TWvbQAG</t>
  </si>
  <si>
    <t>PY-01520660</t>
  </si>
  <si>
    <t>2023-09-01T20:45:04.000Z</t>
  </si>
  <si>
    <t>a248W000004jWBdQAM</t>
  </si>
  <si>
    <t>PY-01530602</t>
  </si>
  <si>
    <t>2023-10-20T16:08:38.000Z</t>
  </si>
  <si>
    <t>a24UU0000005vvTYAQ</t>
  </si>
  <si>
    <t>PY-01537719</t>
  </si>
  <si>
    <t>2023-11-30T10:11:51.000Z</t>
  </si>
  <si>
    <t>a24UU000000AdOVYA0</t>
  </si>
  <si>
    <t>PY-01542806</t>
  </si>
  <si>
    <t>2023-12-29T10:10:48.000Z</t>
  </si>
  <si>
    <t>a24UU000000CRXWYA4</t>
  </si>
  <si>
    <t>PY-01548575</t>
  </si>
  <si>
    <t>2024-01-26T10:12:56.000Z</t>
  </si>
  <si>
    <t>a24UU000000EpnRYAS</t>
  </si>
  <si>
    <t>PY-01555374</t>
  </si>
  <si>
    <t>2024-02-22T14:55:13.000Z</t>
  </si>
  <si>
    <t>a24UU000000HsVRYA0</t>
  </si>
  <si>
    <t>PY-01563723</t>
  </si>
  <si>
    <t>2024-03-21T14:02:05.000Z</t>
  </si>
  <si>
    <t>a24UU000000L7GDYA0</t>
  </si>
  <si>
    <t>PY-01572021</t>
  </si>
  <si>
    <t>2024-04-18T16:55:29.000Z</t>
  </si>
  <si>
    <t>a24UU000000QEYsYAO</t>
  </si>
  <si>
    <t>PY-01582103</t>
  </si>
  <si>
    <t>2024-05-30T10:07:49.000Z</t>
  </si>
  <si>
    <t>a24UU000000TUdsYAG</t>
  </si>
  <si>
    <t>PY-01589982</t>
  </si>
  <si>
    <t>2024-06-28T10:07:48.000Z</t>
  </si>
  <si>
    <t>a24UU000000YRUGYA4</t>
  </si>
  <si>
    <t>PY-01599030</t>
  </si>
  <si>
    <t>2024-07-30T10:06:58.000Z</t>
  </si>
  <si>
    <t>a24UU000000qDu5YAE</t>
  </si>
  <si>
    <t>PY-01619595</t>
  </si>
  <si>
    <t>a24UU000000yKFBYA2</t>
  </si>
  <si>
    <t>PY-01630073</t>
  </si>
  <si>
    <t>2024-10-31T15:48:19.000Z</t>
  </si>
  <si>
    <t>a24UU0000016DWfYAM</t>
  </si>
  <si>
    <t>PY-01639428</t>
  </si>
  <si>
    <t>a24UU000001DSpDYAW</t>
  </si>
  <si>
    <t>PY-01649964</t>
  </si>
  <si>
    <t>2024-12-30T10:06:17.000Z</t>
  </si>
  <si>
    <t>159.0</t>
  </si>
  <si>
    <t>2024-09-27T14:46:11.000Z</t>
  </si>
  <si>
    <t>2024-05-30T10:16:39.000Z</t>
  </si>
  <si>
    <t>2024-06-28T10:14:00.000Z</t>
  </si>
  <si>
    <t>2024-08-30T10:10:53.000Z</t>
  </si>
  <si>
    <t>2024-11-01T10:18:39.000Z</t>
  </si>
  <si>
    <t>2024-11-29T10:09:32.000Z</t>
  </si>
  <si>
    <t>2024-12-30T10:08:27.000Z</t>
  </si>
  <si>
    <t>a24UU000000KEV3YAO</t>
  </si>
  <si>
    <t>PY-01568805</t>
  </si>
  <si>
    <t>2024-04-10T20:49:54.000Z</t>
  </si>
  <si>
    <t>a24UU000000QFTNYA4</t>
  </si>
  <si>
    <t>PY-01582496</t>
  </si>
  <si>
    <t>a24UU000000TVGYYA4</t>
  </si>
  <si>
    <t>PY-01590259</t>
  </si>
  <si>
    <t>a24UU000000Y9c6YAC</t>
  </si>
  <si>
    <t>PY-01598815</t>
  </si>
  <si>
    <t>2024-07-29T10:14:16.000Z</t>
  </si>
  <si>
    <t>a24UU000000gdWPYAY</t>
  </si>
  <si>
    <t>PY-01607567</t>
  </si>
  <si>
    <t>a24UU000000oWL6YAM</t>
  </si>
  <si>
    <t>PY-01616916</t>
  </si>
  <si>
    <t>a24UU000000ya3pYAA</t>
  </si>
  <si>
    <t>PY-01630896</t>
  </si>
  <si>
    <t>a24UU0000016DtIYAU</t>
  </si>
  <si>
    <t>PY-01639555</t>
  </si>
  <si>
    <t>a24UU000001DT5FYAW</t>
  </si>
  <si>
    <t>PY-01650058</t>
  </si>
  <si>
    <t>a24UU000000jo0gYAA</t>
  </si>
  <si>
    <t>PY-01610948</t>
  </si>
  <si>
    <t>2024-09-11T18:40:10.000Z</t>
  </si>
  <si>
    <t>a24UU0000011AMYYA2</t>
  </si>
  <si>
    <t>PY-01634043</t>
  </si>
  <si>
    <t>2024-11-11T10:16:55.000Z</t>
  </si>
  <si>
    <t>a24UU0000016EanYAE</t>
  </si>
  <si>
    <t>PY-01639827</t>
  </si>
  <si>
    <t>2024-11-29T10:15:23.000Z</t>
  </si>
  <si>
    <t>a24UU000001DSVnYAO</t>
  </si>
  <si>
    <t>PY-01650243</t>
  </si>
  <si>
    <t>2024-12-30T10:12:16.000Z</t>
  </si>
  <si>
    <t>a24UU000000wUNVYA2</t>
  </si>
  <si>
    <t>PY-01627321</t>
  </si>
  <si>
    <t>2024-10-24T22:51:23.000Z</t>
  </si>
  <si>
    <t>a24UU0000016F2EYAU</t>
  </si>
  <si>
    <t>PY-01640044</t>
  </si>
  <si>
    <t>2024-11-29T10:19:36.000Z</t>
  </si>
  <si>
    <t>2025-11-26T10:01:05.000Z</t>
  </si>
  <si>
    <t>2025-12-26T10:00:53.000Z</t>
  </si>
  <si>
    <t>2026-02-27T10:00:40.000Z</t>
  </si>
  <si>
    <t>2025-06-27T21:11:06.000Z</t>
  </si>
  <si>
    <t>2025-10-30T10:01:34.000Z</t>
  </si>
  <si>
    <t>a24UU000001RWw8YAG</t>
  </si>
  <si>
    <t>PY-01668601</t>
  </si>
  <si>
    <t>2025-02-20T10:14:04.000Z</t>
  </si>
  <si>
    <t>a24UU000001Y9mfYAC</t>
  </si>
  <si>
    <t>PY-01675706</t>
  </si>
  <si>
    <t>75.01</t>
  </si>
  <si>
    <t>2025-03-14T16:43:29.000Z</t>
  </si>
  <si>
    <t>a24UU000001Y9zZYAS</t>
  </si>
  <si>
    <t>PY-01675707</t>
  </si>
  <si>
    <t>2025-03-14T17:01:55.000Z</t>
  </si>
  <si>
    <t>a24UU000001yXgVYAU</t>
  </si>
  <si>
    <t>PY-01685512</t>
  </si>
  <si>
    <t>2025-04-17T14:12:51.000Z</t>
  </si>
  <si>
    <t>a24UU0000027m8WYAQ</t>
  </si>
  <si>
    <t>PY-01689462</t>
  </si>
  <si>
    <t>2025-04-30T10:06:10.000Z</t>
  </si>
  <si>
    <t>a24UU000002RZtaYAG</t>
  </si>
  <si>
    <t>PY-01706102</t>
  </si>
  <si>
    <t>2025-06-26T10:13:50.000Z</t>
  </si>
  <si>
    <t>a24UU000002SBU2YAO</t>
  </si>
  <si>
    <t>PY-01707139</t>
  </si>
  <si>
    <t>a24UU000002wPbGYAU</t>
  </si>
  <si>
    <t>PY-01732968</t>
  </si>
  <si>
    <t>2025-09-18T10:04:05.000Z</t>
  </si>
  <si>
    <t>a24UU000002wQ10YAE</t>
  </si>
  <si>
    <t>PY-01733116</t>
  </si>
  <si>
    <t>2025-09-18T10:07:14.000Z</t>
  </si>
  <si>
    <t>a24UU000003BeN0YAK</t>
  </si>
  <si>
    <t>PY-01747052</t>
  </si>
  <si>
    <t>a24UU000003GddEYAS</t>
  </si>
  <si>
    <t>PY-01752184</t>
  </si>
  <si>
    <t>2025-11-13T10:06:41.000Z</t>
  </si>
  <si>
    <t>a24UU000003KeiqYAC</t>
  </si>
  <si>
    <t>PY-01756917</t>
  </si>
  <si>
    <t>a24UU000003VeigYAC</t>
  </si>
  <si>
    <t>PY-01769856</t>
  </si>
  <si>
    <t>a24UU000003nExlYAE</t>
  </si>
  <si>
    <t>PY-01789911</t>
  </si>
  <si>
    <t>2026-02-05T22:10:49.000Z</t>
  </si>
  <si>
    <t>a24UU000003wyF3YAI</t>
  </si>
  <si>
    <t>PY-01798775</t>
  </si>
  <si>
    <t>a24UU000004ait4YAA</t>
  </si>
  <si>
    <t>PY-01842636</t>
  </si>
  <si>
    <t>2026-05-29T10:00:13.000Z</t>
  </si>
  <si>
    <t>a24UU000004mmMiYAI</t>
  </si>
  <si>
    <t>PY-01856810</t>
  </si>
  <si>
    <t>2026-06-25T10:05:31.000Z</t>
  </si>
  <si>
    <t>2025-01-31T10:18:37.000Z</t>
  </si>
  <si>
    <t>2025-06-27T21:11:54.000Z</t>
  </si>
  <si>
    <t>2025-07-30T10:02:44.000Z</t>
  </si>
  <si>
    <t>2025-08-29T10:02:54.000Z</t>
  </si>
  <si>
    <t>2025-03-28T10:07:46.000Z</t>
  </si>
  <si>
    <t>2025-05-30T10:07:16.000Z</t>
  </si>
  <si>
    <t>2025-03-10T10:14:15.000Z</t>
  </si>
  <si>
    <t>2025-05-02T10:15:14.000Z</t>
  </si>
  <si>
    <t>2025-10-27T10:09:47.000Z</t>
  </si>
  <si>
    <t>2025-11-03T10:12:26.000Z</t>
  </si>
  <si>
    <t>2026-03-02T10:05:21.000Z</t>
  </si>
  <si>
    <t>a24UU000001M4ciYAC</t>
  </si>
  <si>
    <t>PY-01662919</t>
  </si>
  <si>
    <t>a24UU000001WgwiYAC</t>
  </si>
  <si>
    <t>PY-01674373</t>
  </si>
  <si>
    <t>a24UU000001im5OYAQ</t>
  </si>
  <si>
    <t>PY-01679086</t>
  </si>
  <si>
    <t>a24UU0000028mpVYAQ</t>
  </si>
  <si>
    <t>PY-01690923</t>
  </si>
  <si>
    <t>a24UU000002HWomYAG</t>
  </si>
  <si>
    <t>PY-01698669</t>
  </si>
  <si>
    <t>a24UU000002SBPOYA4</t>
  </si>
  <si>
    <t>PY-01707178</t>
  </si>
  <si>
    <t>a24UU000002droCYAQ</t>
  </si>
  <si>
    <t>PY-01717221</t>
  </si>
  <si>
    <t>a24UU000002pBRuYAM</t>
  </si>
  <si>
    <t>PY-01726262</t>
  </si>
  <si>
    <t>a24UU000003AOlpYAG</t>
  </si>
  <si>
    <t>PY-01746438</t>
  </si>
  <si>
    <t>a24UU000003CdqQYAS</t>
  </si>
  <si>
    <t>PY-01749374</t>
  </si>
  <si>
    <t>a24UU000003xwz9YAA</t>
  </si>
  <si>
    <t>PY-01800094</t>
  </si>
  <si>
    <t>2026-03-02T10:02:49.000Z</t>
  </si>
  <si>
    <t>a24UU000003xxNQYAY</t>
  </si>
  <si>
    <t>PY-01800207</t>
  </si>
  <si>
    <t>a24UU000003xxqNYAQ</t>
  </si>
  <si>
    <t>PY-01800373</t>
  </si>
  <si>
    <t>2026-03-02T10:08:59.000Z</t>
  </si>
  <si>
    <t>a24UU000004bDNOYA2</t>
  </si>
  <si>
    <t>PY-01843855</t>
  </si>
  <si>
    <t>2026-05-30T13:12:41.000Z</t>
  </si>
  <si>
    <t>a24UU000004bKiDYAU</t>
  </si>
  <si>
    <t>PY-01843852</t>
  </si>
  <si>
    <t>2026-05-30T13:10:29.000Z</t>
  </si>
  <si>
    <t>a24UU000004qmCkYAI</t>
  </si>
  <si>
    <t>PY-01862462</t>
  </si>
  <si>
    <t>2026-07-03T23:45:43.000Z</t>
  </si>
  <si>
    <t>a24UU000004qmRFYAY</t>
  </si>
  <si>
    <t>PY-01862461</t>
  </si>
  <si>
    <t>2026-07-03T23:43:45.000Z</t>
  </si>
  <si>
    <t>2026-01-26T10:01:41.000Z</t>
  </si>
  <si>
    <t>2025-10-30T10:03:27.000Z</t>
  </si>
  <si>
    <t>2025-01-30T10:11:42.000Z</t>
  </si>
  <si>
    <t>2025-06-27T21:13:33.000Z</t>
  </si>
  <si>
    <t>2025-10-30T10:03:54.000Z</t>
  </si>
  <si>
    <t>a24UU000001LgqJYAS</t>
  </si>
  <si>
    <t>PY-01661571</t>
  </si>
  <si>
    <t>a24UU000001XBSLYA4</t>
  </si>
  <si>
    <t>PY-01674528</t>
  </si>
  <si>
    <t>2025-03-11T23:42:12.000Z</t>
  </si>
  <si>
    <t>a24UU000001imRmYAI</t>
  </si>
  <si>
    <t>PY-01679182</t>
  </si>
  <si>
    <t>2025-03-28T10:10:05.000Z</t>
  </si>
  <si>
    <t>a24UU000002BuJ6YAK</t>
  </si>
  <si>
    <t>PY-01693573</t>
  </si>
  <si>
    <t>2025-05-12T10:13:19.000Z</t>
  </si>
  <si>
    <t>a24UU000002McXVYA0</t>
  </si>
  <si>
    <t>PY-01702106</t>
  </si>
  <si>
    <t>2025-06-12T00:04:03.000Z</t>
  </si>
  <si>
    <t>a24UU000002SBacYAG</t>
  </si>
  <si>
    <t>PY-01707230</t>
  </si>
  <si>
    <t>a24UU000002mSTtYAM</t>
  </si>
  <si>
    <t>PY-01723870</t>
  </si>
  <si>
    <t>2025-08-21T23:48:22.000Z</t>
  </si>
  <si>
    <t>a24UU000002rvdLYAQ</t>
  </si>
  <si>
    <t>PY-01729780</t>
  </si>
  <si>
    <t>2025-09-05T23:47:11.000Z</t>
  </si>
  <si>
    <t>a24UU0000032W5JYAU</t>
  </si>
  <si>
    <t>PY-01738713</t>
  </si>
  <si>
    <t>2025-10-03T23:50:37.000Z</t>
  </si>
  <si>
    <t>a24UU000003BergYAC</t>
  </si>
  <si>
    <t>PY-01747126</t>
  </si>
  <si>
    <t>a24UU000003LJxBYAW</t>
  </si>
  <si>
    <t>PY-01758966</t>
  </si>
  <si>
    <t>2025-11-28T17:47:13.000Z</t>
  </si>
  <si>
    <t>a24UU000003XfZDYA0</t>
  </si>
  <si>
    <t>PY-01773780</t>
  </si>
  <si>
    <t>2026-01-02T10:15:09.000Z</t>
  </si>
  <si>
    <t>a24UU000003mf2LYAQ</t>
  </si>
  <si>
    <t>PY-01789079</t>
  </si>
  <si>
    <t>2026-02-05T00:29:47.000Z</t>
  </si>
  <si>
    <t>2026-01-26T10:19:59.000Z</t>
  </si>
  <si>
    <t>2025-09-30T10:03:51.000Z</t>
  </si>
  <si>
    <t>2025-12-31T00:00:00.000Z</t>
  </si>
  <si>
    <t>2025-01-30T10:13:32.000Z</t>
  </si>
  <si>
    <t>2025-03-28T10:11:01.000Z</t>
  </si>
  <si>
    <t>2025-06-27T21:14:29.000Z</t>
  </si>
  <si>
    <t>2025-07-30T10:04:44.000Z</t>
  </si>
  <si>
    <t>2025-11-26T10:03:37.000Z</t>
  </si>
  <si>
    <t>2025-12-26T10:02:16.000Z</t>
  </si>
  <si>
    <t>a24UU000001E5nJYAS</t>
  </si>
  <si>
    <t>PY-01651643</t>
  </si>
  <si>
    <t>2025-01-02T10:17:41.000Z</t>
  </si>
  <si>
    <t>a24UU000001LgrtYAC</t>
  </si>
  <si>
    <t>PY-01661659</t>
  </si>
  <si>
    <t>a24UU000001UjtiYAC</t>
  </si>
  <si>
    <t>PY-01672593</t>
  </si>
  <si>
    <t>2025-03-03T10:17:53.000Z</t>
  </si>
  <si>
    <t>a24UU000001ilacYAA</t>
  </si>
  <si>
    <t>PY-01679224</t>
  </si>
  <si>
    <t>a24UU0000028mw4YAA</t>
  </si>
  <si>
    <t>PY-01690980</t>
  </si>
  <si>
    <t>2025-05-02T10:16:10.000Z</t>
  </si>
  <si>
    <t>a24UU000002PPGbYAO</t>
  </si>
  <si>
    <t>PY-01704619</t>
  </si>
  <si>
    <t>2025-06-19T22:30:58.000Z</t>
  </si>
  <si>
    <t>a24UU000002SBlqYAG</t>
  </si>
  <si>
    <t>PY-01707251</t>
  </si>
  <si>
    <t>a24UU000002ds14YAA</t>
  </si>
  <si>
    <t>PY-01717303</t>
  </si>
  <si>
    <t>a24UU000002pBujYAE</t>
  </si>
  <si>
    <t>PY-01726335</t>
  </si>
  <si>
    <t>2025-08-29T10:04:54.000Z</t>
  </si>
  <si>
    <t>a24UU0000030nf2YAA</t>
  </si>
  <si>
    <t>PY-01736917</t>
  </si>
  <si>
    <t>a24UU000003BeuwYAC</t>
  </si>
  <si>
    <t>PY-01747143</t>
  </si>
  <si>
    <t>a24UU000003KeyvYAC</t>
  </si>
  <si>
    <t>PY-01757009</t>
  </si>
  <si>
    <t>a24UU000003VetuYAC</t>
  </si>
  <si>
    <t>PY-01769910</t>
  </si>
  <si>
    <t>a24UU000003hpFNYAY</t>
  </si>
  <si>
    <t>PY-01783779</t>
  </si>
  <si>
    <t>2025-09-18T10:07:52.000Z</t>
  </si>
  <si>
    <t>a24UU000001PwpxYAC</t>
  </si>
  <si>
    <t>PY-01667282</t>
  </si>
  <si>
    <t>2025-02-14T10:16:17.000Z</t>
  </si>
  <si>
    <t>a24UU000001TyunYAC</t>
  </si>
  <si>
    <t>PY-01671683</t>
  </si>
  <si>
    <t>2025-02-28T10:18:46.000Z</t>
  </si>
  <si>
    <t>a24UU000001ilE5YAI</t>
  </si>
  <si>
    <t>PY-01679646</t>
  </si>
  <si>
    <t>2025-03-28T10:19:56.000Z</t>
  </si>
  <si>
    <t>a24UU000002BACcYAO</t>
  </si>
  <si>
    <t>PY-01692986</t>
  </si>
  <si>
    <t>2025-05-09T10:15:19.000Z</t>
  </si>
  <si>
    <t>a24UU000002HXWMYA4</t>
  </si>
  <si>
    <t>PY-01698962</t>
  </si>
  <si>
    <t>2025-05-30T10:13:21.000Z</t>
  </si>
  <si>
    <t>a24UU000002SBsTYAW</t>
  </si>
  <si>
    <t>PY-01707349</t>
  </si>
  <si>
    <t>2025-06-27T21:16:43.000Z</t>
  </si>
  <si>
    <t>a24UU000002dsHAYAY</t>
  </si>
  <si>
    <t>PY-01717411</t>
  </si>
  <si>
    <t>2025-07-30T10:07:39.000Z</t>
  </si>
  <si>
    <t>a24UU000002pC7jYAE</t>
  </si>
  <si>
    <t>PY-01726438</t>
  </si>
  <si>
    <t>2025-08-29T10:07:27.000Z</t>
  </si>
  <si>
    <t>a24UU0000030oeOYAQ</t>
  </si>
  <si>
    <t>PY-01736994</t>
  </si>
  <si>
    <t>2025-09-30T10:05:48.000Z</t>
  </si>
  <si>
    <t>a24UU000003JMuUYAW</t>
  </si>
  <si>
    <t>PY-01755584</t>
  </si>
  <si>
    <t>2025-11-21T10:11:31.000Z</t>
  </si>
  <si>
    <t>a24UU000003XPYzYAO</t>
  </si>
  <si>
    <t>PY-01772811</t>
  </si>
  <si>
    <t>2026-01-01T10:09:31.000Z</t>
  </si>
  <si>
    <t>a24UU000004FbrRYAS</t>
  </si>
  <si>
    <t>PY-01816295</t>
  </si>
  <si>
    <t>2026-04-10T10:04:00.000Z</t>
  </si>
  <si>
    <t>a24UU000004jnYaYAI</t>
  </si>
  <si>
    <t>PY-01853399</t>
  </si>
  <si>
    <t>2026-06-18T10:01:04.000Z</t>
  </si>
  <si>
    <t>a24UU000001Q2YfYAK</t>
  </si>
  <si>
    <t>PY-01667475</t>
  </si>
  <si>
    <t>2025-02-14T19:52:20.000Z</t>
  </si>
  <si>
    <t>a24UU000001mBrpYAE</t>
  </si>
  <si>
    <t>PY-01680586</t>
  </si>
  <si>
    <t>2025-04-01T18:59:33.000Z</t>
  </si>
  <si>
    <t>a24UU0000027n9MYAQ</t>
  </si>
  <si>
    <t>PY-01689783</t>
  </si>
  <si>
    <t>2025-04-30T10:13:49.000Z</t>
  </si>
  <si>
    <t>a24UU000002HXPwYAO</t>
  </si>
  <si>
    <t>PY-01698929</t>
  </si>
  <si>
    <t>2025-05-30T10:12:39.000Z</t>
  </si>
  <si>
    <t>a24UU000002UD6qYAG</t>
  </si>
  <si>
    <t>PY-01708184</t>
  </si>
  <si>
    <t>2025-07-03T10:06:54.000Z</t>
  </si>
  <si>
    <t>a24UU000002h47YYAQ</t>
  </si>
  <si>
    <t>PY-01719973</t>
  </si>
  <si>
    <t>2025-08-07T10:10:50.000Z</t>
  </si>
  <si>
    <t>a24UU000002wPZnYAM</t>
  </si>
  <si>
    <t>PY-01733149</t>
  </si>
  <si>
    <t>a24UU0000030okgYAA</t>
  </si>
  <si>
    <t>PY-01736986</t>
  </si>
  <si>
    <t>2025-09-30T10:05:37.000Z</t>
  </si>
  <si>
    <t>a24UU000003IJldYAG</t>
  </si>
  <si>
    <t>PY-01754240</t>
  </si>
  <si>
    <t>2025-11-18T16:52:08.000Z</t>
  </si>
  <si>
    <t>a24UU000003LqGYYA0</t>
  </si>
  <si>
    <t>PY-01759826</t>
  </si>
  <si>
    <t>2025-12-01T10:17:32.000Z</t>
  </si>
  <si>
    <t>a24UU000004BeZJYA0</t>
  </si>
  <si>
    <t>PY-01812573</t>
  </si>
  <si>
    <t>2026-04-01T01:31:35.000Z</t>
  </si>
  <si>
    <t>a24UU000004BeavYAC</t>
  </si>
  <si>
    <t>PY-01812574</t>
  </si>
  <si>
    <t>2026-04-01T01:31:50.000Z</t>
  </si>
  <si>
    <t>a24UU000001W4j6YAC</t>
  </si>
  <si>
    <t>PY-01673804</t>
  </si>
  <si>
    <t>2025-03-07T10:14:09.000Z</t>
  </si>
  <si>
    <t>a24UU000002MnIoYAK</t>
  </si>
  <si>
    <t>PY-01702295</t>
  </si>
  <si>
    <t>2025-06-12T10:09:47.000Z</t>
  </si>
  <si>
    <t>a24UU000002hU06YAE</t>
  </si>
  <si>
    <t>PY-01720225</t>
  </si>
  <si>
    <t>2025-08-08T10:04:12.000Z</t>
  </si>
  <si>
    <t>a24UU000002hUjHYAU</t>
  </si>
  <si>
    <t>PY-01720543</t>
  </si>
  <si>
    <t>2025-08-08T10:10:45.000Z</t>
  </si>
  <si>
    <t>a24UU00000351xvYAA</t>
  </si>
  <si>
    <t>PY-01740665</t>
  </si>
  <si>
    <t>2025-10-10T10:08:26.000Z</t>
  </si>
  <si>
    <t>a24UU00000352NjYAI</t>
  </si>
  <si>
    <t>PY-01740914</t>
  </si>
  <si>
    <t>2025-10-10T10:13:45.000Z</t>
  </si>
  <si>
    <t>a24UU00000352VhYAI</t>
  </si>
  <si>
    <t>PY-01740968</t>
  </si>
  <si>
    <t>2025-10-10T10:15:03.000Z</t>
  </si>
  <si>
    <t>a24UU000003LD0pYAG</t>
  </si>
  <si>
    <t>PY-01758541</t>
  </si>
  <si>
    <t>2025-11-28T10:10:22.000Z</t>
  </si>
  <si>
    <t>a24UU000003XPZ1YAO</t>
  </si>
  <si>
    <t>PY-01772813</t>
  </si>
  <si>
    <t>a24UU000003anDUYAY</t>
  </si>
  <si>
    <t>PY-01776477</t>
  </si>
  <si>
    <t>2026-01-09T10:13:38.000Z</t>
  </si>
  <si>
    <t>a24UU000003lOWbYAM</t>
  </si>
  <si>
    <t>PY-01788768</t>
  </si>
  <si>
    <t>2026-02-02T22:25:16.000Z</t>
  </si>
  <si>
    <t>2025-11-07T10:12:49.000Z</t>
  </si>
  <si>
    <t>2025-04-30T10:16:58.000Z</t>
  </si>
  <si>
    <t>a24UU000001XoVJYA0</t>
  </si>
  <si>
    <t>PY-01675056</t>
  </si>
  <si>
    <t>2025-03-13T20:49:29.000Z</t>
  </si>
  <si>
    <t>a24UU000001inkQYAQ</t>
  </si>
  <si>
    <t>PY-01679716</t>
  </si>
  <si>
    <t>2025-03-28T10:21:51.000Z</t>
  </si>
  <si>
    <t>a24UU0000027nUIYAY</t>
  </si>
  <si>
    <t>PY-01689929</t>
  </si>
  <si>
    <t>a24UU000002MzWjYAK</t>
  </si>
  <si>
    <t>PY-01702542</t>
  </si>
  <si>
    <t>2025-06-12T21:03:10.000Z</t>
  </si>
  <si>
    <t>a24UU000002SC5AYAW</t>
  </si>
  <si>
    <t>PY-01707382</t>
  </si>
  <si>
    <t>2025-06-27T21:17:41.000Z</t>
  </si>
  <si>
    <t>a24UU000002dsPDYAY</t>
  </si>
  <si>
    <t>PY-01717461</t>
  </si>
  <si>
    <t>2025-07-30T10:08:57.000Z</t>
  </si>
  <si>
    <t>a24UU000002pC9SYAU</t>
  </si>
  <si>
    <t>PY-01726494</t>
  </si>
  <si>
    <t>2025-08-29T10:08:56.000Z</t>
  </si>
  <si>
    <t>a24UU0000035wBPYAY</t>
  </si>
  <si>
    <t>PY-01741637</t>
  </si>
  <si>
    <t>2025-10-13T10:12:46.000Z</t>
  </si>
  <si>
    <t>a24UU000003EjrlYAC</t>
  </si>
  <si>
    <t>PY-01750915</t>
  </si>
  <si>
    <t>a24UU000003KfIDYA0</t>
  </si>
  <si>
    <t>PY-01757100</t>
  </si>
  <si>
    <t>2025-11-26T10:05:44.000Z</t>
  </si>
  <si>
    <t>a24UU000003e60DYAQ</t>
  </si>
  <si>
    <t>PY-01779819</t>
  </si>
  <si>
    <t>2026-01-16T10:14:04.000Z</t>
  </si>
  <si>
    <t>a24UU000004aChzYAE</t>
  </si>
  <si>
    <t>PY-01840882</t>
  </si>
  <si>
    <t>2026-05-28T10:02:45.000Z</t>
  </si>
  <si>
    <t>2026-01-29T10:18:16.000Z</t>
  </si>
  <si>
    <t>2025-11-14T10:03:34.000Z</t>
  </si>
  <si>
    <t>a24UU000002DMuPYAW</t>
  </si>
  <si>
    <t>PY-01694592</t>
  </si>
  <si>
    <t>2025-05-15T21:24:05.000Z</t>
  </si>
  <si>
    <t>a24UU000002NC98YAG</t>
  </si>
  <si>
    <t>PY-01703003</t>
  </si>
  <si>
    <t>2025-06-13T10:15:01.000Z</t>
  </si>
  <si>
    <t>a24UU000002grgHYAQ</t>
  </si>
  <si>
    <t>PY-01719513</t>
  </si>
  <si>
    <t>2025-08-06T23:24:37.000Z</t>
  </si>
  <si>
    <t>a24UU000002v2iRYAQ</t>
  </si>
  <si>
    <t>PY-01732011</t>
  </si>
  <si>
    <t>2025-09-15T10:04:02.000Z</t>
  </si>
  <si>
    <t>a24UU0000032U8LYAU</t>
  </si>
  <si>
    <t>PY-01738665</t>
  </si>
  <si>
    <t>2025-10-03T22:22:02.000Z</t>
  </si>
  <si>
    <t>a24UU000003Gy0AYAS</t>
  </si>
  <si>
    <t>PY-01752747</t>
  </si>
  <si>
    <t>a24UU000003RolSYAS</t>
  </si>
  <si>
    <t>PY-01764859</t>
  </si>
  <si>
    <t>2025-12-15T10:03:12.000Z</t>
  </si>
  <si>
    <t>a24UU000003dUB6YAM</t>
  </si>
  <si>
    <t>PY-01778253</t>
  </si>
  <si>
    <t>2026-01-15T10:02:52.000Z</t>
  </si>
  <si>
    <t>a24UU000003qfbeYAA</t>
  </si>
  <si>
    <t>PY-01793025</t>
  </si>
  <si>
    <t>2026-02-13T10:02:12.000Z</t>
  </si>
  <si>
    <t>a24UU0000043X5CYAU</t>
  </si>
  <si>
    <t>PY-01804711</t>
  </si>
  <si>
    <t>2026-03-13T10:01:53.000Z</t>
  </si>
  <si>
    <t>2025-07-30T10:10:56.000Z</t>
  </si>
  <si>
    <t>2025-10-30T10:08:04.000Z</t>
  </si>
  <si>
    <t>a24UU000002Jg2PYAS</t>
  </si>
  <si>
    <t>PY-01700331</t>
  </si>
  <si>
    <t>2025-06-04T17:30:03.000Z</t>
  </si>
  <si>
    <t>a24UU000002dsaYYAQ</t>
  </si>
  <si>
    <t>PY-01717554</t>
  </si>
  <si>
    <t>a24UU000002pChCYAU</t>
  </si>
  <si>
    <t>PY-01726692</t>
  </si>
  <si>
    <t>2025-08-29T10:13:42.000Z</t>
  </si>
  <si>
    <t>a24UU0000030ow4YAA</t>
  </si>
  <si>
    <t>PY-01737083</t>
  </si>
  <si>
    <t>2025-09-30T10:08:13.000Z</t>
  </si>
  <si>
    <t>a24UU000003BfMLYA0</t>
  </si>
  <si>
    <t>PY-01747302</t>
  </si>
  <si>
    <t>a24UU000003KfTVYA0</t>
  </si>
  <si>
    <t>PY-01757161</t>
  </si>
  <si>
    <t>2025-11-26T10:07:05.000Z</t>
  </si>
  <si>
    <t>a24UU000003dWuPYAU</t>
  </si>
  <si>
    <t>PY-01778878</t>
  </si>
  <si>
    <t>2026-01-15T10:17:22.000Z</t>
  </si>
  <si>
    <t>a24UU000003q9OsYAI</t>
  </si>
  <si>
    <t>PY-01792663</t>
  </si>
  <si>
    <t>2026-02-12T10:09:29.000Z</t>
  </si>
  <si>
    <t>a24UU000004aD6EYAU</t>
  </si>
  <si>
    <t>PY-01841095</t>
  </si>
  <si>
    <t>2026-05-28T10:07:03.000Z</t>
  </si>
  <si>
    <t>a24UU000004aDXXYA2</t>
  </si>
  <si>
    <t>PY-01841238</t>
  </si>
  <si>
    <t>2026-05-28T10:10:10.000Z</t>
  </si>
  <si>
    <t>2025-09-30T10:08:47.000Z</t>
  </si>
  <si>
    <t>a24UU000002XJkHYAW</t>
  </si>
  <si>
    <t>PY-01710151</t>
  </si>
  <si>
    <t>2025-07-11T14:58:33.000Z</t>
  </si>
  <si>
    <t>a24UU000002pD3oYAE</t>
  </si>
  <si>
    <t>PY-01726807</t>
  </si>
  <si>
    <t>2025-08-29T10:16:24.000Z</t>
  </si>
  <si>
    <t>a24UU0000030p7HYAQ</t>
  </si>
  <si>
    <t>PY-01737105</t>
  </si>
  <si>
    <t>a24UU000003EjrsYAC</t>
  </si>
  <si>
    <t>PY-01750922</t>
  </si>
  <si>
    <t>a24UU000003KfWjYAK</t>
  </si>
  <si>
    <t>PY-01757184</t>
  </si>
  <si>
    <t>2025-11-26T10:07:40.000Z</t>
  </si>
  <si>
    <t>a24UU000003t2VhYAI</t>
  </si>
  <si>
    <t>PY-01795030</t>
  </si>
  <si>
    <t>2026-02-18T22:15:50.000Z</t>
  </si>
  <si>
    <t>a24UU000003tg06YAA</t>
  </si>
  <si>
    <t>PY-01795882</t>
  </si>
  <si>
    <t>2026-02-20T00:42:56.000Z</t>
  </si>
  <si>
    <t>a24UU000002b5yrYAA</t>
  </si>
  <si>
    <t>PY-01715485</t>
  </si>
  <si>
    <t>2025-07-22T21:13:14.000Z</t>
  </si>
  <si>
    <t>PY-01715488</t>
  </si>
  <si>
    <t>-79.5</t>
  </si>
  <si>
    <t>2025-07-28T00:00:00.000Z</t>
  </si>
  <si>
    <t>2025-07-22T21:50:09.000Z</t>
  </si>
  <si>
    <t>a24UU000002cdDhYAI</t>
  </si>
  <si>
    <t>PY-01716312</t>
  </si>
  <si>
    <t>2025-07-26T10:00:40.000Z</t>
  </si>
  <si>
    <t>a24UU000003HYrfYAG</t>
  </si>
  <si>
    <t>PY-01753623</t>
  </si>
  <si>
    <t>2025-11-17T10:03:41.000Z</t>
  </si>
  <si>
    <t>a24UU000003LqOXYA0</t>
  </si>
  <si>
    <t>PY-01759901</t>
  </si>
  <si>
    <t>2025-12-01T10:19:11.000Z</t>
  </si>
  <si>
    <t>a24UU000003b7YfYAI</t>
  </si>
  <si>
    <t>PY-01776744</t>
  </si>
  <si>
    <t>2026-01-10T00:03:49.000Z</t>
  </si>
  <si>
    <t>a24UU000003uqWvYAI</t>
  </si>
  <si>
    <t>PY-01796889</t>
  </si>
  <si>
    <t>2026-02-23T10:03:09.000Z</t>
  </si>
  <si>
    <t>a24UU000004FdRrYAK</t>
  </si>
  <si>
    <t>PY-01816815</t>
  </si>
  <si>
    <t>2026-04-10T10:14:29.000Z</t>
  </si>
  <si>
    <t>a24UU000004jnYYYAY</t>
  </si>
  <si>
    <t>PY-01853397</t>
  </si>
  <si>
    <t>2025-11-26T10:07:48.000Z</t>
  </si>
  <si>
    <t>2025-10-30T10:10:53.000Z</t>
  </si>
  <si>
    <t>a24UU000002gGyTYAU</t>
  </si>
  <si>
    <t>PY-01719453</t>
  </si>
  <si>
    <t>2025-08-05T16:18:23.000Z</t>
  </si>
  <si>
    <t>a24UU0000030oLHYAY</t>
  </si>
  <si>
    <t>PY-01737117</t>
  </si>
  <si>
    <t>2025-09-30T10:09:11.000Z</t>
  </si>
  <si>
    <t>a24UU000003BfWEYA0</t>
  </si>
  <si>
    <t>PY-01747428</t>
  </si>
  <si>
    <t>a24UU000003KfYOYA0</t>
  </si>
  <si>
    <t>PY-01757195</t>
  </si>
  <si>
    <t>a24UU000003VfBgYAK</t>
  </si>
  <si>
    <t>PY-01770011</t>
  </si>
  <si>
    <t>2025-12-26T10:04:32.000Z</t>
  </si>
  <si>
    <t>a24UU000003hpVQYAY</t>
  </si>
  <si>
    <t>PY-01783835</t>
  </si>
  <si>
    <t>2026-01-26T10:03:14.000Z</t>
  </si>
  <si>
    <t>2025-11-26T10:08:23.000Z</t>
  </si>
  <si>
    <t>2025-12-26T10:05:36.000Z</t>
  </si>
  <si>
    <t>2026-02-27T10:04:36.000Z</t>
  </si>
  <si>
    <t>a24UU000002q1mtYAA</t>
  </si>
  <si>
    <t>PY-01728028</t>
  </si>
  <si>
    <t>2025-09-01T10:17:21.000Z</t>
  </si>
  <si>
    <t>a24UU0000035wGBYAY</t>
  </si>
  <si>
    <t>PY-01741663</t>
  </si>
  <si>
    <t>2025-10-13T10:13:25.000Z</t>
  </si>
  <si>
    <t>a24UU000003BfpNYAS</t>
  </si>
  <si>
    <t>PY-01747550</t>
  </si>
  <si>
    <t>2025-10-30T10:13:49.000Z</t>
  </si>
  <si>
    <t>a24UU000003KfbiYAC</t>
  </si>
  <si>
    <t>PY-01757219</t>
  </si>
  <si>
    <t>a24UU000003VfI8YAK</t>
  </si>
  <si>
    <t>PY-01770060</t>
  </si>
  <si>
    <t>a24UU000003jSOWYA2</t>
  </si>
  <si>
    <t>PY-01785802</t>
  </si>
  <si>
    <t>a24UU000003wzvuYAA</t>
  </si>
  <si>
    <t>PY-01798921</t>
  </si>
  <si>
    <t>a24UU000002nQjNYAU</t>
  </si>
  <si>
    <t>PY-01725130</t>
  </si>
  <si>
    <t>2025-08-25T14:16:28.000Z</t>
  </si>
  <si>
    <t>a24UU0000037WflYAE</t>
  </si>
  <si>
    <t>PY-01742762</t>
  </si>
  <si>
    <t>2025-10-16T15:55:24.000Z</t>
  </si>
  <si>
    <t>a24UU000003BfhGYAS</t>
  </si>
  <si>
    <t>PY-01747478</t>
  </si>
  <si>
    <t>2025-10-30T10:12:12.000Z</t>
  </si>
  <si>
    <t>a24UU000003LuWvYAK</t>
  </si>
  <si>
    <t>PY-01759923</t>
  </si>
  <si>
    <t>2025-12-01T15:08:35.000Z</t>
  </si>
  <si>
    <t>a24UU000003M549YAC</t>
  </si>
  <si>
    <t>PY-01759968</t>
  </si>
  <si>
    <t>2025-12-01T22:59:27.000Z</t>
  </si>
  <si>
    <t>a24UU000003XOxtYAG</t>
  </si>
  <si>
    <t>PY-01772461</t>
  </si>
  <si>
    <t>2026-01-01T10:01:50.000Z</t>
  </si>
  <si>
    <t>a24UU000003l2vwYAA</t>
  </si>
  <si>
    <t>PY-01787654</t>
  </si>
  <si>
    <t>2026-02-02T10:00:59.000Z</t>
  </si>
  <si>
    <t>a24UU000003sDyLYAU</t>
  </si>
  <si>
    <t>PY-01794905</t>
  </si>
  <si>
    <t>a24UU000003wzj3YAA</t>
  </si>
  <si>
    <t>PY-01799728</t>
  </si>
  <si>
    <t>2026-02-27T10:22:33.000Z</t>
  </si>
  <si>
    <t>a24UU000003xwnqYAA</t>
  </si>
  <si>
    <t>PY-01800029</t>
  </si>
  <si>
    <t>2026-03-02T10:01:11.000Z</t>
  </si>
  <si>
    <t>2026-03-06T10:06:01.000Z</t>
  </si>
  <si>
    <t>2025-11-26T10:10:28.000Z</t>
  </si>
  <si>
    <t>a24UU0000036WbNYAU</t>
  </si>
  <si>
    <t>PY-01741794</t>
  </si>
  <si>
    <t>2025-10-14T15:20:58.000Z</t>
  </si>
  <si>
    <t>a24UU000003eNdhYAE</t>
  </si>
  <si>
    <t>PY-01780280</t>
  </si>
  <si>
    <t>2026-01-16T22:07:13.000Z</t>
  </si>
  <si>
    <t>a24UU000003eNgvYAE</t>
  </si>
  <si>
    <t>PY-01780281</t>
  </si>
  <si>
    <t>2026-01-16T22:07:41.000Z</t>
  </si>
  <si>
    <t>a24UU000003mgzJYAQ</t>
  </si>
  <si>
    <t>PY-01789118</t>
  </si>
  <si>
    <t>2026-02-05T01:04:17.000Z</t>
  </si>
  <si>
    <t>2025-10-31T10:11:57.000Z</t>
  </si>
  <si>
    <t>a24UU000003C3QJYA0</t>
  </si>
  <si>
    <t>PY-01748482</t>
  </si>
  <si>
    <t>a24UU000003KflXYAS</t>
  </si>
  <si>
    <t>PY-01757307</t>
  </si>
  <si>
    <t>a24UU000003VfF3YAK</t>
  </si>
  <si>
    <t>PY-01770328</t>
  </si>
  <si>
    <t>2025-12-26T10:11:03.000Z</t>
  </si>
  <si>
    <t>a24UU000003hq8BYAQ</t>
  </si>
  <si>
    <t>PY-01784085</t>
  </si>
  <si>
    <t>2026-01-26T10:08:41.000Z</t>
  </si>
  <si>
    <t>2026-01-09T10:15:34.000Z</t>
  </si>
  <si>
    <t>2026-01-23T10:22:09.000Z</t>
  </si>
  <si>
    <t>a24UU000003GgnxYAC</t>
  </si>
  <si>
    <t>PY-01752462</t>
  </si>
  <si>
    <t>2025-11-13T13:36:38.000Z</t>
  </si>
  <si>
    <t>a24UU000003JXL7YAO</t>
  </si>
  <si>
    <t>PY-01755796</t>
  </si>
  <si>
    <t>2025-11-21T21:05:43.000Z</t>
  </si>
  <si>
    <t>a24UU000003amKqYAI</t>
  </si>
  <si>
    <t>PY-01776579</t>
  </si>
  <si>
    <t>a24UU000003tGYnYAM</t>
  </si>
  <si>
    <t>PY-01795452</t>
  </si>
  <si>
    <t>2026-02-19T10:09:05.000Z</t>
  </si>
  <si>
    <t>2026-03-30T10:09:56.000Z</t>
  </si>
  <si>
    <t>2026-04-30T10:09:09.000Z</t>
  </si>
  <si>
    <t>2026-02-27T10:09:55.000Z</t>
  </si>
  <si>
    <t>2026-03-10T10:01:02.000Z</t>
  </si>
  <si>
    <t>a24UU000003XPqmYAG</t>
  </si>
  <si>
    <t>PY-01772886</t>
  </si>
  <si>
    <t>2026-01-01T10:11:31.000Z</t>
  </si>
  <si>
    <t>a24UU0000041pcUYAQ</t>
  </si>
  <si>
    <t>PY-01803427</t>
  </si>
  <si>
    <t>a24UU000004GsmvYAC</t>
  </si>
  <si>
    <t>PY-01817885</t>
  </si>
  <si>
    <t>2026-04-13T23:12:30.000Z</t>
  </si>
  <si>
    <t>a24UU000004HQOnYAO</t>
  </si>
  <si>
    <t>PY-01818098</t>
  </si>
  <si>
    <t>2026-04-14T23:50:56.000Z</t>
  </si>
  <si>
    <t>a24UU000004I5rqYAC</t>
  </si>
  <si>
    <t>PY-01818728</t>
  </si>
  <si>
    <t>2026-04-16T10:04:00.000Z</t>
  </si>
  <si>
    <t>2026-04-30T10:08:37.000Z</t>
  </si>
  <si>
    <t>2025-12-30T10:06:31.000Z</t>
  </si>
  <si>
    <t>2026-01-30T10:22:38.000Z</t>
  </si>
  <si>
    <t>a24UU000003WksUYAS</t>
  </si>
  <si>
    <t>PY-01772181</t>
  </si>
  <si>
    <t>a24UU000003k0PxYAI</t>
  </si>
  <si>
    <t>PY-01786834</t>
  </si>
  <si>
    <t>a24UU000003x0LeYAI</t>
  </si>
  <si>
    <t>PY-01799106</t>
  </si>
  <si>
    <t>2026-02-27T10:09:12.000Z</t>
  </si>
  <si>
    <t>a24UU000004AkTuYAK</t>
  </si>
  <si>
    <t>PY-01811598</t>
  </si>
  <si>
    <t>2026-03-30T10:09:21.000Z</t>
  </si>
  <si>
    <t>a24UU000004O06TYAS</t>
  </si>
  <si>
    <t>PY-01825359</t>
  </si>
  <si>
    <t>a24UU000003WksTYAS</t>
  </si>
  <si>
    <t>PY-01772180</t>
  </si>
  <si>
    <t>a24UU000003k0PvYAI</t>
  </si>
  <si>
    <t>PY-01786832</t>
  </si>
  <si>
    <t>a24UU000003x0LdYAI</t>
  </si>
  <si>
    <t>PY-01799105</t>
  </si>
  <si>
    <t>a24UU000004AkTtYAK</t>
  </si>
  <si>
    <t>PY-01811597</t>
  </si>
  <si>
    <t>a24UU000004O06SYAS</t>
  </si>
  <si>
    <t>PY-01825358</t>
  </si>
  <si>
    <t>a24UU000004wLHtYAM</t>
  </si>
  <si>
    <t>PY-01867276</t>
  </si>
  <si>
    <t>2026-07-14T00:00:00.000Z</t>
  </si>
  <si>
    <t>2026-07-16T19:45:30.000Z</t>
  </si>
  <si>
    <t>a24UU000004wLL7YAM</t>
  </si>
  <si>
    <t>PY-01867277</t>
  </si>
  <si>
    <t>2026-07-16T19:46:00.000Z</t>
  </si>
  <si>
    <t>a24UU000004wLMjYAM</t>
  </si>
  <si>
    <t>PY-01867278</t>
  </si>
  <si>
    <t>2026-07-16T19:46:17.000Z</t>
  </si>
  <si>
    <t>a24UU000003MNScYAO</t>
  </si>
  <si>
    <t>PY-01760011</t>
  </si>
  <si>
    <t>2025-12-02T19:44:06.000Z</t>
  </si>
  <si>
    <t>2025-12-02T18:50:01.000Z</t>
  </si>
  <si>
    <t>a24UU000003d9pIYAQ</t>
  </si>
  <si>
    <t>PY-01778114</t>
  </si>
  <si>
    <t>2026-01-14T20:18:04.000Z</t>
  </si>
  <si>
    <t>2026-01-14T19:27:04.000Z</t>
  </si>
  <si>
    <t>a24UU000003qLETYA2</t>
  </si>
  <si>
    <t>PY-01792868</t>
  </si>
  <si>
    <t>2026-02-12T19:42:32.000Z</t>
  </si>
  <si>
    <t>2026-02-12T18:50:04.000Z</t>
  </si>
  <si>
    <t>a24UU0000043KiaYAE</t>
  </si>
  <si>
    <t>PY-01804545</t>
  </si>
  <si>
    <t>2026-03-12T21:36:20.000Z</t>
  </si>
  <si>
    <t>2026-03-12T21:22:04.000Z</t>
  </si>
  <si>
    <t>a24UU000004HGDUYA4</t>
  </si>
  <si>
    <t>PY-01817995</t>
  </si>
  <si>
    <t>2026-04-14T20:40:56.000Z</t>
  </si>
  <si>
    <t>2026-04-14T18:50:03.000Z</t>
  </si>
  <si>
    <t>a24UU000004UoMbYAK</t>
  </si>
  <si>
    <t>PY-01834112</t>
  </si>
  <si>
    <t>2026-05-14T21:05:52.000Z</t>
  </si>
  <si>
    <t>2026-05-14T20:12:26.000Z</t>
  </si>
  <si>
    <t>a24UU000004iVgUYAU</t>
  </si>
  <si>
    <t>PY-01852588</t>
  </si>
  <si>
    <t>2026-06-15T20:44:47.000Z</t>
  </si>
  <si>
    <t>2026-06-15T19:46:04.000Z</t>
  </si>
  <si>
    <t>a24UU000004sLRlYAM</t>
  </si>
  <si>
    <t>PY-01864200</t>
  </si>
  <si>
    <t>2026-07-07T20:57:56.000Z</t>
  </si>
  <si>
    <t>2026-01-23T10:21:35.000Z</t>
  </si>
  <si>
    <t>a24UU000003RqtkYAC</t>
  </si>
  <si>
    <t>PY-01765732</t>
  </si>
  <si>
    <t>2025-12-15T10:22:13.000Z</t>
  </si>
  <si>
    <t>a24UU000003k0bKYAQ</t>
  </si>
  <si>
    <t>PY-01786936</t>
  </si>
  <si>
    <t>2026-01-30T10:25:32.000Z</t>
  </si>
  <si>
    <t>a24UU000003x0VLYAY</t>
  </si>
  <si>
    <t>PY-01799158</t>
  </si>
  <si>
    <t>2026-02-27T10:10:26.000Z</t>
  </si>
  <si>
    <t>a24UU000004AjzcYAC</t>
  </si>
  <si>
    <t>PY-01811645</t>
  </si>
  <si>
    <t>2026-03-30T10:10:24.000Z</t>
  </si>
  <si>
    <t>a24UU000004O0HZYA0</t>
  </si>
  <si>
    <t>PY-01825404</t>
  </si>
  <si>
    <t>2026-04-30T10:09:47.000Z</t>
  </si>
  <si>
    <t>a24UU000003Ps3VYAS</t>
  </si>
  <si>
    <t>PY-01762874</t>
  </si>
  <si>
    <t>2025-12-10T14:49:08.000Z</t>
  </si>
  <si>
    <t>a24UU000003k0EhYAI</t>
  </si>
  <si>
    <t>PY-01786876</t>
  </si>
  <si>
    <t>2026-01-30T10:23:37.000Z</t>
  </si>
  <si>
    <t>a24UU000003wzKkYAI</t>
  </si>
  <si>
    <t>PY-01799134</t>
  </si>
  <si>
    <t>a24UU000004AkXBYA0</t>
  </si>
  <si>
    <t>PY-01811623</t>
  </si>
  <si>
    <t>a24UU000004O0CkYAK</t>
  </si>
  <si>
    <t>PY-01825382</t>
  </si>
  <si>
    <t>2026-01-15T10:15:30.000Z</t>
  </si>
  <si>
    <t>2026-02-13T10:07:27.000Z</t>
  </si>
  <si>
    <t>2026-04-15T10:04:14.000Z</t>
  </si>
  <si>
    <t>2026-05-15T10:04:20.000Z</t>
  </si>
  <si>
    <t>a24UU000003f525YAA</t>
  </si>
  <si>
    <t>PY-01780850</t>
  </si>
  <si>
    <t>2026-01-19T10:09:44.000Z</t>
  </si>
  <si>
    <t>a24UU000003l3onYAA</t>
  </si>
  <si>
    <t>PY-01788022</t>
  </si>
  <si>
    <t>2026-02-02T10:08:43.000Z</t>
  </si>
  <si>
    <t>a24UU000003xwMxYAI</t>
  </si>
  <si>
    <t>PY-01800461</t>
  </si>
  <si>
    <t>2026-03-02T10:10:49.000Z</t>
  </si>
  <si>
    <t>a24UU000004IbuuYAC</t>
  </si>
  <si>
    <t>PY-01820019</t>
  </si>
  <si>
    <t>2026-04-17T10:15:53.000Z</t>
  </si>
  <si>
    <t>2025-12-17T10:01:42.000Z</t>
  </si>
  <si>
    <t>2026-03-13T10:06:40.000Z</t>
  </si>
  <si>
    <t>2026-02-09T10:15:01.000Z</t>
  </si>
  <si>
    <t>2026-01-30T10:26:07.000Z</t>
  </si>
  <si>
    <t>a24UU000003anDPYAY</t>
  </si>
  <si>
    <t>PY-01776472</t>
  </si>
  <si>
    <t>a24UU000003m13JYAQ</t>
  </si>
  <si>
    <t>PY-01788942</t>
  </si>
  <si>
    <t>2026-02-04T00:13:42.000Z</t>
  </si>
  <si>
    <t>a24UU0000046fCfYAI</t>
  </si>
  <si>
    <t>PY-01808162</t>
  </si>
  <si>
    <t>2026-03-20T10:15:11.000Z</t>
  </si>
  <si>
    <t>a24UU000003StBAYA0</t>
  </si>
  <si>
    <t>PY-01765989</t>
  </si>
  <si>
    <t>a24UU000003dWjBYAU</t>
  </si>
  <si>
    <t>PY-01778808</t>
  </si>
  <si>
    <t>a24UU000003qgCmYAI</t>
  </si>
  <si>
    <t>PY-01793254</t>
  </si>
  <si>
    <t>a24UU0000043XmlYAE</t>
  </si>
  <si>
    <t>PY-01804893</t>
  </si>
  <si>
    <t>a24UU000004HbiWYAS</t>
  </si>
  <si>
    <t>PY-01818266</t>
  </si>
  <si>
    <t>a24UU000004V314YAC</t>
  </si>
  <si>
    <t>PY-01834468</t>
  </si>
  <si>
    <t>2025-12-26T10:17:48.000Z</t>
  </si>
  <si>
    <t>a24UU000003e5oxYAA</t>
  </si>
  <si>
    <t>PY-01779767</t>
  </si>
  <si>
    <t>2026-01-16T10:12:51.000Z</t>
  </si>
  <si>
    <t>a24UU000003k0eWYAQ</t>
  </si>
  <si>
    <t>PY-01786961</t>
  </si>
  <si>
    <t>a24UU000003rdxgYAA</t>
  </si>
  <si>
    <t>PY-01794503</t>
  </si>
  <si>
    <t>2026-02-16T10:10:57.000Z</t>
  </si>
  <si>
    <t>a24UU0000044VWGYA2</t>
  </si>
  <si>
    <t>PY-01806094</t>
  </si>
  <si>
    <t>2026-03-16T10:08:29.000Z</t>
  </si>
  <si>
    <t>a24UU000003VgamYAC</t>
  </si>
  <si>
    <t>PY-01770658</t>
  </si>
  <si>
    <t>a24UU000003oUUTYA2</t>
  </si>
  <si>
    <t>PY-01791757</t>
  </si>
  <si>
    <t>a24UU000004P1cvYAC</t>
  </si>
  <si>
    <t>PY-01827670</t>
  </si>
  <si>
    <t>2026-05-01T22:56:55.000Z</t>
  </si>
  <si>
    <t>a24UU000004SLLlYAO</t>
  </si>
  <si>
    <t>PY-01831534</t>
  </si>
  <si>
    <t>2026-05-08T23:53:25.000Z</t>
  </si>
  <si>
    <t>2026-01-30T10:26:33.000Z</t>
  </si>
  <si>
    <t>a24UU000003k08GYAQ</t>
  </si>
  <si>
    <t>PY-01786969</t>
  </si>
  <si>
    <t>a24UU000003x1GgYAI</t>
  </si>
  <si>
    <t>PY-01799530</t>
  </si>
  <si>
    <t>2026-02-27T10:18:07.000Z</t>
  </si>
  <si>
    <t>a24UU0000049lAPYAY</t>
  </si>
  <si>
    <t>PY-01810671</t>
  </si>
  <si>
    <t>2026-03-27T10:08:31.000Z</t>
  </si>
  <si>
    <t>a24UU000004MQJXYA4</t>
  </si>
  <si>
    <t>PY-01823708</t>
  </si>
  <si>
    <t>2026-04-27T10:05:21.000Z</t>
  </si>
  <si>
    <t>a24UU000003TWCTYA4</t>
  </si>
  <si>
    <t>PY-01766896</t>
  </si>
  <si>
    <t>2025-12-18T18:48:56.000Z</t>
  </si>
  <si>
    <t>a24UU000003e5s9YAA</t>
  </si>
  <si>
    <t>PY-01779775</t>
  </si>
  <si>
    <t>2026-01-16T10:13:07.000Z</t>
  </si>
  <si>
    <t>a24UU000003sg5NYAQ</t>
  </si>
  <si>
    <t>PY-01794962</t>
  </si>
  <si>
    <t>2026-02-18T10:01:12.000Z</t>
  </si>
  <si>
    <t>a24UU0000045ZfbYAE</t>
  </si>
  <si>
    <t>PY-01806703</t>
  </si>
  <si>
    <t>2026-03-18T10:01:13.000Z</t>
  </si>
  <si>
    <t>a24UU000004IcB3YAK</t>
  </si>
  <si>
    <t>PY-01819415</t>
  </si>
  <si>
    <t>2026-04-17T10:03:01.000Z</t>
  </si>
  <si>
    <t>a24UU000004WsarYAC</t>
  </si>
  <si>
    <t>PY-01837019</t>
  </si>
  <si>
    <t>2026-05-19T20:10:12.000Z</t>
  </si>
  <si>
    <t>a24UU000004ow8GYAQ</t>
  </si>
  <si>
    <t>PY-01859925</t>
  </si>
  <si>
    <t>2026-06-30T10:00:58.000Z</t>
  </si>
  <si>
    <t>a24UU000003Wq8DYAS</t>
  </si>
  <si>
    <t>PY-01772241</t>
  </si>
  <si>
    <t>2025-12-30T17:22:09.000Z</t>
  </si>
  <si>
    <t>a24UU000003amBGYAY</t>
  </si>
  <si>
    <t>PY-01776596</t>
  </si>
  <si>
    <t>2026-01-09T10:15:56.000Z</t>
  </si>
  <si>
    <t>a24UU000003oU9FYAU</t>
  </si>
  <si>
    <t>PY-01791524</t>
  </si>
  <si>
    <t>2026-02-09T10:10:24.000Z</t>
  </si>
  <si>
    <t>a24UU0000041HZBYA2</t>
  </si>
  <si>
    <t>PY-01802873</t>
  </si>
  <si>
    <t>2026-03-09T10:04:49.000Z</t>
  </si>
  <si>
    <t>a24UU000004F6vdYAC</t>
  </si>
  <si>
    <t>PY-01815416</t>
  </si>
  <si>
    <t>2026-04-09T10:02:59.000Z</t>
  </si>
  <si>
    <t>a24UU000004S0VqYAK</t>
  </si>
  <si>
    <t>PY-01830488</t>
  </si>
  <si>
    <t>2026-05-08T10:03:40.000Z</t>
  </si>
  <si>
    <t>a24UU000003XqcPYAS</t>
  </si>
  <si>
    <t>PY-01773968</t>
  </si>
  <si>
    <t>2026-01-02T20:11:49.000Z</t>
  </si>
  <si>
    <t>a24UU000003oUywYAE</t>
  </si>
  <si>
    <t>PY-01791955</t>
  </si>
  <si>
    <t>2026-02-09T10:19:19.000Z</t>
  </si>
  <si>
    <t>a24UU0000040NAPYA2</t>
  </si>
  <si>
    <t>PY-01802095</t>
  </si>
  <si>
    <t>a24UU000004DcJhYAK</t>
  </si>
  <si>
    <t>PY-01814509</t>
  </si>
  <si>
    <t>2026-04-06T10:02:56.000Z</t>
  </si>
  <si>
    <t>a24UU000004QqS5YAK</t>
  </si>
  <si>
    <t>PY-01829184</t>
  </si>
  <si>
    <t>2026-05-06T10:00:39.000Z</t>
  </si>
  <si>
    <t>2026-01-30T10:31:49.000Z</t>
  </si>
  <si>
    <t>2026-02-27T10:18:17.000Z</t>
  </si>
  <si>
    <t>2026-03-27T10:08:42.000Z</t>
  </si>
  <si>
    <t>a24UU000003jwkYYAQ</t>
  </si>
  <si>
    <t>PY-01787185</t>
  </si>
  <si>
    <t>a24UU000003x1JQYAY</t>
  </si>
  <si>
    <t>PY-01799539</t>
  </si>
  <si>
    <t>a24UU0000049lByYAI</t>
  </si>
  <si>
    <t>PY-01810677</t>
  </si>
  <si>
    <t>a24UU000004Mwj5YAC</t>
  </si>
  <si>
    <t>PY-01824544</t>
  </si>
  <si>
    <t>2026-04-28T10:01:31.000Z</t>
  </si>
  <si>
    <t>2026-02-27T10:16:25.000Z</t>
  </si>
  <si>
    <t>a24UU000003auBdYAI</t>
  </si>
  <si>
    <t>PY-01776666</t>
  </si>
  <si>
    <t>2026-01-09T16:08:50.000Z</t>
  </si>
  <si>
    <t>a24UU000003zwoZYAQ</t>
  </si>
  <si>
    <t>PY-01801774</t>
  </si>
  <si>
    <t>2026-03-05T16:13:06.000Z</t>
  </si>
  <si>
    <t>a24UU000004Ht93YAC</t>
  </si>
  <si>
    <t>PY-01818388</t>
  </si>
  <si>
    <t>2026-04-15T22:30:24.000Z</t>
  </si>
  <si>
    <t>a24UU000004TLBdYAO</t>
  </si>
  <si>
    <t>PY-01832871</t>
  </si>
  <si>
    <t>2026-05-11T21:59:57.000Z</t>
  </si>
  <si>
    <t>a24UU000003e4EVYAY</t>
  </si>
  <si>
    <t>PY-01780028</t>
  </si>
  <si>
    <t>2026-01-16T10:18:36.000Z</t>
  </si>
  <si>
    <t>a24UU000003eavuYAA</t>
  </si>
  <si>
    <t>PY-01780355</t>
  </si>
  <si>
    <t>2026-01-17T10:00:23.000Z</t>
  </si>
  <si>
    <t>a24UU000003f5S2YAI</t>
  </si>
  <si>
    <t>PY-01781148</t>
  </si>
  <si>
    <t>2026-01-19T10:15:29.000Z</t>
  </si>
  <si>
    <t>a24UU000003gx5MYAQ</t>
  </si>
  <si>
    <t>PY-01783609</t>
  </si>
  <si>
    <t>2026-01-23T10:21:46.000Z</t>
  </si>
  <si>
    <t>a24UU000003gxIGYAY</t>
  </si>
  <si>
    <t>PY-01783619</t>
  </si>
  <si>
    <t>2026-01-23T10:21:57.000Z</t>
  </si>
  <si>
    <t>a24UU000003gynsYAA</t>
  </si>
  <si>
    <t>PY-01783630</t>
  </si>
  <si>
    <t>a24UU000003gyxQYAQ</t>
  </si>
  <si>
    <t>PY-01783403</t>
  </si>
  <si>
    <t>2026-01-23T10:17:42.000Z</t>
  </si>
  <si>
    <t>a24UU000003gzLoYAI</t>
  </si>
  <si>
    <t>PY-01783605</t>
  </si>
  <si>
    <t>a24UU000003hP81YAE</t>
  </si>
  <si>
    <t>PY-01783695</t>
  </si>
  <si>
    <t>2026-01-24T10:00:56.000Z</t>
  </si>
  <si>
    <t>a24UU000003hPB8YAM</t>
  </si>
  <si>
    <t>PY-01783697</t>
  </si>
  <si>
    <t>2026-01-24T10:01:16.000Z</t>
  </si>
  <si>
    <t>a24UU000003ipgDYAQ</t>
  </si>
  <si>
    <t>PY-01784953</t>
  </si>
  <si>
    <t>-174.5</t>
  </si>
  <si>
    <t>-149.5</t>
  </si>
  <si>
    <t>2026-01-24T00:00:00.000Z</t>
  </si>
  <si>
    <t>2026-01-28T10:52:13.000Z</t>
  </si>
  <si>
    <t>a24UU000003iphpYAA</t>
  </si>
  <si>
    <t>PY-01784954</t>
  </si>
  <si>
    <t>2026-01-23T00:00:00.000Z</t>
  </si>
  <si>
    <t>2026-01-28T10:54:15.000Z</t>
  </si>
  <si>
    <t>a24UU000003ipjRYAQ</t>
  </si>
  <si>
    <t>PY-01784955</t>
  </si>
  <si>
    <t>2026-01-28T10:56:17.000Z</t>
  </si>
  <si>
    <t>a24UU000003ipt7YAA</t>
  </si>
  <si>
    <t>PY-01784956</t>
  </si>
  <si>
    <t>2026-01-28T11:03:50.000Z</t>
  </si>
  <si>
    <t>a24UU000003ipujYAA</t>
  </si>
  <si>
    <t>PY-01784957</t>
  </si>
  <si>
    <t>2026-01-28T11:04:38.000Z</t>
  </si>
  <si>
    <t>a24UU000003ipwLYAQ</t>
  </si>
  <si>
    <t>PY-01784958</t>
  </si>
  <si>
    <t>2026-01-28T11:05:19.000Z</t>
  </si>
  <si>
    <t>a24UU000003ipxxYAA</t>
  </si>
  <si>
    <t>PY-01784959</t>
  </si>
  <si>
    <t>2026-01-19T00:00:00.000Z</t>
  </si>
  <si>
    <t>2026-01-28T11:06:03.000Z</t>
  </si>
  <si>
    <t>a24UU000003ipzZYAQ</t>
  </si>
  <si>
    <t>PY-01784960</t>
  </si>
  <si>
    <t>2026-01-16T00:00:00.000Z</t>
  </si>
  <si>
    <t>2026-01-28T11:06:44.000Z</t>
  </si>
  <si>
    <t>a24UU000004ZrojYAC</t>
  </si>
  <si>
    <t>PY-01840702</t>
  </si>
  <si>
    <t>2026-05-27T16:09:11.000Z</t>
  </si>
  <si>
    <t>a24UU000004k61hYAA</t>
  </si>
  <si>
    <t>PY-01854009</t>
  </si>
  <si>
    <t>2026-06-18T23:08:57.000Z</t>
  </si>
  <si>
    <t>2026-04-16T10:12:40.000Z</t>
  </si>
  <si>
    <t>a24UU000003d989YAA</t>
  </si>
  <si>
    <t>PY-01778038</t>
  </si>
  <si>
    <t>2026-01-14T19:12:17.000Z</t>
  </si>
  <si>
    <t>a24UU000003gz2MYAQ</t>
  </si>
  <si>
    <t>PY-01783439</t>
  </si>
  <si>
    <t>2026-01-23T10:18:30.000Z</t>
  </si>
  <si>
    <t>a24UU000003x185YAA</t>
  </si>
  <si>
    <t>PY-01799388</t>
  </si>
  <si>
    <t>2026-02-27T10:15:21.000Z</t>
  </si>
  <si>
    <t>a24UU000004AjUyYAK</t>
  </si>
  <si>
    <t>PY-01811800</t>
  </si>
  <si>
    <t>2026-03-30T10:14:05.000Z</t>
  </si>
  <si>
    <t>a24UU000004S2W5YAK</t>
  </si>
  <si>
    <t>PY-01831360</t>
  </si>
  <si>
    <t>2026-05-08T10:21:55.000Z</t>
  </si>
  <si>
    <t>a24UU000003wWNiYAM</t>
  </si>
  <si>
    <t>PY-01798065</t>
  </si>
  <si>
    <t>2026-02-26T10:07:58.000Z</t>
  </si>
  <si>
    <t>a24UU0000043rlRYAQ</t>
  </si>
  <si>
    <t>PY-01805574</t>
  </si>
  <si>
    <t>2026-03-13T23:15:37.000Z</t>
  </si>
  <si>
    <t>a24UU000003dkUHYAY</t>
  </si>
  <si>
    <t>PY-01779178</t>
  </si>
  <si>
    <t>2026-01-15T19:22:40.000Z</t>
  </si>
  <si>
    <t>a24UU000003hr93YAA</t>
  </si>
  <si>
    <t>PY-01784631</t>
  </si>
  <si>
    <t>a24UU000003x1D3YAI</t>
  </si>
  <si>
    <t>PY-01799419</t>
  </si>
  <si>
    <t>2026-02-27T10:16:03.000Z</t>
  </si>
  <si>
    <t>a24UU000004Akc8YAC</t>
  </si>
  <si>
    <t>PY-01811819</t>
  </si>
  <si>
    <t>2026-03-30T10:14:25.000Z</t>
  </si>
  <si>
    <t>a24UU000004O0hRYAS</t>
  </si>
  <si>
    <t>PY-01825546</t>
  </si>
  <si>
    <t>2026-04-30T10:13:02.000Z</t>
  </si>
  <si>
    <t>a24UU000004ow8IYAQ</t>
  </si>
  <si>
    <t>PY-01859927</t>
  </si>
  <si>
    <t>a24UU000003k1VdYAI</t>
  </si>
  <si>
    <t>PY-01787330</t>
  </si>
  <si>
    <t>2026-01-30T10:34:59.000Z</t>
  </si>
  <si>
    <t>a24UU000003qgkoYAA</t>
  </si>
  <si>
    <t>PY-01793526</t>
  </si>
  <si>
    <t>2026-02-13T10:13:32.000Z</t>
  </si>
  <si>
    <t>a24UU000004CK0gYAG</t>
  </si>
  <si>
    <t>PY-01813450</t>
  </si>
  <si>
    <t>2026-04-02T10:16:31.000Z</t>
  </si>
  <si>
    <t>a24UU000004O13xYAC</t>
  </si>
  <si>
    <t>PY-01825656</t>
  </si>
  <si>
    <t>2026-04-30T10:15:30.000Z</t>
  </si>
  <si>
    <t>2026-01-27T10:01:04.000Z</t>
  </si>
  <si>
    <t>2026-03-13T10:15:19.000Z</t>
  </si>
  <si>
    <t>2026-04-15T10:06:12.000Z</t>
  </si>
  <si>
    <t>2026-03-25T10:01:26.000Z</t>
  </si>
  <si>
    <t>a24UU000003jRx1YAE</t>
  </si>
  <si>
    <t>PY-01785741</t>
  </si>
  <si>
    <t>2026-01-29T10:15:47.000Z</t>
  </si>
  <si>
    <t>a24UU000003zojAYAQ</t>
  </si>
  <si>
    <t>PY-01801734</t>
  </si>
  <si>
    <t>2026-03-05T10:14:53.000Z</t>
  </si>
  <si>
    <t>a24UU000004CJz6YAG</t>
  </si>
  <si>
    <t>PY-01813442</t>
  </si>
  <si>
    <t>2026-04-02T10:16:22.000Z</t>
  </si>
  <si>
    <t>a24UU000004Oi5tYAC</t>
  </si>
  <si>
    <t>PY-01827515</t>
  </si>
  <si>
    <t>2026-05-01T10:24:35.000Z</t>
  </si>
  <si>
    <t>a24UU000003ipI1YAI</t>
  </si>
  <si>
    <t>PY-01784949</t>
  </si>
  <si>
    <t>2026-01-28T10:01:36.000Z</t>
  </si>
  <si>
    <t>a24UU000003vswQYAQ</t>
  </si>
  <si>
    <t>PY-01797703</t>
  </si>
  <si>
    <t>2026-02-25T10:01:54.000Z</t>
  </si>
  <si>
    <t>a24UU0000048htXYAQ</t>
  </si>
  <si>
    <t>PY-01809287</t>
  </si>
  <si>
    <t>2026-05-11T10:21:12.000Z</t>
  </si>
  <si>
    <t>a24UU000003iI2oYAE</t>
  </si>
  <si>
    <t>PY-01784826</t>
  </si>
  <si>
    <t>a24UU0000043YnqYAE</t>
  </si>
  <si>
    <t>PY-01805414</t>
  </si>
  <si>
    <t>2026-03-13T10:18:10.000Z</t>
  </si>
  <si>
    <t>a24UU000004GXkAYAW</t>
  </si>
  <si>
    <t>PY-01817639</t>
  </si>
  <si>
    <t>2026-04-13T10:12:31.000Z</t>
  </si>
  <si>
    <t>a24UU000004S2KlYAK</t>
  </si>
  <si>
    <t>PY-01831218</t>
  </si>
  <si>
    <t>2026-05-08T10:18:57.000Z</t>
  </si>
  <si>
    <t>a24UU000003jzydYAA</t>
  </si>
  <si>
    <t>PY-01787382</t>
  </si>
  <si>
    <t>2026-01-30T10:36:06.000Z</t>
  </si>
  <si>
    <t>a24UU000003x1EwYAI</t>
  </si>
  <si>
    <t>PY-01799502</t>
  </si>
  <si>
    <t>2026-02-27T10:17:33.000Z</t>
  </si>
  <si>
    <t>a24UU0000049knvYAA</t>
  </si>
  <si>
    <t>PY-01810660</t>
  </si>
  <si>
    <t>2026-03-27T10:08:17.000Z</t>
  </si>
  <si>
    <t>a24UU000004Mwj3YAC</t>
  </si>
  <si>
    <t>PY-01824542</t>
  </si>
  <si>
    <t>2026-04-28T10:01:25.000Z</t>
  </si>
  <si>
    <t>a24UU000003htabYAA</t>
  </si>
  <si>
    <t>PY-01784739</t>
  </si>
  <si>
    <t>2026-01-26T14:16:33.000Z</t>
  </si>
  <si>
    <t>a24UU000003qh0kYAA</t>
  </si>
  <si>
    <t>PY-01793601</t>
  </si>
  <si>
    <t>2026-02-13T10:15:11.000Z</t>
  </si>
  <si>
    <t>a24UU0000043YRLYA2</t>
  </si>
  <si>
    <t>PY-01805293</t>
  </si>
  <si>
    <t>a24UU000004Hc8GYAS</t>
  </si>
  <si>
    <t>PY-01818331</t>
  </si>
  <si>
    <t>a24UU000004V3nJYAS</t>
  </si>
  <si>
    <t>PY-01834718</t>
  </si>
  <si>
    <t>2026-05-15T10:10:22.000Z</t>
  </si>
  <si>
    <t>a24UU000003re0tYAA</t>
  </si>
  <si>
    <t>PY-01794522</t>
  </si>
  <si>
    <t>2026-02-16T10:11:28.000Z</t>
  </si>
  <si>
    <t>a24UU0000049YmXYAU</t>
  </si>
  <si>
    <t>PY-01810300</t>
  </si>
  <si>
    <t>2026-03-26T21:57:30.000Z</t>
  </si>
  <si>
    <t>a24UU000004aDSgYAM</t>
  </si>
  <si>
    <t>PY-01841217</t>
  </si>
  <si>
    <t>2026-05-28T10:09:44.000Z</t>
  </si>
  <si>
    <t>a24UU000004hCYiYAM</t>
  </si>
  <si>
    <t>PY-01850622</t>
  </si>
  <si>
    <t>2026-06-12T10:08:38.000Z</t>
  </si>
  <si>
    <t>a24UU000004ow9oYAA</t>
  </si>
  <si>
    <t>PY-01859931</t>
  </si>
  <si>
    <t>2026-06-30T10:01:18.000Z</t>
  </si>
  <si>
    <t>a24UU000003j75GYAQ</t>
  </si>
  <si>
    <t>PY-01784978</t>
  </si>
  <si>
    <t>2026-01-28T19:12:47.000Z</t>
  </si>
  <si>
    <t>a24UU000003x1BOYAY</t>
  </si>
  <si>
    <t>PY-01799436</t>
  </si>
  <si>
    <t>a24UU000004AlD9YAK</t>
  </si>
  <si>
    <t>PY-01812088</t>
  </si>
  <si>
    <t>2026-03-30T10:20:18.000Z</t>
  </si>
  <si>
    <t>a24UU000004O1FBYA0</t>
  </si>
  <si>
    <t>PY-01825744</t>
  </si>
  <si>
    <t>2026-04-30T10:17:44.000Z</t>
  </si>
  <si>
    <t>2026-02-06T10:20:17.000Z</t>
  </si>
  <si>
    <t>a24UU000003nUL8YAM</t>
  </si>
  <si>
    <t>PY-01790902</t>
  </si>
  <si>
    <t>a24UU000004I72SYAS</t>
  </si>
  <si>
    <t>PY-01819123</t>
  </si>
  <si>
    <t>a24UU000004mmpfYAA</t>
  </si>
  <si>
    <t>PY-01856974</t>
  </si>
  <si>
    <t>2026-06-25T10:09:00.000Z</t>
  </si>
  <si>
    <t>2026-03-10T10:01:32.000Z</t>
  </si>
  <si>
    <t>a24UU000003u8E5YAI</t>
  </si>
  <si>
    <t>PY-01796688</t>
  </si>
  <si>
    <t>2026-02-20T20:29:46.000Z</t>
  </si>
  <si>
    <t>a24UU0000041pkbYAA</t>
  </si>
  <si>
    <t>PY-01803440</t>
  </si>
  <si>
    <t>a24UU000004FatnYAC</t>
  </si>
  <si>
    <t>PY-01816532</t>
  </si>
  <si>
    <t>2026-04-10T10:09:06.000Z</t>
  </si>
  <si>
    <t>a24UU000004T0ASYA0</t>
  </si>
  <si>
    <t>PY-01832686</t>
  </si>
  <si>
    <t>a24UU000004WEc9YAG</t>
  </si>
  <si>
    <t>PY-01836848</t>
  </si>
  <si>
    <t>2026-05-18T21:29:44.000Z</t>
  </si>
  <si>
    <t>2026-05-18T18:50:06.000Z</t>
  </si>
  <si>
    <t>a24UU000004iD10YAE</t>
  </si>
  <si>
    <t>PY-01851813</t>
  </si>
  <si>
    <t>2026-06-15T10:09:33.000Z</t>
  </si>
  <si>
    <t>a24UU000004akQFYAY</t>
  </si>
  <si>
    <t>PY-01843251</t>
  </si>
  <si>
    <t>2026-05-29T10:12:49.000Z</t>
  </si>
  <si>
    <t>a24UU000004b28cYAA</t>
  </si>
  <si>
    <t>PY-01843625</t>
  </si>
  <si>
    <t>2026-05-29T19:45:41.000Z</t>
  </si>
  <si>
    <t>a24UU000004eBvJYAU</t>
  </si>
  <si>
    <t>PY-01847545</t>
  </si>
  <si>
    <t>2026-06-05T15:52:59.000Z</t>
  </si>
  <si>
    <t>a24UU000004qY3QYAU</t>
  </si>
  <si>
    <t>PY-01862124</t>
  </si>
  <si>
    <t>2026-07-03T10:07:53.000Z</t>
  </si>
  <si>
    <t>a24UU000004aJeXYAU</t>
  </si>
  <si>
    <t>PY-01841400</t>
  </si>
  <si>
    <t>2026-05-28T15:12:12.000Z</t>
  </si>
  <si>
    <t>a24UU000004e11hYAA</t>
  </si>
  <si>
    <t>PY-01847257</t>
  </si>
  <si>
    <t>2026-06-05T10:13:21.000Z</t>
  </si>
  <si>
    <t>a24UU000004akQTYAY</t>
  </si>
  <si>
    <t>PY-01843285</t>
  </si>
  <si>
    <t>2026-05-29T10:13:24.000Z</t>
  </si>
  <si>
    <t>a24UU000004gENgYAM</t>
  </si>
  <si>
    <t>PY-01849358</t>
  </si>
  <si>
    <t>2026-06-10T10:00:35.000Z</t>
  </si>
  <si>
    <t>a24UU000004dgczYAA</t>
  </si>
  <si>
    <t>PY-01846479</t>
  </si>
  <si>
    <t>2026-06-04T17:19:26.000Z</t>
  </si>
  <si>
    <t>Refunded</t>
  </si>
  <si>
    <t>Values</t>
  </si>
  <si>
    <t>TYPE</t>
  </si>
  <si>
    <t>2023-11-30</t>
  </si>
  <si>
    <t>2023-12-29</t>
  </si>
  <si>
    <t>2024-01-26</t>
  </si>
  <si>
    <t>2024-02-29</t>
  </si>
  <si>
    <t>2024-04-30</t>
  </si>
  <si>
    <t>2024-05-30</t>
  </si>
  <si>
    <t>2024-06-28</t>
  </si>
  <si>
    <t>2024-07-30</t>
  </si>
  <si>
    <t>2024-08-30</t>
  </si>
  <si>
    <t>2024-09-27</t>
  </si>
  <si>
    <t>2024-11-29</t>
  </si>
  <si>
    <t>2024-12-30</t>
  </si>
  <si>
    <t>2024-10-03</t>
  </si>
  <si>
    <t>2023-09-04</t>
  </si>
  <si>
    <t>2024-07-29</t>
  </si>
  <si>
    <t>2024-11-01</t>
  </si>
  <si>
    <t>2024-11-11</t>
  </si>
  <si>
    <t>2024-10-24</t>
  </si>
  <si>
    <t>2023-10-23</t>
  </si>
  <si>
    <t>2023-08-25</t>
  </si>
  <si>
    <t>00312253</t>
  </si>
  <si>
    <t>2024-03-29</t>
  </si>
  <si>
    <t>2024-04-10</t>
  </si>
  <si>
    <t>00313124</t>
  </si>
  <si>
    <t>00313840</t>
  </si>
  <si>
    <t>2024-09-11</t>
  </si>
  <si>
    <t>00314062</t>
  </si>
  <si>
    <t>2025-01-02</t>
  </si>
  <si>
    <t>2025-01-31</t>
  </si>
  <si>
    <t>2025-02-28</t>
  </si>
  <si>
    <t>2025-03-28</t>
  </si>
  <si>
    <t>2025-04-30</t>
  </si>
  <si>
    <t>2025-05-30</t>
  </si>
  <si>
    <t>2025-06-27</t>
  </si>
  <si>
    <t>2025-07-30</t>
  </si>
  <si>
    <t>2025-08-29</t>
  </si>
  <si>
    <t>2025-09-30</t>
  </si>
  <si>
    <t>2025-11-07</t>
  </si>
  <si>
    <t>2025-11-26</t>
  </si>
  <si>
    <t>2025-12-26</t>
  </si>
  <si>
    <t>2026-01-30</t>
  </si>
  <si>
    <t>2026-02-27</t>
  </si>
  <si>
    <t>2026-03-30</t>
  </si>
  <si>
    <t>2026-04-30</t>
  </si>
  <si>
    <t>2026-05-29</t>
  </si>
  <si>
    <t>2025-01-30</t>
  </si>
  <si>
    <t>2025-09-18</t>
  </si>
  <si>
    <t>2025-10-31</t>
  </si>
  <si>
    <t>2026-01-12</t>
  </si>
  <si>
    <t>2026-02-02</t>
  </si>
  <si>
    <t>2025-02-14</t>
  </si>
  <si>
    <t>2025-05-15</t>
  </si>
  <si>
    <t>2025-06-13</t>
  </si>
  <si>
    <t>2025-08-15</t>
  </si>
  <si>
    <t>2025-09-15</t>
  </si>
  <si>
    <t>2025-10-15</t>
  </si>
  <si>
    <t>2025-11-14</t>
  </si>
  <si>
    <t>2025-12-15</t>
  </si>
  <si>
    <t>2026-01-15</t>
  </si>
  <si>
    <t>2026-02-13</t>
  </si>
  <si>
    <t>2026-03-13</t>
  </si>
  <si>
    <t>2026-04-15</t>
  </si>
  <si>
    <t>2026-05-15</t>
  </si>
  <si>
    <t>2026-06-15</t>
  </si>
  <si>
    <t>2026-07-15</t>
  </si>
  <si>
    <t>2026-06-30</t>
  </si>
  <si>
    <t>2026-07-06</t>
  </si>
  <si>
    <t>2025-05-02</t>
  </si>
  <si>
    <t>2025-06-04</t>
  </si>
  <si>
    <t>2025-07-03</t>
  </si>
  <si>
    <t>2025-12-04</t>
  </si>
  <si>
    <t>2026-01-02</t>
  </si>
  <si>
    <t>2026-05-04</t>
  </si>
  <si>
    <t>2025-10-13</t>
  </si>
  <si>
    <t>2026-01-26</t>
  </si>
  <si>
    <t>2026-03-27</t>
  </si>
  <si>
    <t>2025-11-27</t>
  </si>
  <si>
    <t>2026-02-20</t>
  </si>
  <si>
    <t>2026-03-20</t>
  </si>
  <si>
    <t>2025-09-01</t>
  </si>
  <si>
    <t>2025-11-03</t>
  </si>
  <si>
    <t>2025-12-01</t>
  </si>
  <si>
    <t>2026-01-01</t>
  </si>
  <si>
    <t>2026-03-02</t>
  </si>
  <si>
    <t>2026-05-01</t>
  </si>
  <si>
    <t>2026-06-01</t>
  </si>
  <si>
    <t>2025-07-28</t>
  </si>
  <si>
    <t>2026-04-28</t>
  </si>
  <si>
    <t>2026-05-28</t>
  </si>
  <si>
    <t>2025-10-30</t>
  </si>
  <si>
    <t>2025-03-13</t>
  </si>
  <si>
    <t>2025-10-17</t>
  </si>
  <si>
    <t>2026-01-16</t>
  </si>
  <si>
    <t>2026-02-16</t>
  </si>
  <si>
    <t>2026-02-03</t>
  </si>
  <si>
    <t>2025-11-28</t>
  </si>
  <si>
    <t>2025-12-30</t>
  </si>
  <si>
    <t>2025-06-12</t>
  </si>
  <si>
    <t>2025-10-10</t>
  </si>
  <si>
    <t>2026-05-14</t>
  </si>
  <si>
    <t>2025-02-20</t>
  </si>
  <si>
    <t>2025-06-20</t>
  </si>
  <si>
    <t>2025-11-20</t>
  </si>
  <si>
    <t>2026-01-23</t>
  </si>
  <si>
    <t>2026-06-10</t>
  </si>
  <si>
    <t>2025-08-08</t>
  </si>
  <si>
    <t>2025-04-18</t>
  </si>
  <si>
    <t>2025-03-07</t>
  </si>
  <si>
    <t>2025-09-08</t>
  </si>
  <si>
    <t>2026-02-06</t>
  </si>
  <si>
    <t>2026-05-08</t>
  </si>
  <si>
    <t>2026-06-08</t>
  </si>
  <si>
    <t>2026-01-19</t>
  </si>
  <si>
    <t>2026-01-29</t>
  </si>
  <si>
    <t>2025-08-22</t>
  </si>
  <si>
    <t>2025-11-21</t>
  </si>
  <si>
    <t>2026-02-26</t>
  </si>
  <si>
    <t>2026-05-22</t>
  </si>
  <si>
    <t>2025-08-25</t>
  </si>
  <si>
    <t>2026-02-23</t>
  </si>
  <si>
    <t>2025-12-02</t>
  </si>
  <si>
    <t>2026-04-02</t>
  </si>
  <si>
    <t>2026-01-28</t>
  </si>
  <si>
    <t>2026-02-05</t>
  </si>
  <si>
    <t>2026-03-06</t>
  </si>
  <si>
    <t>2025-04-03</t>
  </si>
  <si>
    <t>2025-12-18</t>
  </si>
  <si>
    <t>2026-04-17</t>
  </si>
  <si>
    <t>2025-03-03</t>
  </si>
  <si>
    <t>2026-03-05</t>
  </si>
  <si>
    <t>2025-10-27</t>
  </si>
  <si>
    <t>2026-02-12</t>
  </si>
  <si>
    <t>2026-04-16</t>
  </si>
  <si>
    <t>2025-03-17</t>
  </si>
  <si>
    <t>2025-11-13</t>
  </si>
  <si>
    <t>2025-06-26</t>
  </si>
  <si>
    <t>2026-06-25</t>
  </si>
  <si>
    <t>2025-10-06</t>
  </si>
  <si>
    <t>2026-02-09</t>
  </si>
  <si>
    <t>2026-03-12</t>
  </si>
  <si>
    <t>2026-04-10</t>
  </si>
  <si>
    <t>2026-02-25</t>
  </si>
  <si>
    <t>2026-03-25</t>
  </si>
  <si>
    <t>2026-05-11</t>
  </si>
  <si>
    <t>2025-08-07</t>
  </si>
  <si>
    <t>2025-11-17</t>
  </si>
  <si>
    <t>2025-05-12</t>
  </si>
  <si>
    <t>2026-07-03</t>
  </si>
  <si>
    <t>2026-06-18</t>
  </si>
  <si>
    <t>2025-12-17</t>
  </si>
  <si>
    <t>2026-06-05</t>
  </si>
  <si>
    <t>2026-02-19</t>
  </si>
  <si>
    <t>2026-03-16</t>
  </si>
  <si>
    <t>2025-05-09</t>
  </si>
  <si>
    <t>2026-04-09</t>
  </si>
  <si>
    <t>2026-05-06</t>
  </si>
  <si>
    <t>2025-08-05</t>
  </si>
  <si>
    <t>2026-04-13</t>
  </si>
  <si>
    <t>2026-03-18</t>
  </si>
  <si>
    <t>2025-12-10</t>
  </si>
  <si>
    <t>2026-01-09</t>
  </si>
  <si>
    <t>2026-03-10</t>
  </si>
  <si>
    <t>2026-01-14</t>
  </si>
  <si>
    <t>2026-06-12</t>
  </si>
  <si>
    <t>2025-12-31</t>
  </si>
  <si>
    <t>2026-01-24</t>
  </si>
  <si>
    <t>2026-07-14</t>
  </si>
  <si>
    <t>2026-05-18</t>
  </si>
  <si>
    <t>2026-03-26</t>
  </si>
  <si>
    <t>00314406</t>
  </si>
  <si>
    <t>2026-04-27</t>
  </si>
  <si>
    <t>2026-02-11</t>
  </si>
  <si>
    <t>00314501</t>
  </si>
  <si>
    <t>2025-10-14</t>
  </si>
  <si>
    <t>2026-04-06</t>
  </si>
  <si>
    <t>2026-03-09</t>
  </si>
  <si>
    <t>00314559</t>
  </si>
  <si>
    <t>2026-02-18</t>
  </si>
  <si>
    <t>00314621</t>
  </si>
  <si>
    <t>2025-07-11</t>
  </si>
  <si>
    <t>00314889</t>
  </si>
  <si>
    <t>00314996</t>
  </si>
  <si>
    <t>00315073</t>
  </si>
  <si>
    <t>00315086</t>
  </si>
  <si>
    <t>2025-07-26</t>
  </si>
  <si>
    <t>00315148</t>
  </si>
  <si>
    <t>00315183</t>
  </si>
  <si>
    <t>00315215</t>
  </si>
  <si>
    <t>2026-01-27</t>
  </si>
  <si>
    <t>00315426</t>
  </si>
  <si>
    <t>00315499</t>
  </si>
  <si>
    <t>00315638</t>
  </si>
  <si>
    <t>00315815</t>
  </si>
  <si>
    <t>00315874</t>
  </si>
  <si>
    <t>00315873</t>
  </si>
  <si>
    <t>00315878</t>
  </si>
  <si>
    <t>00315934</t>
  </si>
  <si>
    <t>00315966</t>
  </si>
  <si>
    <t>00315975</t>
  </si>
  <si>
    <t>00316032</t>
  </si>
  <si>
    <t>00316036</t>
  </si>
  <si>
    <t>00316055</t>
  </si>
  <si>
    <t>00316060</t>
  </si>
  <si>
    <t>00316075</t>
  </si>
  <si>
    <t>00316083</t>
  </si>
  <si>
    <t>00316206</t>
  </si>
  <si>
    <t>00316239</t>
  </si>
  <si>
    <t>00316281</t>
  </si>
  <si>
    <t>00316292</t>
  </si>
  <si>
    <t>00316307</t>
  </si>
  <si>
    <t>00316370</t>
  </si>
  <si>
    <t>00316391</t>
  </si>
  <si>
    <t>00316392</t>
  </si>
  <si>
    <t>00316398</t>
  </si>
  <si>
    <t>00316412</t>
  </si>
  <si>
    <t>00316431</t>
  </si>
  <si>
    <t>00316439</t>
  </si>
  <si>
    <t>00316449</t>
  </si>
  <si>
    <t>00316467</t>
  </si>
  <si>
    <t>00316499</t>
  </si>
  <si>
    <t>00316522</t>
  </si>
  <si>
    <t>00316574</t>
  </si>
  <si>
    <t>00316653</t>
  </si>
  <si>
    <t>00317459</t>
  </si>
  <si>
    <t>00317469</t>
  </si>
  <si>
    <t>00317498</t>
  </si>
  <si>
    <t>00317520</t>
  </si>
  <si>
    <t>00317521</t>
  </si>
  <si>
    <t>00317542</t>
  </si>
  <si>
    <t>00317549</t>
  </si>
  <si>
    <t>00317554</t>
  </si>
  <si>
    <t>SUBS</t>
  </si>
  <si>
    <t>AC DATE</t>
  </si>
  <si>
    <t>RC DATE</t>
  </si>
  <si>
    <t>FEE</t>
  </si>
  <si>
    <t># months</t>
  </si>
  <si>
    <t>CUENTA</t>
  </si>
  <si>
    <t>2026</t>
  </si>
  <si>
    <t>ContractNumber</t>
  </si>
  <si>
    <t>ACCEPTED.</t>
  </si>
  <si>
    <t>Next_Transaction</t>
  </si>
  <si>
    <t>Is_VIP_Contract__c</t>
  </si>
  <si>
    <t>Is_Test_Contract__c</t>
  </si>
  <si>
    <t>00153308</t>
  </si>
  <si>
    <t>a10UU00000DSAplYAH</t>
  </si>
  <si>
    <t>dianar987@gmail.com</t>
  </si>
  <si>
    <t>DIANA ESMERALDA RIVERA DELGADO</t>
  </si>
  <si>
    <t>800UU00000jU2SIYA0</t>
  </si>
  <si>
    <t>001UU00000ezL5MYAU</t>
  </si>
  <si>
    <t>00153311</t>
  </si>
  <si>
    <t>a10UU00000DSRVdYAP</t>
  </si>
  <si>
    <t>neishaarroyo7@gmail.com</t>
  </si>
  <si>
    <t>NEISHA NICOLE ROSA ARROYO</t>
  </si>
  <si>
    <t>800UU00000jUQ9hYAG</t>
  </si>
  <si>
    <t>001UU00000ezl1WYAQ</t>
  </si>
  <si>
    <t>AC Split</t>
  </si>
  <si>
    <t>ESTADO</t>
  </si>
  <si>
    <t>#</t>
  </si>
  <si>
    <t>AL DIA</t>
  </si>
  <si>
    <t>DEBE 1</t>
  </si>
  <si>
    <t>DEBE 2</t>
  </si>
  <si>
    <t>DE MAS 1</t>
  </si>
  <si>
    <t>00314859</t>
  </si>
  <si>
    <t>00314861</t>
  </si>
  <si>
    <t>00314862</t>
  </si>
  <si>
    <t>00314863</t>
  </si>
  <si>
    <t>00314864</t>
  </si>
  <si>
    <t>00318003</t>
  </si>
  <si>
    <t>00318013</t>
  </si>
  <si>
    <t>00318017</t>
  </si>
  <si>
    <t>00318018</t>
  </si>
  <si>
    <t>00318021</t>
  </si>
  <si>
    <t>00318026</t>
  </si>
  <si>
    <t>00318025</t>
  </si>
  <si>
    <t>00318034</t>
  </si>
  <si>
    <t>00318035</t>
  </si>
  <si>
    <t>00318038</t>
  </si>
  <si>
    <t>val cnt</t>
  </si>
  <si>
    <t>estado payments</t>
  </si>
  <si>
    <t>_</t>
  </si>
  <si>
    <t>[SM_Payment__c]</t>
  </si>
  <si>
    <t>a108W00000IzJxLQAV</t>
  </si>
  <si>
    <t>a108W00000IzOK1QAN</t>
  </si>
  <si>
    <t>a248W000004jW4CQAU</t>
  </si>
  <si>
    <t>a24UU000000i7vkYAA</t>
  </si>
  <si>
    <t>a24UU000000iSdWYAU</t>
  </si>
  <si>
    <t>a24UU000000iXY9YAM</t>
  </si>
  <si>
    <t>a24UU000000j0XVYAY</t>
  </si>
  <si>
    <t>a24UU000000k1NoYAI</t>
  </si>
  <si>
    <t>a24UU000000kN6iYAE</t>
  </si>
  <si>
    <t>a24UU000000kw17YAA</t>
  </si>
  <si>
    <t>a24UU000000lu6qYAA</t>
  </si>
  <si>
    <t>a24UU000000mF82YAE</t>
  </si>
  <si>
    <t>a24UU000000mshOYAQ</t>
  </si>
  <si>
    <t>a24UU000000nAMPYA2</t>
  </si>
  <si>
    <t>a24UU000000nrJJYAY</t>
  </si>
  <si>
    <t>a10UU000003pCS1YAM</t>
  </si>
  <si>
    <t>a24UU000000pAJvYAM</t>
  </si>
  <si>
    <t>a24UU000000uFNsYAM</t>
  </si>
  <si>
    <t>a24UU000000uanEYAQ</t>
  </si>
  <si>
    <t>a24UU000000ujk1YAA</t>
  </si>
  <si>
    <t>a24UU000000vAypYAE</t>
  </si>
  <si>
    <t>a24UU000000vNcbYAE</t>
  </si>
  <si>
    <t>a24UU000000vdZKYAY</t>
  </si>
  <si>
    <t>a24UU000000y4qMYAQ</t>
  </si>
  <si>
    <t>a24UU000000yYwbYAE</t>
  </si>
  <si>
    <t>a24UU000000yeKLYAY</t>
  </si>
  <si>
    <t>a24UU000000zCYvYAM</t>
  </si>
  <si>
    <t>a24UU000000zROHYA2</t>
  </si>
  <si>
    <t>a24UU000000zt9FYAQ</t>
  </si>
  <si>
    <t>a24UU0000010PYvYAM</t>
  </si>
  <si>
    <t>a24UU0000010Zd7YAE</t>
  </si>
  <si>
    <t>a24UU00000119giYAA</t>
  </si>
  <si>
    <t>a24UU0000011fi5YAA</t>
  </si>
  <si>
    <t>a24UU00000120szYAA</t>
  </si>
  <si>
    <t>a24UU0000012NKvYAM</t>
  </si>
  <si>
    <t>a24UU0000012WjHYAU</t>
  </si>
  <si>
    <t>a24UU0000012gc5YAA</t>
  </si>
  <si>
    <t>a24UU00000139RCYAY</t>
  </si>
  <si>
    <t>a24UU0000013NtxYAE</t>
  </si>
  <si>
    <t>a24UU0000014CyJYAU</t>
  </si>
  <si>
    <t>a24UU0000014NzxYAE</t>
  </si>
  <si>
    <t>a24UU0000014XUoYAM</t>
  </si>
  <si>
    <t>a24UU00000155lIYAQ</t>
  </si>
  <si>
    <t>a24UU00000163SUYAY</t>
  </si>
  <si>
    <t>a24UU0000016ENtYAM</t>
  </si>
  <si>
    <t>a24UU0000016igxYAA</t>
  </si>
  <si>
    <t>a24UU0000019QyvYAE</t>
  </si>
  <si>
    <t>a24UU0000019kEOYAY</t>
  </si>
  <si>
    <t>a24UU000001AH78YAG</t>
  </si>
  <si>
    <t>a24UU000001AUAjYAO</t>
  </si>
  <si>
    <t>a24UU000001AvPRYA0</t>
  </si>
  <si>
    <t>a24UU000001CzIgYAK</t>
  </si>
  <si>
    <t>a24UU000001D5FpYAK</t>
  </si>
  <si>
    <t>a24UU000001D5m5YAC</t>
  </si>
  <si>
    <t>a24UU000001DTQJYA4</t>
  </si>
  <si>
    <t>a24UU000001DbkLYAS</t>
  </si>
  <si>
    <t>a24UU000001E4UdYAK</t>
  </si>
  <si>
    <t>a24UU000001EJ2GYAW</t>
  </si>
  <si>
    <t>a24UU000001EUaLYAW</t>
  </si>
  <si>
    <t>a24UU000001FAT9YAO</t>
  </si>
  <si>
    <t>a24UU000001LgmwYAC</t>
  </si>
  <si>
    <t>a24UU000001LlHtYAK</t>
  </si>
  <si>
    <t>a24UU000001LvM5YAK</t>
  </si>
  <si>
    <t>a24UU000001M3UvYAK</t>
  </si>
  <si>
    <t>a24UU000001M4UdYAK</t>
  </si>
  <si>
    <t>a24UU000001MDhBYAW</t>
  </si>
  <si>
    <t>a24UU000001Ma4HYAS</t>
  </si>
  <si>
    <t>a24UU000001Mb6oYAC</t>
  </si>
  <si>
    <t>a24UU000001MojxYAC</t>
  </si>
  <si>
    <t>a24UU000001N82jYAC</t>
  </si>
  <si>
    <t>a24UU000001NbsjYAC</t>
  </si>
  <si>
    <t>a24UU000001Nm4zYAC</t>
  </si>
  <si>
    <t>a24UU000001Nwh3YAC</t>
  </si>
  <si>
    <t>a24UU000001NxWgYAK</t>
  </si>
  <si>
    <t>a24UU000001O18rYAC</t>
  </si>
  <si>
    <t>a24UU000001OcpyYAC</t>
  </si>
  <si>
    <t>a24UU000001OdiuYAC</t>
  </si>
  <si>
    <t>a24UU000001OkPJYA0</t>
  </si>
  <si>
    <t>a24UU000001Or7RYAS</t>
  </si>
  <si>
    <t>a24UU000001PQmjYAG</t>
  </si>
  <si>
    <t>a24UU000001RVyQYAW</t>
  </si>
  <si>
    <t>a24UU000001RkPZYA0</t>
  </si>
  <si>
    <t>a24UU000001RtZJYA0</t>
  </si>
  <si>
    <t>a24UU000001S2mHYAS</t>
  </si>
  <si>
    <t>a24UU000001S8oTYAS</t>
  </si>
  <si>
    <t>a24UU000001Sc1lYAC</t>
  </si>
  <si>
    <t>a24UU000001SoPVYA0</t>
  </si>
  <si>
    <t>a24UU000001T83FYAS</t>
  </si>
  <si>
    <t>a24UU000001TzNjYAK</t>
  </si>
  <si>
    <t>a24UU000001Uij0YAC</t>
  </si>
  <si>
    <t>a24UU000001Uo8TYAS</t>
  </si>
  <si>
    <t>a24UU000001VECbYAO</t>
  </si>
  <si>
    <t>a24UU000001VRcrYAG</t>
  </si>
  <si>
    <t>a24UU000001W3gXYAS</t>
  </si>
  <si>
    <t>a24UU000001WgErYAK</t>
  </si>
  <si>
    <t>a24UU000001XeyzYAC</t>
  </si>
  <si>
    <t>a24UU000001Xp3BYAS</t>
  </si>
  <si>
    <t>a24UU000001XuHNYA0</t>
  </si>
  <si>
    <t>a10UU000005h1KXYAY</t>
  </si>
  <si>
    <t>a24UU000001Y4gZYAS</t>
  </si>
  <si>
    <t>a24UU000001insaYAA</t>
  </si>
  <si>
    <t>a24UU000001jU2zYAE</t>
  </si>
  <si>
    <t>a24UU000001kQdFYAU</t>
  </si>
  <si>
    <t>a24UU000001l9AaYAI</t>
  </si>
  <si>
    <t>a24UU000001mstZYAQ</t>
  </si>
  <si>
    <t>a24UU000001xaLSYAY</t>
  </si>
  <si>
    <t>a24UU000002ILWIYA4</t>
  </si>
  <si>
    <t>a24UU000002Jp5hYAC</t>
  </si>
  <si>
    <t>a24UU000002KLiHYAW</t>
  </si>
  <si>
    <t>a24UU000002KW9AYAW</t>
  </si>
  <si>
    <t>a24UU000002KjpRYAS</t>
  </si>
  <si>
    <t>a24UU000002LK1BYAW</t>
  </si>
  <si>
    <t>a24UU000002Lb6fYAC</t>
  </si>
  <si>
    <t>a24UU000002M8sDYAS</t>
  </si>
  <si>
    <t>a24UU000002NCH6YAO</t>
  </si>
  <si>
    <t>a24UU000002NRMXYA4</t>
  </si>
  <si>
    <t>a24UU000002NvR7YAK</t>
  </si>
  <si>
    <t>a24UU000002OD6DYAW</t>
  </si>
  <si>
    <t>a24UU000002ObDNYA0</t>
  </si>
  <si>
    <t>a24UU000002P2zxYAC</t>
  </si>
  <si>
    <t>a24UU000002PQnlYAG</t>
  </si>
  <si>
    <t>a24UU000002PYiNYAW</t>
  </si>
  <si>
    <t>a24UU000002QFDfYAO</t>
  </si>
  <si>
    <t>a24UU000002QVrpYAG</t>
  </si>
  <si>
    <t>a24UU000002eA4LYAU</t>
  </si>
  <si>
    <t>a24UU000002ebFqYAI</t>
  </si>
  <si>
    <t>a24UU000002en2XYAQ</t>
  </si>
  <si>
    <t>a24UU000002fZkUYAU</t>
  </si>
  <si>
    <t>a24UU000002h42WYAQ</t>
  </si>
  <si>
    <t>a24UU000002hUXxYAM</t>
  </si>
  <si>
    <t>a24UU000002iIkxYAE</t>
  </si>
  <si>
    <t>a24UU000002jV5CYAU</t>
  </si>
  <si>
    <t>a24UU000002jyqAYAQ</t>
  </si>
  <si>
    <t>a24UU000002kl4QYAQ</t>
  </si>
  <si>
    <t>a24UU000002m8bfYAA</t>
  </si>
  <si>
    <t>a24UU000002mcbQYAQ</t>
  </si>
  <si>
    <t>a24UU000002nN92YAE</t>
  </si>
  <si>
    <t>a24UU000002onkUYAQ</t>
  </si>
  <si>
    <t>a24UU000002pDJpYAM</t>
  </si>
  <si>
    <t>a24UU0000031a2vYAA</t>
  </si>
  <si>
    <t>a24UU0000032GlKYAU</t>
  </si>
  <si>
    <t>a24UU0000032MVlYAM</t>
  </si>
  <si>
    <t>a24UU00000337HqYAI</t>
  </si>
  <si>
    <t>a24UU0000033R3ZYAU</t>
  </si>
  <si>
    <t>a24UU0000033te9YAA</t>
  </si>
  <si>
    <t>a24UU0000034MeXYAU</t>
  </si>
  <si>
    <t>a24UU00000350k2YAA</t>
  </si>
  <si>
    <t>a24UU0000035FntYAE</t>
  </si>
  <si>
    <t>a24UU0000035vNdYAI</t>
  </si>
  <si>
    <t>a24UU0000036Cw1YAE</t>
  </si>
  <si>
    <t>a24UU0000036hlKYAQ</t>
  </si>
  <si>
    <t>a24UU0000037tu9YAA</t>
  </si>
  <si>
    <t>a24UU0000038BMLYA2</t>
  </si>
  <si>
    <t>a24UU0000038dU4YAI</t>
  </si>
  <si>
    <t>a24UU0000039ZeUYAU</t>
  </si>
  <si>
    <t>a24UU0000039tRuYAI</t>
  </si>
  <si>
    <t>a24UU000003A5KrYAK</t>
  </si>
  <si>
    <t>a24UU000003AOliYAG</t>
  </si>
  <si>
    <t>a24UU000003Asv3YAC</t>
  </si>
  <si>
    <t>a24UU000003jSPvYAM</t>
  </si>
  <si>
    <t>a24UU000003jnsTYAQ</t>
  </si>
  <si>
    <t>a24UU000003kGMbYAM</t>
  </si>
  <si>
    <t>a24UU000003l7sLYAQ</t>
  </si>
  <si>
    <t>a24UU000003lyDVYAY</t>
  </si>
  <si>
    <t>a24UU000003mexVYAQ</t>
  </si>
  <si>
    <t>a24UU000004B3jRYAS</t>
  </si>
  <si>
    <t>a24UU000004BeUTYA0</t>
  </si>
  <si>
    <t>a24UU000004C817YAC</t>
  </si>
  <si>
    <t>a24UU000004CWwIYAW</t>
  </si>
  <si>
    <t>a24UU000004EOGHYA4</t>
  </si>
  <si>
    <t>a24UU000004EsHZYA0</t>
  </si>
  <si>
    <t>a24UU000004FRGwYAO</t>
  </si>
  <si>
    <t>a24UU000004FvdBYAS</t>
  </si>
  <si>
    <t>a24UU000004HR7xYAG</t>
  </si>
  <si>
    <t>a24UU000004Hu9yYAC</t>
  </si>
  <si>
    <t>a24UU000004ItGfYAK</t>
  </si>
  <si>
    <t>a24UU000004JsDhYAK</t>
  </si>
  <si>
    <t>a24UU000004KoZRYA0</t>
  </si>
  <si>
    <t>a24UU000004LLvBYAW</t>
  </si>
  <si>
    <t>a24UU000004LnufYAC</t>
  </si>
  <si>
    <t>a24UU000004MnMLYA0</t>
  </si>
  <si>
    <t>a24UU000004Np2jYAC</t>
  </si>
  <si>
    <t>a24UU000004OVErYAO</t>
  </si>
  <si>
    <t>a24UU000004OhuSYAS</t>
  </si>
  <si>
    <t>a24UU000004PehkYAC</t>
  </si>
  <si>
    <t>a24UU000004QhDVYA0</t>
  </si>
  <si>
    <t>a24UU000004RoPpYAK</t>
  </si>
  <si>
    <t>a24UU000004niLnYAI</t>
  </si>
  <si>
    <t>a24UU000004ow9pYAA</t>
  </si>
  <si>
    <t>a24UU000004qOn7YAE</t>
  </si>
  <si>
    <t>a24UU000004qYwAYAU</t>
  </si>
  <si>
    <t>a24UU000004qZVpYAM</t>
  </si>
  <si>
    <t>a24UU000004rVpmYAE</t>
  </si>
  <si>
    <t>a24UU000004rWVqYAM</t>
  </si>
  <si>
    <t>a24UU000004rshVYAQ</t>
  </si>
  <si>
    <t>a24UU000004sOkbYAE</t>
  </si>
  <si>
    <t>a24UU0000032GmzYAE</t>
  </si>
  <si>
    <t>a24UU00000337JSYAY</t>
  </si>
  <si>
    <t>a24UU0000034aWJYAY</t>
  </si>
  <si>
    <t>a24UU000003523BYAQ</t>
  </si>
  <si>
    <t>a24UU0000035w1fYAA</t>
  </si>
  <si>
    <t>a24UU0000037C17YAE</t>
  </si>
  <si>
    <t>a24UU0000037h05YAA</t>
  </si>
  <si>
    <t>a24UU0000037sBqYAI</t>
  </si>
  <si>
    <t>a24UU0000038CDZYA2</t>
  </si>
  <si>
    <t>a24UU0000038dUBYAY</t>
  </si>
  <si>
    <t>a24UU0000038oqjYAA</t>
  </si>
  <si>
    <t>a24UU0000039BLtYAM</t>
  </si>
  <si>
    <t>a24UU0000039S09YAE</t>
  </si>
  <si>
    <t>a24UU0000039nKjYAI</t>
  </si>
  <si>
    <t>a24UU0000039tILYAY</t>
  </si>
  <si>
    <t>a24UU000003A54jYAC</t>
  </si>
  <si>
    <t>a24UU000003Bx7tYAC</t>
  </si>
  <si>
    <t>a24UU000003C3a1YAC</t>
  </si>
  <si>
    <t>a24UU000003CEtVYAW</t>
  </si>
  <si>
    <t>a24UU000003KmUzYAK</t>
  </si>
  <si>
    <t>a24UU000003L91lYAC</t>
  </si>
  <si>
    <t>a24UU000003LEaxYAG</t>
  </si>
  <si>
    <t>a24UU000003LIRdYAO</t>
  </si>
  <si>
    <t>a24UU000003LNXlYAO</t>
  </si>
  <si>
    <t>a24UU000003LVGnYAO</t>
  </si>
  <si>
    <t>a24UU000003LtsbYAC</t>
  </si>
  <si>
    <t>a24UU000003MTWHYA4</t>
  </si>
  <si>
    <t>a24UU000003MuRdYAK</t>
  </si>
  <si>
    <t>a24UU000003NHPpYAO</t>
  </si>
  <si>
    <t>a24UU000003NQbUYAW</t>
  </si>
  <si>
    <t>a24UU000003O3ZPYA0</t>
  </si>
  <si>
    <t>a24UU000003ORq9YAG</t>
  </si>
  <si>
    <t>a24UU000003PVoTYAW</t>
  </si>
  <si>
    <t>a24UU000003QBULYA4</t>
  </si>
  <si>
    <t>a24UU000003Qpy1YAC</t>
  </si>
  <si>
    <t>a24UU000003R1T1YAK</t>
  </si>
  <si>
    <t>a24UU000003RIAPYA4</t>
  </si>
  <si>
    <t>a24UU000003RqX5YAK</t>
  </si>
  <si>
    <t>a24UU000003S87NYAS</t>
  </si>
  <si>
    <t>a24UU000003TBsnYAG</t>
  </si>
  <si>
    <t>a24UU000003TbthYAC</t>
  </si>
  <si>
    <t>a24UU000003TuRhYAK</t>
  </si>
  <si>
    <t>a24UU000003UYtwYAG</t>
  </si>
  <si>
    <t>a24UU000003UktKYAS</t>
  </si>
  <si>
    <t>a24UU000003V6gwYAC</t>
  </si>
  <si>
    <t>a24UU000003VKtZYAW</t>
  </si>
  <si>
    <t>a24UU000003VfzgYAC</t>
  </si>
  <si>
    <t>a24UU000003VqDVYA0</t>
  </si>
  <si>
    <t>a24UU000003Wb5xYAC</t>
  </si>
  <si>
    <t>a24UU000003WvMPYA0</t>
  </si>
  <si>
    <t>a24UU000003XDkjYAG</t>
  </si>
  <si>
    <t>a24UU000003Xf19YAC</t>
  </si>
  <si>
    <t>a24UU000003XfnSYAS</t>
  </si>
  <si>
    <t>a24UU000003YUrhYAG</t>
  </si>
  <si>
    <t>a24UU000003YVkRYAW</t>
  </si>
  <si>
    <t>a24UU000003ZvcnYAC</t>
  </si>
  <si>
    <t>a24UU000003alZuYAI</t>
  </si>
  <si>
    <t>a24UU000003an7NYAQ</t>
  </si>
  <si>
    <t>a24UU000003b47lYAA</t>
  </si>
  <si>
    <t>a24UU000003bmnEYAQ</t>
  </si>
  <si>
    <t>a24UU000003bnJVYAY</t>
  </si>
  <si>
    <t>a24UU000003cBK5YAM</t>
  </si>
  <si>
    <t>a24UU000003ckOHYAY</t>
  </si>
  <si>
    <t>a24UU000003e5SMYAY</t>
  </si>
  <si>
    <t>a24UU000003eNXFYA2</t>
  </si>
  <si>
    <t>a24UU000003f4nXYAQ</t>
  </si>
  <si>
    <t>a24UU000003fhSIYAY</t>
  </si>
  <si>
    <t>a24UU000003gEpeYAE</t>
  </si>
  <si>
    <t>a24UU000003glDhYAI</t>
  </si>
  <si>
    <t>a24UU000003gxjuYAA</t>
  </si>
  <si>
    <t>a24UU000003gyeGYAQ</t>
  </si>
  <si>
    <t>a24UU000003hqOFYAY</t>
  </si>
  <si>
    <t>a24UU000003hqkuYAA</t>
  </si>
  <si>
    <t>a24UU000003i9PFYAY</t>
  </si>
  <si>
    <t>a24UU000003ifDpYAI</t>
  </si>
  <si>
    <t>a24UU000003jmrZYAQ</t>
  </si>
  <si>
    <t>a24UU000003k054YAA</t>
  </si>
  <si>
    <t>a24UU000003k0rPYAQ</t>
  </si>
  <si>
    <t>a24UU000003kGzJYAU</t>
  </si>
  <si>
    <t>a24UU000003l178YAA</t>
  </si>
  <si>
    <t>a24UU000003l3aKYAQ</t>
  </si>
  <si>
    <t>a24UU000003l4jCYAQ</t>
  </si>
  <si>
    <t>a24UU000003m1WLYAY</t>
  </si>
  <si>
    <t>a24UU000003mh49YAA</t>
  </si>
  <si>
    <t>a24UU000003mpoDYAQ</t>
  </si>
  <si>
    <t>a24UU000003nRlqYAE</t>
  </si>
  <si>
    <t>a24UU000003nTSMYA2</t>
  </si>
  <si>
    <t>a24UU000003nU0GYAU</t>
  </si>
  <si>
    <t>a24UU000003nrUTYAY</t>
  </si>
  <si>
    <t>a24UU000003oSPIYA2</t>
  </si>
  <si>
    <t>a24UU000003oTWaYAM</t>
  </si>
  <si>
    <t>a24UU000003oTyBYAU</t>
  </si>
  <si>
    <t>a24UU000003q8ZTYAY</t>
  </si>
  <si>
    <t>a24UU000003q8uHYAQ</t>
  </si>
  <si>
    <t>a24UU000003q9LkYAI</t>
  </si>
  <si>
    <t>a24UU000003qfv7YAA</t>
  </si>
  <si>
    <t>a24UU000003qgCwYAI</t>
  </si>
  <si>
    <t>a24UU000003qgpgYAA</t>
  </si>
  <si>
    <t>a24UU000003qxThYAI</t>
  </si>
  <si>
    <t>a24UU000003rcQjYAI</t>
  </si>
  <si>
    <t>a24UU000003rd8CYAQ</t>
  </si>
  <si>
    <t>a24UU000003rdmJYAQ</t>
  </si>
  <si>
    <t>a24UU000003tFCtYAM</t>
  </si>
  <si>
    <t>a24UU000003tFj9YAE</t>
  </si>
  <si>
    <t>a24UU000003tGTqYAM</t>
  </si>
  <si>
    <t>a24UU000003tevyYAA</t>
  </si>
  <si>
    <t>a24UU000003trEtYAI</t>
  </si>
  <si>
    <t>a24UU000003trehYAA</t>
  </si>
  <si>
    <t>a24UU000003tsFmYAI</t>
  </si>
  <si>
    <t>a24UU000003uqS3YAI</t>
  </si>
  <si>
    <t>a24UU000003uqrpYAA</t>
  </si>
  <si>
    <t>a24UU000003urEQYAY</t>
  </si>
  <si>
    <t>a24UU000003wVjKYAU</t>
  </si>
  <si>
    <t>a24UU000003wVxvYAE</t>
  </si>
  <si>
    <t>a24UU000003wWVkYAM</t>
  </si>
  <si>
    <t>a24UU000003ws6LYAQ</t>
  </si>
  <si>
    <t>a24UU000003x0GpYAI</t>
  </si>
  <si>
    <t>a24UU000003x0iIYAQ</t>
  </si>
  <si>
    <t>a24UU000003x1EZYAY</t>
  </si>
  <si>
    <t>a24UU000003xIaIYAU</t>
  </si>
  <si>
    <t>a24UU0000046fUSYAY</t>
  </si>
  <si>
    <t>a24UU0000047b6zYAA</t>
  </si>
  <si>
    <t>a24UU00000496yLYAQ</t>
  </si>
  <si>
    <t>a24UU0000049bdxYAA</t>
  </si>
  <si>
    <t>a24UU0000049lSCYAY</t>
  </si>
  <si>
    <t>a24UU000004AlUsYAK</t>
  </si>
  <si>
    <t>a24UU000004B2KMYA0</t>
  </si>
  <si>
    <t>a24UU000004BZPxYAO</t>
  </si>
  <si>
    <t>a24UU000004C7rRYAS</t>
  </si>
  <si>
    <t>a24UU000004CZEDYA4</t>
  </si>
  <si>
    <t>a24UU000004EsFxYAK</t>
  </si>
  <si>
    <t>a24UU000004FST7YAO</t>
  </si>
  <si>
    <t>a24UU000004FvbZYAS</t>
  </si>
  <si>
    <t>a24UU000004HR4jYAG</t>
  </si>
  <si>
    <t>a24UU000004HuI1YAK</t>
  </si>
  <si>
    <t>a24UU000004ItBpYAK</t>
  </si>
  <si>
    <t>a24UU000004JsC5YAK</t>
  </si>
  <si>
    <t>a24UU000004KoWDYA0</t>
  </si>
  <si>
    <t>a24UU000004LLrxYAG</t>
  </si>
  <si>
    <t>a24UU000004Lnt3YAC</t>
  </si>
  <si>
    <t>a24UU000004MnHVYA0</t>
  </si>
  <si>
    <t>a24UU000004NoxtYAC</t>
  </si>
  <si>
    <t>a24UU000004OLVdYAO</t>
  </si>
  <si>
    <t>a24UU000004V3B5YAK</t>
  </si>
  <si>
    <t>a24UU000004W1OaYAK</t>
  </si>
  <si>
    <t>a24UU000004WyQ9YAK</t>
  </si>
  <si>
    <t>a24UU000004Y6YZYA0</t>
  </si>
  <si>
    <t>a24UU000004Z1VCYA0</t>
  </si>
  <si>
    <t>a24UU000004aDSjYAM</t>
  </si>
  <si>
    <t>a24UU000004ak6zYAA</t>
  </si>
  <si>
    <t>a24UU000004niLmYAI</t>
  </si>
  <si>
    <t>a24UU000004omAPYAY</t>
  </si>
  <si>
    <t>a24UU000004pJSvYAM</t>
  </si>
  <si>
    <t>a24UU000004pvQ9YAI</t>
  </si>
  <si>
    <t>a24UU000004qYsxYAE</t>
  </si>
  <si>
    <t>a24UU000004qZVtYAM</t>
  </si>
  <si>
    <t>a24UU000000yaC0YAI</t>
  </si>
  <si>
    <t>a24UU000000zDYOYA2</t>
  </si>
  <si>
    <t>a24UU00000108JiYAI</t>
  </si>
  <si>
    <t>a24UU0000010Z7OYAU</t>
  </si>
  <si>
    <t>a24UU000001UjtcYAC</t>
  </si>
  <si>
    <t>a24UU000001VkkLYAS</t>
  </si>
  <si>
    <t>a24UU000001W4ftYAC</t>
  </si>
  <si>
    <t>a24UU000001Wh9NYAS</t>
  </si>
  <si>
    <t>a24UU0000028msxYAA</t>
  </si>
  <si>
    <t>a24UU0000029VjOYAU</t>
  </si>
  <si>
    <t>a24UU000002AkwpYAC</t>
  </si>
  <si>
    <t>a24UU000002BAftYAG</t>
  </si>
  <si>
    <t>a24UU000002BOM1YAO</t>
  </si>
  <si>
    <t>a24UU000002Hc2vYAC</t>
  </si>
  <si>
    <t>a24UU000002ILeLYAW</t>
  </si>
  <si>
    <t>a24UU000002IeHBYA0</t>
  </si>
  <si>
    <t>a24UU000002JHYfYAO</t>
  </si>
  <si>
    <t>a24UU000002Jf6LYAS</t>
  </si>
  <si>
    <t>a24UU000002KIKbYAO</t>
  </si>
  <si>
    <t>a24UU000002KXZoYAO</t>
  </si>
  <si>
    <t>a24UU000002KcpZYAS</t>
  </si>
  <si>
    <t>a24UU000002Kms9YAC</t>
  </si>
  <si>
    <t>a24UU000002LKZ7YAO</t>
  </si>
  <si>
    <t>a24UU000002LUd3YAG</t>
  </si>
  <si>
    <t>a24UU000002M4QPYA0</t>
  </si>
  <si>
    <t>a24UU000002e9oDYAQ</t>
  </si>
  <si>
    <t>a24UU000002ebnhYAA</t>
  </si>
  <si>
    <t>a24UU000002emzKYAQ</t>
  </si>
  <si>
    <t>a24UU000002f4EbYAI</t>
  </si>
  <si>
    <t>a24UU000002fZkNYAU</t>
  </si>
  <si>
    <t>a24UU000002h40oYAA</t>
  </si>
  <si>
    <t>a24UU000002hUUpYAM</t>
  </si>
  <si>
    <t>a24UU000002iHoqYAE</t>
  </si>
  <si>
    <t>a24UU000002jXZoYAM</t>
  </si>
  <si>
    <t>a24UU000002jyjoYAA</t>
  </si>
  <si>
    <t>a24UU000002kkTlYAI</t>
  </si>
  <si>
    <t>a24UU000002l3xNYAQ</t>
  </si>
  <si>
    <t>a24UU000002m8a2YAA</t>
  </si>
  <si>
    <t>a24UU000002pRRdYAM</t>
  </si>
  <si>
    <t>a24UU000002q1a2YAA</t>
  </si>
  <si>
    <t>a24UU000002r2FRYAY</t>
  </si>
  <si>
    <t>a24UU000002rXpVYAU</t>
  </si>
  <si>
    <t>a24UU000002riLKYAY</t>
  </si>
  <si>
    <t>a24UU0000031bv3YAA</t>
  </si>
  <si>
    <t>a24UU00000325Q5YAI</t>
  </si>
  <si>
    <t>a24UU0000032Gn6YAE</t>
  </si>
  <si>
    <t>a24UU000003KucDYAS</t>
  </si>
  <si>
    <t>a24UU000003LEUdYAO</t>
  </si>
  <si>
    <t>a24UU000003LI6fYAG</t>
  </si>
  <si>
    <t>a24UU000003WuYPYA0</t>
  </si>
  <si>
    <t>a24UU000003XCwjYAG</t>
  </si>
  <si>
    <t>a24UU000003kWZRYA2</t>
  </si>
  <si>
    <t>a24UU000003lOjVYAU</t>
  </si>
  <si>
    <t>a24UU000003xXj1YAE</t>
  </si>
  <si>
    <t>a24UU000003yj5QYAQ</t>
  </si>
  <si>
    <t>a24UU0000040DKjYAM</t>
  </si>
  <si>
    <t>a24UU0000040O8CYAU</t>
  </si>
  <si>
    <t>a24UU0000040i5BYAQ</t>
  </si>
  <si>
    <t>a24UU0000041IjpYAE</t>
  </si>
  <si>
    <t>a24UU0000042GzFYAU</t>
  </si>
  <si>
    <t>a24UU0000042orFYAQ</t>
  </si>
  <si>
    <t>a24UU0000043OGPYA2</t>
  </si>
  <si>
    <t>a24UU0000043Z0YYAU</t>
  </si>
  <si>
    <t>a24UU0000044WFAYA2</t>
  </si>
  <si>
    <t>a24UU000004683yYAA</t>
  </si>
  <si>
    <t>a24UU0000046f31YAA</t>
  </si>
  <si>
    <t>a24UU0000047acQYAQ</t>
  </si>
  <si>
    <t>a24UU00000496IPYAY</t>
  </si>
  <si>
    <t>a24UU0000049lodYAA</t>
  </si>
  <si>
    <t>a24UU000004Ak5sYAC</t>
  </si>
  <si>
    <t>a24UU000004CJBDYA4</t>
  </si>
  <si>
    <t>a24UU000004CnPLYA0</t>
  </si>
  <si>
    <t>a24UU000004DcwRYAS</t>
  </si>
  <si>
    <t>a24UU000004F7lHYAS</t>
  </si>
  <si>
    <t>a24UU000004FcnXYAS</t>
  </si>
  <si>
    <t>a24UU000004FwcTYAS</t>
  </si>
  <si>
    <t>a24UU000004GX4MYAW</t>
  </si>
  <si>
    <t>a24UU000004HQn0YAG</t>
  </si>
  <si>
    <t>a24UU000004IcsaYAC</t>
  </si>
  <si>
    <t>a24UU000004JWQ7YAO</t>
  </si>
  <si>
    <t>a24UU000004L2XbYAK</t>
  </si>
  <si>
    <t>a24UU000004LWDwYAO</t>
  </si>
  <si>
    <t>a24UU000004MPlkYAG</t>
  </si>
  <si>
    <t>a24UU000004O1FEYA0</t>
  </si>
  <si>
    <t>a24UU000004OemuYAC</t>
  </si>
  <si>
    <t>a24UU000004OgewYAC</t>
  </si>
  <si>
    <t>a24UU000004PewSYAS</t>
  </si>
  <si>
    <t>a24UU000004PfiXYAS</t>
  </si>
  <si>
    <t>a24UU000004RSXkYAO</t>
  </si>
  <si>
    <t>a24UU000004RSikYAG</t>
  </si>
  <si>
    <t>a24UU000004S1AfYAK</t>
  </si>
  <si>
    <t>a24UU000004S1N9YAK</t>
  </si>
  <si>
    <t>a24UU000004SygUYAS</t>
  </si>
  <si>
    <t>a24UU000004SzWXYA0</t>
  </si>
  <si>
    <t>a24UU000004TsU9YAK</t>
  </si>
  <si>
    <t>a24UU000004UZZ9YAO</t>
  </si>
  <si>
    <t>a24UU000004V3B9YAK</t>
  </si>
  <si>
    <t>a24UU000004V3x1YAC</t>
  </si>
  <si>
    <t>a24UU000004VyCBYA0</t>
  </si>
  <si>
    <t>a24UU000004W0E0YAK</t>
  </si>
  <si>
    <t>a24UU000004XbcvYAC</t>
  </si>
  <si>
    <t>a24UU000004XckFYAS</t>
  </si>
  <si>
    <t>a24UU000004Y5UTYA0</t>
  </si>
  <si>
    <t>a24UU000004Y6a9YAC</t>
  </si>
  <si>
    <t>a24UU000004Z0alYAC</t>
  </si>
  <si>
    <t>a24UU000004Z1VKYA0</t>
  </si>
  <si>
    <t>a24UU000004aCgfYAE</t>
  </si>
  <si>
    <t>a24UU000004aDSmYAM</t>
  </si>
  <si>
    <t>a24UU000004ajUQYAY</t>
  </si>
  <si>
    <t>a24UU000004ak8UYAQ</t>
  </si>
  <si>
    <t>a24UU000004brb0YAA</t>
  </si>
  <si>
    <t>a24UU000004bsddYAA</t>
  </si>
  <si>
    <t>a24UU000004btOFYAY</t>
  </si>
  <si>
    <t>a24UU000004dUkBYAU</t>
  </si>
  <si>
    <t>a24UU000004dVOIYA2</t>
  </si>
  <si>
    <t>a24UU000004dVpjYAE</t>
  </si>
  <si>
    <t>a24UU000004dzStYAI</t>
  </si>
  <si>
    <t>a24UU000004e0AMYAY</t>
  </si>
  <si>
    <t>a24UU000004e1BJYAY</t>
  </si>
  <si>
    <t>a24UU000004f7zSYAQ</t>
  </si>
  <si>
    <t>a24UU000004f8SOYAY</t>
  </si>
  <si>
    <t>a24UU000004f8sAYAQ</t>
  </si>
  <si>
    <t>a24UU000004gidSYAQ</t>
  </si>
  <si>
    <t>a24UU000004gjCwYAI</t>
  </si>
  <si>
    <t>a24UU000004gjQ7YAI</t>
  </si>
  <si>
    <t>a24UU000004hBnaYAE</t>
  </si>
  <si>
    <t>a24UU000004hCGdYAM</t>
  </si>
  <si>
    <t>a24UU000004hCenYAE</t>
  </si>
  <si>
    <t>a24UU000004iCG9YAM</t>
  </si>
  <si>
    <t>a24UU000004iCjCYAU</t>
  </si>
  <si>
    <t>a24UU000004iCt0YAE</t>
  </si>
  <si>
    <t>a24UU000004jngdYAA</t>
  </si>
  <si>
    <t>a24UU000004jo1cYAA</t>
  </si>
  <si>
    <t>a24UU000004joHhYAI</t>
  </si>
  <si>
    <t>a24UU000004kJgYYAU</t>
  </si>
  <si>
    <t>a24UU000004kK39YAE</t>
  </si>
  <si>
    <t>a24UU000004kKL1YAM</t>
  </si>
  <si>
    <t>a24UU000004lHGAYA2</t>
  </si>
  <si>
    <t>a24UU000004lHkfYAE</t>
  </si>
  <si>
    <t>a24UU000004lHxhYAE</t>
  </si>
  <si>
    <t>a24UU000004mlk1YAA</t>
  </si>
  <si>
    <t>a24UU000004mmMnYAI</t>
  </si>
  <si>
    <t>a24UU000004mmeRYAQ</t>
  </si>
  <si>
    <t>a24UU000004nI9sYAE</t>
  </si>
  <si>
    <t>a24UU000004nIbCYAU</t>
  </si>
  <si>
    <t>a24UU000004nIuSYAU</t>
  </si>
  <si>
    <t>a24UU000004oNwsYAE</t>
  </si>
  <si>
    <t>a24UU000004oOOKYA2</t>
  </si>
  <si>
    <t>a24UU000004oObFYAU</t>
  </si>
  <si>
    <t>a24UU000004q6jtYAA</t>
  </si>
  <si>
    <t>a24UU000004q7KuYAI</t>
  </si>
  <si>
    <t>a24UU000004q7XsYAI</t>
  </si>
  <si>
    <t>a24UU000004qYksYAE</t>
  </si>
  <si>
    <t>a24UU000004qZ5qYAE</t>
  </si>
  <si>
    <t>a24UU000004qZHEYA2</t>
  </si>
  <si>
    <t>a24UU000004qZVuYAM</t>
  </si>
  <si>
    <t>a24UU000004rVefYAE</t>
  </si>
  <si>
    <t>a24UU000004rW2fYAE</t>
  </si>
  <si>
    <t>a24UU000004rWHHYA2</t>
  </si>
  <si>
    <t>a24UU000004rWYyYAM</t>
  </si>
  <si>
    <t>a10UU000004C1inYAC</t>
  </si>
  <si>
    <t>a24UU000002ILhZYAW</t>
  </si>
  <si>
    <t>a24UU000002K3TjYAK</t>
  </si>
  <si>
    <t>a24UU000002KXbUYAW</t>
  </si>
  <si>
    <t>a24UU000002LJukYAG</t>
  </si>
  <si>
    <t>a24UU000002MnYrYAK</t>
  </si>
  <si>
    <t>a24UU000002NCNbYAO</t>
  </si>
  <si>
    <t>a24UU000002NvW0YAK</t>
  </si>
  <si>
    <t>a24UU000002PDtuYAG</t>
  </si>
  <si>
    <t>a24UU000003xHUXYA2</t>
  </si>
  <si>
    <t>a24UU000003xaCDYAY</t>
  </si>
  <si>
    <t>a24UU000003yj5OYAQ</t>
  </si>
  <si>
    <t>a24UU0000040MZWYA2</t>
  </si>
  <si>
    <t>a24UU0000041IboYAE</t>
  </si>
  <si>
    <t>a24UU0000042zWkYAI</t>
  </si>
  <si>
    <t>a24UU0000043YviYAE</t>
  </si>
  <si>
    <t>a24UU0000044W8iYAE</t>
  </si>
  <si>
    <t>a24UU00000467z7YAA</t>
  </si>
  <si>
    <t>a24UU0000046ev2YAA</t>
  </si>
  <si>
    <t>a24UU0000047aRGYAY</t>
  </si>
  <si>
    <t>a24UU0000049GWXYA2</t>
  </si>
  <si>
    <t>a24UU0000049ljsYAA</t>
  </si>
  <si>
    <t>a24UU000004Ajy0YAC</t>
  </si>
  <si>
    <t>a24UU000004CJ9RYAW</t>
  </si>
  <si>
    <t>a24UU000004CJj4YAG</t>
  </si>
  <si>
    <t>a24UU000004CnM6YAK</t>
  </si>
  <si>
    <t>a24UU000004CnluYAC</t>
  </si>
  <si>
    <t>a24UU000004DcunYAC</t>
  </si>
  <si>
    <t>a24UU000004DdcNYAS</t>
  </si>
  <si>
    <t>a24UU000004F7i1YAC</t>
  </si>
  <si>
    <t>a24UU000004F8JGYA0</t>
  </si>
  <si>
    <t>a24UU000004FcihYAC</t>
  </si>
  <si>
    <t>a24UU000004FdJrYAK</t>
  </si>
  <si>
    <t>a24UU000004GXIlYAO</t>
  </si>
  <si>
    <t>a24UU000004GXqYYAW</t>
  </si>
  <si>
    <t>a24UU000004HQtRYAW</t>
  </si>
  <si>
    <t>a24UU000004I6eAYAS</t>
  </si>
  <si>
    <t>a24UU000004IbodYAC</t>
  </si>
  <si>
    <t>a24UU000004IdGoYAK</t>
  </si>
  <si>
    <t>a24UU000004JWMtYAO</t>
  </si>
  <si>
    <t>a24UU000004JWwLYAW</t>
  </si>
  <si>
    <t>a24UU000004L2USYA0</t>
  </si>
  <si>
    <t>a24UU000004L2xNYAS</t>
  </si>
  <si>
    <t>a24UU000004LV58YAG</t>
  </si>
  <si>
    <t>a24UU000004LWyfYAG</t>
  </si>
  <si>
    <t>a24UU000004MPqKYAW</t>
  </si>
  <si>
    <t>a24UU000004MR8vYAG</t>
  </si>
  <si>
    <t>a24UU000004NzLoYAK</t>
  </si>
  <si>
    <t>a24UU000004O1gjYAC</t>
  </si>
  <si>
    <t>a24UU000004OemvYAC</t>
  </si>
  <si>
    <t>a24UU000004OgWyYAK</t>
  </si>
  <si>
    <t>a24UU000004Oh9fYAC</t>
  </si>
  <si>
    <t>a24UU000004PewTYAS</t>
  </si>
  <si>
    <t>a24UU000004PffIYAS</t>
  </si>
  <si>
    <t>a24UU000004Pg50YAC</t>
  </si>
  <si>
    <t>a24UU000004RSXlYAO</t>
  </si>
  <si>
    <t>a24UU000004RSe1YAG</t>
  </si>
  <si>
    <t>a24UU000004RSpOYAW</t>
  </si>
  <si>
    <t>a24UU000004S1AhYAK</t>
  </si>
  <si>
    <t>a24UU000004S1JtYAK</t>
  </si>
  <si>
    <t>a24UU000004S1lKYAS</t>
  </si>
  <si>
    <t>a24UU000004Sya9YAC</t>
  </si>
  <si>
    <t>a24UU000004Sz4kYAC</t>
  </si>
  <si>
    <t>a24UU000004SzWYYA0</t>
  </si>
  <si>
    <t>a24UU000004TsabYAC</t>
  </si>
  <si>
    <t>a24UU000004UZW6YAO</t>
  </si>
  <si>
    <t>a24UU000004UaWtYAK</t>
  </si>
  <si>
    <t>a24UU000004V2wBYAS</t>
  </si>
  <si>
    <t>a24UU000004V3BAYA0</t>
  </si>
  <si>
    <t>a24UU000004V3vPYAS</t>
  </si>
  <si>
    <t>a24UU000004VyCCYA0</t>
  </si>
  <si>
    <t>a24UU000004VzpzYAC</t>
  </si>
  <si>
    <t>a24UU000004W07RYAS</t>
  </si>
  <si>
    <t>a24UU000004XbpnYAC</t>
  </si>
  <si>
    <t>a24UU000004XcH9YAK</t>
  </si>
  <si>
    <t>a24UU000004XckGYAS</t>
  </si>
  <si>
    <t>a24UU000004Y5O3YAK</t>
  </si>
  <si>
    <t>a24UU000004Y5vyYAC</t>
  </si>
  <si>
    <t>a24UU000004Y6aAYAS</t>
  </si>
  <si>
    <t>a24UU000004Z0W9YAK</t>
  </si>
  <si>
    <t>a24UU000004Z0XbYAK</t>
  </si>
  <si>
    <t>a24UU000004Z0yzYAC</t>
  </si>
  <si>
    <t>a24UU000004aCofYAE</t>
  </si>
  <si>
    <t>a24UU000004aD4aYAE</t>
  </si>
  <si>
    <t>a24UU000004aDSnYAM</t>
  </si>
  <si>
    <t>a24UU000004ajh7YAA</t>
  </si>
  <si>
    <t>a24UU000004aju3YAA</t>
  </si>
  <si>
    <t>a24UU000004ak8VYAQ</t>
  </si>
  <si>
    <t>a24UU000004brb1YAA</t>
  </si>
  <si>
    <t>a24UU000004bsleYAA</t>
  </si>
  <si>
    <t>a24UU000004bt1dYAA</t>
  </si>
  <si>
    <t>a24UU000004btOGYAY</t>
  </si>
  <si>
    <t>a24UU000004dUlbYAE</t>
  </si>
  <si>
    <t>a24UU000004dV1iYAE</t>
  </si>
  <si>
    <t>a24UU000004dVOJYA2</t>
  </si>
  <si>
    <t>a24UU000004dVpkYAE</t>
  </si>
  <si>
    <t>a24UU000004e08hYAA</t>
  </si>
  <si>
    <t>a24UU000004e0QTYAY</t>
  </si>
  <si>
    <t>a24UU000004e0lNYAQ</t>
  </si>
  <si>
    <t>a24UU000004e1BKYAY</t>
  </si>
  <si>
    <t>a24UU000004f4vSYAQ</t>
  </si>
  <si>
    <t>a24UU000004f7wBYAQ</t>
  </si>
  <si>
    <t>a24UU000004f8SPYAY</t>
  </si>
  <si>
    <t>a24UU000004f8sBYAQ</t>
  </si>
  <si>
    <t>a24UU000004gibsYAA</t>
  </si>
  <si>
    <t>a24UU000004giqRYAQ</t>
  </si>
  <si>
    <t>a24UU000004gjCxYAI</t>
  </si>
  <si>
    <t>a24UU000004gjQ8YAI</t>
  </si>
  <si>
    <t>a24UU000004hBm0YAE</t>
  </si>
  <si>
    <t>a24UU000004hBxBYAU</t>
  </si>
  <si>
    <t>a24UU000004hCGeYAM</t>
  </si>
  <si>
    <t>a24UU000004hCeoYAE</t>
  </si>
  <si>
    <t>a24UU000004iCEZYA2</t>
  </si>
  <si>
    <t>a24UU000004iCRWYA2</t>
  </si>
  <si>
    <t>a24UU000004iCjDYAU</t>
  </si>
  <si>
    <t>a24UU000004iCt1YAE</t>
  </si>
  <si>
    <t>a24UU000004jnf3YAA</t>
  </si>
  <si>
    <t>a24UU000004jnomYAA</t>
  </si>
  <si>
    <t>a24UU000004jo1dYAA</t>
  </si>
  <si>
    <t>a24UU000004joHiYAI</t>
  </si>
  <si>
    <t>a24UU000004kJeyYAE</t>
  </si>
  <si>
    <t>a24UU000004kJq9YAE</t>
  </si>
  <si>
    <t>a24UU000004kK3AYAU</t>
  </si>
  <si>
    <t>a24UU000004kKL2YAM</t>
  </si>
  <si>
    <t>a24UU000004lHG2YAM</t>
  </si>
  <si>
    <t>a24UU000004lHSzYAM</t>
  </si>
  <si>
    <t>a24UU000004lHkgYAE</t>
  </si>
  <si>
    <t>a24UU000004lHxiYAE</t>
  </si>
  <si>
    <t>a24UU000004mljtYAA</t>
  </si>
  <si>
    <t>a24UU000004mm3GYAQ</t>
  </si>
  <si>
    <t>a24UU000004mmMoYAI</t>
  </si>
  <si>
    <t>a24UU000004mmeSYAQ</t>
  </si>
  <si>
    <t>a24UU000004nI9kYAE</t>
  </si>
  <si>
    <t>a24UU000004nIMWYA2</t>
  </si>
  <si>
    <t>a24UU000004nIbDYAU</t>
  </si>
  <si>
    <t>a24UU000004nIuTYAU</t>
  </si>
  <si>
    <t>a24UU000004oNvIYAU</t>
  </si>
  <si>
    <t>a24UU000004oO6bYAE</t>
  </si>
  <si>
    <t>a24UU000004oOOLYA2</t>
  </si>
  <si>
    <t>a24UU000004oObGYAU</t>
  </si>
  <si>
    <t>a24UU000004q6jmYAA</t>
  </si>
  <si>
    <t>a24UU000004q6yQYAQ</t>
  </si>
  <si>
    <t>a24UU000004q7KvYAI</t>
  </si>
  <si>
    <t>a24UU000004q7XtYAI</t>
  </si>
  <si>
    <t>a24UU000004qYjJYAU</t>
  </si>
  <si>
    <t>a24UU000004qYwFYAU</t>
  </si>
  <si>
    <t>a24UU000004qZ5rYAE</t>
  </si>
  <si>
    <t>a24UU000004qZHFYA2</t>
  </si>
  <si>
    <t>a24UU000004qZVvYAM</t>
  </si>
  <si>
    <t>a24UU000004rVhnYAE</t>
  </si>
  <si>
    <t>a24UU000004rVprYAE</t>
  </si>
  <si>
    <t>a24UU000004rW2gYAE</t>
  </si>
  <si>
    <t>a24UU000004rWHIYA2</t>
  </si>
  <si>
    <t>a24UU000004rWYzYAM</t>
  </si>
  <si>
    <t>a24UU0000028n0zYAA</t>
  </si>
  <si>
    <t>a24UU0000029VrXYAU</t>
  </si>
  <si>
    <t>a24UU000002AlaoYAC</t>
  </si>
  <si>
    <t>a24UU000003C3ewYAC</t>
  </si>
  <si>
    <t>a24UU000003CfDpYAK</t>
  </si>
  <si>
    <t>a24UU000003DtjJYAS</t>
  </si>
  <si>
    <t>a24UU000003EjtJYAS</t>
  </si>
  <si>
    <t>a24UU000003FaZPYA0</t>
  </si>
  <si>
    <t>a24UU000003Ge36YAC</t>
  </si>
  <si>
    <t>a24UU000003GxhfYAC</t>
  </si>
  <si>
    <t>a24UU000003HZkgYAG</t>
  </si>
  <si>
    <t>a24UU000003Izg9YAC</t>
  </si>
  <si>
    <t>a24UU000003LDIXYA4</t>
  </si>
  <si>
    <t>a24UU000003LqI1YAK</t>
  </si>
  <si>
    <t>a24UU000003N3A1YAK</t>
  </si>
  <si>
    <t>a24UU000003NRFYYA4</t>
  </si>
  <si>
    <t>a24UU000003O6fQYAS</t>
  </si>
  <si>
    <t>a24UU000003QPCNYA4</t>
  </si>
  <si>
    <t>a24UU000003Qz4hYAC</t>
  </si>
  <si>
    <t>a24UU000003RqdXYAS</t>
  </si>
  <si>
    <t>a24UU000003TLXYYA4</t>
  </si>
  <si>
    <t>a24UU000003TmxEYAS</t>
  </si>
  <si>
    <t>a24UU000003UYyjYAG</t>
  </si>
  <si>
    <t>a24UU000003VUOXYA4</t>
  </si>
  <si>
    <t>a24UU000003Vg38YAC</t>
  </si>
  <si>
    <t>a24UU000003WO0fYAG</t>
  </si>
  <si>
    <t>a24UU000003XfncYAC</t>
  </si>
  <si>
    <t>a24UU000003YVm1YAG</t>
  </si>
  <si>
    <t>a24UU000003aB4yYAE</t>
  </si>
  <si>
    <t>a24UU000003anIIYAY</t>
  </si>
  <si>
    <t>a24UU000003bnMgYAI</t>
  </si>
  <si>
    <t>a24UU000003dX41YAE</t>
  </si>
  <si>
    <t>a24UU000003e66fYAA</t>
  </si>
  <si>
    <t>a24UU000003f5QFYAY</t>
  </si>
  <si>
    <t>a24UU000003gRmtYAE</t>
  </si>
  <si>
    <t>a24UU000003gyeMYAQ</t>
  </si>
  <si>
    <t>a24UU000003hqpeYAA</t>
  </si>
  <si>
    <t>a24UU000003jRqLYAU</t>
  </si>
  <si>
    <t>a24UU000003k0q0YAA</t>
  </si>
  <si>
    <t>a24UU000003l2fzYAA</t>
  </si>
  <si>
    <t>a24UU000003l43QYAQ</t>
  </si>
  <si>
    <t>a24UU000003lyYTYAY</t>
  </si>
  <si>
    <t>a24UU000003mc9KYAQ</t>
  </si>
  <si>
    <t>a24UU000003nTNWYA2</t>
  </si>
  <si>
    <t>a24UU000003nU4yYAE</t>
  </si>
  <si>
    <t>a24UU000003xxrzYAA</t>
  </si>
  <si>
    <t>a24UU000003yK3lYAE</t>
  </si>
  <si>
    <t>a24UU000003zo82YAA</t>
  </si>
  <si>
    <t>a24UU0000040CIDYA2</t>
  </si>
  <si>
    <t>a24UU0000040NSHYA2</t>
  </si>
  <si>
    <t>a24UU0000041I2MYAU</t>
  </si>
  <si>
    <t>a24UU0000042x7VYAQ</t>
  </si>
  <si>
    <t>a24UU0000043PVpYAM</t>
  </si>
  <si>
    <t>a24UU0000043YNyYAM</t>
  </si>
  <si>
    <t>a24UU0000044V6GYAU</t>
  </si>
  <si>
    <t>a24UU0000044VZEYA2</t>
  </si>
  <si>
    <t>a24UU0000045QSbYAM</t>
  </si>
  <si>
    <t>a24UU0000045w7VYAQ</t>
  </si>
  <si>
    <t>a24UU0000046dW2YAI</t>
  </si>
  <si>
    <t>a24UU0000046eLjYAI</t>
  </si>
  <si>
    <t>a24UU0000047ZZuYAM</t>
  </si>
  <si>
    <t>a24UU0000047a4TYAQ</t>
  </si>
  <si>
    <t>a24UU0000049Fs3YAE</t>
  </si>
  <si>
    <t>a24UU0000049GEgYAM</t>
  </si>
  <si>
    <t>a24UU0000049kkTYAQ</t>
  </si>
  <si>
    <t>a24UU0000049l79YAA</t>
  </si>
  <si>
    <t>a24UU000004A7cDYAS</t>
  </si>
  <si>
    <t>a24UU000004Aj2iYAC</t>
  </si>
  <si>
    <t>a24UU000004AknMYAS</t>
  </si>
  <si>
    <t>a24UU000004CIOrYAO</t>
  </si>
  <si>
    <t>a24UU000004CIjmYAG</t>
  </si>
  <si>
    <t>a24UU000004CJmDYAW</t>
  </si>
  <si>
    <t>a24UU000004CmGOYA0</t>
  </si>
  <si>
    <t>a24UU000004CmwFYAS</t>
  </si>
  <si>
    <t>a24UU000004CnnYYAS</t>
  </si>
  <si>
    <t>a24UU000004DbpCYAS</t>
  </si>
  <si>
    <t>a24UU000004DcYEYA0</t>
  </si>
  <si>
    <t>a24UU000004DddzYAC</t>
  </si>
  <si>
    <t>a24UU000004F6u5YAC</t>
  </si>
  <si>
    <t>a24UU000004F7GfYAK</t>
  </si>
  <si>
    <t>a24UU000004F8KsYAK</t>
  </si>
  <si>
    <t>a24UU000004FcE2YAK</t>
  </si>
  <si>
    <t>a24UU000004FdLTYA0</t>
  </si>
  <si>
    <t>a24UU000004GX0vYAG</t>
  </si>
  <si>
    <t>a24UU000004GXs9YAG</t>
  </si>
  <si>
    <t>a24UU000004I680YAC</t>
  </si>
  <si>
    <t>a24UU000004I77CYAS</t>
  </si>
  <si>
    <t>a24UU000004IcXhYAK</t>
  </si>
  <si>
    <t>a24UU000004IdIOYA0</t>
  </si>
  <si>
    <t>a24UU000004JUPyYAO</t>
  </si>
  <si>
    <t>a24UU000004JWwTYAW</t>
  </si>
  <si>
    <t>a24UU000004KpYjYAK</t>
  </si>
  <si>
    <t>a24UU000004L27oYAC</t>
  </si>
  <si>
    <t>a24UU000004LVhjYAG</t>
  </si>
  <si>
    <t>a24UU000004LWymYAG</t>
  </si>
  <si>
    <t>a24UU000004MQJJYA4</t>
  </si>
  <si>
    <t>a24UU000004MR92YAG</t>
  </si>
  <si>
    <t>a24UU000004NzwiYAC</t>
  </si>
  <si>
    <t>a24UU000004O0ftYAC</t>
  </si>
  <si>
    <t>a24UU000004Og5eYAC</t>
  </si>
  <si>
    <t>a24UU000004OgfqYAC</t>
  </si>
  <si>
    <t>a24UU000004OhCoYAK</t>
  </si>
  <si>
    <t>a24UU000004PeuaYAC</t>
  </si>
  <si>
    <t>a24UU000004PfKJYA0</t>
  </si>
  <si>
    <t>a24UU000004Pg54YAC</t>
  </si>
  <si>
    <t>a24UU000004RSFiYAO</t>
  </si>
  <si>
    <t>a24UU000004RSXqYAO</t>
  </si>
  <si>
    <t>a24UU000004RT6rYAG</t>
  </si>
  <si>
    <t>a24UU000004S0qvYAC</t>
  </si>
  <si>
    <t>a24UU000004S1lNYAS</t>
  </si>
  <si>
    <t>a24UU000004S2O1YAK</t>
  </si>
  <si>
    <t>a24UU000004SyByYAK</t>
  </si>
  <si>
    <t>a24UU000004Sz4nYAC</t>
  </si>
  <si>
    <t>a24UU000004SzhRYAS</t>
  </si>
  <si>
    <t>a24UU000004UZEGYA4</t>
  </si>
  <si>
    <t>a24UU000004UZxNYAW</t>
  </si>
  <si>
    <t>a24UU000004UaQVYA0</t>
  </si>
  <si>
    <t>a24UU000004V2wDYAS</t>
  </si>
  <si>
    <t>a24UU000004V3BEYA0</t>
  </si>
  <si>
    <t>a24UU000004V3XEYA0</t>
  </si>
  <si>
    <t>a24UU000004VzGFYA0</t>
  </si>
  <si>
    <t>a24UU000004Vzo8YAC</t>
  </si>
  <si>
    <t>a24UU000004W0FpYAK</t>
  </si>
  <si>
    <t>a24UU000004XbZcYAK</t>
  </si>
  <si>
    <t>a24UU000004XcHBYA0</t>
  </si>
  <si>
    <t>a24UU000004XclmYAC</t>
  </si>
  <si>
    <t>a24UU000004Y51QYAS</t>
  </si>
  <si>
    <t>a24UU000004Y5smYAC</t>
  </si>
  <si>
    <t>a24UU000004Y6aEYAS</t>
  </si>
  <si>
    <t>a24UU000004YOVRYA4</t>
  </si>
  <si>
    <t>a24UU000004Z0J6YAK</t>
  </si>
  <si>
    <t>a24UU000004Z0WDYA0</t>
  </si>
  <si>
    <t>a24UU000004Z0z1YAC</t>
  </si>
  <si>
    <t>a24UU000004aChxYAE</t>
  </si>
  <si>
    <t>a24UU000004aD4cYAE</t>
  </si>
  <si>
    <t>a24UU000004aDVtYAM</t>
  </si>
  <si>
    <t>a24UU000004aXHhYAM</t>
  </si>
  <si>
    <t>a24UU000004ajKXYAY</t>
  </si>
  <si>
    <t>a24UU000004aju5YAA</t>
  </si>
  <si>
    <t>a24UU000004ak8XYAQ</t>
  </si>
  <si>
    <t>a24UU000004bM0rYAE</t>
  </si>
  <si>
    <t>a24UU000004brb4YAA</t>
  </si>
  <si>
    <t>a24UU000004bsX3YAI</t>
  </si>
  <si>
    <t>a24UU000004btOIYAY</t>
  </si>
  <si>
    <t>a24UU000004cxT0YAI</t>
  </si>
  <si>
    <t>a24UU000004dUaHYAU</t>
  </si>
  <si>
    <t>a24UU000004dVOLYA2</t>
  </si>
  <si>
    <t>a24UU000004dVrFYAU</t>
  </si>
  <si>
    <t>a24UU000004dwZrYAI</t>
  </si>
  <si>
    <t>a24UU000004e0QVYAY</t>
  </si>
  <si>
    <t>a24UU000004e0lPYAQ</t>
  </si>
  <si>
    <t>a24UU000004e1CpYAI</t>
  </si>
  <si>
    <t>a24UU000004f6qPYAQ</t>
  </si>
  <si>
    <t>a24UU000004f8CDYAY</t>
  </si>
  <si>
    <t>a24UU000004f8SRYAY</t>
  </si>
  <si>
    <t>a24UU000004f8sEYAQ</t>
  </si>
  <si>
    <t>a24UU000004g4RVYAY</t>
  </si>
  <si>
    <t>a24UU000004giOxYAI</t>
  </si>
  <si>
    <t>a24UU000004giqTYAQ</t>
  </si>
  <si>
    <t>a24UU000004gjCzYAI</t>
  </si>
  <si>
    <t>a24UU000004hBcIYAU</t>
  </si>
  <si>
    <t>a24UU000004hBxDYAU</t>
  </si>
  <si>
    <t>a24UU000004hCGgYAM</t>
  </si>
  <si>
    <t>a24UU000004hCerYAE</t>
  </si>
  <si>
    <t>a24UU000004iC4sYAE</t>
  </si>
  <si>
    <t>a24UU000004iCT0YAM</t>
  </si>
  <si>
    <t>a24UU000004iCjFYAU</t>
  </si>
  <si>
    <t>a24UU000004iCt4YAE</t>
  </si>
  <si>
    <t>a24UU000004jnooYAA</t>
  </si>
  <si>
    <t>a24UU000004jo1fYAA</t>
  </si>
  <si>
    <t>a24UU000004joHlYAI</t>
  </si>
  <si>
    <t>a24UU000004kJqBYAU</t>
  </si>
  <si>
    <t>a24UU000004kK3CYAU</t>
  </si>
  <si>
    <t>a24UU000004kKL5YAM</t>
  </si>
  <si>
    <t>a24UU000004lHT1YAM</t>
  </si>
  <si>
    <t>a24UU000004lHkiYAE</t>
  </si>
  <si>
    <t>a24UU000004lHzDYAU</t>
  </si>
  <si>
    <t>a24UU000004mm3IYAQ</t>
  </si>
  <si>
    <t>a24UU000004mmMqYAI</t>
  </si>
  <si>
    <t>a24UU000004mmZfYAI</t>
  </si>
  <si>
    <t>a24UU000004nIMYYA2</t>
  </si>
  <si>
    <t>a24UU000004nIbFYAU</t>
  </si>
  <si>
    <t>a24UU000004nIxaYAE</t>
  </si>
  <si>
    <t>a24UU000004oO85YAE</t>
  </si>
  <si>
    <t>a24UU000004oOPpYAM</t>
  </si>
  <si>
    <t>a24UU000004oOY5YAM</t>
  </si>
  <si>
    <t>a24UU000004q71WYAQ</t>
  </si>
  <si>
    <t>a24UU000004q7KxYAI</t>
  </si>
  <si>
    <t>a24UU000004q7b0YAA</t>
  </si>
  <si>
    <t>a24UU000004q7pdYAA</t>
  </si>
  <si>
    <t>a24UU000004qYwHYAU</t>
  </si>
  <si>
    <t>a24UU000004qZ5tYAE</t>
  </si>
  <si>
    <t>a24UU000004qZIkYAM</t>
  </si>
  <si>
    <t>a24UU000004qZVlYAM</t>
  </si>
  <si>
    <t>a24UU000004rVptYAE</t>
  </si>
  <si>
    <t>a24UU000004rW2iYAE</t>
  </si>
  <si>
    <t>a24UU000004rWInYAM</t>
  </si>
  <si>
    <t>a24UU000004rWVmYAM</t>
  </si>
  <si>
    <t>a24UU000004sOxVYAU</t>
  </si>
  <si>
    <t>a10UU000005KJtFYAW</t>
  </si>
  <si>
    <t>a24UU000001kQv4YAE</t>
  </si>
  <si>
    <t>a24UU000001kuHxYAI</t>
  </si>
  <si>
    <t>a24UU000002SjNgYAK</t>
  </si>
  <si>
    <t>a24UU000002enH3YAI</t>
  </si>
  <si>
    <t>a24UU000002fZyUYAU</t>
  </si>
  <si>
    <t>a24UU000002q0qyYAA</t>
  </si>
  <si>
    <t>a24UU000002rGdVYAU</t>
  </si>
  <si>
    <t>a24UU000002riTGYAY</t>
  </si>
  <si>
    <t>a24UU000002sY3dYAE</t>
  </si>
  <si>
    <t>a24UU000002ts5BYAQ</t>
  </si>
  <si>
    <t>a24UU000002uIFiYAM</t>
  </si>
  <si>
    <t>a24UU000002v3cpYAA</t>
  </si>
  <si>
    <t>a24UU000003C3gQYAS</t>
  </si>
  <si>
    <t>a24UU000003CfCCYA0</t>
  </si>
  <si>
    <t>a24UU000003DthjYAC</t>
  </si>
  <si>
    <t>a24UU000003EjlQYAS</t>
  </si>
  <si>
    <t>a24UU000003FaXoYAK</t>
  </si>
  <si>
    <t>a24UU000003Ge1PYAS</t>
  </si>
  <si>
    <t>a24UU000003GyWbYAK</t>
  </si>
  <si>
    <t>a24UU000003HZndYAG</t>
  </si>
  <si>
    <t>a24UU000003LDIVYA4</t>
  </si>
  <si>
    <t>a24UU000003XfpCYAS</t>
  </si>
  <si>
    <t>a24UU000003YVfrYAG</t>
  </si>
  <si>
    <t>a24UU000003aB4wYAE</t>
  </si>
  <si>
    <t>a24UU000003anIGYAY</t>
  </si>
  <si>
    <t>a24UU000003bnMeYAI</t>
  </si>
  <si>
    <t>a24UU000003dX2XYAU</t>
  </si>
  <si>
    <t>a24UU000003e66dYAA</t>
  </si>
  <si>
    <t>a24UU000003f5QDYAY</t>
  </si>
  <si>
    <t>a24UU000003gRmrYAE</t>
  </si>
  <si>
    <t>a24UU000003gyeKYAQ</t>
  </si>
  <si>
    <t>a24UU000003hqoAYAQ</t>
  </si>
  <si>
    <t>a24UU000003jRosYAE</t>
  </si>
  <si>
    <t>a24UU000003k0pzYAA</t>
  </si>
  <si>
    <t>a24UU000003l2fwYAA</t>
  </si>
  <si>
    <t>a24UU000003l43PYAQ</t>
  </si>
  <si>
    <t>a24UU000003lyevYAA</t>
  </si>
  <si>
    <t>a24UU000003meB8YAI</t>
  </si>
  <si>
    <t>a24UU000003nGJdYAM</t>
  </si>
  <si>
    <t>a24UU000003nTNVYA2</t>
  </si>
  <si>
    <t>a24UU000003nU4vYAE</t>
  </si>
  <si>
    <t>a24UU000003oSCOYA2</t>
  </si>
  <si>
    <t>a24UU000003oU7tYAE</t>
  </si>
  <si>
    <t>a24UU000003pNleYAE</t>
  </si>
  <si>
    <t>a24UU000003q8uIYAQ</t>
  </si>
  <si>
    <t>a24UU000003qfn7YAA</t>
  </si>
  <si>
    <t>a24UU000003qgCyYAI</t>
  </si>
  <si>
    <t>a24UU000003qxblYAA</t>
  </si>
  <si>
    <t>a24UU000003qy3BYAQ</t>
  </si>
  <si>
    <t>a24UU000003rd8EYAQ</t>
  </si>
  <si>
    <t>a24UU000003rdrAYAQ</t>
  </si>
  <si>
    <t>a24UU000003t2STYAY</t>
  </si>
  <si>
    <t>a24UU000003tFCuYAM</t>
  </si>
  <si>
    <t>a24UU000003tghdYAA</t>
  </si>
  <si>
    <t>a24UU000003trejYAA</t>
  </si>
  <si>
    <t>a24UU000003tsHQYAY</t>
  </si>
  <si>
    <t>a24UU000003uFAjYAM</t>
  </si>
  <si>
    <t>a24UU000003uqrrYAA</t>
  </si>
  <si>
    <t>a24UU000003urJIYAY</t>
  </si>
  <si>
    <t>a24UU000003vFGjYAM</t>
  </si>
  <si>
    <t>a24UU000003vjxxYAA</t>
  </si>
  <si>
    <t>a24UU000003wVxxYAE</t>
  </si>
  <si>
    <t>a24UU000003wrrpYAA</t>
  </si>
  <si>
    <t>a24UU000003x0iKYAQ</t>
  </si>
  <si>
    <t>a24UU000003x1GDYAY</t>
  </si>
  <si>
    <t>a24UU000003xJxlYAE</t>
  </si>
  <si>
    <t>a24UU000003xwFyYAI</t>
  </si>
  <si>
    <t>a24UU000003xxc6YAA</t>
  </si>
  <si>
    <t>a24UU000003yK29YAE</t>
  </si>
  <si>
    <t>a24UU000003zbiVYAQ</t>
  </si>
  <si>
    <t>a24UU000003zo7zYAA</t>
  </si>
  <si>
    <t>a24UU0000040CJpYAM</t>
  </si>
  <si>
    <t>a24UU0000040MrDYAU</t>
  </si>
  <si>
    <t>a24UU0000040NSEYA2</t>
  </si>
  <si>
    <t>a24UU0000040gbGYAQ</t>
  </si>
  <si>
    <t>a24UU0000040h7VYAQ</t>
  </si>
  <si>
    <t>a24UU0000041HW0YAM</t>
  </si>
  <si>
    <t>a24UU0000041I2JYAU</t>
  </si>
  <si>
    <t>a24UU0000042I3NYAU</t>
  </si>
  <si>
    <t>a24UU0000042nwnYAA</t>
  </si>
  <si>
    <t>a24UU0000043PXRYA2</t>
  </si>
  <si>
    <t>a24UU0000043Xy6YAE</t>
  </si>
  <si>
    <t>a24UU0000044V6FYAU</t>
  </si>
  <si>
    <t>a24UU0000044VZCYA2</t>
  </si>
  <si>
    <t>a24UU0000045QQzYAM</t>
  </si>
  <si>
    <t>a24UU0000045w5tYAA</t>
  </si>
  <si>
    <t>a24UU0000046dW1YAI</t>
  </si>
  <si>
    <t>a24UU0000046eLhYAI</t>
  </si>
  <si>
    <t>a24UU0000047ZZtYAM</t>
  </si>
  <si>
    <t>a24UU0000047a2zYAA</t>
  </si>
  <si>
    <t>a24UU0000049Fs2YAE</t>
  </si>
  <si>
    <t>a24UU0000049GEeYAM</t>
  </si>
  <si>
    <t>a24UU0000049kizYAA</t>
  </si>
  <si>
    <t>a24UU0000049l77YAA</t>
  </si>
  <si>
    <t>a24UU000004A7h3YAC</t>
  </si>
  <si>
    <t>a24UU000004Aj2hYAC</t>
  </si>
  <si>
    <t>a24UU000004AknKYAS</t>
  </si>
  <si>
    <t>a24UU000004E5K5YAK</t>
  </si>
  <si>
    <t>a24UU000004FT5pYAG</t>
  </si>
  <si>
    <t>a24UU000004FbrQYAS</t>
  </si>
  <si>
    <t>a24UU000004GWZiYAO</t>
  </si>
  <si>
    <t>a24UU000004I5jnYAC</t>
  </si>
  <si>
    <t>a24UU000004IcKjYAK</t>
  </si>
  <si>
    <t>a24UU000004JUoAYAW</t>
  </si>
  <si>
    <t>a24UU000004KpQfYAK</t>
  </si>
  <si>
    <t>a24UU000004LUwwYAG</t>
  </si>
  <si>
    <t>a24UU000004MQ02YAG</t>
  </si>
  <si>
    <t>a24UU000004O0REYA0</t>
  </si>
  <si>
    <t>a24UU000004OemrYAC</t>
  </si>
  <si>
    <t>a24UU000004OfpPYAS</t>
  </si>
  <si>
    <t>a24UU000004Peo0YAC</t>
  </si>
  <si>
    <t>a24UU000004PewPYAS</t>
  </si>
  <si>
    <t>a24UU000004RRtDYAW</t>
  </si>
  <si>
    <t>a24UU000004RRxyYAG</t>
  </si>
  <si>
    <t>a24UU000004S0R2YAK</t>
  </si>
  <si>
    <t>a24UU000004S1AcYAK</t>
  </si>
  <si>
    <t>a24UU000004SxquYAC</t>
  </si>
  <si>
    <t>a24UU000004SzWUYA0</t>
  </si>
  <si>
    <t>a24UU000004Tsh3YAC</t>
  </si>
  <si>
    <t>a24UU000004UYoOYAW</t>
  </si>
  <si>
    <t>a24UU000004V3AbYAK</t>
  </si>
  <si>
    <t>a24UU000004V3B7YAK</t>
  </si>
  <si>
    <t>a24UU000004VyC9YAK</t>
  </si>
  <si>
    <t>a24UU000004VzeQYAS</t>
  </si>
  <si>
    <t>a24UU000004XbJRYA0</t>
  </si>
  <si>
    <t>a24UU000004XckDYAS</t>
  </si>
  <si>
    <t>a24UU000004Y4jdYAC</t>
  </si>
  <si>
    <t>a24UU000004Y6YfYAK</t>
  </si>
  <si>
    <t>a24UU000004Z07lYAC</t>
  </si>
  <si>
    <t>a24UU000004Z1VIYA0</t>
  </si>
  <si>
    <t>a24UU000004aCZrYAM</t>
  </si>
  <si>
    <t>a24UU000004aDSlYAM</t>
  </si>
  <si>
    <t>a24UU000004aj7ZYAQ</t>
  </si>
  <si>
    <t>a24UU000004ak8TYAQ</t>
  </si>
  <si>
    <t>a24UU000004brb2YAA</t>
  </si>
  <si>
    <t>a24UU000004bsNLYAY</t>
  </si>
  <si>
    <t>a24UU000004btOEYAY</t>
  </si>
  <si>
    <t>a24UU000004dUOxYAM</t>
  </si>
  <si>
    <t>a24UU000004dVOHYA2</t>
  </si>
  <si>
    <t>a24UU000004dVplYAE</t>
  </si>
  <si>
    <t>a24UU000004dzSsYAI</t>
  </si>
  <si>
    <t>a24UU000004dzasYAA</t>
  </si>
  <si>
    <t>a24UU000004e1CnYAI</t>
  </si>
  <si>
    <t>a24UU000004f7UgYAI</t>
  </si>
  <si>
    <t>a24UU000004f8SNYAY</t>
  </si>
  <si>
    <t>a24UU000004f8sCYAQ</t>
  </si>
  <si>
    <t>a24UU000004giIWYAY</t>
  </si>
  <si>
    <t>a24UU000004gjCvYAI</t>
  </si>
  <si>
    <t>a24UU000004gjRRYAY</t>
  </si>
  <si>
    <t>a24UU000004hBXTYA2</t>
  </si>
  <si>
    <t>a24UU000004hCGcYAM</t>
  </si>
  <si>
    <t>a24UU000004hCepYAE</t>
  </si>
  <si>
    <t>a24UU000004iByRYAU</t>
  </si>
  <si>
    <t>a24UU000004iCjBYAU</t>
  </si>
  <si>
    <t>a24UU000004iCt2YAE</t>
  </si>
  <si>
    <t>a24UU000004jnTlYAI</t>
  </si>
  <si>
    <t>a24UU000004jo1bYAA</t>
  </si>
  <si>
    <t>a24UU000004joHjYAI</t>
  </si>
  <si>
    <t>a24UU000004kJRxYAM</t>
  </si>
  <si>
    <t>a24UU000004kK38YAE</t>
  </si>
  <si>
    <t>a24UU000004kKL3YAM</t>
  </si>
  <si>
    <t>a24UU000004lH1YYAU</t>
  </si>
  <si>
    <t>a24UU000004lHjMYAU</t>
  </si>
  <si>
    <t>a24UU000004lHzBYAU</t>
  </si>
  <si>
    <t>a24UU000004mlaHYAQ</t>
  </si>
  <si>
    <t>a24UU000004mmMmYAI</t>
  </si>
  <si>
    <t>a24UU000004mmeTYAQ</t>
  </si>
  <si>
    <t>a24UU000004nHwkYAE</t>
  </si>
  <si>
    <t>a24UU000004nIbBYAU</t>
  </si>
  <si>
    <t>a24UU000004nIuUYAU</t>
  </si>
  <si>
    <t>a24UU000004oNghYAE</t>
  </si>
  <si>
    <t>a24UU000004oOOJYA2</t>
  </si>
  <si>
    <t>a24UU000004oOY3YAM</t>
  </si>
  <si>
    <t>a24UU000004q6YXYAY</t>
  </si>
  <si>
    <t>a24UU000004q7KtYAI</t>
  </si>
  <si>
    <t>a24UU000004q7XuYAI</t>
  </si>
  <si>
    <t>a24UU000004q7r8YAA</t>
  </si>
  <si>
    <t>a24UU000004qYTEYA2</t>
  </si>
  <si>
    <t>a24UU000004qZ5pYAE</t>
  </si>
  <si>
    <t>a24UU000004qZHGYA2</t>
  </si>
  <si>
    <t>a24UU000004qZVoYAM</t>
  </si>
  <si>
    <t>a24UU000004qvfrYAA</t>
  </si>
  <si>
    <t>a24UU000004rVv4YAE</t>
  </si>
  <si>
    <t>a24UU000004rWHJYA2</t>
  </si>
  <si>
    <t>a24UU000004rWVpYAM</t>
  </si>
  <si>
    <t>a24UU000004s2k8YAA</t>
  </si>
  <si>
    <t>a24UU0000028n2PYAQ</t>
  </si>
  <si>
    <t>a24UU0000029Vt6YAE</t>
  </si>
  <si>
    <t>a24UU000002AlauYAC</t>
  </si>
  <si>
    <t>a24UU000002BACjYAO</t>
  </si>
  <si>
    <t>a24UU000002BNWPYA4</t>
  </si>
  <si>
    <t>a24UU000002BtRlYAK</t>
  </si>
  <si>
    <t>a24UU000002C8v7YAC</t>
  </si>
  <si>
    <t>a24UU000002CZ0rYAG</t>
  </si>
  <si>
    <t>a24UU000002D05tYAC</t>
  </si>
  <si>
    <t>a24UU000002DP4HYAW</t>
  </si>
  <si>
    <t>a24UU000002DYu6YAG</t>
  </si>
  <si>
    <t>a24UU000002DjuDYAS</t>
  </si>
  <si>
    <t>a24UU000002ECBXYA4</t>
  </si>
  <si>
    <t>a24UU000002EfrlYAC</t>
  </si>
  <si>
    <t>a24UU000002EyKvYAK</t>
  </si>
  <si>
    <t>a24UU000002FHqbYAG</t>
  </si>
  <si>
    <t>a24UU000002FTtRYAW</t>
  </si>
  <si>
    <t>a24UU000002Ff89YAC</t>
  </si>
  <si>
    <t>a24UU000002G4zOYAS</t>
  </si>
  <si>
    <t>a24UU000002GOZtYAO</t>
  </si>
  <si>
    <t>a24UU000002HKijYAG</t>
  </si>
  <si>
    <t>a24UU000002HYAjYAO</t>
  </si>
  <si>
    <t>a24UU000002ILHqYAO</t>
  </si>
  <si>
    <t>a24UU000002ILpdYAG</t>
  </si>
  <si>
    <t>a24UU000002Jo81YAC</t>
  </si>
  <si>
    <t>a24UU000002K33yYAC</t>
  </si>
  <si>
    <t>a24UU000002KXA2YAO</t>
  </si>
  <si>
    <t>a24UU000002KXjWYAW</t>
  </si>
  <si>
    <t>a24UU000002LJbPYAW</t>
  </si>
  <si>
    <t>a24UU000002LJt4YAG</t>
  </si>
  <si>
    <t>a24UU000002McruYAC</t>
  </si>
  <si>
    <t>a24UU000002N0FtYAK</t>
  </si>
  <si>
    <t>a24UU000002NF3dYAG</t>
  </si>
  <si>
    <t>a24UU000002NvcLYAS</t>
  </si>
  <si>
    <t>a24UU000002OCGbYAO</t>
  </si>
  <si>
    <t>a24UU000002ORkHYAW</t>
  </si>
  <si>
    <t>a24UU000002P2tVYAS</t>
  </si>
  <si>
    <t>a24UU000002PQcTYAW</t>
  </si>
  <si>
    <t>a24UU000002PYWrYAO</t>
  </si>
  <si>
    <t>a24UU000002QFOwYAO</t>
  </si>
  <si>
    <t>a24UU000002QUsXYAW</t>
  </si>
  <si>
    <t>a24UU000002Ra82YAC</t>
  </si>
  <si>
    <t>a24UU000002S19pYAC</t>
  </si>
  <si>
    <t>a24UU000002Syg1YAC</t>
  </si>
  <si>
    <t>a24UU000002TRIDYA4</t>
  </si>
  <si>
    <t>a24UU000002TpxFYAS</t>
  </si>
  <si>
    <t>a24UU000002URJNYA4</t>
  </si>
  <si>
    <t>a24UU000002UczgYAC</t>
  </si>
  <si>
    <t>a24UU000002VEvHYAW</t>
  </si>
  <si>
    <t>a24UU000002VWKDYA4</t>
  </si>
  <si>
    <t>a24UU000002VvC9YAK</t>
  </si>
  <si>
    <t>a24UU000002XFVOYA4</t>
  </si>
  <si>
    <t>a24UU000002Y653YAC</t>
  </si>
  <si>
    <t>a24UU000002YutCYAS</t>
  </si>
  <si>
    <t>a24UU000002Z2rNYAS</t>
  </si>
  <si>
    <t>a24UU000002Zkq6YAC</t>
  </si>
  <si>
    <t>a24UU000002ZmX6YAK</t>
  </si>
  <si>
    <t>a24UU000002aS4iYAE</t>
  </si>
  <si>
    <t>a24UU000002aUudYAE</t>
  </si>
  <si>
    <t>a24UU000002bdNpYAI</t>
  </si>
  <si>
    <t>a24UU000002cJLVYA2</t>
  </si>
  <si>
    <t>a24UU000002cxsVYAQ</t>
  </si>
  <si>
    <t>a24UU000002dj7NYAQ</t>
  </si>
  <si>
    <t>a24UU000002e9LBYAY</t>
  </si>
  <si>
    <t>a24UU000002emXxYAI</t>
  </si>
  <si>
    <t>a24UU000002enKEYAY</t>
  </si>
  <si>
    <t>a24UU000002fYmJYAU</t>
  </si>
  <si>
    <t>a24UU000002fa1eYAA</t>
  </si>
  <si>
    <t>a24UU000002h3EcYAI</t>
  </si>
  <si>
    <t>a24UU000002h3WAYAY</t>
  </si>
  <si>
    <t>a24UU000002q0r4YAA</t>
  </si>
  <si>
    <t>a24UU000002rGf1YAE</t>
  </si>
  <si>
    <t>a24UU000002rhsPYAQ</t>
  </si>
  <si>
    <t>a24UU000002sY3iYAE</t>
  </si>
  <si>
    <t>a24UU000002sorVYAQ</t>
  </si>
  <si>
    <t>a24UU000002tFQHYA2</t>
  </si>
  <si>
    <t>a24UU000002te0TYAQ</t>
  </si>
  <si>
    <t>a24UU000002u7ldYAA</t>
  </si>
  <si>
    <t>a24UU000002uIFmYAM</t>
  </si>
  <si>
    <t>a24UU000002v3eLYAQ</t>
  </si>
  <si>
    <t>a24UU000002vIa9YAE</t>
  </si>
  <si>
    <t>a24UU000002vmJhYAI</t>
  </si>
  <si>
    <t>a24UU000002wC9JYAU</t>
  </si>
  <si>
    <t>a24UU000002wr4VYAQ</t>
  </si>
  <si>
    <t>a24UU000002xfNlYAI</t>
  </si>
  <si>
    <t>a24UU000002yzHEYAY</t>
  </si>
  <si>
    <t>a24UU000002zT5pYAE</t>
  </si>
  <si>
    <t>a24UU000002zhOfYAI</t>
  </si>
  <si>
    <t>a24UU0000030KmdYAE</t>
  </si>
  <si>
    <t>a24UU0000030dE9YAI</t>
  </si>
  <si>
    <t>a24UU00000316uTYAQ</t>
  </si>
  <si>
    <t>a24UU000003C3jaYAC</t>
  </si>
  <si>
    <t>a24UU000003CFO9YAO</t>
  </si>
  <si>
    <t>a24UU000003CfDtYAK</t>
  </si>
  <si>
    <t>a24UU000003CwuXYAS</t>
  </si>
  <si>
    <t>a24UU000003DkbBYAS</t>
  </si>
  <si>
    <t>a24UU000003EX2PYAW</t>
  </si>
  <si>
    <t>a24UU000003F3IPYA0</t>
  </si>
  <si>
    <t>a24UU000003FaZSYA0</t>
  </si>
  <si>
    <t>a24UU000003FrFBYA0</t>
  </si>
  <si>
    <t>a24UU000003GCujYAG</t>
  </si>
  <si>
    <t>a24UU000003GW5SYAW</t>
  </si>
  <si>
    <t>a24UU000003GpT3YAK</t>
  </si>
  <si>
    <t>a24UU000003GxhiYAC</t>
  </si>
  <si>
    <t>a24UU000003H8fNYAS</t>
  </si>
  <si>
    <t>a24UU000003HZpFYAW</t>
  </si>
  <si>
    <t>a24UU000003I3wzYAC</t>
  </si>
  <si>
    <t>a24UU000003ISLtYAO</t>
  </si>
  <si>
    <t>a24UU000003IrP7YAK</t>
  </si>
  <si>
    <t>a24UU000003JFb7YAG</t>
  </si>
  <si>
    <t>a24UU000003JQbNYAW</t>
  </si>
  <si>
    <t>a24UU000003JZWbYAO</t>
  </si>
  <si>
    <t>a24UU000003Jzu6YAC</t>
  </si>
  <si>
    <t>a24UU000003KDiXYAW</t>
  </si>
  <si>
    <t>a24UU000003KVabYAG</t>
  </si>
  <si>
    <t>a24UU000003Kr4rYAC</t>
  </si>
  <si>
    <t>a24UU000003Ks49YAC</t>
  </si>
  <si>
    <t>a24UU000003LDIcYAO</t>
  </si>
  <si>
    <t>a24UU000003LO8rYAG</t>
  </si>
  <si>
    <t>a24UU000003LV5YYAW</t>
  </si>
  <si>
    <t>a24UU000003M3qLYAS</t>
  </si>
  <si>
    <t>a24UU000003MUc1YAG</t>
  </si>
  <si>
    <t>a24UU000003MujNYAS</t>
  </si>
  <si>
    <t>a24UU000003NIAbYAO</t>
  </si>
  <si>
    <t>a24UU000003NRFcYAO</t>
  </si>
  <si>
    <t>a24UU000003NTQzYAO</t>
  </si>
  <si>
    <t>a24UU000003O6fUYAS</t>
  </si>
  <si>
    <t>a24UU000003OSmDYAW</t>
  </si>
  <si>
    <t>a24UU000003PXIPYA4</t>
  </si>
  <si>
    <t>a24UU000003Q9xBYAS</t>
  </si>
  <si>
    <t>a24UU000003QqUHYA0</t>
  </si>
  <si>
    <t>a24UU000003R1ZQYA0</t>
  </si>
  <si>
    <t>a24UU000003RHe9YAG</t>
  </si>
  <si>
    <t>a24UU000003S8qXYAS</t>
  </si>
  <si>
    <t>a24UU000003TCIbYAO</t>
  </si>
  <si>
    <t>a24UU000003Tbs6YAC</t>
  </si>
  <si>
    <t>a24UU000003U1BRYA0</t>
  </si>
  <si>
    <t>a24UU000003UZ0EYAW</t>
  </si>
  <si>
    <t>a24UU000003Un4nYAC</t>
  </si>
  <si>
    <t>a24UU000003V7TJYA0</t>
  </si>
  <si>
    <t>a24UU000003VKIUYA4</t>
  </si>
  <si>
    <t>a24UU000003Vg3AYAS</t>
  </si>
  <si>
    <t>a24UU000003VoZtYAK</t>
  </si>
  <si>
    <t>a24UU000003WO0hYAG</t>
  </si>
  <si>
    <t>a24UU000003WOVPYA4</t>
  </si>
  <si>
    <t>a24UU000003WX2LYAW</t>
  </si>
  <si>
    <t>a24UU000003WX3xYAG</t>
  </si>
  <si>
    <t>a24UU000003XDG5YAO</t>
  </si>
  <si>
    <t>a24UU000003Xfh6YAC</t>
  </si>
  <si>
    <t>a24UU000003YVbBYAW</t>
  </si>
  <si>
    <t>a24UU000003Yp3BYAS</t>
  </si>
  <si>
    <t>a24UU000003ZwAfYAK</t>
  </si>
  <si>
    <t>a24UU000003kXk1YAE</t>
  </si>
  <si>
    <t>a24UU000003t6XhYAI</t>
  </si>
  <si>
    <t>a24UU000003tsm5YAA</t>
  </si>
  <si>
    <t>a24UU000003uqvEYAQ</t>
  </si>
  <si>
    <t>a24UU000003wWtwYAE</t>
  </si>
  <si>
    <t>a24UU000003wzj8YAA</t>
  </si>
  <si>
    <t>a24UU000003xyJOYAY</t>
  </si>
  <si>
    <t>a24UU000003zlN2YAI</t>
  </si>
  <si>
    <t>a24UU0000040Ns0YAE</t>
  </si>
  <si>
    <t>a24UU0000041HcaYAE</t>
  </si>
  <si>
    <t>a24UU0000042xRbYAI</t>
  </si>
  <si>
    <t>a24UU0000043MT7YAM</t>
  </si>
  <si>
    <t>a24UU0000043WaeYAE</t>
  </si>
  <si>
    <t>a24UU0000044Vz1YAE</t>
  </si>
  <si>
    <t>a24UU0000045uk1YAA</t>
  </si>
  <si>
    <t>a24UU0000046eoUYAQ</t>
  </si>
  <si>
    <t>a24UU0000047ZtJYAU</t>
  </si>
  <si>
    <t>a24UU0000049Gg2YAE</t>
  </si>
  <si>
    <t>a24UU0000049lgZYAQ</t>
  </si>
  <si>
    <t>a24UU000004A6xtYAC</t>
  </si>
  <si>
    <t>a24UU000004AiQbYAK</t>
  </si>
  <si>
    <t>a24UU000004CIwbYAG</t>
  </si>
  <si>
    <t>a24UU000004CJmFYAW</t>
  </si>
  <si>
    <t>a24UU000004CnFgYAK</t>
  </si>
  <si>
    <t>a24UU000004CnnaYAC</t>
  </si>
  <si>
    <t>a24UU000004DcoPYAS</t>
  </si>
  <si>
    <t>a24UU000004Dde1YAC</t>
  </si>
  <si>
    <t>a24UU000004F7a1YAC</t>
  </si>
  <si>
    <t>a24UU000004F8MMYA0</t>
  </si>
  <si>
    <t>a24UU000004FS3LYAW</t>
  </si>
  <si>
    <t>a24UU000004FcKVYA0</t>
  </si>
  <si>
    <t>a24UU000004FdLVYA0</t>
  </si>
  <si>
    <t>a24UU000004FwEHYA0</t>
  </si>
  <si>
    <t>a24UU000004GXDsYAO</t>
  </si>
  <si>
    <t>a24UU000004GXsBYAW</t>
  </si>
  <si>
    <t>a24UU000004HuTJYA0</t>
  </si>
  <si>
    <t>a24UU000004I6OIYA0</t>
  </si>
  <si>
    <t>a24UU000004IcnuYAC</t>
  </si>
  <si>
    <t>a24UU000004IdIQYA0</t>
  </si>
  <si>
    <t>a24UU000004JWDGYA4</t>
  </si>
  <si>
    <t>a24UU000004JWlDYAW</t>
  </si>
  <si>
    <t>a24UU000004L2NxYAK</t>
  </si>
  <si>
    <t>a24UU000004L2xUYAS</t>
  </si>
  <si>
    <t>a24UU000004LVuXYAW</t>
  </si>
  <si>
    <t>a24UU000004LWyoYAG</t>
  </si>
  <si>
    <t>a24UU000004Loh4YAC</t>
  </si>
  <si>
    <t>a24UU000004MQZYYA4</t>
  </si>
  <si>
    <t>a24UU000004MR94YAG</t>
  </si>
  <si>
    <t>a24UU000004NzLhYAK</t>
  </si>
  <si>
    <t>a24UU000004NzwkYAC</t>
  </si>
  <si>
    <t>a24UU000004OgOqYAK</t>
  </si>
  <si>
    <t>a24UU000004OgfsYAC</t>
  </si>
  <si>
    <t>a24UU000004OhCqYAK</t>
  </si>
  <si>
    <t>a24UU000004PeucYAC</t>
  </si>
  <si>
    <t>a24UU000004PfIzYAK</t>
  </si>
  <si>
    <t>a24UU000004Pg56YAC</t>
  </si>
  <si>
    <t>a24UU000004RSUEYA4</t>
  </si>
  <si>
    <t>a24UU000004RT6tYAG</t>
  </si>
  <si>
    <t>a24UU000004RTmnYAG</t>
  </si>
  <si>
    <t>a24UU000004S1DOYA0</t>
  </si>
  <si>
    <t>a24UU000004S1oTYAS</t>
  </si>
  <si>
    <t>a24UU000004S2O3YAK</t>
  </si>
  <si>
    <t>a24UU000004SyVJYA0</t>
  </si>
  <si>
    <t>a24UU000004SynCYAS</t>
  </si>
  <si>
    <t>a24UU000004SzhTYAS</t>
  </si>
  <si>
    <t>a24UU000004TsifYAC</t>
  </si>
  <si>
    <t>a24UU000004UZMYYA4</t>
  </si>
  <si>
    <t>a24UU000004UZxPYAW</t>
  </si>
  <si>
    <t>a24UU000004V2wFYAS</t>
  </si>
  <si>
    <t>a24UU000004V366YAC</t>
  </si>
  <si>
    <t>a24UU000004V3p2YAC</t>
  </si>
  <si>
    <t>a24UU000004VzGHYA0</t>
  </si>
  <si>
    <t>a24UU000004VzzYYAS</t>
  </si>
  <si>
    <t>a24UU000004W0FrYAK</t>
  </si>
  <si>
    <t>a24UU000004XbjNYAS</t>
  </si>
  <si>
    <t>a24UU000004XcHDYA0</t>
  </si>
  <si>
    <t>a24UU000004XcloYAC</t>
  </si>
  <si>
    <t>a24UU000004Y5HcYAK</t>
  </si>
  <si>
    <t>a24UU000004Y5soYAC</t>
  </si>
  <si>
    <t>a24UU000004Y6aGYAS</t>
  </si>
  <si>
    <t>a24UU000004Z0SmYAK</t>
  </si>
  <si>
    <t>a24UU000004Z0WFYA0</t>
  </si>
  <si>
    <t>a24UU000004Z0z3YAC</t>
  </si>
  <si>
    <t>a24UU000004aCgTYAU</t>
  </si>
  <si>
    <t>a24UU000004aD66YAE</t>
  </si>
  <si>
    <t>a24UU000004aDVvYAM</t>
  </si>
  <si>
    <t>a24UU000004ajUFYAY</t>
  </si>
  <si>
    <t>a24UU000004ajvZYAQ</t>
  </si>
  <si>
    <t>a24UU000004ak8ZYAQ</t>
  </si>
  <si>
    <t>a24UU000004bsggYAA</t>
  </si>
  <si>
    <t>a24UU000004bt1gYAA</t>
  </si>
  <si>
    <t>a24UU000004btOKYAY</t>
  </si>
  <si>
    <t>a24UU000004btmPYAQ</t>
  </si>
  <si>
    <t>a24UU000004dUiOYAU</t>
  </si>
  <si>
    <t>a24UU000004dV1lYAE</t>
  </si>
  <si>
    <t>a24UU000004dVPpYAM</t>
  </si>
  <si>
    <t>a24UU000004dVrHYAU</t>
  </si>
  <si>
    <t>a24UU000004e03tYAA</t>
  </si>
  <si>
    <t>a24UU000004e0QXYAY</t>
  </si>
  <si>
    <t>a24UU000004e0lRYAQ</t>
  </si>
  <si>
    <t>a24UU000004e1CrYAI</t>
  </si>
  <si>
    <t>a24UU000004f7szYAA</t>
  </si>
  <si>
    <t>a24UU000004f8CFYAY</t>
  </si>
  <si>
    <t>a24UU000004f8STYAY</t>
  </si>
  <si>
    <t>a24UU000004f8sGYAQ</t>
  </si>
  <si>
    <t>a24UU000004giVUYAY</t>
  </si>
  <si>
    <t>a24UU000004girxYAA</t>
  </si>
  <si>
    <t>a24UU000004gjD1YAI</t>
  </si>
  <si>
    <t>a24UU000004gjRUYAY</t>
  </si>
  <si>
    <t>a24UU000004hBkHYAU</t>
  </si>
  <si>
    <t>a24UU000004hBxFYAU</t>
  </si>
  <si>
    <t>a24UU000004hCOcYAM</t>
  </si>
  <si>
    <t>a24UU000004hCYRYA2</t>
  </si>
  <si>
    <t>a24UU000004iCCrYAM</t>
  </si>
  <si>
    <t>a24UU000004iCT2YAM</t>
  </si>
  <si>
    <t>a24UU000004iCkjYAE</t>
  </si>
  <si>
    <t>a24UU000004iCt6YAE</t>
  </si>
  <si>
    <t>a24UU000004jnXDYAY</t>
  </si>
  <si>
    <t>a24UU000004jnqIYAQ</t>
  </si>
  <si>
    <t>a24UU000004jo1hYAA</t>
  </si>
  <si>
    <t>a24UU000004joHnYAI</t>
  </si>
  <si>
    <t>a24UU000004kIkcYAE</t>
  </si>
  <si>
    <t>a24UU000004kJdGYAU</t>
  </si>
  <si>
    <t>a24UU000004kJqDYAU</t>
  </si>
  <si>
    <t>a24UU000004kKPdYAM</t>
  </si>
  <si>
    <t>a24UU000004lHCsYAM</t>
  </si>
  <si>
    <t>a24UU000004lHT3YAM</t>
  </si>
  <si>
    <t>a24UU000004lHkkYAE</t>
  </si>
  <si>
    <t>a24UU000004lHzFYAU</t>
  </si>
  <si>
    <t>a24UU000004mlgiYAA</t>
  </si>
  <si>
    <t>a24UU000004mm3KYAQ</t>
  </si>
  <si>
    <t>a24UU000004mmMsYAI</t>
  </si>
  <si>
    <t>a24UU000004mmZhYAI</t>
  </si>
  <si>
    <t>a24UU000004nI82YAE</t>
  </si>
  <si>
    <t>a24UU000004nIMaYAM</t>
  </si>
  <si>
    <t>a24UU000004nIbHYAU</t>
  </si>
  <si>
    <t>a24UU000004nIxcYAE</t>
  </si>
  <si>
    <t>a24UU000004oNtaYAE</t>
  </si>
  <si>
    <t>a24UU000004oO87YAE</t>
  </si>
  <si>
    <t>a24UU000004oOPrYAM</t>
  </si>
  <si>
    <t>a24UU000004oOY7YAM</t>
  </si>
  <si>
    <t>a24UU000004q6X5YAI</t>
  </si>
  <si>
    <t>a24UU000004q71YYAQ</t>
  </si>
  <si>
    <t>a24UU000004q7KzYAI</t>
  </si>
  <si>
    <t>a24UU000004q7b2YAA</t>
  </si>
  <si>
    <t>a24UU000004qYeWYAU</t>
  </si>
  <si>
    <t>a24UU000004qYxlYAE</t>
  </si>
  <si>
    <t>a24UU000004qZ5vYAE</t>
  </si>
  <si>
    <t>a24UU000004qZImYAM</t>
  </si>
  <si>
    <t>a24UU000004qZXGYA2</t>
  </si>
  <si>
    <t>a24UU000004rVg6YAE</t>
  </si>
  <si>
    <t>a24UU000004rVrNYAU</t>
  </si>
  <si>
    <t>a24UU000004rW2kYAE</t>
  </si>
  <si>
    <t>a24UU000004rWIpYAM</t>
  </si>
  <si>
    <t>a24UU000004rWZ2YAM</t>
  </si>
  <si>
    <t>a24UU000002ILpmYAG</t>
  </si>
  <si>
    <t>a24UU000002K3aBYAS</t>
  </si>
  <si>
    <t>a24UU000002KXl3YAG</t>
  </si>
  <si>
    <t>a24UU000002LK4IYAW</t>
  </si>
  <si>
    <t>a24UU000002Md9dYAC</t>
  </si>
  <si>
    <t>a24UU0000031bILYAY</t>
  </si>
  <si>
    <t>a24UU00000325GPYAY</t>
  </si>
  <si>
    <t>a24UU0000032GzxYAE</t>
  </si>
  <si>
    <t>a24UU0000032L8HYAU</t>
  </si>
  <si>
    <t>a24UU0000032VxFYAU</t>
  </si>
  <si>
    <t>a24UU00000337UjYAI</t>
  </si>
  <si>
    <t>a24UU0000033RZpYAM</t>
  </si>
  <si>
    <t>a24UU0000033uFFYAY</t>
  </si>
  <si>
    <t>a24UU0000034NueYAE</t>
  </si>
  <si>
    <t>a24UU0000034osXYAQ</t>
  </si>
  <si>
    <t>a24UU000003524mYAA</t>
  </si>
  <si>
    <t>a24UU0000035GjxYAE</t>
  </si>
  <si>
    <t>a24UU000003C3jeYAC</t>
  </si>
  <si>
    <t>a24UU000003CfFOYA0</t>
  </si>
  <si>
    <t>a24UU000003DtjNYAS</t>
  </si>
  <si>
    <t>a24UU000003WND3YAO</t>
  </si>
  <si>
    <t>a24UU000003XQ2GYAW</t>
  </si>
  <si>
    <t>a24UU000003XfcGYAS</t>
  </si>
  <si>
    <t>a24UU000003YVakYAG</t>
  </si>
  <si>
    <t>a24UU000003aAqSYAU</t>
  </si>
  <si>
    <t>a24UU000003alA2YAI</t>
  </si>
  <si>
    <t>a24UU000003bm0oYAA</t>
  </si>
  <si>
    <t>a24UU000003dWmZYAU</t>
  </si>
  <si>
    <t>a24UU000003kWWDYA2</t>
  </si>
  <si>
    <t>a24UU000003lOpxYAE</t>
  </si>
  <si>
    <t>a24UU000003mfC1YAI</t>
  </si>
  <si>
    <t>a24UU000003nGpuYAE</t>
  </si>
  <si>
    <t>a24UU000003nU1rYAE</t>
  </si>
  <si>
    <t>a24UU000003npviYAA</t>
  </si>
  <si>
    <t>a24UU000003o5FhYAI</t>
  </si>
  <si>
    <t>a24UU000003orCHYAY</t>
  </si>
  <si>
    <t>a24UU000003pOBRYA2</t>
  </si>
  <si>
    <t>a24UU000003pvVZYAY</t>
  </si>
  <si>
    <t>a24UU000003qPOnYAM</t>
  </si>
  <si>
    <t>a24UU000003qzGzYAI</t>
  </si>
  <si>
    <t>a24UU000003rCJ3YAM</t>
  </si>
  <si>
    <t>a24UU000003s6wcYAA</t>
  </si>
  <si>
    <t>a24UU000003t1jJYAQ</t>
  </si>
  <si>
    <t>a24UU000003tsHWYAY</t>
  </si>
  <si>
    <t>a24UU000003uEWPYA2</t>
  </si>
  <si>
    <t>a24UU000003urJOYAY</t>
  </si>
  <si>
    <t>a24UU000003vC4LYAU</t>
  </si>
  <si>
    <t>a24UU000003vksPYAQ</t>
  </si>
  <si>
    <t>a24UU000003wLlVYAU</t>
  </si>
  <si>
    <t>a24UU000003wqXZYAY</t>
  </si>
  <si>
    <t>a24UU000003xJuXYAU</t>
  </si>
  <si>
    <t>a24UU000003xa49YAA</t>
  </si>
  <si>
    <t>a24UU000003yIBeYAM</t>
  </si>
  <si>
    <t>a24UU000003z43NYAQ</t>
  </si>
  <si>
    <t>a24UU0000040EFBYA2</t>
  </si>
  <si>
    <t>a24UU0000040NTnYAM</t>
  </si>
  <si>
    <t>a24UU0000040hyjYAA</t>
  </si>
  <si>
    <t>a24UU0000041I3sYAE</t>
  </si>
  <si>
    <t>a24UU0000042Gw1YAE</t>
  </si>
  <si>
    <t>a24UU0000042oo1YAA</t>
  </si>
  <si>
    <t>a24UU0000043OBZYA2</t>
  </si>
  <si>
    <t>a24UU0000044VZHYA2</t>
  </si>
  <si>
    <t>a24UU0000045NhdYAE</t>
  </si>
  <si>
    <t>a24UU0000045wlpYAA</t>
  </si>
  <si>
    <t>a24UU0000046eOgYAI</t>
  </si>
  <si>
    <t>a24UU0000046zbBYAQ</t>
  </si>
  <si>
    <t>a24UU0000047a4WYAQ</t>
  </si>
  <si>
    <t>a24UU0000048SPpYAM</t>
  </si>
  <si>
    <t>a24UU00000495W1YAI</t>
  </si>
  <si>
    <t>a24UU0000049b9JYAQ</t>
  </si>
  <si>
    <t>a24UU0000049l7CYAQ</t>
  </si>
  <si>
    <t>a24UU0000049ydlYAA</t>
  </si>
  <si>
    <t>a24UU000004AkorYAC</t>
  </si>
  <si>
    <t>a24UU000004B3Q5YAK</t>
  </si>
  <si>
    <t>a24UU000004BMPVYA4</t>
  </si>
  <si>
    <t>a24UU000004C7EjYAK</t>
  </si>
  <si>
    <t>a24UU000004CYI9YAO</t>
  </si>
  <si>
    <t>a24UU000004CmwHYAS</t>
  </si>
  <si>
    <t>a24UU000004Cnp7YAC</t>
  </si>
  <si>
    <t>a24UU000004DcYGYA0</t>
  </si>
  <si>
    <t>a24UU000004Dde5YAC</t>
  </si>
  <si>
    <t>a24UU000004DvKjYAK</t>
  </si>
  <si>
    <t>a24UU000004EOcrYAG</t>
  </si>
  <si>
    <t>a24UU000004Es7uYAC</t>
  </si>
  <si>
    <t>a24UU000004FSbBYAW</t>
  </si>
  <si>
    <t>a24UU000004FcE4YAK</t>
  </si>
  <si>
    <t>a24UU000004FdLXYA0</t>
  </si>
  <si>
    <t>a24UU000004FwfhYAC</t>
  </si>
  <si>
    <t>a24UU000004GX0xYAG</t>
  </si>
  <si>
    <t>a24UU000004GXsDYAW</t>
  </si>
  <si>
    <t>a24UU000004I682YAC</t>
  </si>
  <si>
    <t>a24UU000004I77FYAS</t>
  </si>
  <si>
    <t>a24UU000004IcZBYA0</t>
  </si>
  <si>
    <t>a24UU000004IdISYA0</t>
  </si>
  <si>
    <t>a24UU000004JUQ0YAO</t>
  </si>
  <si>
    <t>a24UU000004JWlFYAW</t>
  </si>
  <si>
    <t>a24UU000004JsX3YAK</t>
  </si>
  <si>
    <t>a24UU000004KL2nYAG</t>
  </si>
  <si>
    <t>a24UU000004Ko6PYAS</t>
  </si>
  <si>
    <t>a24UU000004LM6TYAW</t>
  </si>
  <si>
    <t>a24UU000004LVRXYA4</t>
  </si>
  <si>
    <t>a24UU000004LVhlYAG</t>
  </si>
  <si>
    <t>a24UU000004Lo4LYAS</t>
  </si>
  <si>
    <t>a24UU000004MQJLYA4</t>
  </si>
  <si>
    <t>a24UU000004MRAYYA4</t>
  </si>
  <si>
    <t>a24UU000004Mn9RYAS</t>
  </si>
  <si>
    <t>a24UU000004NoWTYA0</t>
  </si>
  <si>
    <t>a24UU000004OSP4YAO</t>
  </si>
  <si>
    <t>a24UU000004Og5gYAC</t>
  </si>
  <si>
    <t>a24UU000004OhCsYAK</t>
  </si>
  <si>
    <t>a24UU000004OhxcYAC</t>
  </si>
  <si>
    <t>a24UU000004P1UrYAK</t>
  </si>
  <si>
    <t>a24UU000004PfKLYA0</t>
  </si>
  <si>
    <t>a24UU000004Pg58YAC</t>
  </si>
  <si>
    <t>a24UU000004PgpmYAC</t>
  </si>
  <si>
    <t>a24UU000004QgsXYAS</t>
  </si>
  <si>
    <t>a24UU000004RSFkYAO</t>
  </si>
  <si>
    <t>a24UU000004RT6vYAG</t>
  </si>
  <si>
    <t>a24UU000004Rr17YAC</t>
  </si>
  <si>
    <t>a24UU000004S0u1YAC</t>
  </si>
  <si>
    <t>a24UU000004S1oVYAS</t>
  </si>
  <si>
    <t>a24UU000004S2O6YAK</t>
  </si>
  <si>
    <t>a24UU000004SJn0YAG</t>
  </si>
  <si>
    <t>a24UU000004SyDSYA0</t>
  </si>
  <si>
    <t>a24UU000004SynEYAS</t>
  </si>
  <si>
    <t>a24UU000004SzhVYAS</t>
  </si>
  <si>
    <t>a24UU000004UZEIYA4</t>
  </si>
  <si>
    <t>a24UU000004UZxRYAW</t>
  </si>
  <si>
    <t>a24UU000004UaQYYA0</t>
  </si>
  <si>
    <t>a24UU000004V2wHYAS</t>
  </si>
  <si>
    <t>a24UU000004V368YAC</t>
  </si>
  <si>
    <t>a24UU000004V3XGYA0</t>
  </si>
  <si>
    <t>a24UU000004VzGJYA0</t>
  </si>
  <si>
    <t>a24UU000004VzoAYAS</t>
  </si>
  <si>
    <t>a24UU000004W0FtYAK</t>
  </si>
  <si>
    <t>a24UU000004WxvVYAS</t>
  </si>
  <si>
    <t>a24UU000004XcHFYA0</t>
  </si>
  <si>
    <t>a24UU000004XclqYAC</t>
  </si>
  <si>
    <t>a24UU000004Y51SYAS</t>
  </si>
  <si>
    <t>a24UU000004Y5sqYAC</t>
  </si>
  <si>
    <t>a24UU000004Y6aIYAS</t>
  </si>
  <si>
    <t>a24UU000004YOSDYA4</t>
  </si>
  <si>
    <t>a24UU000004Z0J8YAK</t>
  </si>
  <si>
    <t>a24UU000004Z0WHYA0</t>
  </si>
  <si>
    <t>a24UU000004Z129YAC</t>
  </si>
  <si>
    <t>a24UU000004aD68YAE</t>
  </si>
  <si>
    <t>a24UU000004aDVxYAM</t>
  </si>
  <si>
    <t>a24UU000004aXCrYAM</t>
  </si>
  <si>
    <t>a24UU000004ajvbYAA</t>
  </si>
  <si>
    <t>a24UU000004ak8bYAA</t>
  </si>
  <si>
    <t>a24UU000004bIQJYA2</t>
  </si>
  <si>
    <t>a24UU000004bKGnYAM</t>
  </si>
  <si>
    <t>a24UU000004btmRYAQ</t>
  </si>
  <si>
    <t>a24UU000004cUE5YAM</t>
  </si>
  <si>
    <t>a24UU000004cxT1YAI</t>
  </si>
  <si>
    <t>a24UU000004dLrtYAE</t>
  </si>
  <si>
    <t>a24UU000004e0S1YAI</t>
  </si>
  <si>
    <t>a24UU000004e0lTYAQ</t>
  </si>
  <si>
    <t>a24UU000004e1CtYAI</t>
  </si>
  <si>
    <t>a24UU000004eOirYAE</t>
  </si>
  <si>
    <t>a24UU000004f8CHYAY</t>
  </si>
  <si>
    <t>a24UU000004f8HNYAY</t>
  </si>
  <si>
    <t>a24UU000004f8sIYAQ</t>
  </si>
  <si>
    <t>a24UU000004g3GvYAI</t>
  </si>
  <si>
    <t>a24UU000004giryYAA</t>
  </si>
  <si>
    <t>a24UU000004gjD2YAI</t>
  </si>
  <si>
    <t>a24UU000004hBxGYAU</t>
  </si>
  <si>
    <t>a24UU000004hCOdYAM</t>
  </si>
  <si>
    <t>a24UU000004hCYSYA2</t>
  </si>
  <si>
    <t>a24UU000004iCT3YAM</t>
  </si>
  <si>
    <t>a24UU000004iCkkYAE</t>
  </si>
  <si>
    <t>a24UU000004iCw1YAE</t>
  </si>
  <si>
    <t>a24UU000004jnqJYAQ</t>
  </si>
  <si>
    <t>a24UU000004jo1iYAA</t>
  </si>
  <si>
    <t>a24UU000004joHoYAI</t>
  </si>
  <si>
    <t>a24UU000004kIkdYAE</t>
  </si>
  <si>
    <t>a24UU000004kJqEYAU</t>
  </si>
  <si>
    <t>a24UU000004kKPeYAM</t>
  </si>
  <si>
    <t>a24UU000004lHT4YAM</t>
  </si>
  <si>
    <t>a24UU000004lHklYAE</t>
  </si>
  <si>
    <t>a24UU000004lHzGYAU</t>
  </si>
  <si>
    <t>a24UU000004mm3LYAQ</t>
  </si>
  <si>
    <t>a24UU000004mmMtYAI</t>
  </si>
  <si>
    <t>a24UU000004mmZiYAI</t>
  </si>
  <si>
    <t>a24UU000004nIMbYAM</t>
  </si>
  <si>
    <t>a24UU000004nIbIYAU</t>
  </si>
  <si>
    <t>a24UU000004nIxdYAE</t>
  </si>
  <si>
    <t>a24UU000004oO88YAE</t>
  </si>
  <si>
    <t>a24UU000004oOPsYAM</t>
  </si>
  <si>
    <t>a24UU000004oOY8YAM</t>
  </si>
  <si>
    <t>a24UU000004q71ZYAQ</t>
  </si>
  <si>
    <t>a24UU000004q7L0YAI</t>
  </si>
  <si>
    <t>a24UU000004q7b3YAA</t>
  </si>
  <si>
    <t>a24UU000004q7r7YAA</t>
  </si>
  <si>
    <t>a24UU000004qYxmYAE</t>
  </si>
  <si>
    <t>a24UU000004qZ5wYAE</t>
  </si>
  <si>
    <t>a24UU000004qZInYAM</t>
  </si>
  <si>
    <t>a24UU000004qZVnYAM</t>
  </si>
  <si>
    <t>a24UU000004rVrOYAU</t>
  </si>
  <si>
    <t>a24UU000004rW2lYAE</t>
  </si>
  <si>
    <t>a24UU000004rWIqYAM</t>
  </si>
  <si>
    <t>a24UU000004rWVoYAM</t>
  </si>
  <si>
    <t>a24UU000004rsWDYAY</t>
  </si>
  <si>
    <t>a24UU000004sP0jYAE</t>
  </si>
  <si>
    <t>a24UU000002Cs58YAC</t>
  </si>
  <si>
    <t>a24UU000002Cs59YAC</t>
  </si>
  <si>
    <t>a24UU000004CoA4YAK</t>
  </si>
  <si>
    <t>a24UU000004Ddm2YAC</t>
  </si>
  <si>
    <t>a24UU000004F8fhYAC</t>
  </si>
  <si>
    <t>a24UU000004FdgNYAS</t>
  </si>
  <si>
    <t>a24UU000004GVqOYAW</t>
  </si>
  <si>
    <t>a24UU000004I7LlYAK</t>
  </si>
  <si>
    <t>a24UU000004IdTkYAK</t>
  </si>
  <si>
    <t>a24UU000004JX9JYAW</t>
  </si>
  <si>
    <t>a24UU000004L33zYAC</t>
  </si>
  <si>
    <t>a24UU000004LX6qYAG</t>
  </si>
  <si>
    <t>a24UU000004MQONYA4</t>
  </si>
  <si>
    <t>a24UU000004NzwtYAC</t>
  </si>
  <si>
    <t>a24UU000004OhDEYA0</t>
  </si>
  <si>
    <t>a24UU000004PgGLYA0</t>
  </si>
  <si>
    <t>a24UU000004RTF2YAO</t>
  </si>
  <si>
    <t>a24UU000004S21TYAS</t>
  </si>
  <si>
    <t>a24UU000004Sz8AYAS</t>
  </si>
  <si>
    <t>a24UU000004TJZdYAO</t>
  </si>
  <si>
    <t>a24UU000004Ua5VYAS</t>
  </si>
  <si>
    <t>a24UU000004V4TIYA0</t>
  </si>
  <si>
    <t>a24UU000004W0lrYAC</t>
  </si>
  <si>
    <t>a24UU000004XcNZYA0</t>
  </si>
  <si>
    <t>a24UU000004Y62MYAS</t>
  </si>
  <si>
    <t>a24UU000004Z170YAC</t>
  </si>
  <si>
    <t>a24UU000004aDB0YAM</t>
  </si>
  <si>
    <t>a24UU000004ajyqYAA</t>
  </si>
  <si>
    <t>a24UU000004bt6YYAQ</t>
  </si>
  <si>
    <t>a24UU000004dV6cYAE</t>
  </si>
  <si>
    <t>a24UU000004e0WsYAI</t>
  </si>
  <si>
    <t>a24UU000004f8IkYAI</t>
  </si>
  <si>
    <t>a24UU000004gj01YAA</t>
  </si>
  <si>
    <t>a24UU000004hC26YAE</t>
  </si>
  <si>
    <t>a24UU000004iCWHYA2</t>
  </si>
  <si>
    <t>a24UU000004jntXYAQ</t>
  </si>
  <si>
    <t>a24UU000004kJomYAE</t>
  </si>
  <si>
    <t>a24UU000004lHXuYAM</t>
  </si>
  <si>
    <t>a24UU000004mmD0YAI</t>
  </si>
  <si>
    <t>a24UU000004nIT2YAM</t>
  </si>
  <si>
    <t>a24UU000004oOBKYA2</t>
  </si>
  <si>
    <t>a24UU000004q73GYAQ</t>
  </si>
  <si>
    <t>a24UU000004qYzUYAU</t>
  </si>
  <si>
    <t>a24UU000004rVq2YAE</t>
  </si>
  <si>
    <t>a24UU000003WOP0YAO</t>
  </si>
  <si>
    <t>a24UU000003XQ6vYAG</t>
  </si>
  <si>
    <t>a24UU000003XfdqYAC</t>
  </si>
  <si>
    <t>a24UU000003YVaqYAG</t>
  </si>
  <si>
    <t>a24UU000003aAaaYAE</t>
  </si>
  <si>
    <t>a24UU000003anBlYAI</t>
  </si>
  <si>
    <t>a24UU000003bm0uYAA</t>
  </si>
  <si>
    <t>a24UU000003l3h5YAA</t>
  </si>
  <si>
    <t>a24UU000003mqLxYAI</t>
  </si>
  <si>
    <t>a24UU000003nU6WYAU</t>
  </si>
  <si>
    <t>a24UU000003oUlzYAE</t>
  </si>
  <si>
    <t>a24UU000004CJr3YAG</t>
  </si>
  <si>
    <t>a24UU000004CnqnYAC</t>
  </si>
  <si>
    <t>a24UU000004DdfbYAC</t>
  </si>
  <si>
    <t>a24UU000004F8PhYAK</t>
  </si>
  <si>
    <t>a24UU000004FdTVYA0</t>
  </si>
  <si>
    <t>a24UU000004GVKEYA4</t>
  </si>
  <si>
    <t>a24UU000004I78sYAC</t>
  </si>
  <si>
    <t>a24UU000004IdK5YAK</t>
  </si>
  <si>
    <t>a24UU000004JWy1YAG</t>
  </si>
  <si>
    <t>a24UU000004KMbZYAW</t>
  </si>
  <si>
    <t>a24UU000004KoKvYAK</t>
  </si>
  <si>
    <t>a24UU000004LMXtYAO</t>
  </si>
  <si>
    <t>a24UU000004LocDYAS</t>
  </si>
  <si>
    <t>a24UU000004MRCCYA4</t>
  </si>
  <si>
    <t>a24UU000004NokzYAC</t>
  </si>
  <si>
    <t>a24UU000004OUQrYAO</t>
  </si>
  <si>
    <t>a24UU000004Pg8DYAS</t>
  </si>
  <si>
    <t>a24UU000004PgrWYAS</t>
  </si>
  <si>
    <t>a24UU000004Qh5RYAS</t>
  </si>
  <si>
    <t>a24UU000004RT3sYAG</t>
  </si>
  <si>
    <t>a24UU000004RpgsYAC</t>
  </si>
  <si>
    <t>a24UU000004SLVRYA4</t>
  </si>
  <si>
    <t>a24UU000004Sz6KYAS</t>
  </si>
  <si>
    <t>a24UU000004Szj3YAC</t>
  </si>
  <si>
    <t>a24UU000004TrpqYAC</t>
  </si>
  <si>
    <t>a24UU000004UO4DYAW</t>
  </si>
  <si>
    <t>a24UU000004V3qmYAC</t>
  </si>
  <si>
    <t>a24UU000004V4mtYAC</t>
  </si>
  <si>
    <t>a24UU000004VMy1YAG</t>
  </si>
  <si>
    <t>a24UU000004W0dnYAC</t>
  </si>
  <si>
    <t>a24UU000004W1V4YAK</t>
  </si>
  <si>
    <t>a24UU000004WMvxYAG</t>
  </si>
  <si>
    <t>a24UU000004WyLJYA0</t>
  </si>
  <si>
    <t>a24UU000004XcIqYAK</t>
  </si>
  <si>
    <t>a24UU000004Y5eHYAS</t>
  </si>
  <si>
    <t>a24UU000004Y6X8YAK</t>
  </si>
  <si>
    <t>a24UU000004YPWMYA4</t>
  </si>
  <si>
    <t>a24UU000004Z0e8YAC</t>
  </si>
  <si>
    <t>a24UU000004Z12IYAS</t>
  </si>
  <si>
    <t>a24UU000004bKblYAE</t>
  </si>
  <si>
    <t>a24UU000004cUEBYA2</t>
  </si>
  <si>
    <t>a24UU000004dLgbYAE</t>
  </si>
  <si>
    <t>a24UU000004e1ERYAY</t>
  </si>
  <si>
    <t>a24UU000004eOEDYA2</t>
  </si>
  <si>
    <t>a24UU000004f8tqYAA</t>
  </si>
  <si>
    <t>a24UU000004g3X3YAI</t>
  </si>
  <si>
    <t>a24UU000004hCYWYA2</t>
  </si>
  <si>
    <t>a24UU000004iCw5YAE</t>
  </si>
  <si>
    <t>a24UU000004idL7YAI</t>
  </si>
  <si>
    <t>a24UU000004joJKYAY</t>
  </si>
  <si>
    <t>a24UU000004k7ozYAA</t>
  </si>
  <si>
    <t>a24UU000004kKPiYAM</t>
  </si>
  <si>
    <t>a24UU000004kZDNYA2</t>
  </si>
  <si>
    <t>a24UU000004lHzKYAU</t>
  </si>
  <si>
    <t>a24UU000004lI8sYAE</t>
  </si>
  <si>
    <t>a24UU000004mmZlYAI</t>
  </si>
  <si>
    <t>a24UU000004mmrKYAQ</t>
  </si>
  <si>
    <t>a24UU000004n5p4YAA</t>
  </si>
  <si>
    <t>a24UU000004nIudYAE</t>
  </si>
  <si>
    <t>a24UU000004nIxgYAE</t>
  </si>
  <si>
    <t>a24UU000004oOYBYA2</t>
  </si>
  <si>
    <t>a24UU000004oOpfYAE</t>
  </si>
  <si>
    <t>a24UU000004omQXYAY</t>
  </si>
  <si>
    <t>a24UU000004pIwfYAE</t>
  </si>
  <si>
    <t>a24UU000004pJ37YAE</t>
  </si>
  <si>
    <t>a24UU000004pvZpYAI</t>
  </si>
  <si>
    <t>a24UU000004qZ9HYAU</t>
  </si>
  <si>
    <t>a24UU000004qZIqYAM</t>
  </si>
  <si>
    <t>a24UU000004qmZJYAY</t>
  </si>
  <si>
    <t>a24UU000004rWItYAM</t>
  </si>
  <si>
    <t>a24UU000004rWU6YAM</t>
  </si>
  <si>
    <t>a24UU000004rpwYYAQ</t>
  </si>
  <si>
    <t>a24UU000004sNdGYAU</t>
  </si>
  <si>
    <t>a24UU000003C2SpYAK</t>
  </si>
  <si>
    <t>a24UU000003CfH0YAK</t>
  </si>
  <si>
    <t>a24UU000003DtkxYAC</t>
  </si>
  <si>
    <t>a24UU000003WOS9YAO</t>
  </si>
  <si>
    <t>a24UU000003XQ6zYAG</t>
  </si>
  <si>
    <t>a24UU000003XfahYAC</t>
  </si>
  <si>
    <t>a24UU000003YVcNYAW</t>
  </si>
  <si>
    <t>a24UU000003aAafYAE</t>
  </si>
  <si>
    <t>a24UU000003anBqYAI</t>
  </si>
  <si>
    <t>a24UU000003bkTeYAI</t>
  </si>
  <si>
    <t>a24UU000003dWuSYAU</t>
  </si>
  <si>
    <t>a24UU000003e61oYAA</t>
  </si>
  <si>
    <t>a24UU000003f5JqYAI</t>
  </si>
  <si>
    <t>a24UU000003gRgSYAU</t>
  </si>
  <si>
    <t>a24UU000003gye1YAA</t>
  </si>
  <si>
    <t>a24UU000003hpDjYAI</t>
  </si>
  <si>
    <t>a24UU000003jRfAYAU</t>
  </si>
  <si>
    <t>a24UU000003k0edYAA</t>
  </si>
  <si>
    <t>a24UU000003l30zYAA</t>
  </si>
  <si>
    <t>a24UU000003l3ibYAA</t>
  </si>
  <si>
    <t>a24UU000003lz1VYAQ</t>
  </si>
  <si>
    <t>a24UU000003meW5YAI</t>
  </si>
  <si>
    <t>a24UU000003nH4PYAU</t>
  </si>
  <si>
    <t>a24UU000003nkZRYAY</t>
  </si>
  <si>
    <t>a24UU000003oTrkYAE</t>
  </si>
  <si>
    <t>a24UU000003oUnbYAE</t>
  </si>
  <si>
    <t>a24UU000003q836YAA</t>
  </si>
  <si>
    <t>a24UU000003q9OzYAI</t>
  </si>
  <si>
    <t>a24UU000003qgMQYAY</t>
  </si>
  <si>
    <t>a24UU000003qgwBYAQ</t>
  </si>
  <si>
    <t>a24UU000003qyETYAY</t>
  </si>
  <si>
    <t>a24UU000003rE1VYAU</t>
  </si>
  <si>
    <t>a24UU000003rd82YAA</t>
  </si>
  <si>
    <t>a24UU000003s6wdYAA</t>
  </si>
  <si>
    <t>a24UU000003t2FaYAI</t>
  </si>
  <si>
    <t>a24UU0000043ZBrYAM</t>
  </si>
  <si>
    <t>a24UU0000044WOvYAM</t>
  </si>
  <si>
    <t>a24UU0000045QcHYAU</t>
  </si>
  <si>
    <t>a24UU0000046fBCYAY</t>
  </si>
  <si>
    <t>a24UU0000047a3RYAQ</t>
  </si>
  <si>
    <t>a24UU0000049H7WYAU</t>
  </si>
  <si>
    <t>a24UU0000049kshYAA</t>
  </si>
  <si>
    <t>a24UU000004A7nVYAS</t>
  </si>
  <si>
    <t>a24UU000004AlBaYAK</t>
  </si>
  <si>
    <t>a24UU000004BemDYAS</t>
  </si>
  <si>
    <t>a24UU000004C7mcYAC</t>
  </si>
  <si>
    <t>a24UU000004ChdGYAS</t>
  </si>
  <si>
    <t>a24UU000004Dd69YAC</t>
  </si>
  <si>
    <t>a24UU000004F7q6YAC</t>
  </si>
  <si>
    <t>a24UU000004FT93YAG</t>
  </si>
  <si>
    <t>a24UU000004FcpMYAS</t>
  </si>
  <si>
    <t>a24UU000004GXE5YAO</t>
  </si>
  <si>
    <t>a24UU000004HuhpYAC</t>
  </si>
  <si>
    <t>a24UU000004IcvrYAC</t>
  </si>
  <si>
    <t>a24UU000004ItjhYAC</t>
  </si>
  <si>
    <t>a24UU000004JWRrYAO</t>
  </si>
  <si>
    <t>a24UU000004L2fdYAC</t>
  </si>
  <si>
    <t>a24UU000004LWM4YAO</t>
  </si>
  <si>
    <t>a24UU000004LonVYAS</t>
  </si>
  <si>
    <t>a24UU000004MPxHYAW</t>
  </si>
  <si>
    <t>a24UU000004MnZFYA0</t>
  </si>
  <si>
    <t>a24UU000004NpynYAC</t>
  </si>
  <si>
    <t>a24UU000004OWqsYAG</t>
  </si>
  <si>
    <t>a24UU000004OfJ5YAK</t>
  </si>
  <si>
    <t>a24UU000004OgfDYAS</t>
  </si>
  <si>
    <t>a24UU000004P2kHYAS</t>
  </si>
  <si>
    <t>a24UU000004PfovYAC</t>
  </si>
  <si>
    <t>a24UU000004Pgt6YAC</t>
  </si>
  <si>
    <t>a24UU000004QiEPYA0</t>
  </si>
  <si>
    <t>a24UU000004RSapYAG</t>
  </si>
  <si>
    <t>a24UU000004RqxuYAC</t>
  </si>
  <si>
    <t>a24UU000004S0j0YAC</t>
  </si>
  <si>
    <t>a24UU000004S18iYAC</t>
  </si>
  <si>
    <t>a24UU000004SxHOYA0</t>
  </si>
  <si>
    <t>a24UU000004SymyYAC</t>
  </si>
  <si>
    <t>a24UU000004TtEvYAK</t>
  </si>
  <si>
    <t>a24UU000004UZcTYAW</t>
  </si>
  <si>
    <t>a24UU000004V3BIYA0</t>
  </si>
  <si>
    <t>a24UU000004V3tvYAC</t>
  </si>
  <si>
    <t>a24UU000004W018YAC</t>
  </si>
  <si>
    <t>a24UU000004W1WbYAK</t>
  </si>
  <si>
    <t>a24UU000004XbuaYAC</t>
  </si>
  <si>
    <t>a24UU000004Xcp1YAC</t>
  </si>
  <si>
    <t>a24UU000004Y5cbYAC</t>
  </si>
  <si>
    <t>a24UU000004Y6XDYA0</t>
  </si>
  <si>
    <t>a24UU000004Z0e2YAC</t>
  </si>
  <si>
    <t>a24UU000004Z0eDYAS</t>
  </si>
  <si>
    <t>a24UU000004aCi4YAE</t>
  </si>
  <si>
    <t>a24UU000004aDXbYAM</t>
  </si>
  <si>
    <t>a24UU000004ajPXYAY</t>
  </si>
  <si>
    <t>a24UU000004akBqYAI</t>
  </si>
  <si>
    <t>a24UU000004bsp2YAA</t>
  </si>
  <si>
    <t>a24UU000004btPyYAI</t>
  </si>
  <si>
    <t>a24UU000004bto1YAA</t>
  </si>
  <si>
    <t>a24UU000004dUqRYAU</t>
  </si>
  <si>
    <t>a24UU000004dVRTYA2</t>
  </si>
  <si>
    <t>a24UU000004dVssYAE</t>
  </si>
  <si>
    <t>a24UU000004e0F9YAI</t>
  </si>
  <si>
    <t>a24UU000004e0n6YAA</t>
  </si>
  <si>
    <t>a24UU000004e1EUYAY</t>
  </si>
  <si>
    <t>a24UU000004f82dYAA</t>
  </si>
  <si>
    <t>a24UU000004f8TyYAI</t>
  </si>
  <si>
    <t>a24UU000004f8ttYAA</t>
  </si>
  <si>
    <t>a24UU000004giiJYAQ</t>
  </si>
  <si>
    <t>a24UU000004gjEZYAY</t>
  </si>
  <si>
    <t>a24UU000004gjRYYAY</t>
  </si>
  <si>
    <t>a24UU000004hBpDYAU</t>
  </si>
  <si>
    <t>a24UU000004hCOiYAM</t>
  </si>
  <si>
    <t>a24UU000004hCYXYA2</t>
  </si>
  <si>
    <t>a24UU000004iCJOYA2</t>
  </si>
  <si>
    <t>a24UU000004iCkpYAE</t>
  </si>
  <si>
    <t>a24UU000004iCw6YAE</t>
  </si>
  <si>
    <t>a24UU000004jnjsYAA</t>
  </si>
  <si>
    <t>a24UU000004jo3FYAQ</t>
  </si>
  <si>
    <t>a24UU000004joJLYAY</t>
  </si>
  <si>
    <t>a24UU000004kIkiYAE</t>
  </si>
  <si>
    <t>a24UU000004kJdVYAU</t>
  </si>
  <si>
    <t>a24UU000004kKPjYAM</t>
  </si>
  <si>
    <t>a24UU000004lH1eYAE</t>
  </si>
  <si>
    <t>a24UU000004lHeOYAU</t>
  </si>
  <si>
    <t>a24UU000004lI0nYAE</t>
  </si>
  <si>
    <t>a24UU000004mlnFYAQ</t>
  </si>
  <si>
    <t>a24UU000004mmPrYAI</t>
  </si>
  <si>
    <t>a24UU000004mmZmYAI</t>
  </si>
  <si>
    <t>a24UU000004nICwYAM</t>
  </si>
  <si>
    <t>a24UU000004nIkiYAE</t>
  </si>
  <si>
    <t>a24UU000004nIxhYAE</t>
  </si>
  <si>
    <t>a24UU000004oO06YAE</t>
  </si>
  <si>
    <t>a24UU000004oOPwYAM</t>
  </si>
  <si>
    <t>a24UU000004oOYCYA2</t>
  </si>
  <si>
    <t>a24UU000004q6lUYAQ</t>
  </si>
  <si>
    <t>a24UU000004q7MWYAY</t>
  </si>
  <si>
    <t>a24UU000004q7b6YAA</t>
  </si>
  <si>
    <t>a24UU000004q7peYAA</t>
  </si>
  <si>
    <t>a24UU000004qYo5YAE</t>
  </si>
  <si>
    <t>a24UU000004qZ7SYAU</t>
  </si>
  <si>
    <t>a24UU000004qZIrYAM</t>
  </si>
  <si>
    <t>a24UU000004qZVmYAM</t>
  </si>
  <si>
    <t>a24UU000004rSDcYAM</t>
  </si>
  <si>
    <t>a24UU000004rW4HYAU</t>
  </si>
  <si>
    <t>a24UU000004rWIuYAM</t>
  </si>
  <si>
    <t>a24UU000004rWVnYAM</t>
  </si>
  <si>
    <t>a24UU000002nNf3YAE</t>
  </si>
  <si>
    <t>a24UU000002oo5QYAQ</t>
  </si>
  <si>
    <t>a24UU000002pDf1YAE</t>
  </si>
  <si>
    <t>a24UU000002q1BzYAI</t>
  </si>
  <si>
    <t>a24UU000002rGIfYAM</t>
  </si>
  <si>
    <t>a24UU000002riBTYAY</t>
  </si>
  <si>
    <t>a24UU000002sXkGYAU</t>
  </si>
  <si>
    <t>a24UU000002trx3YAA</t>
  </si>
  <si>
    <t>a24UU000002uJ5JYAU</t>
  </si>
  <si>
    <t>a24UU000002v3PqYAI</t>
  </si>
  <si>
    <t>a24UU000002wPw9YAE</t>
  </si>
  <si>
    <t>a24UU000002wqt7YAA</t>
  </si>
  <si>
    <t>a24UU000002xf7lYAA</t>
  </si>
  <si>
    <t>a24UU000002yz9AYAQ</t>
  </si>
  <si>
    <t>a24UU000002zT0rYAE</t>
  </si>
  <si>
    <t>a24UU000002zgdtYAA</t>
  </si>
  <si>
    <t>a24UU00000336lYYAQ</t>
  </si>
  <si>
    <t>a24UU0000033HaTYAU</t>
  </si>
  <si>
    <t>a24UU0000033QCLYA2</t>
  </si>
  <si>
    <t>a24UU0000033uK5YAI</t>
  </si>
  <si>
    <t>a24UU0000034N8WYAU</t>
  </si>
  <si>
    <t>a24UU0000034pLZYAY</t>
  </si>
  <si>
    <t>a24UU00000351mdYAA</t>
  </si>
  <si>
    <t>a24UU0000035GK9YAM</t>
  </si>
  <si>
    <t>a24UU0000035vX6YAI</t>
  </si>
  <si>
    <t>a24UU0000036C6PYAU</t>
  </si>
  <si>
    <t>a24UU0000036ViXYAU</t>
  </si>
  <si>
    <t>a24UU0000036yivYAA</t>
  </si>
  <si>
    <t>a24UU0000037c0PYAQ</t>
  </si>
  <si>
    <t>a24UU0000037tShYAI</t>
  </si>
  <si>
    <t>a24UU0000038AYLYA2</t>
  </si>
  <si>
    <t>a24UU0000038d48YAA</t>
  </si>
  <si>
    <t>a24UU0000038q2vYAA</t>
  </si>
  <si>
    <t>a24UU0000039TAjYAM</t>
  </si>
  <si>
    <t>a24UU0000039nUPYAY</t>
  </si>
  <si>
    <t>a24UU0000039t3cYAA</t>
  </si>
  <si>
    <t>a24UU000003A5kfYAC</t>
  </si>
  <si>
    <t>a24UU000003AO1HYAW</t>
  </si>
  <si>
    <t>a24UU000003AqlBYAS</t>
  </si>
  <si>
    <t>a24UU000003BwBpYAK</t>
  </si>
  <si>
    <t>a24UU000003C2VvYAK</t>
  </si>
  <si>
    <t>a24UU000003C7lZYAS</t>
  </si>
  <si>
    <t>a24UU000003CeHkYAK</t>
  </si>
  <si>
    <t>a24UU000003CxiXYAS</t>
  </si>
  <si>
    <t>a24UU000003Dk6XYAS</t>
  </si>
  <si>
    <t>a24UU000003EXdVYAW</t>
  </si>
  <si>
    <t>a24UU000003Ej3fYAC</t>
  </si>
  <si>
    <t>a24UU000003F4nxYAC</t>
  </si>
  <si>
    <t>a24UU000003FZWoYAO</t>
  </si>
  <si>
    <t>a24UU000003Fra9YAC</t>
  </si>
  <si>
    <t>a24UU000003GCczYAG</t>
  </si>
  <si>
    <t>a24UU000003GyLAYA0</t>
  </si>
  <si>
    <t>a24UU000003LI53YAG</t>
  </si>
  <si>
    <t>a24UU000003LOX3YAO</t>
  </si>
  <si>
    <t>a24UU000003WkquYAC</t>
  </si>
  <si>
    <t>a24UU000003XD81YAG</t>
  </si>
  <si>
    <t>a24UU000003XfE2YAK</t>
  </si>
  <si>
    <t>a24UU000003YV6BYAW</t>
  </si>
  <si>
    <t>a24UU000003aAX0YAM</t>
  </si>
  <si>
    <t>a24UU000003amqsYAA</t>
  </si>
  <si>
    <t>a24UU000003kGWHYA2</t>
  </si>
  <si>
    <t>a24UU000003l88TYAQ</t>
  </si>
  <si>
    <t>a24UU000003lz4jYAA</t>
  </si>
  <si>
    <t>a24UU000003meUTYAY</t>
  </si>
  <si>
    <t>a24UU000003nH9FYAU</t>
  </si>
  <si>
    <t>a24UU000003nhTWYAY</t>
  </si>
  <si>
    <t>a24UU000003ns3xYAA</t>
  </si>
  <si>
    <t>a24UU000003o4EnYAI</t>
  </si>
  <si>
    <t>a24UU000003orLyYAI</t>
  </si>
  <si>
    <t>a24UU000003pOmYYAU</t>
  </si>
  <si>
    <t>a24UU000003qRjxYAE</t>
  </si>
  <si>
    <t>a24UU000003qfn3YAA</t>
  </si>
  <si>
    <t>a24UU000003qyG5YAI</t>
  </si>
  <si>
    <t>a24UU000003rD8fYAE</t>
  </si>
  <si>
    <t>a24UU000003s6mfYAA</t>
  </si>
  <si>
    <t>a24UU000003s6wZYAQ</t>
  </si>
  <si>
    <t>a24UU000003sTePYAU</t>
  </si>
  <si>
    <t>a24UU000003t0dZYAQ</t>
  </si>
  <si>
    <t>a24UU000003th7RYAQ</t>
  </si>
  <si>
    <t>a24UU000003trLNYAY</t>
  </si>
  <si>
    <t>a24UU000003ts31YAA</t>
  </si>
  <si>
    <t>a24UU000003txFRYAY</t>
  </si>
  <si>
    <t>a24UU000003uDthYAE</t>
  </si>
  <si>
    <t>a24UU000003uF13YAE</t>
  </si>
  <si>
    <t>a24UU000003urHmYAI</t>
  </si>
  <si>
    <t>a24UU000003vDTRYA2</t>
  </si>
  <si>
    <t>a24UU000003vjhpYAA</t>
  </si>
  <si>
    <t>a24UU000003wK1RYAU</t>
  </si>
  <si>
    <t>a24UU000003wpZtYAI</t>
  </si>
  <si>
    <t>a24UU000003x1GAYAY</t>
  </si>
  <si>
    <t>a24UU000003xIiLYAU</t>
  </si>
  <si>
    <t>a24UU000003xZWHYA2</t>
  </si>
  <si>
    <t>a24UU000003yGPyYAM</t>
  </si>
  <si>
    <t>a24UU000003yJl7YAE</t>
  </si>
  <si>
    <t>a24UU000003z5lpYAA</t>
  </si>
  <si>
    <t>a24UU000003ze6rYAA</t>
  </si>
  <si>
    <t>a24UU0000040NSBYA2</t>
  </si>
  <si>
    <t>a24UU0000041I2GYAU</t>
  </si>
  <si>
    <t>a24UU0000042ym1YAA</t>
  </si>
  <si>
    <t>a24UU0000043OZlYAM</t>
  </si>
  <si>
    <t>a24UU0000043YNuYAM</t>
  </si>
  <si>
    <t>a24UU0000044VXhYAM</t>
  </si>
  <si>
    <t>a24UU0000045QdtYAE</t>
  </si>
  <si>
    <t>a24UU0000045uX7YAI</t>
  </si>
  <si>
    <t>a24UU0000046eLeYAI</t>
  </si>
  <si>
    <t>a24UU0000047a2wYAA</t>
  </si>
  <si>
    <t>a24UU0000049GEbYAM</t>
  </si>
  <si>
    <t>a24UU0000049l74YAA</t>
  </si>
  <si>
    <t>a24UU000004A77ZYAS</t>
  </si>
  <si>
    <t>a24UU000004AknHYAS</t>
  </si>
  <si>
    <t>a24UU000004BeKnYAK</t>
  </si>
  <si>
    <t>a24UU000004BenpYAC</t>
  </si>
  <si>
    <t>a24UU000004C8vZYAS</t>
  </si>
  <si>
    <t>a24UU000004CmGYYA0</t>
  </si>
  <si>
    <t>a24UU000004CnO4YAK</t>
  </si>
  <si>
    <t>a24UU000004DcWrYAK</t>
  </si>
  <si>
    <t>a24UU000004DdapYAC</t>
  </si>
  <si>
    <t>a24UU000004F7GbYAK</t>
  </si>
  <si>
    <t>a24UU000004F8JDYA0</t>
  </si>
  <si>
    <t>a24UU000004FShdYAG</t>
  </si>
  <si>
    <t>a24UU000004FcDyYAK</t>
  </si>
  <si>
    <t>a24UU000004GWxnYAG</t>
  </si>
  <si>
    <t>a24UU000004HOgNYAW</t>
  </si>
  <si>
    <t>a24UU000004HujRYAS</t>
  </si>
  <si>
    <t>a24UU000004IcXdYAK</t>
  </si>
  <si>
    <t>a24UU000004ItlJYAS</t>
  </si>
  <si>
    <t>a24UU000004JVscYAG</t>
  </si>
  <si>
    <t>a24UU000004KKrVYAW</t>
  </si>
  <si>
    <t>a24UU000004LVhgYAG</t>
  </si>
  <si>
    <t>a24UU000004Lop7YAC</t>
  </si>
  <si>
    <t>a24UU000004MQHyYAO</t>
  </si>
  <si>
    <t>a24UU000004MnarYAC</t>
  </si>
  <si>
    <t>a24UU000004NqA5YAK</t>
  </si>
  <si>
    <t>a24UU000004OfJAYA0</t>
  </si>
  <si>
    <t>a24UU000004Og5bYAC</t>
  </si>
  <si>
    <t>a24UU000004P2YzYAK</t>
  </si>
  <si>
    <t>a24UU000004PfKGYA0</t>
  </si>
  <si>
    <t>a24UU000004PgrYYAS</t>
  </si>
  <si>
    <t>a24UU000004Q5PyYAK</t>
  </si>
  <si>
    <t>a24UU000004RSFfYAO</t>
  </si>
  <si>
    <t>a24UU000004RTrkYAG</t>
  </si>
  <si>
    <t>a24UU000004S0qsYAC</t>
  </si>
  <si>
    <t>a24UU000004S18mYAC</t>
  </si>
  <si>
    <t>a24UU000004SxHSYA0</t>
  </si>
  <si>
    <t>a24UU000004SyBvYAK</t>
  </si>
  <si>
    <t>a24UU000004TtJlYAK</t>
  </si>
  <si>
    <t>a24UU000004UZEEYA4</t>
  </si>
  <si>
    <t>a24UU000004V3BMYA0</t>
  </si>
  <si>
    <t>a24UU000004V3XCYA0</t>
  </si>
  <si>
    <t>a24UU000004Vzo6YAC</t>
  </si>
  <si>
    <t>a24UU000004W1WfYAK</t>
  </si>
  <si>
    <t>a24UU000004XbZaYAK</t>
  </si>
  <si>
    <t>a24UU000004Xcp4YAC</t>
  </si>
  <si>
    <t>a24UU000004Y51OYAS</t>
  </si>
  <si>
    <t>a24UU000004Y6dOYAS</t>
  </si>
  <si>
    <t>a24UU000004Z0J4YAK</t>
  </si>
  <si>
    <t>a24UU000004Z1YZYA0</t>
  </si>
  <si>
    <t>a24UU000004aChvYAE</t>
  </si>
  <si>
    <t>a24UU000004aDXeYAM</t>
  </si>
  <si>
    <t>a24UU000004ajKVYAY</t>
  </si>
  <si>
    <t>a24UU000004akDLYAY</t>
  </si>
  <si>
    <t>a24UU000004bsX1YAI</t>
  </si>
  <si>
    <t>a24UU000004btRTYAY</t>
  </si>
  <si>
    <t>a24UU000004bto4YAA</t>
  </si>
  <si>
    <t>a24UU000004dUaFYAU</t>
  </si>
  <si>
    <t>a24UU000004dVRWYA2</t>
  </si>
  <si>
    <t>a24UU000004dVsvYAE</t>
  </si>
  <si>
    <t>a24UU000004dwZpYAI</t>
  </si>
  <si>
    <t>a24UU000004e0n9YAA</t>
  </si>
  <si>
    <t>a24UU000004e1EXYAY</t>
  </si>
  <si>
    <t>a24UU000004f6qNYAQ</t>
  </si>
  <si>
    <t>a24UU000004f8U1YAI</t>
  </si>
  <si>
    <t>a24UU000004f8twYAA</t>
  </si>
  <si>
    <t>a24UU000004giOvYAI</t>
  </si>
  <si>
    <t>a24UU000004gjEaYAI</t>
  </si>
  <si>
    <t>a24UU000004gjRZYAY</t>
  </si>
  <si>
    <t>a24UU000004hBcGYAU</t>
  </si>
  <si>
    <t>a24UU000004hCOjYAM</t>
  </si>
  <si>
    <t>a24UU000004hCYYYA2</t>
  </si>
  <si>
    <t>a24UU000004iC4qYAE</t>
  </si>
  <si>
    <t>a24UU000004iCkqYAE</t>
  </si>
  <si>
    <t>a24UU000004iCw7YAE</t>
  </si>
  <si>
    <t>a24UU000004jo3GYAQ</t>
  </si>
  <si>
    <t>a24UU000004joJMYAY</t>
  </si>
  <si>
    <t>a24UU000004kIkjYAE</t>
  </si>
  <si>
    <t>a24UU000004kKPkYAM</t>
  </si>
  <si>
    <t>a24UU000004lHePYAU</t>
  </si>
  <si>
    <t>a24UU000004lI0oYAE</t>
  </si>
  <si>
    <t>a24UU000004mmPsYAI</t>
  </si>
  <si>
    <t>a24UU000004mmZnYAI</t>
  </si>
  <si>
    <t>a24UU000004nIkjYAE</t>
  </si>
  <si>
    <t>a24UU000004nIxiYAE</t>
  </si>
  <si>
    <t>a24UU000004oOPxYAM</t>
  </si>
  <si>
    <t>a24UU000004oOcjYAE</t>
  </si>
  <si>
    <t>a24UU000004q7MXYAY</t>
  </si>
  <si>
    <t>a24UU000004q7b7YAA</t>
  </si>
  <si>
    <t>a24UU000004qZ7TYAU</t>
  </si>
  <si>
    <t>a24UU000004qZIsYAM</t>
  </si>
  <si>
    <t>a24UU000004qZXJYA2</t>
  </si>
  <si>
    <t>a24UU000004rW4IYAU</t>
  </si>
  <si>
    <t>a24UU000004rWIvYAM</t>
  </si>
  <si>
    <t>a24UU000004rWaXYAU</t>
  </si>
  <si>
    <t>a24UU000003xyXxYAI</t>
  </si>
  <si>
    <t>a24UU000003zonoYAA</t>
  </si>
  <si>
    <t>a24UU0000040O1dYAE</t>
  </si>
  <si>
    <t>a24UU0000041I2SYAU</t>
  </si>
  <si>
    <t>a24UU0000042zgMYAQ</t>
  </si>
  <si>
    <t>a24UU0000043YxQYAU</t>
  </si>
  <si>
    <t>a24UU0000044WBtYAM</t>
  </si>
  <si>
    <t>a24UU000004682GYAQ</t>
  </si>
  <si>
    <t>a24UU0000046ezyYAA</t>
  </si>
  <si>
    <t>a24UU0000047aajYAA</t>
  </si>
  <si>
    <t>a24UU0000049GsrYAE</t>
  </si>
  <si>
    <t>a24UU0000049llQYAQ</t>
  </si>
  <si>
    <t>a24UU000004Ajo4YAC</t>
  </si>
  <si>
    <t>a24UU000004CIdRYAW</t>
  </si>
  <si>
    <t>a24UU000004CJsfYAG</t>
  </si>
  <si>
    <t>a24UU000004CnNeYAK</t>
  </si>
  <si>
    <t>a24UU000004CnsOYAS</t>
  </si>
  <si>
    <t>a24UU000004DcTcYAK</t>
  </si>
  <si>
    <t>a24UU000004Dde7YAC</t>
  </si>
  <si>
    <t>a24UU000004F7jiYAC</t>
  </si>
  <si>
    <t>a24UU000004F8RHYA0</t>
  </si>
  <si>
    <t>a24UU000004FclrYAC</t>
  </si>
  <si>
    <t>a24UU000004FdV5YAK</t>
  </si>
  <si>
    <t>a24UU000004GXLuYAO</t>
  </si>
  <si>
    <t>a24UU000004GXtrYAG</t>
  </si>
  <si>
    <t>a24UU000004I6frYAC</t>
  </si>
  <si>
    <t>a24UU000004I7C4YAK</t>
  </si>
  <si>
    <t>a24UU000004IcnzYAC</t>
  </si>
  <si>
    <t>a24UU000004IdLfYAK</t>
  </si>
  <si>
    <t>a24UU000004JWIGYA4</t>
  </si>
  <si>
    <t>a24UU000004JX1DYAW</t>
  </si>
  <si>
    <t>a24UU000004KMWjYAO</t>
  </si>
  <si>
    <t>a24UU000004L0AtYAK</t>
  </si>
  <si>
    <t>a24UU000004LW9CYAW</t>
  </si>
  <si>
    <t>a24UU000004LX0QYAW</t>
  </si>
  <si>
    <t>a24UU000004MQXzYAO</t>
  </si>
  <si>
    <t>a24UU000004MRDlYAO</t>
  </si>
  <si>
    <t>a24UU000004O1C6YAK</t>
  </si>
  <si>
    <t>a24UU000004O1jrYAC</t>
  </si>
  <si>
    <t>a24UU000004OfJCYA0</t>
  </si>
  <si>
    <t>a24UU000004OgaEYAS</t>
  </si>
  <si>
    <t>a24UU000004Oh1gYAC</t>
  </si>
  <si>
    <t>a24UU000004PfgwYAC</t>
  </si>
  <si>
    <t>a24UU000004Pg8JYAS</t>
  </si>
  <si>
    <t>a24UU000004PgrZYAS</t>
  </si>
  <si>
    <t>a24UU000004RSh9YAG</t>
  </si>
  <si>
    <t>a24UU000004RT8UYAW</t>
  </si>
  <si>
    <t>a24UU000004RTrlYAG</t>
  </si>
  <si>
    <t>a24UU000004RyApYAK</t>
  </si>
  <si>
    <t>a24UU000004S0z9YAC</t>
  </si>
  <si>
    <t>a24UU000004S18nYAC</t>
  </si>
  <si>
    <t>a24UU000004SxHTYA0</t>
  </si>
  <si>
    <t>a24UU000004SyerYAC</t>
  </si>
  <si>
    <t>a24UU000004Sz6QYAS</t>
  </si>
  <si>
    <t>a24UU000004To2MYAS</t>
  </si>
  <si>
    <t>a24UU000004UZXZYA4</t>
  </si>
  <si>
    <t>a24UU000004UZyxYAG</t>
  </si>
  <si>
    <t>a24UU000004V37ZYAS</t>
  </si>
  <si>
    <t>a24UU000004V3AnYAK</t>
  </si>
  <si>
    <t>a24UU000004V3BNYA0</t>
  </si>
  <si>
    <t>a24UU000004W07ZYAS</t>
  </si>
  <si>
    <t>a24UU000004W0fKYAS</t>
  </si>
  <si>
    <t>a24UU000004W1WgYAK</t>
  </si>
  <si>
    <t>a24UU000004XbrNYAS</t>
  </si>
  <si>
    <t>a24UU000004XbzXYAS</t>
  </si>
  <si>
    <t>a24UU000004Xcp5YAC</t>
  </si>
  <si>
    <t>a24UU000004Y5RHYA0</t>
  </si>
  <si>
    <t>a24UU000004Y5eKYAS</t>
  </si>
  <si>
    <t>a24UU000004Y6dPYAS</t>
  </si>
  <si>
    <t>a24UU000004Z0ZBYA0</t>
  </si>
  <si>
    <t>a24UU000004Z13nYAC</t>
  </si>
  <si>
    <t>a24UU000004Z1YaYAK</t>
  </si>
  <si>
    <t>a24UU000004aColYAE</t>
  </si>
  <si>
    <t>a24UU000004aD7iYAE</t>
  </si>
  <si>
    <t>a24UU000004aDZ7YAM</t>
  </si>
  <si>
    <t>a24UU000004ajhCYAQ</t>
  </si>
  <si>
    <t>a24UU000004ajviYAA</t>
  </si>
  <si>
    <t>a24UU000004akDMYAY</t>
  </si>
  <si>
    <t>a24UU000004bsnBYAQ</t>
  </si>
  <si>
    <t>a24UU000004bt3GYAQ</t>
  </si>
  <si>
    <t>a24UU000004btRUYAY</t>
  </si>
  <si>
    <t>a24UU000004bto5YAA</t>
  </si>
  <si>
    <t>a24UU000004dUk3YAE</t>
  </si>
  <si>
    <t>a24UU000004dV3LYAU</t>
  </si>
  <si>
    <t>a24UU000004dVRXYA2</t>
  </si>
  <si>
    <t>a24UU000004dVswYAE</t>
  </si>
  <si>
    <t>a24UU000004e08mYAA</t>
  </si>
  <si>
    <t>a24UU000004e0S8YAI</t>
  </si>
  <si>
    <t>a24UU000004e0nAYAQ</t>
  </si>
  <si>
    <t>a24UU000004e1EYYAY</t>
  </si>
  <si>
    <t>a24UU000004f7zKYAQ</t>
  </si>
  <si>
    <t>a24UU000004f8FSYAY</t>
  </si>
  <si>
    <t>a24UU000004f8U2YAI</t>
  </si>
  <si>
    <t>a24UU000004f8txYAA</t>
  </si>
  <si>
    <t>a24UU000004gibuYAA</t>
  </si>
  <si>
    <t>a24UU000004gis2YAA</t>
  </si>
  <si>
    <t>a24UU000004gjEbYAI</t>
  </si>
  <si>
    <t>a24UU000004gjRaYAI</t>
  </si>
  <si>
    <t>a24UU000004hBm2YAE</t>
  </si>
  <si>
    <t>a24UU000004hBxKYAU</t>
  </si>
  <si>
    <t>a24UU000004hCOkYAM</t>
  </si>
  <si>
    <t>a24UU000004hCYZYA2</t>
  </si>
  <si>
    <t>a24UU000004iCEbYAM</t>
  </si>
  <si>
    <t>a24UU000004iCT7YAM</t>
  </si>
  <si>
    <t>a24UU000004iCkrYAE</t>
  </si>
  <si>
    <t>a24UU000004iCw8YAE</t>
  </si>
  <si>
    <t>a24UU000004jnf5YAA</t>
  </si>
  <si>
    <t>a24UU000004jnqNYAQ</t>
  </si>
  <si>
    <t>a24UU000004jo3HYAQ</t>
  </si>
  <si>
    <t>a24UU000004joJNYAY</t>
  </si>
  <si>
    <t>a24UU000004kIkkYAE</t>
  </si>
  <si>
    <t>a24UU000004kJf0YAE</t>
  </si>
  <si>
    <t>a24UU000004kJqIYAU</t>
  </si>
  <si>
    <t>a24UU000004kKPlYAM</t>
  </si>
  <si>
    <t>a24UU000004lHG4YAM</t>
  </si>
  <si>
    <t>a24UU000004lHWCYA2</t>
  </si>
  <si>
    <t>a24UU000004lHeQYAU</t>
  </si>
  <si>
    <t>a24UU000004lI0pYAE</t>
  </si>
  <si>
    <t>a24UU000004mljvYAA</t>
  </si>
  <si>
    <t>a24UU000004mm3OYAQ</t>
  </si>
  <si>
    <t>a24UU000004mmPtYAI</t>
  </si>
  <si>
    <t>a24UU000004mmZoYAI</t>
  </si>
  <si>
    <t>a24UU000004nI9mYAE</t>
  </si>
  <si>
    <t>a24UU000004nIO6YAM</t>
  </si>
  <si>
    <t>a24UU000004nIkkYAE</t>
  </si>
  <si>
    <t>a24UU000004nIzBYAU</t>
  </si>
  <si>
    <t>a24UU000004oNvKYAU</t>
  </si>
  <si>
    <t>a24UU000004oO8BYAU</t>
  </si>
  <si>
    <t>a24UU000004oOPyYAM</t>
  </si>
  <si>
    <t>a24UU000004oOckYAE</t>
  </si>
  <si>
    <t>a24UU000004q6joYAA</t>
  </si>
  <si>
    <t>a24UU000004q71cYAA</t>
  </si>
  <si>
    <t>a24UU000004q7MYYAY</t>
  </si>
  <si>
    <t>a24UU000004q7b8YAA</t>
  </si>
  <si>
    <t>a24UU000004qYjLYAU</t>
  </si>
  <si>
    <t>a24UU000004qYxpYAE</t>
  </si>
  <si>
    <t>a24UU000004qZ7UYAU</t>
  </si>
  <si>
    <t>a24UU000004qZKLYA2</t>
  </si>
  <si>
    <t>a24UU000004qZXKYA2</t>
  </si>
  <si>
    <t>a24UU000004rVhpYAE</t>
  </si>
  <si>
    <t>a24UU000004rVrRYAU</t>
  </si>
  <si>
    <t>a24UU000004rW4JYAU</t>
  </si>
  <si>
    <t>a24UU000004rWIwYAM</t>
  </si>
  <si>
    <t>a24UU000004rWaYYAU</t>
  </si>
  <si>
    <t>a24UU0000030t2nYAA</t>
  </si>
  <si>
    <t>a24UU00000316cjYAA</t>
  </si>
  <si>
    <t>a24UU0000031WH3YAM</t>
  </si>
  <si>
    <t>a24UU0000031aAzYAI</t>
  </si>
  <si>
    <t>a24UU0000031rADYAY</t>
  </si>
  <si>
    <t>a24UU00000323mTYAQ</t>
  </si>
  <si>
    <t>a24UU0000032H4nYAE</t>
  </si>
  <si>
    <t>a24UU0000032ULFYA2</t>
  </si>
  <si>
    <t>a24UU00000337Y1YAI</t>
  </si>
  <si>
    <t>a24UU0000033RLJYA2</t>
  </si>
  <si>
    <t>a24UU0000033suzYAA</t>
  </si>
  <si>
    <t>a24UU0000034K01YAE</t>
  </si>
  <si>
    <t>a24UU0000034q37YAA</t>
  </si>
  <si>
    <t>a24UU00000352SWYAY</t>
  </si>
  <si>
    <t>a24UU00000359SLYAY</t>
  </si>
  <si>
    <t>a24UU0000035GOzYAM</t>
  </si>
  <si>
    <t>a24UU000004BeHZYA0</t>
  </si>
  <si>
    <t>a24UU000004C7t3YAC</t>
  </si>
  <si>
    <t>a24UU000004FSsvYAG</t>
  </si>
  <si>
    <t>a24UU000004KMTVYA4</t>
  </si>
  <si>
    <t>a24UU000004KoJJYA0</t>
  </si>
  <si>
    <t>a24UU000004LMUfYAO</t>
  </si>
  <si>
    <t>a24UU000004LoabYAC</t>
  </si>
  <si>
    <t>a24UU000004Nq8TYAS</t>
  </si>
  <si>
    <t>a24UU000004Oi0wYAC</t>
  </si>
  <si>
    <t>a24UU000004P2SXYA0</t>
  </si>
  <si>
    <t>a24UU000004PgrSYAS</t>
  </si>
  <si>
    <t>a24UU000004RTq5YAG</t>
  </si>
  <si>
    <t>a24UU000004S2MWYA0</t>
  </si>
  <si>
    <t>a24UU000004SzizYAC</t>
  </si>
  <si>
    <t>a24UU000004Trl0YAC</t>
  </si>
  <si>
    <t>a24UU000004V4mpYAC</t>
  </si>
  <si>
    <t>a24UU000004W1V0YAK</t>
  </si>
  <si>
    <t>a24UU000004XcnSYAS</t>
  </si>
  <si>
    <t>a24UU000004Y6buYAC</t>
  </si>
  <si>
    <t>a24UU000004Z1YXYA0</t>
  </si>
  <si>
    <t>a24UU000004aDW2YAM</t>
  </si>
  <si>
    <t>a24UU000004akBkYAI</t>
  </si>
  <si>
    <t>a24UU000004btPsYAI</t>
  </si>
  <si>
    <t>a24UU000004bto6YAA</t>
  </si>
  <si>
    <t>a24UU000004dVPvYAM</t>
  </si>
  <si>
    <t>a24UU000004dVsxYAE</t>
  </si>
  <si>
    <t>a24UU000004e0n0YAA</t>
  </si>
  <si>
    <t>a24UU000004e1G1YAI</t>
  </si>
  <si>
    <t>a24UU000004f8HSYAY</t>
  </si>
  <si>
    <t>a24UU000004f8tyYAA</t>
  </si>
  <si>
    <t>a24UU000004gjEYYAY</t>
  </si>
  <si>
    <t>a24UU000004gjT3YAI</t>
  </si>
  <si>
    <t>a24UU000004hCOhYAM</t>
  </si>
  <si>
    <t>a24UU000004hCYaYAM</t>
  </si>
  <si>
    <t>a24UU000004iCkoYAE</t>
  </si>
  <si>
    <t>a24UU000004iCw9YAE</t>
  </si>
  <si>
    <t>a24UU000004jo3EYAQ</t>
  </si>
  <si>
    <t>a24UU000004joJOYAY</t>
  </si>
  <si>
    <t>a24UU000004kIkhYAE</t>
  </si>
  <si>
    <t>a24UU000004kKPmYAM</t>
  </si>
  <si>
    <t>a24UU000004lHeNYAU</t>
  </si>
  <si>
    <t>a24UU000004lI0qYAE</t>
  </si>
  <si>
    <t>a24UU000004mmPqYAI</t>
  </si>
  <si>
    <t>a24UU000004mmfxYAA</t>
  </si>
  <si>
    <t>a24UU000004nIkhYAE</t>
  </si>
  <si>
    <t>a24UU000004nIzCYAU</t>
  </si>
  <si>
    <t>a24UU000004niLpYAI</t>
  </si>
  <si>
    <t>a24UU000004oOPvYAM</t>
  </si>
  <si>
    <t>a24UU000004oOclYAE</t>
  </si>
  <si>
    <t>a24UU000004ow9rYAA</t>
  </si>
  <si>
    <t>a24UU000004q7MVYAY</t>
  </si>
  <si>
    <t>a24UU000004q7eDYAQ</t>
  </si>
  <si>
    <t>a24UU000004qYwEYAU</t>
  </si>
  <si>
    <t>a24UU000004qZ7RYAU</t>
  </si>
  <si>
    <t>a24UU000004qZKMYA2</t>
  </si>
  <si>
    <t>a24UU000004qZXLYA2</t>
  </si>
  <si>
    <t>a24UU000004rVpqYAE</t>
  </si>
  <si>
    <t>a24UU000004rW2oYAE</t>
  </si>
  <si>
    <t>a24UU000004rWKPYA2</t>
  </si>
  <si>
    <t>a24UU000004rWaZYAU</t>
  </si>
  <si>
    <t>a10UU000007JW4zYAG</t>
  </si>
  <si>
    <t>a24UU0000032H4kYAE</t>
  </si>
  <si>
    <t>a24UU00000337XzYAI</t>
  </si>
  <si>
    <t>a24UU0000034ahbYAA</t>
  </si>
  <si>
    <t>a24UU00000352SVYAY</t>
  </si>
  <si>
    <t>a24UU0000035wGAYAY</t>
  </si>
  <si>
    <t>a24UU0000037DjZYAU</t>
  </si>
  <si>
    <t>a24UU0000037UsUYAU</t>
  </si>
  <si>
    <t>a24UU0000037VgTYAU</t>
  </si>
  <si>
    <t>a10UU0000080CNxYAM</t>
  </si>
  <si>
    <t>a24UU000003KmwPYAS</t>
  </si>
  <si>
    <t>a24UU000003LEpUYAW</t>
  </si>
  <si>
    <t>a24UU000003LqMuYAK</t>
  </si>
  <si>
    <t>a24UU000003tskQYAQ</t>
  </si>
  <si>
    <t>a24UU000003urfxYAA</t>
  </si>
  <si>
    <t>a24UU000003wWtrYAE</t>
  </si>
  <si>
    <t>a24UU000003LEkzYAG</t>
  </si>
  <si>
    <t>a24UU000003LqDQYA0</t>
  </si>
  <si>
    <t>a24UU000003N3EuYAK</t>
  </si>
  <si>
    <t>a24UU000003NRIwYAO</t>
  </si>
  <si>
    <t>a24UU000003O6nJYAS</t>
  </si>
  <si>
    <t>a24UU000003QPFbYAO</t>
  </si>
  <si>
    <t>a24UU000003R1cgYAC</t>
  </si>
  <si>
    <t>a24UU000003Rqk3YAC</t>
  </si>
  <si>
    <t>a24UU000003TM5KYAW</t>
  </si>
  <si>
    <t>a24UU000003Tl8JYAS</t>
  </si>
  <si>
    <t>a24UU000003UZ6oYAG</t>
  </si>
  <si>
    <t>a24UU000003VUT8YAO</t>
  </si>
  <si>
    <t>a24UU000003Vg9KYAS</t>
  </si>
  <si>
    <t>a24UU000003WO2IYAW</t>
  </si>
  <si>
    <t>a24UU000003XPcLYAW</t>
  </si>
  <si>
    <t>a24UU000003Xf7oYAC</t>
  </si>
  <si>
    <t>a24UU000003XfsMYAS</t>
  </si>
  <si>
    <t>a24UU000003YUzeYAG</t>
  </si>
  <si>
    <t>a24UU000003YVpIYAW</t>
  </si>
  <si>
    <t>a24UU000003aAQfYAM</t>
  </si>
  <si>
    <t>a24UU000003aB8CYAU</t>
  </si>
  <si>
    <t>a24UU000003amkLYAQ</t>
  </si>
  <si>
    <t>a24UU000003anLXYAY</t>
  </si>
  <si>
    <t>a24UU000003bmthYAA</t>
  </si>
  <si>
    <t>a24UU000003bnPvYAI</t>
  </si>
  <si>
    <t>a24UU000003cj7FYAQ</t>
  </si>
  <si>
    <t>a24UU000003dWPoYAM</t>
  </si>
  <si>
    <t>a24UU000003drKTYAY</t>
  </si>
  <si>
    <t>a24UU000003e2uKYAQ</t>
  </si>
  <si>
    <t>a24UU000003e69uYAA</t>
  </si>
  <si>
    <t>a24UU000003kLCbYAM</t>
  </si>
  <si>
    <t>a24UU000003l8A5YAI</t>
  </si>
  <si>
    <t>a24UU000003tskPYAQ</t>
  </si>
  <si>
    <t>a24UU000003urfwYAA</t>
  </si>
  <si>
    <t>a24UU000003wWtqYAE</t>
  </si>
  <si>
    <t>a24UU000003wzj2YAA</t>
  </si>
  <si>
    <t>a24UU000003xL1tYAE</t>
  </si>
  <si>
    <t>a24UU000003xZ85YAE</t>
  </si>
  <si>
    <t>a24UU000003yI1xYAE</t>
  </si>
  <si>
    <t>a24UU000003z6A1YAI</t>
  </si>
  <si>
    <t>a24UU0000040DhJYAU</t>
  </si>
  <si>
    <t>a24UU0000040MRfYAM</t>
  </si>
  <si>
    <t>a24UU0000040hVhYAI</t>
  </si>
  <si>
    <t>a24UU0000041HcWYAU</t>
  </si>
  <si>
    <t>a24UU0000041ekHYAQ</t>
  </si>
  <si>
    <t>a24UU0000042FThYAM</t>
  </si>
  <si>
    <t>a24UU0000042oHlYAI</t>
  </si>
  <si>
    <t>a24UU0000043NPBYA2</t>
  </si>
  <si>
    <t>a24UU0000044VxVYAU</t>
  </si>
  <si>
    <t>a24UU0000045MnBYAU</t>
  </si>
  <si>
    <t>a24UU0000046emxYAA</t>
  </si>
  <si>
    <t>a24UU0000047aSlYAI</t>
  </si>
  <si>
    <t>a24UU0000048S85YAE</t>
  </si>
  <si>
    <t>a24UU00000495vpYAA</t>
  </si>
  <si>
    <t>a24UU0000049bPRYAY</t>
  </si>
  <si>
    <t>a24UU0000049lf2YAA</t>
  </si>
  <si>
    <t>a24UU000004A4pdYAC</t>
  </si>
  <si>
    <t>a24UU000004AiQXYA0</t>
  </si>
  <si>
    <t>a24UU000004B2x4YAC</t>
  </si>
  <si>
    <t>a24UU000004BMsXYAW</t>
  </si>
  <si>
    <t>a24UU000004C5T3YAK</t>
  </si>
  <si>
    <t>a24UU000004CnFdYAK</t>
  </si>
  <si>
    <t>a24UU000004CnvVYAS</t>
  </si>
  <si>
    <t>a24UU000004DcoMYAS</t>
  </si>
  <si>
    <t>a24UU000004DdhEYAS</t>
  </si>
  <si>
    <t>a24UU000004E9txYAC</t>
  </si>
  <si>
    <t>a24UU000004Es7tYAC</t>
  </si>
  <si>
    <t>a24UU000004FSMfYAO</t>
  </si>
  <si>
    <t>a24UU000004FcKSYA0</t>
  </si>
  <si>
    <t>a24UU000004FdWjYAK</t>
  </si>
  <si>
    <t>a24UU000004FvV7YAK</t>
  </si>
  <si>
    <t>a24UU000004GXDpYAO</t>
  </si>
  <si>
    <t>a24UU000004GXvTYAW</t>
  </si>
  <si>
    <t>a24UU000004I6OFYA0</t>
  </si>
  <si>
    <t>a24UU000004I7DgYAK</t>
  </si>
  <si>
    <t>a24UU000004IcnrYAC</t>
  </si>
  <si>
    <t>a24UU000004IdNHYA0</t>
  </si>
  <si>
    <t>a24UU000004JWDDYA4</t>
  </si>
  <si>
    <t>a24UU000004JWwXYAW</t>
  </si>
  <si>
    <t>a24UU000004Js5dYAC</t>
  </si>
  <si>
    <t>a24UU000004KK58YAG</t>
  </si>
  <si>
    <t>a24UU000004KoG5YAK</t>
  </si>
  <si>
    <t>a24UU000004LLSAYA4</t>
  </si>
  <si>
    <t>a24UU000004LVt1YAG</t>
  </si>
  <si>
    <t>a24UU000004Ln0DYAS</t>
  </si>
  <si>
    <t>a24UU000004MQZVYA4</t>
  </si>
  <si>
    <t>a24UU000004MRDuYAO</t>
  </si>
  <si>
    <t>a24UU000004NohlYAC</t>
  </si>
  <si>
    <t>a24UU000004OUM1YAO</t>
  </si>
  <si>
    <t>a24UU000004OgOnYAK</t>
  </si>
  <si>
    <t>a24UU000004Oi7GYAS</t>
  </si>
  <si>
    <t>a24UU000004P1t3YAC</t>
  </si>
  <si>
    <t>a24UU000004PeT3YAK</t>
  </si>
  <si>
    <t>a24UU000004PfIwYAK</t>
  </si>
  <si>
    <t>a24UU000004Pg9tYAC</t>
  </si>
  <si>
    <t>a24UU000004Q5ubYAC</t>
  </si>
  <si>
    <t>a24UU000004Qh3pYAC</t>
  </si>
  <si>
    <t>a24UU000004RSUBYA4</t>
  </si>
  <si>
    <t>a24UU000004RT8cYAG</t>
  </si>
  <si>
    <t>a24UU000004RpqXYAS</t>
  </si>
  <si>
    <t>a24UU000004S1BtYAK</t>
  </si>
  <si>
    <t>a24UU000004S1tPYAS</t>
  </si>
  <si>
    <t>a24UU000004S2RGYA0</t>
  </si>
  <si>
    <t>a24UU000004SIqvYAG</t>
  </si>
  <si>
    <t>a24UU000004SyVGYA0</t>
  </si>
  <si>
    <t>a24UU000004Sz80YAC</t>
  </si>
  <si>
    <t>a24UU000004SzkfYAC</t>
  </si>
  <si>
    <t>a24UU000004TrhmYAC</t>
  </si>
  <si>
    <t>a24UU000004UO5pYAG</t>
  </si>
  <si>
    <t>a24UU000004UthVYAS</t>
  </si>
  <si>
    <t>a24UU000004V3AuYAK</t>
  </si>
  <si>
    <t>a24UU000004V3ozYAC</t>
  </si>
  <si>
    <t>a24UU000004V4oJYAS</t>
  </si>
  <si>
    <t>a24UU000004VMzdYAG</t>
  </si>
  <si>
    <t>a24UU000004W02jYAC</t>
  </si>
  <si>
    <t>a24UU000004W0fSYAS</t>
  </si>
  <si>
    <t>a24UU000004W1YHYA0</t>
  </si>
  <si>
    <t>a24UU000004WMzBYAW</t>
  </si>
  <si>
    <t>a24UU000004WyErYAK</t>
  </si>
  <si>
    <t>a24UU000004XbjKYAS</t>
  </si>
  <si>
    <t>a24UU000004XbzeYAC</t>
  </si>
  <si>
    <t>a24UU000004XwMHYA0</t>
  </si>
  <si>
    <t>a24UU000004Y5HZYA0</t>
  </si>
  <si>
    <t>a24UU000004Y5xWYAS</t>
  </si>
  <si>
    <t>a24UU000004Y6dYYAS</t>
  </si>
  <si>
    <t>a24UU000004YMtRYAW</t>
  </si>
  <si>
    <t>a24UU000004Z0SjYAK</t>
  </si>
  <si>
    <t>a24UU000004Z0r1YAC</t>
  </si>
  <si>
    <t>a24UU000004Z1YiYAK</t>
  </si>
  <si>
    <t>a24UU000004a1jFYAQ</t>
  </si>
  <si>
    <t>a24UU000004aCq6YAE</t>
  </si>
  <si>
    <t>a24UU000004aD7oYAE</t>
  </si>
  <si>
    <t>a24UU000004aWQTYA2</t>
  </si>
  <si>
    <t>a24UU000004ajUCYAY</t>
  </si>
  <si>
    <t>a24UU000004ajxGYAQ</t>
  </si>
  <si>
    <t>a24UU000004akDQYAY</t>
  </si>
  <si>
    <t>a24UU000004bKYXYA2</t>
  </si>
  <si>
    <t>a24UU000004bsfBYAQ</t>
  </si>
  <si>
    <t>a24UU000004bt3MYAQ</t>
  </si>
  <si>
    <t>a24UU000004btRYYAY</t>
  </si>
  <si>
    <t>a24UU000004cUECYA2</t>
  </si>
  <si>
    <t>a24UU000004dKhJYAU</t>
  </si>
  <si>
    <t>a24UU000004dUiLYAU</t>
  </si>
  <si>
    <t>a24UU000004dVPzYAM</t>
  </si>
  <si>
    <t>a24UU000004e03qYAA</t>
  </si>
  <si>
    <t>a24UU000004e0VIYAY</t>
  </si>
  <si>
    <t>a24UU000004e0nEYAQ</t>
  </si>
  <si>
    <t>a24UU000004e1G6YAI</t>
  </si>
  <si>
    <t>a24UU000004eO7mYAE</t>
  </si>
  <si>
    <t>a24UU000004f7swYAA</t>
  </si>
  <si>
    <t>a24UU000004f8FYYAY</t>
  </si>
  <si>
    <t>a24UU000004f8U6YAI</t>
  </si>
  <si>
    <t>a24UU000004f8u3YAA</t>
  </si>
  <si>
    <t>a24UU000004g3QbYAI</t>
  </si>
  <si>
    <t>a24UU000004giVRYAY</t>
  </si>
  <si>
    <t>a24UU000004gjEdYAI</t>
  </si>
  <si>
    <t>a24UU000004gjT5YAI</t>
  </si>
  <si>
    <t>a24UU000004hBimYAE</t>
  </si>
  <si>
    <t>a24UU000004hC0RYAU</t>
  </si>
  <si>
    <t>a24UU000004hCQEYA2</t>
  </si>
  <si>
    <t>a24UU000004hCgMYAU</t>
  </si>
  <si>
    <t>a24UU000004iC9kYAE</t>
  </si>
  <si>
    <t>a24UU000004iCUcYAM</t>
  </si>
  <si>
    <t>a24UU000004iCUlYAM</t>
  </si>
  <si>
    <t>a24UU000004iCxdYAE</t>
  </si>
  <si>
    <t>a24UU000004jcjZYAQ</t>
  </si>
  <si>
    <t>a24UU000004jnXAYAY</t>
  </si>
  <si>
    <t>a24UU000004jnqQYAQ</t>
  </si>
  <si>
    <t>a24UU000004joJQYAY</t>
  </si>
  <si>
    <t>a24UU000004kJblYAE</t>
  </si>
  <si>
    <t>a24UU000004kJrnYAE</t>
  </si>
  <si>
    <t>a24UU000004kK4gYAE</t>
  </si>
  <si>
    <t>a24UU000004kKRGYA2</t>
  </si>
  <si>
    <t>a24UU000004lHCpYAM</t>
  </si>
  <si>
    <t>a24UU000004lHWFYA2</t>
  </si>
  <si>
    <t>a24UU000004lHeSYAU</t>
  </si>
  <si>
    <t>a24UU000004lI0sYAE</t>
  </si>
  <si>
    <t>a24UU000004m96jYAA</t>
  </si>
  <si>
    <t>a24UU000004mlgfYAA</t>
  </si>
  <si>
    <t>a24UU000004mm6VYAQ</t>
  </si>
  <si>
    <t>a24UU000004mmPvYAI</t>
  </si>
  <si>
    <t>a24UU000004nI7zYAE</t>
  </si>
  <si>
    <t>a24UU000004nIO9YAM</t>
  </si>
  <si>
    <t>a24UU000004nIkmYAE</t>
  </si>
  <si>
    <t>a24UU000004nIzEYAU</t>
  </si>
  <si>
    <t>a24UU000004oN0lYAE</t>
  </si>
  <si>
    <t>a24UU000004oNs5YAE</t>
  </si>
  <si>
    <t>a24UU000004oO8EYAU</t>
  </si>
  <si>
    <t>a24UU000004oOcnYAE</t>
  </si>
  <si>
    <t>a24UU000004pMyfYAE</t>
  </si>
  <si>
    <t>a24UU000004q6X2YAI</t>
  </si>
  <si>
    <t>a24UU000004q7MaYAI</t>
  </si>
  <si>
    <t>a24UU000004q7eFYAQ</t>
  </si>
  <si>
    <t>a24UU000004qYeTYAU</t>
  </si>
  <si>
    <t>a24UU000004qYxsYAE</t>
  </si>
  <si>
    <t>a24UU000004qZ7WYAU</t>
  </si>
  <si>
    <t>a24UU000004qZKOYA2</t>
  </si>
  <si>
    <t>a24UU000004qZXNYA2</t>
  </si>
  <si>
    <t>a24UU000004rVeaYAE</t>
  </si>
  <si>
    <t>a24UU000004rVrUYAU</t>
  </si>
  <si>
    <t>a24UU000004rW4LYAU</t>
  </si>
  <si>
    <t>a24UU000004rWKRYA2</t>
  </si>
  <si>
    <t>a24UU000004rWabYAE</t>
  </si>
  <si>
    <t>a24UU000004rrBxYAI</t>
  </si>
  <si>
    <t>a24UU000003xyZeYAI</t>
  </si>
  <si>
    <t>a24UU000003zopUYAQ</t>
  </si>
  <si>
    <t>a24UU0000040O3IYAU</t>
  </si>
  <si>
    <t>a24UU0000041IgcYAE</t>
  </si>
  <si>
    <t>a24UU0000042zhxYAA</t>
  </si>
  <si>
    <t>a24UU0000043Yz0YAE</t>
  </si>
  <si>
    <t>a24UU0000044WC1YAM</t>
  </si>
  <si>
    <t>a24UU000004682MYAQ</t>
  </si>
  <si>
    <t>a24UU0000046f1OYAQ</t>
  </si>
  <si>
    <t>a24UU0000047aapYAA</t>
  </si>
  <si>
    <t>a24UU0000049GsxYAE</t>
  </si>
  <si>
    <t>a24UU0000049ln0YAA</t>
  </si>
  <si>
    <t>a24UU000004AlD4YAK</t>
  </si>
  <si>
    <t>a24UU000004CJB7YAO</t>
  </si>
  <si>
    <t>a24UU000004CJhaYAG</t>
  </si>
  <si>
    <t>a24UU000004CnPFYA0</t>
  </si>
  <si>
    <t>a24UU000004CnvaYAC</t>
  </si>
  <si>
    <t>a24UU000004DcNAYA0</t>
  </si>
  <si>
    <t>a24UU000004DdhJYAS</t>
  </si>
  <si>
    <t>a24UU000004F7joYAC</t>
  </si>
  <si>
    <t>a24UU000004F8W3YAK</t>
  </si>
  <si>
    <t>a24UU000004FcnRYAS</t>
  </si>
  <si>
    <t>a24UU000004FdYFYA0</t>
  </si>
  <si>
    <t>a24UU000004GXM0YAO</t>
  </si>
  <si>
    <t>a24UU000004GXwzYAG</t>
  </si>
  <si>
    <t>a24UU000004I6fwYAC</t>
  </si>
  <si>
    <t>a24UU000004I7DkYAK</t>
  </si>
  <si>
    <t>a24UU000004Ico4YAC</t>
  </si>
  <si>
    <t>a24UU000004IdNKYA0</t>
  </si>
  <si>
    <t>a24UU000004JWOVYA4</t>
  </si>
  <si>
    <t>a24UU000004JWwaYAG</t>
  </si>
  <si>
    <t>a24UU000004KLduYAG</t>
  </si>
  <si>
    <t>a24UU000004L0AyYAK</t>
  </si>
  <si>
    <t>a24UU000004LWCMYA4</t>
  </si>
  <si>
    <t>a24UU000004LX3VYAW</t>
  </si>
  <si>
    <t>a24UU000004MPlcYAG</t>
  </si>
  <si>
    <t>a24UU000004MRFPYA4</t>
  </si>
  <si>
    <t>a24UU000004O17KYAS</t>
  </si>
  <si>
    <t>a24UU000004O1jyYAC</t>
  </si>
  <si>
    <t>a24UU000004OgdOYAS</t>
  </si>
  <si>
    <t>a24UU000004OgfWYAS</t>
  </si>
  <si>
    <t>a24UU000004OhCyYAK</t>
  </si>
  <si>
    <t>a24UU000004PfiSYAS</t>
  </si>
  <si>
    <t>a24UU000004Pg9wYAC</t>
  </si>
  <si>
    <t>a24UU000004Pgl2YAC</t>
  </si>
  <si>
    <t>a24UU000004RSXhYAO</t>
  </si>
  <si>
    <t>a24UU000004RSifYAG</t>
  </si>
  <si>
    <t>a24UU000004RTA7YAO</t>
  </si>
  <si>
    <t>a24UU000004S1N3YAK</t>
  </si>
  <si>
    <t>a24UU000004S1tSYAS</t>
  </si>
  <si>
    <t>a24UU000004S2MPYA0</t>
  </si>
  <si>
    <t>a24UU000004SyevYAC</t>
  </si>
  <si>
    <t>a24UU000004SyyNYAS</t>
  </si>
  <si>
    <t>a24UU000004SzFyYAK</t>
  </si>
  <si>
    <t>a24UU000004UZXcYAO</t>
  </si>
  <si>
    <t>a24UU000004Ua0YYAS</t>
  </si>
  <si>
    <t>a24UU000004UaTaYAK</t>
  </si>
  <si>
    <t>a24UU000004V31KYAS</t>
  </si>
  <si>
    <t>a24UU000004V37cYAC</t>
  </si>
  <si>
    <t>a24UU000004V4ORYA0</t>
  </si>
  <si>
    <t>a24UU000004W0DuYAK</t>
  </si>
  <si>
    <t>a24UU000004W0gxYAC</t>
  </si>
  <si>
    <t>a24UU000004W1MrYAK</t>
  </si>
  <si>
    <t>a24UU000004XbrQYAS</t>
  </si>
  <si>
    <t>a24UU000004XcKLYA0</t>
  </si>
  <si>
    <t>a24UU000004XcicYAC</t>
  </si>
  <si>
    <t>a24UU000004Y5RKYA0</t>
  </si>
  <si>
    <t>a24UU000004Y5xZYAS</t>
  </si>
  <si>
    <t>a24UU000004Y6TnYAK</t>
  </si>
  <si>
    <t>a24UU000004Z0ZEYA0</t>
  </si>
  <si>
    <t>a24UU000004Z0r4YAC</t>
  </si>
  <si>
    <t>a24UU000004Z1TfYAK</t>
  </si>
  <si>
    <t>a24UU000004aCooYAE</t>
  </si>
  <si>
    <t>a24UU000004aD9JYAU</t>
  </si>
  <si>
    <t>a24UU000004aDRAYA2</t>
  </si>
  <si>
    <t>a24UU000004ajULYAY</t>
  </si>
  <si>
    <t>a24UU000004ajxJYAQ</t>
  </si>
  <si>
    <t>a24UU000004ak6uYAA</t>
  </si>
  <si>
    <t>a24UU000004bsnEYAQ</t>
  </si>
  <si>
    <t>a24UU000004bt4rYAA</t>
  </si>
  <si>
    <t>a24UU000004btL4YAI</t>
  </si>
  <si>
    <t>a24UU000004btpfYAA</t>
  </si>
  <si>
    <t>a24UU000004dUk6YAE</t>
  </si>
  <si>
    <t>a24UU000004dV4vYAE</t>
  </si>
  <si>
    <t>a24UU000004dVMjYAM</t>
  </si>
  <si>
    <t>a24UU000004dVuWYAU</t>
  </si>
  <si>
    <t>a24UU000004dzSmYAI</t>
  </si>
  <si>
    <t>a24UU000004e0AHYAY</t>
  </si>
  <si>
    <t>a24UU000004e0VLYAY</t>
  </si>
  <si>
    <t>a24UU000004e1G9YAI</t>
  </si>
  <si>
    <t>a24UU000004f7zNYAQ</t>
  </si>
  <si>
    <t>a24UU000004f8GBYAY</t>
  </si>
  <si>
    <t>a24UU000004f8H3YAI</t>
  </si>
  <si>
    <t>a24UU000004f8vOYAQ</t>
  </si>
  <si>
    <t>a24UU000004gibwYAA</t>
  </si>
  <si>
    <t>a24UU000004giwnYAA</t>
  </si>
  <si>
    <t>a24UU000004gjBPYAY</t>
  </si>
  <si>
    <t>a24UU000004gjT8YAI</t>
  </si>
  <si>
    <t>a24UU000004hBnWYAU</t>
  </si>
  <si>
    <t>a24UU000004hC0UYAU</t>
  </si>
  <si>
    <t>a24UU000004hCGYYA2</t>
  </si>
  <si>
    <t>a24UU000004hCgPYAU</t>
  </si>
  <si>
    <t>a24UU000004iCG5YAM</t>
  </si>
  <si>
    <t>a24UU000004iCUfYAM</t>
  </si>
  <si>
    <t>a24UU000004iCj7YAE</t>
  </si>
  <si>
    <t>a24UU000004iCxgYAE</t>
  </si>
  <si>
    <t>a24UU000004jnf7YAA</t>
  </si>
  <si>
    <t>a24UU000004jnrvYAA</t>
  </si>
  <si>
    <t>a24UU000004jo05YAA</t>
  </si>
  <si>
    <t>a24UU000004joKvYAI</t>
  </si>
  <si>
    <t>a24UU000004kJgUYAU</t>
  </si>
  <si>
    <t>a24UU000004kJrqYAE</t>
  </si>
  <si>
    <t>a24UU000004kK34YAE</t>
  </si>
  <si>
    <t>a24UU000004kKRJYA2</t>
  </si>
  <si>
    <t>a24UU000004lHG6YAM</t>
  </si>
  <si>
    <t>a24UU000004lHWIYA2</t>
  </si>
  <si>
    <t>a24UU000004lHjIYAU</t>
  </si>
  <si>
    <t>a24UU000004lI0vYAE</t>
  </si>
  <si>
    <t>a24UU000004mljxYAA</t>
  </si>
  <si>
    <t>a24UU000004mm6YYAQ</t>
  </si>
  <si>
    <t>a24UU000004mmMhYAI</t>
  </si>
  <si>
    <t>a24UU000004mmg1YAA</t>
  </si>
  <si>
    <t>a24UU000004nI9oYAE</t>
  </si>
  <si>
    <t>a24UU000004nIOCYA2</t>
  </si>
  <si>
    <t>a24UU000004nIfxYAE</t>
  </si>
  <si>
    <t>a24UU000004nIzHYAU</t>
  </si>
  <si>
    <t>a24UU000004oNwoYAE</t>
  </si>
  <si>
    <t>a24UU000004oO9jYAE</t>
  </si>
  <si>
    <t>a24UU000004oOOFYA2</t>
  </si>
  <si>
    <t>a24UU000004oOcqYAE</t>
  </si>
  <si>
    <t>a24UU000004q6jqYAA</t>
  </si>
  <si>
    <t>a24UU000004q739YAA</t>
  </si>
  <si>
    <t>a24UU000004q7HlYAI</t>
  </si>
  <si>
    <t>a24UU000004q7eIYAQ</t>
  </si>
  <si>
    <t>a24UU000004qYjNYAU</t>
  </si>
  <si>
    <t>a24UU000004qYzNYAU</t>
  </si>
  <si>
    <t>a24UU000004qZ4JYAU</t>
  </si>
  <si>
    <t>a24UU000004qZ60YAE</t>
  </si>
  <si>
    <t>a24UU000004qZKRYA2</t>
  </si>
  <si>
    <t>a24UU000004rVecYAE</t>
  </si>
  <si>
    <t>a24UU000004rVpvYAE</t>
  </si>
  <si>
    <t>a24UU000004rVv0YAE</t>
  </si>
  <si>
    <t>a24UU000004rWKUYA2</t>
  </si>
  <si>
    <t>a24UU000004rWaeYAE</t>
  </si>
  <si>
    <t>a24UU000003XfpDYAS</t>
  </si>
  <si>
    <t>a24UU000003YVnqYAG</t>
  </si>
  <si>
    <t>a24UU000003aAx0YAE</t>
  </si>
  <si>
    <t>a24UU000003l3aWYAQ</t>
  </si>
  <si>
    <t>a24UU000003mqPKYAY</t>
  </si>
  <si>
    <t>a24UU000003nU9oYAE</t>
  </si>
  <si>
    <t>a24UU000003oUquYAE</t>
  </si>
  <si>
    <t>a24UU000003q9SAYAY</t>
  </si>
  <si>
    <t>a24UU000003qh3yYAA</t>
  </si>
  <si>
    <t>a24UU000003rdo9YAA</t>
  </si>
  <si>
    <t>a24UU000004CJuJYAW</t>
  </si>
  <si>
    <t>a24UU000004Co1zYAC</t>
  </si>
  <si>
    <t>a24UU000004DdirYAC</t>
  </si>
  <si>
    <t>a24UU000004F8W8YAK</t>
  </si>
  <si>
    <t>a24UU000004FdYKYA0</t>
  </si>
  <si>
    <t>a24UU000004GXx3YAG</t>
  </si>
  <si>
    <t>a24UU000004I7GsYAK</t>
  </si>
  <si>
    <t>a24UU000004IdOqYAK</t>
  </si>
  <si>
    <t>a24UU000004JWweYAG</t>
  </si>
  <si>
    <t>a24UU000004KMIDYA4</t>
  </si>
  <si>
    <t>a24UU000004LX3ZYAW</t>
  </si>
  <si>
    <t>a24UU000004MRFTYA4</t>
  </si>
  <si>
    <t>a24UU000004O1lVYAS</t>
  </si>
  <si>
    <t>a24UU000004OhD3YAK</t>
  </si>
  <si>
    <t>a24UU000004Oi8tYAC</t>
  </si>
  <si>
    <t>a24UU000004PgBTYA0</t>
  </si>
  <si>
    <t>a24UU000004PgukYAC</t>
  </si>
  <si>
    <t>a24UU000004RTACYA4</t>
  </si>
  <si>
    <t>a24UU000004RTrpYAG</t>
  </si>
  <si>
    <t>a24UU000004S1wbYAC</t>
  </si>
  <si>
    <t>a24UU000004S2PrYAK</t>
  </si>
  <si>
    <t>a24UU000004SyySYAS</t>
  </si>
  <si>
    <t>a24UU000004SzmKYAS</t>
  </si>
  <si>
    <t>a24UU000004TtZtYAK</t>
  </si>
  <si>
    <t>a24UU000004Ua0dYAC</t>
  </si>
  <si>
    <t>a24UU000004V2oIYAS</t>
  </si>
  <si>
    <t>a24UU000004V4OWYA0</t>
  </si>
  <si>
    <t>a24UU000004W0h2YAC</t>
  </si>
  <si>
    <t>a24UU000004W1bOYAS</t>
  </si>
  <si>
    <t>a24UU000004XcKQYA0</t>
  </si>
  <si>
    <t>a24UU000004XcpDYAS</t>
  </si>
  <si>
    <t>a24UU000004Y5z6YAC</t>
  </si>
  <si>
    <t>a24UU000004Y6f0YAC</t>
  </si>
  <si>
    <t>a24UU000004Z0r9YAC</t>
  </si>
  <si>
    <t>a24UU000004Z1bmYAC</t>
  </si>
  <si>
    <t>a24UU000004aD9NYAU</t>
  </si>
  <si>
    <t>a24UU000004aDZGYA2</t>
  </si>
  <si>
    <t>a24UU000004ajpJYAQ</t>
  </si>
  <si>
    <t>a24UU000004akGaYAI</t>
  </si>
  <si>
    <t>a24UU000004bt4vYAA</t>
  </si>
  <si>
    <t>a24UU000004btT6YAI</t>
  </si>
  <si>
    <t>a24UU000004btpjYAA</t>
  </si>
  <si>
    <t>a24UU000004dV4zYAE</t>
  </si>
  <si>
    <t>a24UU000004dVQ5YAM</t>
  </si>
  <si>
    <t>a24UU000004dVuaYAE</t>
  </si>
  <si>
    <t>a24UU000004e0SBYAY</t>
  </si>
  <si>
    <t>a24UU000004e0ocYAA</t>
  </si>
  <si>
    <t>a24UU000004e1CzYAI</t>
  </si>
  <si>
    <t>a24UU000004f8H7YAI</t>
  </si>
  <si>
    <t>a24UU000004f8VeYAI</t>
  </si>
  <si>
    <t>a24UU000004f8vSYAQ</t>
  </si>
  <si>
    <t>a24UU000004giqWYAQ</t>
  </si>
  <si>
    <t>a24UU000004giwqYAA</t>
  </si>
  <si>
    <t>a24UU000004gjTBYAY</t>
  </si>
  <si>
    <t>a24UU000004hC0XYAU</t>
  </si>
  <si>
    <t>a24UU000004hCQJYA2</t>
  </si>
  <si>
    <t>a24UU000004hCgSYAU</t>
  </si>
  <si>
    <t>a24UU000004iCUiYAM</t>
  </si>
  <si>
    <t>a24UU000004iCUqYAM</t>
  </si>
  <si>
    <t>a24UU000004iCxjYAE</t>
  </si>
  <si>
    <t>a24UU000004jnryYAA</t>
  </si>
  <si>
    <t>a24UU000004jo4pYAA</t>
  </si>
  <si>
    <t>a24UU000004joKyYAI</t>
  </si>
  <si>
    <t>a24UU000004kJrtYAE</t>
  </si>
  <si>
    <t>a24UU000004kK4lYAE</t>
  </si>
  <si>
    <t>a24UU000004kKRMYA2</t>
  </si>
  <si>
    <t>a24UU000004lHXnYAM</t>
  </si>
  <si>
    <t>a24UU000004lHmHYAU</t>
  </si>
  <si>
    <t>a24UU000004lI2QYAU</t>
  </si>
  <si>
    <t>a24UU000004mm6bYAA</t>
  </si>
  <si>
    <t>a24UU000004mmRSYAY</t>
  </si>
  <si>
    <t>a24UU000004mmg4YAA</t>
  </si>
  <si>
    <t>a24UU000004nISvYAM</t>
  </si>
  <si>
    <t>a24UU000004nImJYAU</t>
  </si>
  <si>
    <t>a24UU000004nIzKYAU</t>
  </si>
  <si>
    <t>a24UU000004oN0qYAE</t>
  </si>
  <si>
    <t>a24UU000004oO9mYAE</t>
  </si>
  <si>
    <t>a24UU000004oOhZYAU</t>
  </si>
  <si>
    <t>a24UU000004q73CYAQ</t>
  </si>
  <si>
    <t>a24UU000004q789YAA</t>
  </si>
  <si>
    <t>a24UU000004q7eLYAQ</t>
  </si>
  <si>
    <t>a24UU000004qYwTYAU</t>
  </si>
  <si>
    <t>a24UU000004qYzQYAU</t>
  </si>
  <si>
    <t>a24UU000004qZ63YAE</t>
  </si>
  <si>
    <t>a24UU000004qZKUYA2</t>
  </si>
  <si>
    <t>a24UU000004rVpyYAE</t>
  </si>
  <si>
    <t>a24UU000004rW4QYAU</t>
  </si>
  <si>
    <t>a24UU000004rWKXYA2</t>
  </si>
  <si>
    <t>a24UU000004rWdlYAE</t>
  </si>
  <si>
    <t>a24UU000003R1mQYAS</t>
  </si>
  <si>
    <t>a24UU000003RqPCYA0</t>
  </si>
  <si>
    <t>a24UU000003TMDEYA4</t>
  </si>
  <si>
    <t>a24UU000003Tn8aYAC</t>
  </si>
  <si>
    <t>a24UU000003UZHxYAO</t>
  </si>
  <si>
    <t>a24UU000003VUcpYAG</t>
  </si>
  <si>
    <t>a24UU000003VgKgYAK</t>
  </si>
  <si>
    <t>a24UU000003WOC1YAO</t>
  </si>
  <si>
    <t>a24UU000003bnckYAA</t>
  </si>
  <si>
    <t>a24UU000003bsuAYAQ</t>
  </si>
  <si>
    <t>a24UU000003dXDjYAM</t>
  </si>
  <si>
    <t>a24UU000003dbKYYAY</t>
  </si>
  <si>
    <t>a24UU000003e6HwYAI</t>
  </si>
  <si>
    <t>a24UU000003f5bbYAA</t>
  </si>
  <si>
    <t>a24UU000003gQcSYAU</t>
  </si>
  <si>
    <t>a24UU000003gWD5YAM</t>
  </si>
  <si>
    <t>a24UU000003hP7vYAE</t>
  </si>
  <si>
    <t>a24UU000003iI1AYAU</t>
  </si>
  <si>
    <t>a24UU000003k17XYAQ</t>
  </si>
  <si>
    <t>a24UU000003l0EHYAY</t>
  </si>
  <si>
    <t>a24UU000003mpxtYAA</t>
  </si>
  <si>
    <t>a24UU000003nTdYYAU</t>
  </si>
  <si>
    <t>a24UU000003oUB1YAM</t>
  </si>
  <si>
    <t>a24UU000003q92HYAQ</t>
  </si>
  <si>
    <t>a24UU000003qgceYAA</t>
  </si>
  <si>
    <t>a24UU000003qhAVYAY</t>
  </si>
  <si>
    <t>a24UU000003rd8KYAQ</t>
  </si>
  <si>
    <t>a24UU000003reAbYAI</t>
  </si>
  <si>
    <t>a24UU000003tG7MYAU</t>
  </si>
  <si>
    <t>a24UU000003tGqXYAU</t>
  </si>
  <si>
    <t>a24UU000003te1VYAQ</t>
  </si>
  <si>
    <t>a24UU000003trpyYAA</t>
  </si>
  <si>
    <t>a24UU000003tsVyYAI</t>
  </si>
  <si>
    <t>a24UU000003uCHhYAM</t>
  </si>
  <si>
    <t>a24UU000003ur00YAA</t>
  </si>
  <si>
    <t>a24UU000003urMdYAI</t>
  </si>
  <si>
    <t>a24UU000003vEVxYAM</t>
  </si>
  <si>
    <t>a24UU000003vjOTYAY</t>
  </si>
  <si>
    <t>a24UU000003wWCOYA2</t>
  </si>
  <si>
    <t>a24UU000003wrLZYAY</t>
  </si>
  <si>
    <t>a24UU000003wzeIYAQ</t>
  </si>
  <si>
    <t>a24UU000003x0v7YAA</t>
  </si>
  <si>
    <t>a24UU000003x4fNYAQ</t>
  </si>
  <si>
    <t>a24UU000003xKdhYAE</t>
  </si>
  <si>
    <t>a24UU000003xxaJYAQ</t>
  </si>
  <si>
    <t>a24UU000003xy6WYAQ</t>
  </si>
  <si>
    <t>a24UU000003z6GTYAY</t>
  </si>
  <si>
    <t>a24UU000003zdfRYAQ</t>
  </si>
  <si>
    <t>a24UU000003zdkHYAQ</t>
  </si>
  <si>
    <t>a24UU0000040BKXYA2</t>
  </si>
  <si>
    <t>a24UU0000040MeLYAU</t>
  </si>
  <si>
    <t>a24UU0000040NjzYAE</t>
  </si>
  <si>
    <t>a24UU0000040euPYAQ</t>
  </si>
  <si>
    <t>a24UU0000041HUVYA2</t>
  </si>
  <si>
    <t>a24UU0000041IISYA2</t>
  </si>
  <si>
    <t>a24UU0000042yYuYAI</t>
  </si>
  <si>
    <t>a24UU0000042zGQYAY</t>
  </si>
  <si>
    <t>a24UU0000043XADYA2</t>
  </si>
  <si>
    <t>a24UU0000043YfhYAE</t>
  </si>
  <si>
    <t>a24UU0000043tP3YAI</t>
  </si>
  <si>
    <t>a24UU0000044VCgYAM</t>
  </si>
  <si>
    <t>a24UU0000044VmAYAU</t>
  </si>
  <si>
    <t>a24UU0000045OfJYAU</t>
  </si>
  <si>
    <t>a24UU0000045vTCYAY</t>
  </si>
  <si>
    <t>a24UU0000046TTFYA2</t>
  </si>
  <si>
    <t>a24UU0000046dxLYAQ</t>
  </si>
  <si>
    <t>a24UU0000046eWpYAI</t>
  </si>
  <si>
    <t>a24UU00000484iUYAQ</t>
  </si>
  <si>
    <t>a24UU00000485JZYAY</t>
  </si>
  <si>
    <t>a24UU0000048PyDYAU</t>
  </si>
  <si>
    <t>a24UU00000497SzYAI</t>
  </si>
  <si>
    <t>a24UU0000049kpMYAQ</t>
  </si>
  <si>
    <t>a24UU0000049lQPYAY</t>
  </si>
  <si>
    <t>a24UU000004A5qXYAS</t>
  </si>
  <si>
    <t>a24UU000004AkdlYAC</t>
  </si>
  <si>
    <t>a24UU000004Al0EYAS</t>
  </si>
  <si>
    <t>a24UU000004BcZ7YAK</t>
  </si>
  <si>
    <t>a24UU000004C8nVYAS</t>
  </si>
  <si>
    <t>a24UU000004CmZrYAK</t>
  </si>
  <si>
    <t>a24UU000004Cn7ZYAS</t>
  </si>
  <si>
    <t>a24UU000004DcLNYA0</t>
  </si>
  <si>
    <t>a24UU000004DcgKYAS</t>
  </si>
  <si>
    <t>a24UU000004EPvVYAW</t>
  </si>
  <si>
    <t>a24UU000004F70UYAS</t>
  </si>
  <si>
    <t>a24UU000004FRDiYAO</t>
  </si>
  <si>
    <t>a24UU000004FbwIYAS</t>
  </si>
  <si>
    <t>a24UU000004FcSYYA0</t>
  </si>
  <si>
    <t>a24UU000004FuijYAC</t>
  </si>
  <si>
    <t>a24UU000004GWg1YAG</t>
  </si>
  <si>
    <t>a24UU000004GWpyYAG</t>
  </si>
  <si>
    <t>a24UU000004GY8QYAW</t>
  </si>
  <si>
    <t>a24UU000004GswbYAC</t>
  </si>
  <si>
    <t>a24UU000004GsyDYAS</t>
  </si>
  <si>
    <t>a10UU000008kwPNYAY</t>
  </si>
  <si>
    <t>a24UU000004Co27YAC</t>
  </si>
  <si>
    <t>a24UU000004Ddm8YAC</t>
  </si>
  <si>
    <t>a24UU000004F8fmYAC</t>
  </si>
  <si>
    <t>a24UU000004FdhuYAC</t>
  </si>
  <si>
    <t>a24UU000004GVqTYAW</t>
  </si>
  <si>
    <t>a24UU000004I7LpYAK</t>
  </si>
  <si>
    <t>a24UU000004PfU7YAK</t>
  </si>
  <si>
    <t>a24UU000004RTyAYAW</t>
  </si>
  <si>
    <t>a24UU000004S2atYAC</t>
  </si>
  <si>
    <t>a24UU000004SzxXYAS</t>
  </si>
  <si>
    <t>a24UU000004UYVFYA4</t>
  </si>
  <si>
    <t>a24UU000004V4wRYAS</t>
  </si>
  <si>
    <t>a24UU000004W1YcYAK</t>
  </si>
  <si>
    <t>a24UU000003WOTnYAO</t>
  </si>
  <si>
    <t>a24UU000003XQADYA4</t>
  </si>
  <si>
    <t>a24UU000003XffVYAS</t>
  </si>
  <si>
    <t>a24UU000003YVb3YAG</t>
  </si>
  <si>
    <t>a24UU000003aAvGYAU</t>
  </si>
  <si>
    <t>a24UU000003l4w8YAA</t>
  </si>
  <si>
    <t>a24UU0000043NIjYAM</t>
  </si>
  <si>
    <t>a24UU0000043skjYAA</t>
  </si>
  <si>
    <t>a24UU0000044WQQYA2</t>
  </si>
  <si>
    <t>a24UU0000045M5eYAE</t>
  </si>
  <si>
    <t>a24UU0000045wYvYAI</t>
  </si>
  <si>
    <t>a24UU000004CXAnYAO</t>
  </si>
  <si>
    <t>a24UU000004Co2AYAS</t>
  </si>
  <si>
    <t>a24UU000004DdndYAC</t>
  </si>
  <si>
    <t>a24UU000004EPlpYAG</t>
  </si>
  <si>
    <t>a24UU000004FTIjYAO</t>
  </si>
  <si>
    <t>a24UU000004FdhwYAC</t>
  </si>
  <si>
    <t>a24UU000004GVqVYAW</t>
  </si>
  <si>
    <t>a24UU000004I7DnYAK</t>
  </si>
  <si>
    <t>a24UU000004IbuwYAC</t>
  </si>
  <si>
    <t>a24UU000004JX9OYAW</t>
  </si>
  <si>
    <t>a24UU000004L344YAC</t>
  </si>
  <si>
    <t>a24UU000004LX8OYAW</t>
  </si>
  <si>
    <t>a24UU000004MQOSYA4</t>
  </si>
  <si>
    <t>a24UU000004NE4nYAG</t>
  </si>
  <si>
    <t>a24UU000004OhHgYAK</t>
  </si>
  <si>
    <t>a24UU000004OiIfYAK</t>
  </si>
  <si>
    <t>a24UU000004PgGQYA0</t>
  </si>
  <si>
    <t>a24UU000004PgzYYAS</t>
  </si>
  <si>
    <t>a24UU000004RTGZYA4</t>
  </si>
  <si>
    <t>a24UU000004RTIZYA4</t>
  </si>
  <si>
    <t>a24UU000004S1yJYAS</t>
  </si>
  <si>
    <t>a24UU000004S2W2YAK</t>
  </si>
  <si>
    <t>a24UU000004SzCkYAK</t>
  </si>
  <si>
    <t>a24UU000004Szo0YAC</t>
  </si>
  <si>
    <t>a24UU000004Tu7lYAC</t>
  </si>
  <si>
    <t>a24UU000004Ua72YAC</t>
  </si>
  <si>
    <t>a24UU000004V2JcYAK</t>
  </si>
  <si>
    <t>a24UU000004V4TNYA0</t>
  </si>
  <si>
    <t>a24UU000004W0nQYAS</t>
  </si>
  <si>
    <t>a24UU000004W1eeYAC</t>
  </si>
  <si>
    <t>a24UU000004XcNdYAK</t>
  </si>
  <si>
    <t>a24UU000004XctwYAC</t>
  </si>
  <si>
    <t>a24UU000004Y63vYAC</t>
  </si>
  <si>
    <t>a24UU000004Y6YlYAK</t>
  </si>
  <si>
    <t>a24UU000004Z0SnYAK</t>
  </si>
  <si>
    <t>a24UU000004Z174YAC</t>
  </si>
  <si>
    <t>a24UU000004aDB4YAM</t>
  </si>
  <si>
    <t>a24UU000004aDcTYAU</t>
  </si>
  <si>
    <t>a24UU000004ajyuYAA</t>
  </si>
  <si>
    <t>a24UU000004akDWYAY</t>
  </si>
  <si>
    <t>a24UU000004bt6cYAA</t>
  </si>
  <si>
    <t>a24UU000004btWKYAY</t>
  </si>
  <si>
    <t>a24UU000004btrJYAQ</t>
  </si>
  <si>
    <t>a24UU000004dV88YAE</t>
  </si>
  <si>
    <t>a24UU000004dVRgYAM</t>
  </si>
  <si>
    <t>a24UU000004dVxmYAE</t>
  </si>
  <si>
    <t>a24UU000004e0WwYAI</t>
  </si>
  <si>
    <t>a24UU000004e0qEYAQ</t>
  </si>
  <si>
    <t>a24UU000004e1EbYAI</t>
  </si>
  <si>
    <t>a24UU000004f8IoYAI</t>
  </si>
  <si>
    <t>a24UU000004f8XGYAY</t>
  </si>
  <si>
    <t>a24UU000004f8x4YAA</t>
  </si>
  <si>
    <t>a24UU000004giqdYAA</t>
  </si>
  <si>
    <t>a24UU000004gj05YAA</t>
  </si>
  <si>
    <t>a24UU000004gjUjYAI</t>
  </si>
  <si>
    <t>a24UU000004hC2AYAU</t>
  </si>
  <si>
    <t>a24UU000004hCRsYAM</t>
  </si>
  <si>
    <t>a24UU000004hCYfYAM</t>
  </si>
  <si>
    <t>a24UU000004iCWLYA2</t>
  </si>
  <si>
    <t>a24UU000004iCnzYAE</t>
  </si>
  <si>
    <t>a24UU000004iCzIYAU</t>
  </si>
  <si>
    <t>a24UU000004jntbYAA</t>
  </si>
  <si>
    <t>a24UU000004jo4wYAA</t>
  </si>
  <si>
    <t>a24UU000004joL4YAI</t>
  </si>
  <si>
    <t>a24UU000004kJoqYAE</t>
  </si>
  <si>
    <t>a24UU000004kJryYAE</t>
  </si>
  <si>
    <t>a24UU000004kKBLYA2</t>
  </si>
  <si>
    <t>a24UU000004lHb2YAE</t>
  </si>
  <si>
    <t>a24UU000004lHmOYAU</t>
  </si>
  <si>
    <t>a24UU000004lI2XYAU</t>
  </si>
  <si>
    <t>a24UU000004mmD4YAI</t>
  </si>
  <si>
    <t>a24UU000004mmRZYAY</t>
  </si>
  <si>
    <t>a24UU000004mmUsYAI</t>
  </si>
  <si>
    <t>a24UU000004nIWAYA2</t>
  </si>
  <si>
    <t>a24UU000004nImQYAU</t>
  </si>
  <si>
    <t>a24UU000004nJ0tYAE</t>
  </si>
  <si>
    <t>a24UU000004oOBOYA2</t>
  </si>
  <si>
    <t>a24UU000004oORTYA2</t>
  </si>
  <si>
    <t>a24UU000004oOhfYAE</t>
  </si>
  <si>
    <t>a24UU000004q74mYAA</t>
  </si>
  <si>
    <t>a24UU000004q78DYAQ</t>
  </si>
  <si>
    <t>a24UU000004q7frYAA</t>
  </si>
  <si>
    <t>a24UU000004qY3NYAU</t>
  </si>
  <si>
    <t>a24UU000004qYwXYAU</t>
  </si>
  <si>
    <t>a24UU000004qZ10YAE</t>
  </si>
  <si>
    <t>a24UU000004qZ67YAE</t>
  </si>
  <si>
    <t>a24UU000004rVucYAE</t>
  </si>
  <si>
    <t>a24UU000004rW5wYAE</t>
  </si>
  <si>
    <t>a24UU000004rWM3YAM</t>
  </si>
  <si>
    <t>a24UU000004rWdpYAE</t>
  </si>
  <si>
    <t>a24UU000003l4czYAA</t>
  </si>
  <si>
    <t>a24UU000003mqFYYAY</t>
  </si>
  <si>
    <t>a24UU000003nSzNYAU</t>
  </si>
  <si>
    <t>a24UU000004CJxXYAW</t>
  </si>
  <si>
    <t>a24UU000004Co6sYAC</t>
  </si>
  <si>
    <t>a24UU000004Ddj3YAC</t>
  </si>
  <si>
    <t>a24UU000004F8ZNYA0</t>
  </si>
  <si>
    <t>a24UU000004FdbXYAS</t>
  </si>
  <si>
    <t>a24UU000004GXtwYAG</t>
  </si>
  <si>
    <t>a24UU000004I7IXYA0</t>
  </si>
  <si>
    <t>a24UU000004IdQXYA0</t>
  </si>
  <si>
    <t>a24UU000004JWlRYAW</t>
  </si>
  <si>
    <t>a24UU000004KLqnYAG</t>
  </si>
  <si>
    <t>a24UU000004KoBFYA0</t>
  </si>
  <si>
    <t>a24UU000004LMMbYAO</t>
  </si>
  <si>
    <t>a24UU000004LTZXYA4</t>
  </si>
  <si>
    <t>a24UU000004MRH0YAO</t>
  </si>
  <si>
    <t>a24UU000004MnB3YAK</t>
  </si>
  <si>
    <t>a24UU000004NoZhYAK</t>
  </si>
  <si>
    <t>a24UU000004OTZdYAO</t>
  </si>
  <si>
    <t>a24UU000004QgxNYAS</t>
  </si>
  <si>
    <t>a24UU000004RrE1YAK</t>
  </si>
  <si>
    <t>a10UU0000093qRVYAY</t>
  </si>
  <si>
    <t>a24UU000004WqijYAC</t>
  </si>
  <si>
    <t>a10UU000009OysHYAS</t>
  </si>
  <si>
    <t>a24UU000003amHeYAI</t>
  </si>
  <si>
    <t>a10UU000009QVhKYAW</t>
  </si>
  <si>
    <t>a24UU000003uBOrYAM</t>
  </si>
  <si>
    <t>a24UU000003urjIYAQ</t>
  </si>
  <si>
    <t>a24UU000003wzw3YAA</t>
  </si>
  <si>
    <t>a24UU000003xKVdYAM</t>
  </si>
  <si>
    <t>a24UU000003xyOLYAY</t>
  </si>
  <si>
    <t>a24UU000003zFq2YAE</t>
  </si>
  <si>
    <t>a24UU000003zd9BYAQ</t>
  </si>
  <si>
    <t>a10UU00000ATtUnYAL</t>
  </si>
  <si>
    <t>a24UU00000450htYAA</t>
  </si>
  <si>
    <t>a24UU0000045PTJYA2</t>
  </si>
  <si>
    <t>a24UU0000046fPfYAI</t>
  </si>
  <si>
    <t>a24UU0000047avnYAA</t>
  </si>
  <si>
    <t>a24UU0000049HNdYAM</t>
  </si>
  <si>
    <t>a24UU0000049lyPYAQ</t>
  </si>
  <si>
    <t>a24UU000004AlReYAK</t>
  </si>
  <si>
    <t>a24UU000004CFyiYAG</t>
  </si>
  <si>
    <t>a24UU000004CnJ1YAK</t>
  </si>
  <si>
    <t>a24UU000004DdJ4YAK</t>
  </si>
  <si>
    <t>a24UU000004F81SYAS</t>
  </si>
  <si>
    <t>a24UU000004Fd8PYAS</t>
  </si>
  <si>
    <t>a24UU000004GXYvYAO</t>
  </si>
  <si>
    <t>a10UU00000BAB5VYAX</t>
  </si>
  <si>
    <t>a24UU000004HPHRYA4</t>
  </si>
  <si>
    <t>a10UU00000BCyIEYA1</t>
  </si>
  <si>
    <t>a24UU000004O1VJYA0</t>
  </si>
  <si>
    <t>a24UU000004OgryYAC</t>
  </si>
  <si>
    <t>a24UU000004PeoDYAS</t>
  </si>
  <si>
    <t>a24UU000004ahDzYAI</t>
  </si>
  <si>
    <t>a24UU000004bPy1YAE</t>
  </si>
  <si>
    <t>a24UU000004cxSzYAI</t>
  </si>
  <si>
    <t>a24UU000004e0K4YAI</t>
  </si>
  <si>
    <t>a24UU000004f87OYAQ</t>
  </si>
  <si>
    <t>a24UU000004gilVYAQ</t>
  </si>
  <si>
    <t>a24UU000004hBsPYAU</t>
  </si>
  <si>
    <t>a24UU000004iCMaYAM</t>
  </si>
  <si>
    <t>a24UU000004ibHhYAI</t>
  </si>
  <si>
    <t>a24UU000004jniOYAQ</t>
  </si>
  <si>
    <t>a24UU000004k97dYAA</t>
  </si>
  <si>
    <t>a24UU000004kJlNYAU</t>
  </si>
  <si>
    <t>a24UU000004lHODYA2</t>
  </si>
  <si>
    <t>a24UU000004ldlBYAQ</t>
  </si>
  <si>
    <t>a24UU000003hPBAYA2</t>
  </si>
  <si>
    <t>a24UU000003iI2pYAE</t>
  </si>
  <si>
    <t>a24UU000003xvbiYAA</t>
  </si>
  <si>
    <t>a24UU000003zoj5YAA</t>
  </si>
  <si>
    <t>a24UU0000040O4uYAE</t>
  </si>
  <si>
    <t>a24UU0000041IiBYAU</t>
  </si>
  <si>
    <t>a24UU0000042zmiYAA</t>
  </si>
  <si>
    <t>a24UU0000043Yz4YAE</t>
  </si>
  <si>
    <t>a24UU0000044WDXYA2</t>
  </si>
  <si>
    <t>a24UU000004683qYAA</t>
  </si>
  <si>
    <t>a24UU0000046f1RYAQ</t>
  </si>
  <si>
    <t>a24UU0000047aasYAA</t>
  </si>
  <si>
    <t>a24UU0000049Gt0YAE</t>
  </si>
  <si>
    <t>a24UU0000049ln3YAA</t>
  </si>
  <si>
    <t>a24UU000004AlD7YAK</t>
  </si>
  <si>
    <t>a24UU000004AlebYAC</t>
  </si>
  <si>
    <t>a24UU000004CJBAYA4</t>
  </si>
  <si>
    <t>a24UU000004CJawYAG</t>
  </si>
  <si>
    <t>a24UU000004CmjhYAC</t>
  </si>
  <si>
    <t>a24UU000004CnPIYA0</t>
  </si>
  <si>
    <t>a24UU000004DcNDYA0</t>
  </si>
  <si>
    <t>a24UU000004DdUMYA0</t>
  </si>
  <si>
    <t>a24UU000004F6UMYA0</t>
  </si>
  <si>
    <t>a24UU000004F7jrYAC</t>
  </si>
  <si>
    <t>a24UU000004FcnUYAS</t>
  </si>
  <si>
    <t>a24UU000004FdN2YAK</t>
  </si>
  <si>
    <t>a24UU000004GWS1YAO</t>
  </si>
  <si>
    <t>a24UU000004GX4JYAW</t>
  </si>
  <si>
    <t>a24UU000004I6fzYAC</t>
  </si>
  <si>
    <t>a24UU000004I70mYAC</t>
  </si>
  <si>
    <t>a24UU000004IcsXYAS</t>
  </si>
  <si>
    <t>a24UU000004IdBvYAK</t>
  </si>
  <si>
    <t>a24UU000004JWOYYA4</t>
  </si>
  <si>
    <t>a24UU000004JWl8YAG</t>
  </si>
  <si>
    <t>a24UU000004KLlxYAG</t>
  </si>
  <si>
    <t>a24UU000004L21TYAS</t>
  </si>
  <si>
    <t>a24UU000004LWDtYAO</t>
  </si>
  <si>
    <t>a24UU000004LWqjYAG</t>
  </si>
  <si>
    <t>a24UU000004MPlfYAG</t>
  </si>
  <si>
    <t>a24UU000004MR2cYAG</t>
  </si>
  <si>
    <t>a24UU000004O17NYAS</t>
  </si>
  <si>
    <t>a24UU000004O1btYAC</t>
  </si>
  <si>
    <t>a24UU000004O2EYYA0</t>
  </si>
  <si>
    <t>a24UU000004OgdRYAS</t>
  </si>
  <si>
    <t>a24UU000004Oh1bYAC</t>
  </si>
  <si>
    <t>a24UU000004OhrQYAS</t>
  </si>
  <si>
    <t>a24UU000004PefwYAC</t>
  </si>
  <si>
    <t>a24UU000004PfiVYAS</t>
  </si>
  <si>
    <t>a24UU000004PgjLYAS</t>
  </si>
  <si>
    <t>a24UU000004RSiiYAG</t>
  </si>
  <si>
    <t>a24UU000004RT0WYAW</t>
  </si>
  <si>
    <t>a24UU000004RTi2YAG</t>
  </si>
  <si>
    <t>a24UU000004S1N6YAK</t>
  </si>
  <si>
    <t>a24UU000004S1gUYAS</t>
  </si>
  <si>
    <t>a24UU000004S2KjYAK</t>
  </si>
  <si>
    <t>a24UU000004SyeyYAC</t>
  </si>
  <si>
    <t>a24UU000004Sz37YAC</t>
  </si>
  <si>
    <t>a24UU000004Szb4YAC</t>
  </si>
  <si>
    <t>a24UU000004TtjaYAC</t>
  </si>
  <si>
    <t>a24UU000004UZkaYAG</t>
  </si>
  <si>
    <t>a24UU000004UaQRYA0</t>
  </si>
  <si>
    <t>a24UU000004V37fYAC</t>
  </si>
  <si>
    <t>a24UU000004V3veYAC</t>
  </si>
  <si>
    <t>a24UU000004V4ExYAK</t>
  </si>
  <si>
    <t>a24UU000004W0DxYAK</t>
  </si>
  <si>
    <t>a24UU000004W0NmYAK</t>
  </si>
  <si>
    <t>a24UU000004W1JdYAK</t>
  </si>
  <si>
    <t>a24UU000004XbcuYAC</t>
  </si>
  <si>
    <t>a24UU000004XcDtYAK</t>
  </si>
  <si>
    <t>a24UU000004XcfOYAS</t>
  </si>
  <si>
    <t>a24UU000004Y5URYA0</t>
  </si>
  <si>
    <t>a24UU000004Y5sgYAC</t>
  </si>
  <si>
    <t>a24UU000004Y6QZYA0</t>
  </si>
  <si>
    <t>a24UU000004Z0ajYAC</t>
  </si>
  <si>
    <t>a24UU000004Z0seYAC</t>
  </si>
  <si>
    <t>a24UU000004Z1NMYA0</t>
  </si>
  <si>
    <t>a24UU000004aCgdYAE</t>
  </si>
  <si>
    <t>a24UU000004aD2rYAE</t>
  </si>
  <si>
    <t>a24UU000004aDR5YAM</t>
  </si>
  <si>
    <t>a24UU000004aDu9YAE</t>
  </si>
  <si>
    <t>a24UU000004aDuAYAU</t>
  </si>
  <si>
    <t>a24UU000004aVvzYAE</t>
  </si>
  <si>
    <t>a24UU000004ajUOYAY</t>
  </si>
  <si>
    <t>a24UU000004ajsLYAQ</t>
  </si>
  <si>
    <t>a24UU000004akQNYAY</t>
  </si>
  <si>
    <t>a24UU000004akQOYAY</t>
  </si>
  <si>
    <t>a24UU000004akTZYAY</t>
  </si>
  <si>
    <t>a24UU000004bsdbYAA</t>
  </si>
  <si>
    <t>a24UU000004bsvFYAQ</t>
  </si>
  <si>
    <t>a24UU000004btL0YAI</t>
  </si>
  <si>
    <t>a24UU000004btjCYAQ</t>
  </si>
  <si>
    <t>a24UU000004btjEYAQ</t>
  </si>
  <si>
    <t>a24UU000004btjFYAQ</t>
  </si>
  <si>
    <t>a24UU000004dUk9YAE</t>
  </si>
  <si>
    <t>a24UU000004dUqVYAU</t>
  </si>
  <si>
    <t>a24UU000004dVMfYAM</t>
  </si>
  <si>
    <t>a24UU000004dVo4YAE</t>
  </si>
  <si>
    <t>a24UU000004dVo6YAE</t>
  </si>
  <si>
    <t>a24UU000004dVo7YAE</t>
  </si>
  <si>
    <t>a24UU000004e0AKYAY</t>
  </si>
  <si>
    <t>a24UU000004e0NJYAY</t>
  </si>
  <si>
    <t>a24UU000004e0jtYAA</t>
  </si>
  <si>
    <t>a24UU000004e11kYAA</t>
  </si>
  <si>
    <t>a24UU000004e11mYAA</t>
  </si>
  <si>
    <t>a24UU000004e11nYAA</t>
  </si>
  <si>
    <t>a24UU000004f7zQYAQ</t>
  </si>
  <si>
    <t>a24UU000004f8AdYAI</t>
  </si>
  <si>
    <t>a24UU000004f8G7YAI</t>
  </si>
  <si>
    <t>a24UU000004f8lrYAA</t>
  </si>
  <si>
    <t>a24UU000004f8lsYAA</t>
  </si>
  <si>
    <t>a24UU000004f8nRYAQ</t>
  </si>
  <si>
    <t>a24UU000004gibyYAA</t>
  </si>
  <si>
    <t>a24UU000004giqMYAQ</t>
  </si>
  <si>
    <t>a24UU000004gjBOYAY</t>
  </si>
  <si>
    <t>a24UU000004gjQ0YAI</t>
  </si>
  <si>
    <t>a24UU000004gjQ2YAI</t>
  </si>
  <si>
    <t>a24UU000004gjQ3YAI</t>
  </si>
  <si>
    <t>a24UU000004h2qfYAA</t>
  </si>
  <si>
    <t>a24UU000004hBnYYAU</t>
  </si>
  <si>
    <t>a24UU000004hBveYAE</t>
  </si>
  <si>
    <t>a24UU000004hCGXYA2</t>
  </si>
  <si>
    <t>a24UU000004hCbcYAE</t>
  </si>
  <si>
    <t>a24UU000004hCbeYAE</t>
  </si>
  <si>
    <t>a24UU000004hCejYAE</t>
  </si>
  <si>
    <t>a24UU000004iCG7YAM</t>
  </si>
  <si>
    <t>a24UU000004iCRRYA2</t>
  </si>
  <si>
    <t>a24UU000004iCcyYAE</t>
  </si>
  <si>
    <t>a24UU000004iCjNYAU</t>
  </si>
  <si>
    <t>a24UU000004iCjPYAU</t>
  </si>
  <si>
    <t>a24UU000004iCjQYAU</t>
  </si>
  <si>
    <t>a24UU000004jngbYAA</t>
  </si>
  <si>
    <t>a24UU000004jnohYAA</t>
  </si>
  <si>
    <t>a24UU000004jo04YAA</t>
  </si>
  <si>
    <t>a24UU000004joG8YAI</t>
  </si>
  <si>
    <t>a24UU000004joGAYAY</t>
  </si>
  <si>
    <t>a24UU000004joGBYAY</t>
  </si>
  <si>
    <t>a24UU000004kJgWYAU</t>
  </si>
  <si>
    <t>a24UU000004kJocYAE</t>
  </si>
  <si>
    <t>a24UU000004kK33YAE</t>
  </si>
  <si>
    <t>a24UU000004kKKxYAM</t>
  </si>
  <si>
    <t>a24UU000004kKMWYA2</t>
  </si>
  <si>
    <t>a24UU000004kKMYYA2</t>
  </si>
  <si>
    <t>a24UU000004lHG8YAM</t>
  </si>
  <si>
    <t>a24UU000004lHRSYA2</t>
  </si>
  <si>
    <t>a24UU000004lHjHYAU</t>
  </si>
  <si>
    <t>a24UU000004lHxaYAE</t>
  </si>
  <si>
    <t>a24UU000004lHxcYAE</t>
  </si>
  <si>
    <t>a24UU000004lHxdYAE</t>
  </si>
  <si>
    <t>a24UU000004mkPkYAI</t>
  </si>
  <si>
    <t>a24UU000004mljzYAA</t>
  </si>
  <si>
    <t>a24UU000004mmMgYAI</t>
  </si>
  <si>
    <t>a24UU000004mmeLYAQ</t>
  </si>
  <si>
    <t>a24UU000004mmeMYAQ</t>
  </si>
  <si>
    <t>a24UU000004mmeNYAQ</t>
  </si>
  <si>
    <t>a24UU000004nI9qYAE</t>
  </si>
  <si>
    <t>a24UU000004nIJXYA2</t>
  </si>
  <si>
    <t>a24UU000004nIfwYAE</t>
  </si>
  <si>
    <t>a24UU000004nIuMYAU</t>
  </si>
  <si>
    <t>a24UU000004nIuNYAU</t>
  </si>
  <si>
    <t>a24UU000004nIuOYAU</t>
  </si>
  <si>
    <t>a24UU000004oNwqYAE</t>
  </si>
  <si>
    <t>a24UU000004oO28YAE</t>
  </si>
  <si>
    <t>a24UU000004oO6WYAU</t>
  </si>
  <si>
    <t>a24UU000004oOOEYA2</t>
  </si>
  <si>
    <t>a24UU000004oOb9YAE</t>
  </si>
  <si>
    <t>a24UU000004oObAYAU</t>
  </si>
  <si>
    <t>a24UU000004oObBYAU</t>
  </si>
  <si>
    <t>a24UU000004Oi5pYAC</t>
  </si>
  <si>
    <t>a24UU000004Ph14YAC</t>
  </si>
  <si>
    <t>a24UU000004RTwTYAW</t>
  </si>
  <si>
    <t>a24UU000003gxIIYAY</t>
  </si>
  <si>
    <t>a24UU000003hr63YAA</t>
  </si>
  <si>
    <t>a24UU000003jSMfYAM</t>
  </si>
  <si>
    <t>a24UU000003k1Z0YAI</t>
  </si>
  <si>
    <t>a24UU000003l4ZWYAY</t>
  </si>
  <si>
    <t>a24UU000003mq9BYAQ</t>
  </si>
  <si>
    <t>a24UU000003nTovYAE</t>
  </si>
  <si>
    <t>a24UU000003oUZ7YAM</t>
  </si>
  <si>
    <t>a24UU000003q9DeYAI</t>
  </si>
  <si>
    <t>a24UU000003qgr6YAA</t>
  </si>
  <si>
    <t>a24UU000003rdeJYAQ</t>
  </si>
  <si>
    <t>a24UU000003tGLmYAM</t>
  </si>
  <si>
    <t>a24UU000003ts4ZYAQ</t>
  </si>
  <si>
    <t>a24UU000003uo8YYAQ</t>
  </si>
  <si>
    <t>a24UU000004MRgqYAG</t>
  </si>
  <si>
    <t>a24UU000004MmbZYAS</t>
  </si>
  <si>
    <t>a24UU000004NoTFYA0</t>
  </si>
  <si>
    <t>a24UU000004OPavYAG</t>
  </si>
  <si>
    <t>a24UU000004OhrAYAS</t>
  </si>
  <si>
    <t>a24UU000004P1GLYA0</t>
  </si>
  <si>
    <t>a24UU000004PggCYAS</t>
  </si>
  <si>
    <t>a24UU000004Qfy6YAC</t>
  </si>
  <si>
    <t>a24UU000004RqZhYAK</t>
  </si>
  <si>
    <t>a24UU000004SKeDYAW</t>
  </si>
  <si>
    <t>a24UU000004SzT7YAK</t>
  </si>
  <si>
    <t>a24UU000004TuR7YAK</t>
  </si>
  <si>
    <t>a24UU000004UszxYAC</t>
  </si>
  <si>
    <t>a24UU000004VNE9YAO</t>
  </si>
  <si>
    <t>a24UU000004W1I2YAK</t>
  </si>
  <si>
    <t>a24UU000004WNC5YAO</t>
  </si>
  <si>
    <t>a24UU000004WxkDYAS</t>
  </si>
  <si>
    <t>a24UU000004Xx0dYAC</t>
  </si>
  <si>
    <t>a24UU000004Y6OxYAK</t>
  </si>
  <si>
    <t>a24UU000004YLHRYA4</t>
  </si>
  <si>
    <t>a24UU000004Z1QSYA0</t>
  </si>
  <si>
    <t>a24UU000004aCJqYAM</t>
  </si>
  <si>
    <t>a24UU000004aDu7YAE</t>
  </si>
  <si>
    <t>a24UU000004aVvvYAE</t>
  </si>
  <si>
    <t>a24UU000004aWGnYAM</t>
  </si>
  <si>
    <t>a24UU000004akRyYAI</t>
  </si>
  <si>
    <t>a24UU000004bGWYYA2</t>
  </si>
  <si>
    <t>a24UU000004brZRYAY</t>
  </si>
  <si>
    <t>a24UU000004cUEAYA2</t>
  </si>
  <si>
    <t>a24UU000004dLblYAE</t>
  </si>
  <si>
    <t>a24UU000004e0joYAA</t>
  </si>
  <si>
    <t>a24UU000004e16QYAQ</t>
  </si>
  <si>
    <t>a24UU000004f8QqYAI</t>
  </si>
  <si>
    <t>a24UU000004f8lqYAA</t>
  </si>
  <si>
    <t>a24UU000004gjBKYAY</t>
  </si>
  <si>
    <t>a24UU000004gjPuYAI</t>
  </si>
  <si>
    <t>a24UU000004hC5VYAU</t>
  </si>
  <si>
    <t>a24UU000004hCbWYAU</t>
  </si>
  <si>
    <t>a24UU000004iCcuYAE</t>
  </si>
  <si>
    <t>a24UU000004iCjHYAU</t>
  </si>
  <si>
    <t>a24UU000004jo00YAA</t>
  </si>
  <si>
    <t>a24UU000004joEaYAI</t>
  </si>
  <si>
    <t>a24UU000004kJyTYAU</t>
  </si>
  <si>
    <t>a24UU000004kKMQYA2</t>
  </si>
  <si>
    <t>a24UU000004lHjDYAU</t>
  </si>
  <si>
    <t>a24UU000004lHuQYAU</t>
  </si>
  <si>
    <t>a24UU000004mmMcYAI</t>
  </si>
  <si>
    <t>a24UU000004mmcoYAA</t>
  </si>
  <si>
    <t>a24UU000004nHtXYAU</t>
  </si>
  <si>
    <t>a24UU000004nIfsYAE</t>
  </si>
  <si>
    <t>a24UU000004nIspYAE</t>
  </si>
  <si>
    <t>a24UU000004oO24YAE</t>
  </si>
  <si>
    <t>a24UU000004oOL6YAM</t>
  </si>
  <si>
    <t>a24UU000004oOplYAE</t>
  </si>
  <si>
    <t>a24UU000004q7HhYAI</t>
  </si>
  <si>
    <t>a24UU000004q7WIYAY</t>
  </si>
  <si>
    <t>a24UU000004q7pXYAQ</t>
  </si>
  <si>
    <t>a24UU000004qZ4FYAU</t>
  </si>
  <si>
    <t>a24UU000004qZFeYAM</t>
  </si>
  <si>
    <t>a24UU000004qZVeYAM</t>
  </si>
  <si>
    <t>a24UU000004rVuwYAE</t>
  </si>
  <si>
    <t>a24UU000004rWFhYAM</t>
  </si>
  <si>
    <t>a24UU000004rWUDYA2</t>
  </si>
  <si>
    <t>a24UU000003gx5KYAQ</t>
  </si>
  <si>
    <t>a24UU000003hr4SYAQ</t>
  </si>
  <si>
    <t>a24UU000003xyeLYAQ</t>
  </si>
  <si>
    <t>a24UU000004MRgoYAG</t>
  </si>
  <si>
    <t>a24UU000004O2CwYAK</t>
  </si>
  <si>
    <t>a24UU000004Ohr8YAC</t>
  </si>
  <si>
    <t>a24UU000004PggAYAS</t>
  </si>
  <si>
    <t>a24UU000004RTgLYAW</t>
  </si>
  <si>
    <t>a24UU000004S2HaYAK</t>
  </si>
  <si>
    <t>a24UU000004SzT5YAK</t>
  </si>
  <si>
    <t>a24UU000004UaOpYAK</t>
  </si>
  <si>
    <t>a24UU000004V4GZYA0</t>
  </si>
  <si>
    <t>a24UU000004W1GYYA0</t>
  </si>
  <si>
    <t>a24UU000003xyeOYAQ</t>
  </si>
  <si>
    <t>a24UU000003zojDYAQ</t>
  </si>
  <si>
    <t>a24UU0000040O85YAE</t>
  </si>
  <si>
    <t>a24UU0000041IiGYAU</t>
  </si>
  <si>
    <t>a24UU0000042zmnYAA</t>
  </si>
  <si>
    <t>a24UU000004AlhlYAC</t>
  </si>
  <si>
    <t>a24UU000004CJeAYAW</t>
  </si>
  <si>
    <t>a24UU000004CnXTYA0</t>
  </si>
  <si>
    <t>a24UU000004DdXWYA0</t>
  </si>
  <si>
    <t>a24UU000004F7s5YAC</t>
  </si>
  <si>
    <t>a24UU000004FdQCYA0</t>
  </si>
  <si>
    <t>a24UU000004O2EbYAK</t>
  </si>
  <si>
    <t>a24UU000004OhslYAC</t>
  </si>
  <si>
    <t>a24UU000004PgjNYAS</t>
  </si>
  <si>
    <t>a24UU000004RTi4YAG</t>
  </si>
  <si>
    <t>a24UU000003l4xjYAA</t>
  </si>
  <si>
    <t>a24UU000003mqSgYAI</t>
  </si>
  <si>
    <t>a24UU000003nUHrYAM</t>
  </si>
  <si>
    <t>a24UU000003oUvfYAE</t>
  </si>
  <si>
    <t>a24UU000003q9aEYAQ</t>
  </si>
  <si>
    <t>a24UU000003qh4MYAQ</t>
  </si>
  <si>
    <t>a24UU000003xyeUYAQ</t>
  </si>
  <si>
    <t>a24UU000003zosfYAA</t>
  </si>
  <si>
    <t>a24UU0000040O8AYAU</t>
  </si>
  <si>
    <t>a24UU0000041IjnYAE</t>
  </si>
  <si>
    <t>a24UU0000042zoJYAQ</t>
  </si>
  <si>
    <t>a24UU0000043YnvYAE</t>
  </si>
  <si>
    <t>a24UU0000043rThYAI</t>
  </si>
  <si>
    <t>a24UU0000044WF7YAM</t>
  </si>
  <si>
    <t>a24UU000004683xYAA</t>
  </si>
  <si>
    <t>a24UU0000046f30YAA</t>
  </si>
  <si>
    <t>a24UU0000047acPYAQ</t>
  </si>
  <si>
    <t>a24UU0000048QmDYAU</t>
  </si>
  <si>
    <t>a24UU000004HajAYAS</t>
  </si>
  <si>
    <t>a24UU000004HrvHYAS</t>
  </si>
  <si>
    <t>a24UU000004IdBuYAK</t>
  </si>
  <si>
    <t>a24UU000004JWl7YAG</t>
  </si>
  <si>
    <t>a24UU000004KJqbYAG</t>
  </si>
  <si>
    <t>a24UU000004KnwjYAC</t>
  </si>
  <si>
    <t>a24UU000004LWqiYAG</t>
  </si>
  <si>
    <t>a24UU000004MR2bYAG</t>
  </si>
  <si>
    <t>a24UU000004Mmi1YAC</t>
  </si>
  <si>
    <t>a24UU000004O1bsYAC</t>
  </si>
  <si>
    <t>a24UU000004Oh1aYAC</t>
  </si>
  <si>
    <t>a24UU000004OhuUYAS</t>
  </si>
  <si>
    <t>a24UU000004PefvYAC</t>
  </si>
  <si>
    <t>a24UU000004PehmYAC</t>
  </si>
  <si>
    <t>a24UU000004RT0VYAW</t>
  </si>
  <si>
    <t>a24UU000004RTlKYAW</t>
  </si>
  <si>
    <t>a24UU000004S1AQYA0</t>
  </si>
  <si>
    <t>a24UU000004S1gTYAS</t>
  </si>
  <si>
    <t>a24UU000004Sz36YAC</t>
  </si>
  <si>
    <t>a24UU000004SzG7YAK</t>
  </si>
  <si>
    <t>a24UU000004Tu6AYAS</t>
  </si>
  <si>
    <t>a24UU000004UNZaYAO</t>
  </si>
  <si>
    <t>a24UU000004V2ucYAC</t>
  </si>
  <si>
    <t>a24UU000004V3vdYAC</t>
  </si>
  <si>
    <t>a24UU000004W0NlYAK</t>
  </si>
  <si>
    <t>a24UU000004W1MzYAK</t>
  </si>
  <si>
    <t>a24UU000004XcCQYA0</t>
  </si>
  <si>
    <t>a24UU000004XcijYAC</t>
  </si>
  <si>
    <t>a24UU000004Y5sfYAC</t>
  </si>
  <si>
    <t>a24UU000004Y6WzYAK</t>
  </si>
  <si>
    <t>a24UU000004Z0RFYA0</t>
  </si>
  <si>
    <t>a24UU000004Z0sdYAC</t>
  </si>
  <si>
    <t>a24UU000004aCguYAE</t>
  </si>
  <si>
    <t>a24UU000004ajqsYAA</t>
  </si>
  <si>
    <t>a24UU000004bsvEYAQ</t>
  </si>
  <si>
    <t>a24UU000004btrNYAQ</t>
  </si>
  <si>
    <t>a24UU000004dUyYYAU</t>
  </si>
  <si>
    <t>a24UU000004dVxqYAE</t>
  </si>
  <si>
    <t>a24UU000004e0NIYAY</t>
  </si>
  <si>
    <t>a24UU000004e1EfYAI</t>
  </si>
  <si>
    <t>a24UU000004f8AcYAI</t>
  </si>
  <si>
    <t>a24UU000004f8x8YAA</t>
  </si>
  <si>
    <t>a24UU000004giqLYAQ</t>
  </si>
  <si>
    <t>a24UU000004gjUmYAI</t>
  </si>
  <si>
    <t>a24UU000004hBvdYAE</t>
  </si>
  <si>
    <t>a24UU000004hWrxYAE</t>
  </si>
  <si>
    <t>a24UU000004iCRQYA2</t>
  </si>
  <si>
    <t>a24UU000004jnogYAA</t>
  </si>
  <si>
    <t>a24UU000004kJobYAE</t>
  </si>
  <si>
    <t>a24UU000004kauDYAQ</t>
  </si>
  <si>
    <t>a24UU000004lHRRYA2</t>
  </si>
  <si>
    <t>a24UU000004mkPjYAI</t>
  </si>
  <si>
    <t>a24UU000004nIJWYA2</t>
  </si>
  <si>
    <t>a24UU000004oO6VYAU</t>
  </si>
  <si>
    <t>a24UU000004q6yLYAQ</t>
  </si>
  <si>
    <t>a24UU000004qYufYAE</t>
  </si>
  <si>
    <t>a24UU000004rVoHYAU</t>
  </si>
  <si>
    <t>a24UU000004AlhoYAC</t>
  </si>
  <si>
    <t>a24UU000004CJeDYAW</t>
  </si>
  <si>
    <t>a24UU000004CnXVYA0</t>
  </si>
  <si>
    <t>a24UU000004DdXYYA0</t>
  </si>
  <si>
    <t>a24UU000004F7s7YAC</t>
  </si>
  <si>
    <t>a24UU000004FdQEYA0</t>
  </si>
  <si>
    <t>a24UU000004GXkCYAW</t>
  </si>
  <si>
    <t>a24UU000004kKRUYA2</t>
  </si>
  <si>
    <t>a24UU000004lI7NYAU</t>
  </si>
  <si>
    <t>a10UU00000Bv6NJYAZ</t>
  </si>
  <si>
    <t>a24UU000004woFfYAI</t>
  </si>
  <si>
    <t>a24UU000004q7pbYAA</t>
  </si>
  <si>
    <t>a24UU000004qZVjYAM</t>
  </si>
  <si>
    <t>a24UU000004rWVkYAM</t>
  </si>
  <si>
    <t>a10UU00000C7SzxYAF</t>
  </si>
  <si>
    <t>a24UU000004q7pcYAA</t>
  </si>
  <si>
    <t>a24UU000004qZVkYAM</t>
  </si>
  <si>
    <t>a24UU000004rWVlYAM</t>
  </si>
  <si>
    <t>a24UU000004dbYTYAY</t>
  </si>
  <si>
    <t>a24UU000004dgZlYAI</t>
  </si>
  <si>
    <t>a24UU000004qZ6FYAU</t>
  </si>
  <si>
    <t>a24UU000004rWfOYAU</t>
  </si>
  <si>
    <t>SM_Payment_Method__r.SM_Card_Token__c</t>
  </si>
  <si>
    <t>SM_Payment_Method__r.SM_Credit_Card_Number__c</t>
  </si>
  <si>
    <t>SM_Payment_Method__r.SM_Credit_Card_expiration_month__c</t>
  </si>
  <si>
    <t>SM_Payment_Method__r.SM_Credit_Card_expiration_year__c</t>
  </si>
  <si>
    <t>[Contract]</t>
  </si>
  <si>
    <t>**** **** **** 2774</t>
  </si>
  <si>
    <t>**** **** **** 1524</t>
  </si>
  <si>
    <t>**** **** **** 4327</t>
  </si>
  <si>
    <t>**** **** **** 5191</t>
  </si>
  <si>
    <t>**** **** **** 4040</t>
  </si>
  <si>
    <t>**** **** **** 1962</t>
  </si>
  <si>
    <t>**** **** **** 7405</t>
  </si>
  <si>
    <t>**** **** **** 6484</t>
  </si>
  <si>
    <t>**** **** **** 7667</t>
  </si>
  <si>
    <t>**** **** **** 5696</t>
  </si>
  <si>
    <t>**** **** **** 6818</t>
  </si>
  <si>
    <t>**** **** **** 0233</t>
  </si>
  <si>
    <t>**** **** **** 3025</t>
  </si>
  <si>
    <t>**** **** **** 2506</t>
  </si>
  <si>
    <t>**** **** **** 2362</t>
  </si>
  <si>
    <t>**** **** **** 1352</t>
  </si>
  <si>
    <t>**** **** **** 4428</t>
  </si>
  <si>
    <t>**** **** **** 3323</t>
  </si>
  <si>
    <t>**** **** **** 1120</t>
  </si>
  <si>
    <t>**** **** **** 5142</t>
  </si>
  <si>
    <t>**** **** **** 6463</t>
  </si>
  <si>
    <t>**** **** **** 1328</t>
  </si>
  <si>
    <t>**** **** **** 8346</t>
  </si>
  <si>
    <t>**** **** **** 3412</t>
  </si>
  <si>
    <t>**** **** **** 1669</t>
  </si>
  <si>
    <t>**** **** **** 2772</t>
  </si>
  <si>
    <t>**** **** **** 7110</t>
  </si>
  <si>
    <t>**** **** **** 0883</t>
  </si>
  <si>
    <t>**** **** **** 9728</t>
  </si>
  <si>
    <t>**** **** **** 3070</t>
  </si>
  <si>
    <t>**** **** **** 2649</t>
  </si>
  <si>
    <t>**** **** **** 8550</t>
  </si>
  <si>
    <t>**** **** **** 1912</t>
  </si>
  <si>
    <t>**** **** **** 2944</t>
  </si>
  <si>
    <t>**** **** **** 6709</t>
  </si>
  <si>
    <t>**** **** **** 0799</t>
  </si>
  <si>
    <t>**** **** **** 7054</t>
  </si>
  <si>
    <t>**** **** **** 1311</t>
  </si>
  <si>
    <t>**** **** **** 2681</t>
  </si>
  <si>
    <t>**** **** **** 7352</t>
  </si>
  <si>
    <t>**** **** **** 4457</t>
  </si>
  <si>
    <t>**** **** **** 4242</t>
  </si>
  <si>
    <t>**** **** **** 4500</t>
  </si>
  <si>
    <t>**** **** **** 9675</t>
  </si>
  <si>
    <t>**** **** **** 9833</t>
  </si>
  <si>
    <t>**** **** **** 6088</t>
  </si>
  <si>
    <t>**** **** **** 9070</t>
  </si>
  <si>
    <t>**** **** **** 8375</t>
  </si>
  <si>
    <t>**** **** **** 8794</t>
  </si>
  <si>
    <t>**** **** **** 7711</t>
  </si>
  <si>
    <t>**** **** **** 5247</t>
  </si>
  <si>
    <t>**** **** **** 0638</t>
  </si>
  <si>
    <t>**** **** **** 0636</t>
  </si>
  <si>
    <t>**** **** **** 6085</t>
  </si>
  <si>
    <t>**** **** **** 9490</t>
  </si>
  <si>
    <t>**** **** **** 9211</t>
  </si>
  <si>
    <t>**** **** **** 6681</t>
  </si>
  <si>
    <t>Account.chargebeeapps__CB_Id__c</t>
  </si>
  <si>
    <t>a5jUU000000CvCDYA0</t>
  </si>
  <si>
    <t>a5jUU000000CuxhYAC</t>
  </si>
  <si>
    <t>a5jUU000000DDNdYAO</t>
  </si>
  <si>
    <t>a5jUU000000DFinYAG</t>
  </si>
  <si>
    <t>a5jUU000000DH33YAG</t>
  </si>
  <si>
    <t>a5jUU000000DHXhYAO</t>
  </si>
  <si>
    <t>a5jUU000000DHuHYAW</t>
  </si>
  <si>
    <t>a5jUU000000DIQXYA4</t>
  </si>
  <si>
    <t>a5jUU000000DL53YAG</t>
  </si>
  <si>
    <t>a5jUU000000DLEjYAO</t>
  </si>
  <si>
    <t>a5jUU000000DM4LYAW</t>
  </si>
  <si>
    <t>a5jUU000000D5oHYAS</t>
  </si>
  <si>
    <t>a5jUU000000DN0PYAW</t>
  </si>
  <si>
    <t>a5jUU000000DNTRYA4</t>
  </si>
  <si>
    <t>a5jUU000000DNrdYAG</t>
  </si>
  <si>
    <t>a5jUU000000DOEDYA4</t>
  </si>
  <si>
    <t>a5jUU000000DQsjYAG</t>
  </si>
  <si>
    <t>a5jUU000000DS05YAG</t>
  </si>
  <si>
    <t>a5jUU000000DU8LYAW</t>
  </si>
  <si>
    <t>a5jUU000000DYOrYAO</t>
  </si>
  <si>
    <t>a5jUU000000DZMXYA4</t>
  </si>
  <si>
    <t>a5jUU000000DZKvYAO</t>
  </si>
  <si>
    <t>a5jUU000000CvfFYAS</t>
  </si>
  <si>
    <t>a5jUU000000COJVYA4</t>
  </si>
  <si>
    <t>a5jUU000000DafBYAS</t>
  </si>
  <si>
    <t>a5jUU000000DaldYAC</t>
  </si>
  <si>
    <t>16CTtqV5ZN8y82WYm</t>
  </si>
  <si>
    <t>16BYSrV5ZkRWN2qCC</t>
  </si>
  <si>
    <t>AzqIcVV5erzbk2XW3</t>
  </si>
  <si>
    <t>AzypHEV5f8MAV2htC</t>
  </si>
  <si>
    <t>16A0NKV5k60Yz1UjR</t>
  </si>
  <si>
    <t>16BRQMV5ksXyP21Jx</t>
  </si>
  <si>
    <t>a5jUU000000CD6LYAW</t>
  </si>
  <si>
    <t>a5jUU000000CE8rYAG</t>
  </si>
  <si>
    <t>a5jUU000000CFw9YAG</t>
  </si>
  <si>
    <t>a5jUU000000CGfJYAW</t>
  </si>
  <si>
    <t>a5jUU000000CHebYAG</t>
  </si>
  <si>
    <t>a5jUU000000CKhJYAW</t>
  </si>
  <si>
    <t>a5jUU000000CLLdYAO</t>
  </si>
  <si>
    <t>a5jUU000000CLNFYA4</t>
  </si>
  <si>
    <t>a5jUU000000CLdNYAW</t>
  </si>
  <si>
    <t>a5jUU000000CMWDYA4</t>
  </si>
  <si>
    <t>a5jUU000000COGHYA4</t>
  </si>
  <si>
    <t>a5jUU000000COY1YAO</t>
  </si>
  <si>
    <t>a5jUU000000COszYAG</t>
  </si>
  <si>
    <t>a5jUU000000CQ0LYAW</t>
  </si>
  <si>
    <t>a5jUU000000CRHNYA4</t>
  </si>
  <si>
    <t>a5jUU000000CweXYAS</t>
  </si>
  <si>
    <t>a5jUU000000CUn7YAG</t>
  </si>
  <si>
    <t>a5jUU000000CYfRYAW</t>
  </si>
  <si>
    <t>a5jUU000000EAE1YAO</t>
  </si>
  <si>
    <t>a5jUU000000EAsLYAW</t>
  </si>
  <si>
    <t>a5jUU000000EEcbYAG</t>
  </si>
  <si>
    <t>a5jUU000000EGmTYAW</t>
  </si>
  <si>
    <t>a5jUU000000EGo5YAG</t>
  </si>
  <si>
    <t>a5jUU000000EJ4PYAW</t>
  </si>
  <si>
    <t>a5jUU000000EJnZYAW</t>
  </si>
  <si>
    <t>a5jUU000000EKoTYAW</t>
  </si>
  <si>
    <t>a5jUU000000F4JRYA0</t>
  </si>
  <si>
    <t>a5jUU000000CiwXYAS</t>
  </si>
  <si>
    <t>a5jUU000000F5QnYAK</t>
  </si>
  <si>
    <t>a5jUU000000F5dhYAC</t>
  </si>
  <si>
    <t>a5jUU000000F5yfYAC</t>
  </si>
  <si>
    <t>a5jUU000000F6TJYA0</t>
  </si>
  <si>
    <t>a5jUU000000F6EnYAK</t>
  </si>
  <si>
    <t>a5jUU000000F6wLYAS</t>
  </si>
  <si>
    <t>a5jUU000000F6xxYAC</t>
  </si>
  <si>
    <t>a5jUU000000F7CTYA0</t>
  </si>
  <si>
    <t>6</t>
  </si>
  <si>
    <t>2030</t>
  </si>
  <si>
    <t>7</t>
  </si>
  <si>
    <t>2028</t>
  </si>
  <si>
    <t>3</t>
  </si>
  <si>
    <t>8</t>
  </si>
  <si>
    <t>2029</t>
  </si>
  <si>
    <t>2</t>
  </si>
  <si>
    <t>11</t>
  </si>
  <si>
    <t>1</t>
  </si>
  <si>
    <t>9</t>
  </si>
  <si>
    <t>4</t>
  </si>
  <si>
    <t>12</t>
  </si>
  <si>
    <t>5</t>
  </si>
  <si>
    <t>instrument</t>
  </si>
  <si>
    <t>Next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</si>
</sst>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d/mmm/yyyy"/>
    <numFmt numFmtId="166" formatCode="dd\ mmm\ yyyy"/>
    <numFmt numFmtId="167" formatCode="yyyy\-mm\-dd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0" fontId="0" fillId="34" borderId="0" xfId="0" applyFill="1"/>
    <xf numFmtId="0" fontId="0" fillId="35" borderId="0" xfId="0" applyFill="1"/>
    <xf numFmtId="0" fontId="14" fillId="36" borderId="0" xfId="0" applyFont="1" applyFill="1"/>
    <xf numFmtId="49" fontId="0" fillId="0" borderId="0" xfId="0" applyNumberFormat="1"/>
    <xf numFmtId="49" fontId="0" fillId="37" borderId="0" xfId="0" applyNumberFormat="1" applyFill="1"/>
    <xf numFmtId="0" fontId="0" fillId="38" borderId="0" xfId="0" applyFill="1"/>
    <xf numFmtId="0" fontId="16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49" fontId="0" fillId="38" borderId="0" xfId="0" applyNumberFormat="1" applyFill="1" applyAlignment="1">
      <alignment horizontal="center"/>
    </xf>
    <xf numFmtId="166" fontId="0" fillId="0" borderId="0" xfId="0" applyNumberFormat="1"/>
    <xf numFmtId="0" fontId="0" fillId="0" borderId="16" xfId="0" applyBorder="1" applyAlignment="1">
      <alignment horizontal="center"/>
    </xf>
    <xf numFmtId="0" fontId="0" fillId="39" borderId="0" xfId="0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166" fontId="0" fillId="39" borderId="0" xfId="0" applyNumberFormat="1" applyFill="1" applyAlignment="1">
      <alignment horizontal="center"/>
    </xf>
    <xf numFmtId="49" fontId="0" fillId="39" borderId="0" xfId="0" applyNumberFormat="1" applyFill="1"/>
    <xf numFmtId="0" fontId="0" fillId="39" borderId="0" xfId="0" applyNumberFormat="1" applyFill="1" applyAlignment="1">
      <alignment horizontal="center"/>
    </xf>
    <xf numFmtId="0" fontId="13" fillId="40" borderId="21" xfId="0" applyFont="1" applyFill="1" applyBorder="1"/>
    <xf numFmtId="0" fontId="0" fillId="41" borderId="21" xfId="0" applyFont="1" applyFill="1" applyBorder="1"/>
    <xf numFmtId="0" fontId="0" fillId="0" borderId="21" xfId="0" applyFont="1" applyBorder="1"/>
    <xf numFmtId="167" fontId="0" fillId="0" borderId="0" xfId="0" applyNumberFormat="1"/>
    <xf numFmtId="0" fontId="0" fillId="0" borderId="0" xfId="0" pivotButton="1"/>
    <xf numFmtId="165" fontId="0" fillId="0" borderId="0" xfId="0" applyNumberFormat="1"/>
    <xf numFmtId="49" fontId="0" fillId="34" borderId="0" xfId="0" applyNumberFormat="1" applyFill="1" applyAlignment="1">
      <alignment horizontal="center"/>
    </xf>
    <xf numFmtId="165" fontId="19" fillId="0" borderId="0" xfId="0" applyNumberFormat="1" applyFont="1"/>
    <xf numFmtId="0" fontId="17" fillId="42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0">
    <dxf>
      <font>
        <color theme="0"/>
      </font>
      <fill>
        <patternFill patternType="solid">
          <fgColor indexed="64"/>
          <bgColor rgb="FF0070C0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5" formatCode="dd/mmm/yyyy"/>
    </dxf>
    <dxf>
      <font>
        <color theme="0" tint="-0.4999847407452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5" formatCode="dd/mmm/yyyy"/>
    </dxf>
    <dxf>
      <font>
        <color theme="0" tint="-0.4999847407452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5" formatCode="dd/mmm/yyyy"/>
    </dxf>
    <dxf>
      <font>
        <color theme="0" tint="-0.4999847407452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5" formatCode="dd/mmm/yyyy"/>
    </dxf>
    <dxf>
      <font>
        <color theme="0" tint="-0.4999847407452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 tint="-0.499984740745262"/>
      </font>
    </dxf>
    <dxf>
      <numFmt numFmtId="167" formatCode="yyyy\-mm\-dd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\ mmm\ yyyy"/>
      <alignment horizontal="center" vertical="bottom" textRotation="0" wrapText="0" indent="0" justifyLastLine="0" shrinkToFit="0" readingOrder="0"/>
    </dxf>
    <dxf>
      <numFmt numFmtId="166" formatCode="dd\ mmm\ yyyy"/>
      <alignment horizontal="center" vertical="bottom" textRotation="0" wrapText="0" indent="0" justifyLastLine="0" shrinkToFit="0" readingOrder="0"/>
    </dxf>
    <dxf>
      <numFmt numFmtId="166" formatCode="dd\ mmm\ yyyy"/>
      <alignment horizontal="center" vertical="bottom" textRotation="0" wrapText="0" indent="0" justifyLastLine="0" shrinkToFit="0" readingOrder="0"/>
    </dxf>
    <dxf>
      <numFmt numFmtId="166" formatCode="dd\ mmm\ yyyy"/>
      <alignment horizontal="center" vertical="bottom" textRotation="0" wrapText="0" indent="0" justifyLastLine="0" shrinkToFit="0" readingOrder="0"/>
    </dxf>
    <dxf>
      <numFmt numFmtId="165" formatCode="dd/mmm/yyyy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\ mmm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7" formatCode="yyyy\-mm\-dd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Lopez" refreshedDate="46227.536792361112" missingItemsLimit="0" createdVersion="8" refreshedVersion="8" minRefreshableVersion="3" recordCount="382" xr:uid="{57A0CF56-4D08-4798-B2A0-6176603EE2EF}">
  <cacheSource type="worksheet">
    <worksheetSource name="Table5"/>
  </cacheSource>
  <cacheFields count="27">
    <cacheField name="TYPE" numFmtId="0">
      <sharedItems count="3">
        <s v="AC"/>
        <s v="SUBS"/>
        <s v="FEE"/>
      </sharedItems>
    </cacheField>
    <cacheField name="AC DATE" numFmtId="166">
      <sharedItems containsDate="1" containsMixedTypes="1" minDate="2023-08-25T00:00:00" maxDate="2026-06-11T00:00:00" count="45">
        <d v="2023-08-25T00:00:00"/>
        <d v="2024-04-10T00:00:00"/>
        <d v="2024-09-11T00:00:00"/>
        <d v="2024-10-24T00:00:00"/>
        <d v="2025-02-14T00:00:00"/>
        <d v="2025-03-07T00:00:00"/>
        <d v="2025-03-13T00:00:00"/>
        <d v="2025-05-15T00:00:00"/>
        <d v="2025-06-04T00:00:00"/>
        <d v="2025-07-11T00:00:00"/>
        <d v="2025-07-22T00:00:00"/>
        <d v="2025-08-05T00:00:00"/>
        <d v="2025-08-30T00:00:00"/>
        <d v="2025-08-25T00:00:00"/>
        <d v="2025-10-14T00:00:00"/>
        <d v="2025-10-31T00:00:00"/>
        <d v="2025-11-13T00:00:00"/>
        <s v=""/>
        <d v="2025-12-02T00:00:00"/>
        <d v="2025-12-15T00:00:00"/>
        <d v="2025-12-10T00:00:00"/>
        <d v="2026-01-19T00:00:00"/>
        <d v="2025-12-26T00:00:00"/>
        <d v="2025-12-17T00:00:00"/>
        <d v="2026-01-16T00:00:00"/>
        <d v="2026-01-30T00:00:00"/>
        <d v="2025-12-18T00:00:00"/>
        <d v="2025-12-30T00:00:00"/>
        <d v="2026-01-02T00:00:00"/>
        <d v="2026-01-09T00:00:00"/>
        <d v="2026-01-14T00:00:00"/>
        <d v="2026-01-21T00:00:00"/>
        <d v="2026-01-15T00:00:00"/>
        <d v="2026-01-20T00:00:00"/>
        <d v="2026-01-28T00:00:00"/>
        <d v="2026-01-27T00:00:00"/>
        <d v="2026-01-26T00:00:00"/>
        <d v="2026-02-06T00:00:00"/>
        <d v="2026-02-20T00:00:00"/>
        <d v="2026-05-18T00:00:00"/>
        <d v="2026-05-29T00:00:00"/>
        <d v="2026-06-01T00:00:00"/>
        <d v="2026-06-05T00:00:00"/>
        <d v="2026-06-10T00:00:00"/>
        <d v="2026-06-04T00:00:00"/>
      </sharedItems>
    </cacheField>
    <cacheField name="AC Split" numFmtId="166">
      <sharedItems containsDate="1" containsMixedTypes="1" minDate="2023-09-01T00:00:00" maxDate="2026-03-01T00:00:00" count="13">
        <d v="2023-09-01T00:00:00"/>
        <s v=""/>
        <d v="2025-02-28T00:00:00"/>
        <d v="2025-03-28T00:00:00"/>
        <d v="2025-08-22T00:00:00"/>
        <d v="2025-11-27T00:00:00"/>
        <d v="2026-02-02T00:00:00"/>
        <d v="2026-01-30T00:00:00"/>
        <d v="2026-01-23T00:00:00"/>
        <d v="2026-01-26T00:00:00"/>
        <d v="2026-02-13T00:00:00"/>
        <d v="2026-02-15T00:00:00"/>
        <d v="2026-02-28T00:00:00"/>
      </sharedItems>
    </cacheField>
    <cacheField name="RC DATE" numFmtId="166">
      <sharedItems containsSemiMixedTypes="0" containsNonDate="0" containsDate="1" containsString="0" minDate="2023-10-30T00:00:00" maxDate="2026-07-26T00:00:00" count="33">
        <d v="2023-10-30T00:00:00"/>
        <d v="2024-05-30T00:00:00"/>
        <d v="2024-10-30T00:00:00"/>
        <d v="2024-11-30T00:00:00"/>
        <d v="2025-03-30T00:00:00"/>
        <d v="2025-04-30T00:00:00"/>
        <d v="2025-06-15T00:00:00"/>
        <d v="2025-07-30T00:00:00"/>
        <d v="2025-08-30T00:00:00"/>
        <d v="2025-09-30T00:00:00"/>
        <d v="2025-11-30T00:00:00"/>
        <d v="2025-12-30T00:00:00"/>
        <d v="2025-12-10T00:00:00"/>
        <d v="2026-01-15T00:00:00"/>
        <d v="2026-01-30T00:00:00"/>
        <d v="2026-03-02T00:00:00"/>
        <d v="2026-02-16T00:00:00"/>
        <d v="2026-02-27T00:00:00"/>
        <d v="2026-01-18T00:00:00"/>
        <d v="2026-01-09T00:00:00"/>
        <d v="2026-02-06T00:00:00"/>
        <d v="2026-02-28T00:00:00"/>
        <d v="2026-02-15T00:00:00"/>
        <d v="2026-02-25T00:00:00"/>
        <d v="2026-03-30T00:00:00"/>
        <d v="2026-03-15T00:00:00"/>
        <d v="2026-03-10T00:00:00"/>
        <d v="2026-06-15T00:00:00"/>
        <d v="2026-06-29T00:00:00"/>
        <d v="2026-06-05T00:00:00"/>
        <d v="2026-07-15T00:00:00"/>
        <d v="2026-07-25T00:00:00"/>
        <d v="2026-07-02T00:00:00"/>
      </sharedItems>
    </cacheField>
    <cacheField name="# months" numFmtId="0">
      <sharedItems containsSemiMixedTypes="0" containsString="0" containsNumber="1" containsInteger="1" minValue="0" maxValue="33" count="17">
        <n v="33"/>
        <n v="26"/>
        <n v="21"/>
        <n v="20"/>
        <n v="16"/>
        <n v="15"/>
        <n v="13"/>
        <n v="12"/>
        <n v="11"/>
        <n v="10"/>
        <n v="8"/>
        <n v="7"/>
        <n v="6"/>
        <n v="4"/>
        <n v="5"/>
        <n v="1"/>
        <n v="0"/>
      </sharedItems>
    </cacheField>
    <cacheField name="CUENTA" numFmtId="166">
      <sharedItems containsSemiMixedTypes="0" containsNonDate="0" containsDate="1" containsString="0" minDate="2025-12-30T00:00:00" maxDate="2026-08-31T00:00:00" count="29">
        <d v="2026-05-30T00:00:00"/>
        <d v="2026-06-30T00:00:00"/>
        <d v="2026-02-28T00:00:00"/>
        <d v="2026-03-15T00:00:00"/>
        <d v="2026-04-30T00:00:00"/>
        <d v="2025-12-30T00:00:00"/>
        <d v="2026-03-30T00:00:00"/>
        <d v="2026-05-10T00:00:00"/>
        <d v="2026-08-30T00:00:00"/>
        <d v="2026-08-15T00:00:00"/>
        <d v="2026-05-02T00:00:00"/>
        <d v="2026-06-15T00:00:00"/>
        <d v="2026-04-16T00:00:00"/>
        <d v="2026-05-27T00:00:00"/>
        <d v="2026-07-18T00:00:00"/>
        <d v="2026-06-09T00:00:00"/>
        <d v="2026-06-06T00:00:00"/>
        <d v="2026-05-28T00:00:00"/>
        <d v="2026-05-15T00:00:00"/>
        <d v="2026-02-27T00:00:00"/>
        <d v="2026-03-25T00:00:00"/>
        <d v="2026-06-28T00:00:00"/>
        <d v="2026-04-25T00:00:00"/>
        <d v="2026-06-10T00:00:00"/>
        <d v="2026-07-15T00:00:00"/>
        <d v="2026-06-29T00:00:00"/>
        <d v="2026-08-05T00:00:00"/>
        <d v="2026-07-25T00:00:00"/>
        <d v="2026-07-02T00:00:00"/>
      </sharedItems>
    </cacheField>
    <cacheField name="ACCEPTED" numFmtId="0">
      <sharedItems containsMixedTypes="1" containsNumber="1" containsInteger="1" minValue="1" maxValue="1"/>
    </cacheField>
    <cacheField name="ESTADO" numFmtId="166">
      <sharedItems count="7">
        <s v="DEBE 2"/>
        <s v="DEBE 1"/>
        <s v="DEBE 5"/>
        <s v="DEBE 4"/>
        <s v="DEBE 3"/>
        <s v="DE MAS 1"/>
        <s v="AL DIA"/>
      </sharedItems>
    </cacheField>
    <cacheField name="#" numFmtId="0">
      <sharedItems containsSemiMixedTypes="0" containsString="0" containsNumber="1" containsInteger="1" minValue="-1" maxValue="5"/>
    </cacheField>
    <cacheField name="val cnt" numFmtId="0">
      <sharedItems/>
    </cacheField>
    <cacheField name="Id" numFmtId="49">
      <sharedItems/>
    </cacheField>
    <cacheField name="Name" numFmtId="49">
      <sharedItems/>
    </cacheField>
    <cacheField name="SM_Contract__c" numFmtId="49">
      <sharedItems count="57">
        <s v="8008W0000055W7KQAU"/>
        <s v="800UU000006eB2xYAE"/>
        <s v="800UU00000HS91pYAD"/>
        <s v="800UU00000J4rfVYAR"/>
        <s v="800UU00000M8FlEYAV"/>
        <s v="800UU00000N36DJYAZ"/>
        <s v="800UU00000NfC87YAF"/>
        <s v="800UU00000O4xgWYAR"/>
        <s v="800UU00000QWWKOYA5"/>
        <s v="800UU00000RHL28YAH"/>
        <s v="800UU00000SnSmEYAV"/>
        <s v="800UU00000SyDC1YAN"/>
        <s v="800UU00000TmpZ1YAJ"/>
        <s v="800UU00000UCZAXYA5"/>
        <s v="800UU00000UcnbEYAR"/>
        <s v="800UU00000WxhMfYAJ"/>
        <s v="800UU00000XZUppYAH"/>
        <s v="800UU00000YsAusYAF"/>
        <s v="800UU00000ZoI41YAF"/>
        <s v="800UU00000Zt6iAYAR"/>
        <s v="800UU00000Zt82SYAR"/>
        <s v="800UU00000ZvCRkYAN"/>
        <s v="800UU00000a6OChYAM"/>
        <s v="800UU00000aKAhlYAG"/>
        <s v="800UU00000aM0nrYAC"/>
        <s v="800UU00000afS0VYAU"/>
        <s v="800UU00000afmlXYAQ"/>
        <s v="800UU00000ajOClYAM"/>
        <s v="800UU00000ajftWYAQ"/>
        <s v="800UU00000amZYEYA2"/>
        <s v="800UU00000anaKBYAY"/>
        <s v="800UU00000bGDGzYAO"/>
        <s v="800UU00000bO0OKYA0"/>
        <s v="800UU00000bdH2AYAU"/>
        <s v="800UU00000bgUIyYAM"/>
        <s v="800UU00000bjnCFYAY"/>
        <s v="800UU00000bzox5YAA"/>
        <s v="800UU00000c3tLVYAY"/>
        <s v="800UU00000c3yWXYAY"/>
        <s v="800UU00000c6XTOYA2"/>
        <s v="800UU00000cA6JDYA0"/>
        <s v="800UU00000cIyj9YAC"/>
        <s v="800UU00000cLnRHYA0"/>
        <s v="800UU00000cMXFgYAO"/>
        <s v="800UU00000cU88oYAC"/>
        <s v="800UU00000cXN4qYAG"/>
        <s v="800UU00000cb3pAYAQ"/>
        <s v="800UU00000crjh3YAA"/>
        <s v="800UU00000dMcHxYAK"/>
        <s v="800UU00000geZi4YAE"/>
        <s v="800UU00000ggCnnYAE"/>
        <s v="800UU00000gpa9PYAQ"/>
        <s v="800UU00000gwSOkYAM"/>
        <s v="800UU00000gwgy0YAA"/>
        <s v="800UU00000h2fuWYAQ"/>
        <s v="800UU00000h47i7YAA"/>
        <s v="800UU00000h5gh2YAA"/>
      </sharedItems>
    </cacheField>
    <cacheField name="SM_Contract__r.ContractNumber" numFmtId="49">
      <sharedItems count="57">
        <s v="00312253"/>
        <s v="00313124"/>
        <s v="00313840"/>
        <s v="00314062"/>
        <s v="00314406"/>
        <s v="00314501"/>
        <s v="00314559"/>
        <s v="00314621"/>
        <s v="00314889"/>
        <s v="00314996"/>
        <s v="00315073"/>
        <s v="00315086"/>
        <s v="00315148"/>
        <s v="00315183"/>
        <s v="00315215"/>
        <s v="00315426"/>
        <s v="00315499"/>
        <s v="00315638"/>
        <s v="00315815"/>
        <s v="00315874"/>
        <s v="00315873"/>
        <s v="00315878"/>
        <s v="00315934"/>
        <s v="00315966"/>
        <s v="00315975"/>
        <s v="00316032"/>
        <s v="00316036"/>
        <s v="00316055"/>
        <s v="00316060"/>
        <s v="00316075"/>
        <s v="00316083"/>
        <s v="00316206"/>
        <s v="00316239"/>
        <s v="00316281"/>
        <s v="00316292"/>
        <s v="00316307"/>
        <s v="00316370"/>
        <s v="00316391"/>
        <s v="00316392"/>
        <s v="00316398"/>
        <s v="00316412"/>
        <s v="00316431"/>
        <s v="00316439"/>
        <s v="00316449"/>
        <s v="00316467"/>
        <s v="00316499"/>
        <s v="00316522"/>
        <s v="00316574"/>
        <s v="00316653"/>
        <s v="00317459"/>
        <s v="00317469"/>
        <s v="00317498"/>
        <s v="00317520"/>
        <s v="00317521"/>
        <s v="00317542"/>
        <s v="00317549"/>
        <s v="00317554"/>
      </sharedItems>
    </cacheField>
    <cacheField name="SM_Contract__r.Status" numFmtId="49">
      <sharedItems/>
    </cacheField>
    <cacheField name="Payment_Status__c" numFmtId="49">
      <sharedItems/>
    </cacheField>
    <cacheField name="SM_Type__c" numFmtId="49">
      <sharedItems/>
    </cacheField>
    <cacheField name="SM_Original_Type__c" numFmtId="49">
      <sharedItems containsBlank="1"/>
    </cacheField>
    <cacheField name="SM_Amount__c" numFmtId="49">
      <sharedItems/>
    </cacheField>
    <cacheField name="SM_Net_Amount__c" numFmtId="49">
      <sharedItems/>
    </cacheField>
    <cacheField name="SM_Fee_value__c" numFmtId="49">
      <sharedItems/>
    </cacheField>
    <cacheField name="SM_Penalty_value__c" numFmtId="49">
      <sharedItems/>
    </cacheField>
    <cacheField name="SM_Payment_Date__c" numFmtId="49">
      <sharedItems/>
    </cacheField>
    <cacheField name="SM_Payment_execution_date__c" numFmtId="49">
      <sharedItems/>
    </cacheField>
    <cacheField name="SM_Payments_refunded__c" numFmtId="49">
      <sharedItems containsBlank="1"/>
    </cacheField>
    <cacheField name="SM_Failed_payment__c" numFmtId="49">
      <sharedItems containsBlank="1"/>
    </cacheField>
    <cacheField name="CreatedDat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x v="0"/>
    <x v="0"/>
    <x v="0"/>
    <x v="0"/>
    <x v="0"/>
    <x v="0"/>
    <n v="1"/>
    <x v="0"/>
    <n v="2"/>
    <b v="1"/>
    <s v="a248W000004TUtMQAW"/>
    <s v="PY-01518322"/>
    <x v="0"/>
    <x v="0"/>
    <s v="Activated"/>
    <s v="ACCEPTED"/>
    <s v="AC"/>
    <s v="AC"/>
    <s v="49.5"/>
    <s v="55.19"/>
    <s v="49.5"/>
    <s v="0.0"/>
    <s v="2023-08-25"/>
    <s v="2023-08-24T16:32:38.000Z"/>
    <m/>
    <m/>
    <s v="2023-08-24T16:32:38.000Z"/>
  </r>
  <r>
    <x v="0"/>
    <x v="0"/>
    <x v="0"/>
    <x v="0"/>
    <x v="0"/>
    <x v="0"/>
    <n v="1"/>
    <x v="0"/>
    <n v="2"/>
    <b v="1"/>
    <s v="a248W000004TWvbQAG"/>
    <s v="PY-01520660"/>
    <x v="0"/>
    <x v="0"/>
    <s v="Activated"/>
    <s v="ACCEPTED"/>
    <s v="Late payment fee"/>
    <s v="AC"/>
    <s v="49.5"/>
    <s v="55.19"/>
    <s v="49.5"/>
    <s v="0.0"/>
    <s v="2023-09-04"/>
    <s v="2023-09-01T20:45:04.000Z"/>
    <m/>
    <s v="a248W000004TWm0QAG"/>
    <s v="2023-09-01T20:45:04.000Z"/>
  </r>
  <r>
    <x v="1"/>
    <x v="0"/>
    <x v="0"/>
    <x v="0"/>
    <x v="0"/>
    <x v="0"/>
    <n v="1"/>
    <x v="0"/>
    <n v="2"/>
    <b v="1"/>
    <s v="a248W000004jWBdQAM"/>
    <s v="PY-01530602"/>
    <x v="0"/>
    <x v="0"/>
    <s v="Activated"/>
    <s v="ACCEPTED"/>
    <s v="Late payment fee"/>
    <s v="Fee"/>
    <s v="75.0"/>
    <s v="83.63"/>
    <s v="75.0"/>
    <s v="0.0"/>
    <s v="2023-10-23"/>
    <s v="2023-10-20T16:08:38.000Z"/>
    <m/>
    <s v="a248W000004jW47QAE"/>
    <s v="2023-10-20T16:08:38.000Z"/>
  </r>
  <r>
    <x v="1"/>
    <x v="0"/>
    <x v="0"/>
    <x v="0"/>
    <x v="0"/>
    <x v="0"/>
    <n v="1"/>
    <x v="0"/>
    <n v="2"/>
    <b v="1"/>
    <s v="a24UU0000005vvTYAQ"/>
    <s v="PY-01537719"/>
    <x v="0"/>
    <x v="0"/>
    <s v="Activated"/>
    <s v="ACCEPTED"/>
    <s v="Fee"/>
    <s v="Subscription"/>
    <s v="75.0"/>
    <s v="83.63"/>
    <s v="75.0"/>
    <s v="0.0"/>
    <s v="2023-11-30"/>
    <s v="2023-11-30T10:11:51.000Z"/>
    <m/>
    <m/>
    <s v="2023-11-30T10:11:51.000Z"/>
  </r>
  <r>
    <x v="1"/>
    <x v="0"/>
    <x v="0"/>
    <x v="0"/>
    <x v="0"/>
    <x v="0"/>
    <n v="1"/>
    <x v="0"/>
    <n v="2"/>
    <b v="1"/>
    <s v="a24UU000000AdOVYA0"/>
    <s v="PY-01542806"/>
    <x v="0"/>
    <x v="0"/>
    <s v="Activated"/>
    <s v="ACCEPTED"/>
    <s v="Fee"/>
    <s v="Subscription"/>
    <s v="75.0"/>
    <s v="83.63"/>
    <s v="75.0"/>
    <s v="0.0"/>
    <s v="2023-12-29"/>
    <s v="2023-12-29T10:10:48.000Z"/>
    <m/>
    <m/>
    <s v="2023-12-29T10:10:48.000Z"/>
  </r>
  <r>
    <x v="1"/>
    <x v="0"/>
    <x v="0"/>
    <x v="0"/>
    <x v="0"/>
    <x v="0"/>
    <n v="1"/>
    <x v="0"/>
    <n v="2"/>
    <b v="1"/>
    <s v="a24UU000000CRXWYA4"/>
    <s v="PY-01548575"/>
    <x v="0"/>
    <x v="0"/>
    <s v="Activated"/>
    <s v="ACCEPTED"/>
    <s v="Fee"/>
    <s v="Subscription"/>
    <s v="75.0"/>
    <s v="83.63"/>
    <s v="75.0"/>
    <s v="0.0"/>
    <s v="2024-01-26"/>
    <s v="2024-01-26T10:12:56.000Z"/>
    <m/>
    <m/>
    <s v="2024-01-26T10:12:56.000Z"/>
  </r>
  <r>
    <x v="1"/>
    <x v="0"/>
    <x v="0"/>
    <x v="0"/>
    <x v="0"/>
    <x v="0"/>
    <n v="1"/>
    <x v="0"/>
    <n v="2"/>
    <b v="1"/>
    <s v="a24UU000000EpnRYAS"/>
    <s v="PY-01555374"/>
    <x v="0"/>
    <x v="0"/>
    <s v="Activated"/>
    <s v="ACCEPTED"/>
    <s v="Fee"/>
    <s v="Subscription"/>
    <s v="75.0"/>
    <s v="83.63"/>
    <s v="75.0"/>
    <s v="0.0"/>
    <s v="2024-02-29"/>
    <s v="2024-02-22T14:55:13.000Z"/>
    <m/>
    <m/>
    <s v="2024-02-22T14:55:13.000Z"/>
  </r>
  <r>
    <x v="1"/>
    <x v="0"/>
    <x v="0"/>
    <x v="0"/>
    <x v="0"/>
    <x v="0"/>
    <n v="1"/>
    <x v="0"/>
    <n v="2"/>
    <b v="1"/>
    <s v="a24UU000000HsVRYA0"/>
    <s v="PY-01563723"/>
    <x v="0"/>
    <x v="0"/>
    <s v="Activated"/>
    <s v="ACCEPTED"/>
    <s v="Fee"/>
    <s v="Subscription"/>
    <s v="75.0"/>
    <s v="83.63"/>
    <s v="75.0"/>
    <s v="0.0"/>
    <s v="2024-03-29"/>
    <s v="2024-03-21T14:02:05.000Z"/>
    <m/>
    <m/>
    <s v="2024-03-21T14:02:05.000Z"/>
  </r>
  <r>
    <x v="1"/>
    <x v="0"/>
    <x v="0"/>
    <x v="0"/>
    <x v="0"/>
    <x v="0"/>
    <n v="1"/>
    <x v="0"/>
    <n v="2"/>
    <b v="1"/>
    <s v="a24UU000000L7GDYA0"/>
    <s v="PY-01572021"/>
    <x v="0"/>
    <x v="0"/>
    <s v="Activated"/>
    <s v="ACCEPTED"/>
    <s v="Fee"/>
    <s v="Subscription"/>
    <s v="75.0"/>
    <s v="83.63"/>
    <s v="75.0"/>
    <s v="0.0"/>
    <s v="2024-04-30"/>
    <s v="2024-04-18T16:55:29.000Z"/>
    <m/>
    <m/>
    <s v="2024-04-18T16:55:29.000Z"/>
  </r>
  <r>
    <x v="1"/>
    <x v="0"/>
    <x v="0"/>
    <x v="0"/>
    <x v="0"/>
    <x v="0"/>
    <n v="1"/>
    <x v="0"/>
    <n v="2"/>
    <b v="1"/>
    <s v="a24UU000000QEYsYAO"/>
    <s v="PY-01582103"/>
    <x v="0"/>
    <x v="0"/>
    <s v="Activated"/>
    <s v="ACCEPTED"/>
    <s v="Fee"/>
    <s v="Subscription"/>
    <s v="75.0"/>
    <s v="83.63"/>
    <s v="75.0"/>
    <s v="0.0"/>
    <s v="2024-05-30"/>
    <s v="2024-05-30T10:07:49.000Z"/>
    <m/>
    <m/>
    <s v="2024-05-30T10:07:49.000Z"/>
  </r>
  <r>
    <x v="1"/>
    <x v="0"/>
    <x v="0"/>
    <x v="0"/>
    <x v="0"/>
    <x v="0"/>
    <n v="1"/>
    <x v="0"/>
    <n v="2"/>
    <b v="1"/>
    <s v="a24UU000000TUdsYAG"/>
    <s v="PY-01589982"/>
    <x v="0"/>
    <x v="0"/>
    <s v="Activated"/>
    <s v="ACCEPTED"/>
    <s v="Fee"/>
    <s v="Subscription"/>
    <s v="75.0"/>
    <s v="83.63"/>
    <s v="75.0"/>
    <s v="0.0"/>
    <s v="2024-06-28"/>
    <s v="2024-06-28T10:07:48.000Z"/>
    <m/>
    <m/>
    <s v="2024-06-28T10:07:48.000Z"/>
  </r>
  <r>
    <x v="1"/>
    <x v="0"/>
    <x v="0"/>
    <x v="0"/>
    <x v="0"/>
    <x v="0"/>
    <n v="1"/>
    <x v="0"/>
    <n v="2"/>
    <b v="1"/>
    <s v="a24UU000000YRUGYA4"/>
    <s v="PY-01599030"/>
    <x v="0"/>
    <x v="0"/>
    <s v="Activated"/>
    <s v="ACCEPTED"/>
    <s v="Fee"/>
    <s v="Subscription"/>
    <s v="75.0"/>
    <s v="83.63"/>
    <s v="75.0"/>
    <s v="0.0"/>
    <s v="2024-07-30"/>
    <s v="2024-07-30T10:06:58.000Z"/>
    <m/>
    <m/>
    <s v="2024-07-30T10:06:58.000Z"/>
  </r>
  <r>
    <x v="1"/>
    <x v="0"/>
    <x v="0"/>
    <x v="0"/>
    <x v="0"/>
    <x v="0"/>
    <n v="1"/>
    <x v="0"/>
    <n v="2"/>
    <b v="1"/>
    <s v="a24UU000000qDu5YAE"/>
    <s v="PY-01619595"/>
    <x v="0"/>
    <x v="0"/>
    <s v="Activated"/>
    <s v="ACCEPTED"/>
    <s v="Late payment fee"/>
    <s v="Fee"/>
    <s v="100.0"/>
    <s v="111.5"/>
    <s v="75.0"/>
    <s v="25.0"/>
    <s v="2024-10-03"/>
    <s v="2024-10-03T10:17:10.000Z"/>
    <m/>
    <s v="a24UU000000oW1ZYAU"/>
    <s v="2024-10-03T10:17:10.000Z"/>
  </r>
  <r>
    <x v="1"/>
    <x v="0"/>
    <x v="0"/>
    <x v="0"/>
    <x v="0"/>
    <x v="0"/>
    <n v="1"/>
    <x v="0"/>
    <n v="2"/>
    <b v="1"/>
    <s v="a24UU000000yKFBYA2"/>
    <s v="PY-01630073"/>
    <x v="0"/>
    <x v="0"/>
    <s v="Activated"/>
    <s v="ACCEPTED"/>
    <s v="Late payment fee"/>
    <s v="Fee"/>
    <s v="100.0"/>
    <s v="111.5"/>
    <s v="75.0"/>
    <s v="25.0"/>
    <s v="2024-11-01"/>
    <s v="2024-10-31T15:48:19.000Z"/>
    <m/>
    <s v="a24UU000000xqlpYAA"/>
    <s v="2024-10-31T15:48:19.000Z"/>
  </r>
  <r>
    <x v="1"/>
    <x v="0"/>
    <x v="0"/>
    <x v="0"/>
    <x v="0"/>
    <x v="0"/>
    <n v="1"/>
    <x v="0"/>
    <n v="2"/>
    <b v="1"/>
    <s v="a24UU0000016DWfYAM"/>
    <s v="PY-01639428"/>
    <x v="0"/>
    <x v="0"/>
    <s v="Activated"/>
    <s v="ACCEPTED"/>
    <s v="Fee"/>
    <s v="Subscription"/>
    <s v="75.0"/>
    <s v="83.63"/>
    <s v="75.0"/>
    <s v="0.0"/>
    <s v="2024-11-29"/>
    <s v="2024-11-29T10:06:48.000Z"/>
    <m/>
    <m/>
    <s v="2024-11-29T10:06:48.000Z"/>
  </r>
  <r>
    <x v="1"/>
    <x v="0"/>
    <x v="0"/>
    <x v="0"/>
    <x v="0"/>
    <x v="0"/>
    <n v="1"/>
    <x v="0"/>
    <n v="2"/>
    <b v="1"/>
    <s v="a24UU000001DSpDYAW"/>
    <s v="PY-01649964"/>
    <x v="0"/>
    <x v="0"/>
    <s v="Activated"/>
    <s v="ACCEPTED"/>
    <s v="Fee"/>
    <s v="Subscription"/>
    <s v="75.0"/>
    <s v="83.63"/>
    <s v="75.0"/>
    <s v="0.0"/>
    <s v="2024-12-30"/>
    <s v="2024-12-30T10:06:17.000Z"/>
    <m/>
    <m/>
    <s v="2024-12-30T10:06:17.000Z"/>
  </r>
  <r>
    <x v="0"/>
    <x v="1"/>
    <x v="1"/>
    <x v="1"/>
    <x v="1"/>
    <x v="1"/>
    <n v="1"/>
    <x v="1"/>
    <n v="1"/>
    <b v="1"/>
    <s v="a24UU000000KEV3YAO"/>
    <s v="PY-01568805"/>
    <x v="1"/>
    <x v="1"/>
    <s v="Activated"/>
    <s v="ACCEPTED"/>
    <s v="AC"/>
    <s v="AC"/>
    <s v="99.0"/>
    <s v="110.39"/>
    <s v="99.0"/>
    <s v="0.0"/>
    <s v="2024-04-10"/>
    <s v="2024-04-10T20:49:54.000Z"/>
    <m/>
    <m/>
    <s v="2024-04-10T20:49:54.000Z"/>
  </r>
  <r>
    <x v="1"/>
    <x v="1"/>
    <x v="1"/>
    <x v="1"/>
    <x v="1"/>
    <x v="1"/>
    <n v="1"/>
    <x v="1"/>
    <n v="1"/>
    <b v="1"/>
    <s v="a24UU000000QFTNYA4"/>
    <s v="PY-01582496"/>
    <x v="1"/>
    <x v="1"/>
    <s v="Activated"/>
    <s v="ACCEPTED"/>
    <s v="Fee"/>
    <s v="Subscription"/>
    <s v="79.0"/>
    <s v="88.09"/>
    <s v="79.0"/>
    <s v="0.0"/>
    <s v="2024-05-30"/>
    <s v="2024-05-30T10:16:39.000Z"/>
    <m/>
    <m/>
    <s v="2024-05-30T10:16:39.000Z"/>
  </r>
  <r>
    <x v="1"/>
    <x v="1"/>
    <x v="1"/>
    <x v="1"/>
    <x v="1"/>
    <x v="1"/>
    <n v="1"/>
    <x v="1"/>
    <n v="1"/>
    <b v="1"/>
    <s v="a24UU000000TVGYYA4"/>
    <s v="PY-01590259"/>
    <x v="1"/>
    <x v="1"/>
    <s v="Activated"/>
    <s v="ACCEPTED"/>
    <s v="Fee"/>
    <s v="Subscription"/>
    <s v="79.0"/>
    <s v="88.09"/>
    <s v="79.0"/>
    <s v="0.0"/>
    <s v="2024-06-28"/>
    <s v="2024-06-28T10:14:00.000Z"/>
    <m/>
    <m/>
    <s v="2024-06-28T10:14:00.000Z"/>
  </r>
  <r>
    <x v="1"/>
    <x v="1"/>
    <x v="1"/>
    <x v="1"/>
    <x v="1"/>
    <x v="1"/>
    <n v="1"/>
    <x v="1"/>
    <n v="1"/>
    <b v="1"/>
    <s v="a24UU000000Y9c6YAC"/>
    <s v="PY-01598815"/>
    <x v="1"/>
    <x v="1"/>
    <s v="Activated"/>
    <s v="ACCEPTED"/>
    <s v="Late payment fee"/>
    <s v="Fee"/>
    <s v="104.0"/>
    <s v="115.96"/>
    <s v="79.0"/>
    <s v="25.0"/>
    <s v="2024-07-29"/>
    <s v="2024-07-29T10:14:16.000Z"/>
    <m/>
    <s v="a24UU000000Xf1HYAS"/>
    <s v="2024-07-29T10:14:16.000Z"/>
  </r>
  <r>
    <x v="1"/>
    <x v="1"/>
    <x v="1"/>
    <x v="1"/>
    <x v="1"/>
    <x v="1"/>
    <n v="1"/>
    <x v="1"/>
    <n v="1"/>
    <b v="1"/>
    <s v="a24UU000000gdWPYAY"/>
    <s v="PY-01607567"/>
    <x v="1"/>
    <x v="1"/>
    <s v="Activated"/>
    <s v="ACCEPTED"/>
    <s v="Fee"/>
    <s v="Subscription"/>
    <s v="79.0"/>
    <s v="88.09"/>
    <s v="79.0"/>
    <s v="0.0"/>
    <s v="2024-08-30"/>
    <s v="2024-08-30T10:10:53.000Z"/>
    <m/>
    <m/>
    <s v="2024-08-30T10:10:53.000Z"/>
  </r>
  <r>
    <x v="1"/>
    <x v="1"/>
    <x v="1"/>
    <x v="1"/>
    <x v="1"/>
    <x v="1"/>
    <n v="1"/>
    <x v="1"/>
    <n v="1"/>
    <b v="1"/>
    <s v="a24UU000000oWL6YAM"/>
    <s v="PY-01616916"/>
    <x v="1"/>
    <x v="1"/>
    <s v="Activated"/>
    <s v="ACCEPTED"/>
    <s v="Fee"/>
    <s v="Subscription"/>
    <s v="79.0"/>
    <s v="88.09"/>
    <s v="79.0"/>
    <s v="0.0"/>
    <s v="2024-09-27"/>
    <s v="2024-09-27T14:46:11.000Z"/>
    <m/>
    <m/>
    <s v="2024-09-27T14:46:11.000Z"/>
  </r>
  <r>
    <x v="1"/>
    <x v="1"/>
    <x v="1"/>
    <x v="1"/>
    <x v="1"/>
    <x v="1"/>
    <n v="1"/>
    <x v="1"/>
    <n v="1"/>
    <b v="1"/>
    <s v="a24UU000000ya3pYAA"/>
    <s v="PY-01630896"/>
    <x v="1"/>
    <x v="1"/>
    <s v="Activated"/>
    <s v="ACCEPTED"/>
    <s v="Late payment fee"/>
    <s v="Fee"/>
    <s v="104.0"/>
    <s v="115.96"/>
    <s v="79.0"/>
    <s v="25.0"/>
    <s v="2024-11-01"/>
    <s v="2024-11-01T10:18:39.000Z"/>
    <m/>
    <s v="a24UU000000xr3YYAQ"/>
    <s v="2024-11-01T10:18:39.000Z"/>
  </r>
  <r>
    <x v="1"/>
    <x v="1"/>
    <x v="1"/>
    <x v="1"/>
    <x v="1"/>
    <x v="1"/>
    <n v="1"/>
    <x v="1"/>
    <n v="1"/>
    <b v="1"/>
    <s v="a24UU0000016DtIYAU"/>
    <s v="PY-01639555"/>
    <x v="1"/>
    <x v="1"/>
    <s v="Activated"/>
    <s v="ACCEPTED"/>
    <s v="Fee"/>
    <s v="Subscription"/>
    <s v="79.0"/>
    <s v="88.09"/>
    <s v="79.0"/>
    <s v="0.0"/>
    <s v="2024-11-29"/>
    <s v="2024-11-29T10:09:32.000Z"/>
    <m/>
    <m/>
    <s v="2024-11-29T10:09:32.000Z"/>
  </r>
  <r>
    <x v="1"/>
    <x v="1"/>
    <x v="1"/>
    <x v="1"/>
    <x v="1"/>
    <x v="1"/>
    <n v="1"/>
    <x v="1"/>
    <n v="1"/>
    <b v="1"/>
    <s v="a24UU000001DT5FYAW"/>
    <s v="PY-01650058"/>
    <x v="1"/>
    <x v="1"/>
    <s v="Activated"/>
    <s v="ACCEPTED"/>
    <s v="Fee"/>
    <s v="Subscription"/>
    <s v="79.0"/>
    <s v="88.09"/>
    <s v="79.0"/>
    <s v="0.0"/>
    <s v="2024-12-30"/>
    <s v="2024-12-30T10:08:27.000Z"/>
    <m/>
    <m/>
    <s v="2024-12-30T10:08:27.000Z"/>
  </r>
  <r>
    <x v="0"/>
    <x v="2"/>
    <x v="1"/>
    <x v="2"/>
    <x v="2"/>
    <x v="2"/>
    <n v="1"/>
    <x v="2"/>
    <n v="5"/>
    <b v="1"/>
    <s v="a24UU000000jo0gYAA"/>
    <s v="PY-01610948"/>
    <x v="2"/>
    <x v="2"/>
    <s v="Activated"/>
    <s v="ACCEPTED"/>
    <s v="AC"/>
    <s v="AC"/>
    <s v="99.0"/>
    <s v="110.39"/>
    <s v="99.0"/>
    <s v="0.0"/>
    <s v="2024-09-11"/>
    <s v="2024-09-11T18:40:10.000Z"/>
    <m/>
    <m/>
    <s v="2024-09-11T18:40:10.000Z"/>
  </r>
  <r>
    <x v="1"/>
    <x v="2"/>
    <x v="1"/>
    <x v="2"/>
    <x v="2"/>
    <x v="2"/>
    <n v="1"/>
    <x v="2"/>
    <n v="5"/>
    <b v="1"/>
    <s v="a24UU0000011AMYYA2"/>
    <s v="PY-01634043"/>
    <x v="2"/>
    <x v="2"/>
    <s v="Activated"/>
    <s v="ACCEPTED"/>
    <s v="Late payment fee"/>
    <s v="Fee"/>
    <s v="104.0"/>
    <s v="115.96"/>
    <s v="79.0"/>
    <s v="25.0"/>
    <s v="2024-11-11"/>
    <s v="2024-11-11T10:16:55.000Z"/>
    <m/>
    <s v="a24UU000000xroKYAQ"/>
    <s v="2024-11-11T10:16:55.000Z"/>
  </r>
  <r>
    <x v="1"/>
    <x v="2"/>
    <x v="1"/>
    <x v="2"/>
    <x v="2"/>
    <x v="2"/>
    <n v="1"/>
    <x v="2"/>
    <n v="5"/>
    <b v="1"/>
    <s v="a24UU0000016EanYAE"/>
    <s v="PY-01639827"/>
    <x v="2"/>
    <x v="2"/>
    <s v="Activated"/>
    <s v="ACCEPTED"/>
    <s v="Fee"/>
    <s v="Subscription"/>
    <s v="79.0"/>
    <s v="88.09"/>
    <s v="79.0"/>
    <s v="0.0"/>
    <s v="2024-11-29"/>
    <s v="2024-11-29T10:15:23.000Z"/>
    <m/>
    <m/>
    <s v="2024-11-29T10:15:23.000Z"/>
  </r>
  <r>
    <x v="1"/>
    <x v="2"/>
    <x v="1"/>
    <x v="2"/>
    <x v="2"/>
    <x v="2"/>
    <n v="1"/>
    <x v="2"/>
    <n v="5"/>
    <b v="1"/>
    <s v="a24UU000001DSVnYAO"/>
    <s v="PY-01650243"/>
    <x v="2"/>
    <x v="2"/>
    <s v="Activated"/>
    <s v="ACCEPTED"/>
    <s v="Fee"/>
    <s v="Subscription"/>
    <s v="79.0"/>
    <s v="88.09"/>
    <s v="79.0"/>
    <s v="0.0"/>
    <s v="2024-12-30"/>
    <s v="2024-12-30T10:12:16.000Z"/>
    <m/>
    <m/>
    <s v="2024-12-30T10:12:16.000Z"/>
  </r>
  <r>
    <x v="0"/>
    <x v="3"/>
    <x v="1"/>
    <x v="3"/>
    <x v="3"/>
    <x v="2"/>
    <n v="1"/>
    <x v="2"/>
    <n v="5"/>
    <b v="1"/>
    <s v="a24UU000000wUNVYA2"/>
    <s v="PY-01627321"/>
    <x v="3"/>
    <x v="3"/>
    <s v="Activated"/>
    <s v="ACCEPTED"/>
    <s v="AC"/>
    <s v="AC"/>
    <s v="119.0"/>
    <s v="132.69"/>
    <s v="119.0"/>
    <s v="0.0"/>
    <s v="2024-10-24"/>
    <s v="2024-10-24T22:51:23.000Z"/>
    <m/>
    <m/>
    <s v="2024-10-24T22:51:23.000Z"/>
  </r>
  <r>
    <x v="1"/>
    <x v="3"/>
    <x v="1"/>
    <x v="3"/>
    <x v="3"/>
    <x v="2"/>
    <n v="1"/>
    <x v="2"/>
    <n v="5"/>
    <b v="1"/>
    <s v="a24UU0000016F2EYAU"/>
    <s v="PY-01640044"/>
    <x v="3"/>
    <x v="3"/>
    <s v="Activated"/>
    <s v="ACCEPTED"/>
    <s v="Fee"/>
    <s v="Subscription"/>
    <s v="75.0"/>
    <s v="83.63"/>
    <s v="75.0"/>
    <s v="0.0"/>
    <s v="2024-11-29"/>
    <s v="2024-11-29T10:19:36.000Z"/>
    <m/>
    <m/>
    <s v="2024-11-29T10:19:36.000Z"/>
  </r>
  <r>
    <x v="1"/>
    <x v="0"/>
    <x v="0"/>
    <x v="0"/>
    <x v="0"/>
    <x v="0"/>
    <n v="1"/>
    <x v="0"/>
    <n v="2"/>
    <b v="1"/>
    <s v="a24UU000001RWw8YAG"/>
    <s v="PY-01668601"/>
    <x v="0"/>
    <x v="0"/>
    <s v="Activated"/>
    <s v="ACCEPTED"/>
    <s v="Late payment fee"/>
    <s v="Fee"/>
    <s v="100.0"/>
    <s v="111.5"/>
    <s v="75.0"/>
    <s v="25.0"/>
    <s v="2025-02-20"/>
    <s v="2025-02-20T10:14:04.000Z"/>
    <m/>
    <s v="a24UU000001LgAKYA0"/>
    <s v="2025-02-20T10:14:04.000Z"/>
  </r>
  <r>
    <x v="1"/>
    <x v="0"/>
    <x v="0"/>
    <x v="0"/>
    <x v="0"/>
    <x v="0"/>
    <n v="1"/>
    <x v="0"/>
    <n v="2"/>
    <b v="1"/>
    <s v="a24UU000001Y9mfYAC"/>
    <s v="PY-01675706"/>
    <x v="0"/>
    <x v="0"/>
    <s v="Activated"/>
    <s v="ACCEPTED"/>
    <s v="Late payment fee"/>
    <m/>
    <s v="100.01"/>
    <s v="111.51"/>
    <s v="75.01"/>
    <s v="25.0"/>
    <s v="2025-03-17"/>
    <s v="2025-03-14T16:43:29.000Z"/>
    <m/>
    <m/>
    <s v="2025-03-14T16:43:29.000Z"/>
  </r>
  <r>
    <x v="1"/>
    <x v="0"/>
    <x v="0"/>
    <x v="0"/>
    <x v="0"/>
    <x v="0"/>
    <n v="1"/>
    <x v="0"/>
    <n v="2"/>
    <b v="1"/>
    <s v="a24UU000001Y9zZYAS"/>
    <s v="PY-01675707"/>
    <x v="0"/>
    <x v="0"/>
    <s v="Activated"/>
    <s v="ACCEPTED"/>
    <s v="Fee"/>
    <s v="Subscription"/>
    <s v="75.0"/>
    <s v="83.63"/>
    <s v="75.0"/>
    <s v="0.0"/>
    <s v="2025-03-28"/>
    <s v="2025-03-14T17:01:55.000Z"/>
    <m/>
    <m/>
    <s v="2025-03-14T17:01:55.000Z"/>
  </r>
  <r>
    <x v="1"/>
    <x v="0"/>
    <x v="0"/>
    <x v="0"/>
    <x v="0"/>
    <x v="0"/>
    <n v="1"/>
    <x v="0"/>
    <n v="2"/>
    <b v="1"/>
    <s v="a24UU000001yXgVYAU"/>
    <s v="PY-01685512"/>
    <x v="0"/>
    <x v="0"/>
    <s v="Activated"/>
    <s v="ACCEPTED"/>
    <s v="Late payment fee"/>
    <m/>
    <s v="75.0"/>
    <s v="83.63"/>
    <s v="75.0"/>
    <s v="0.0"/>
    <s v="2025-04-18"/>
    <s v="2025-04-17T14:12:51.000Z"/>
    <m/>
    <m/>
    <s v="2025-04-17T14:12:51.000Z"/>
  </r>
  <r>
    <x v="1"/>
    <x v="0"/>
    <x v="0"/>
    <x v="0"/>
    <x v="0"/>
    <x v="0"/>
    <n v="1"/>
    <x v="0"/>
    <n v="2"/>
    <b v="1"/>
    <s v="a24UU0000027m8WYAQ"/>
    <s v="PY-01689462"/>
    <x v="0"/>
    <x v="0"/>
    <s v="Activated"/>
    <s v="ACCEPTED"/>
    <s v="Fee"/>
    <s v="Subscription"/>
    <s v="75.0"/>
    <s v="83.63"/>
    <s v="75.0"/>
    <s v="0.0"/>
    <s v="2025-04-30"/>
    <s v="2025-04-30T10:06:10.000Z"/>
    <m/>
    <m/>
    <s v="2025-04-30T10:06:10.000Z"/>
  </r>
  <r>
    <x v="1"/>
    <x v="0"/>
    <x v="0"/>
    <x v="0"/>
    <x v="0"/>
    <x v="0"/>
    <n v="1"/>
    <x v="0"/>
    <n v="2"/>
    <b v="1"/>
    <s v="a24UU000002RZtaYAG"/>
    <s v="PY-01706102"/>
    <x v="0"/>
    <x v="0"/>
    <s v="Activated"/>
    <s v="ACCEPTED"/>
    <s v="Late payment fee"/>
    <s v="Fee"/>
    <s v="100.0"/>
    <s v="111.5"/>
    <s v="75.0"/>
    <s v="25.0"/>
    <s v="2025-06-26"/>
    <s v="2025-06-26T10:13:50.000Z"/>
    <m/>
    <s v="a24UU000002HWc4YAG"/>
    <s v="2025-06-26T10:13:50.000Z"/>
  </r>
  <r>
    <x v="1"/>
    <x v="0"/>
    <x v="0"/>
    <x v="0"/>
    <x v="0"/>
    <x v="0"/>
    <n v="1"/>
    <x v="0"/>
    <n v="2"/>
    <b v="1"/>
    <s v="a24UU000002SBU2YAO"/>
    <s v="PY-01707139"/>
    <x v="0"/>
    <x v="0"/>
    <s v="Activated"/>
    <s v="ACCEPTED"/>
    <s v="Fee"/>
    <s v="Subscription"/>
    <s v="75.0"/>
    <s v="83.63"/>
    <s v="75.0"/>
    <s v="0.0"/>
    <s v="2025-06-27"/>
    <s v="2025-06-27T21:11:06.000Z"/>
    <m/>
    <m/>
    <s v="2025-06-27T21:11:06.000Z"/>
  </r>
  <r>
    <x v="1"/>
    <x v="0"/>
    <x v="0"/>
    <x v="0"/>
    <x v="0"/>
    <x v="0"/>
    <n v="1"/>
    <x v="0"/>
    <n v="2"/>
    <b v="1"/>
    <s v="a24UU000002wPbGYAU"/>
    <s v="PY-01732968"/>
    <x v="0"/>
    <x v="0"/>
    <s v="Activated"/>
    <s v="ACCEPTED"/>
    <s v="Late payment fee"/>
    <s v="Fee"/>
    <s v="100.0"/>
    <s v="111.5"/>
    <s v="75.0"/>
    <s v="25.0"/>
    <s v="2025-09-18"/>
    <s v="2025-09-18T10:04:05.000Z"/>
    <m/>
    <s v="a24UU000002drecYAA"/>
    <s v="2025-09-18T10:04:05.000Z"/>
  </r>
  <r>
    <x v="1"/>
    <x v="0"/>
    <x v="0"/>
    <x v="0"/>
    <x v="0"/>
    <x v="0"/>
    <n v="1"/>
    <x v="0"/>
    <n v="2"/>
    <b v="1"/>
    <s v="a24UU000002wQ10YAE"/>
    <s v="PY-01733116"/>
    <x v="0"/>
    <x v="0"/>
    <s v="Activated"/>
    <s v="ACCEPTED"/>
    <s v="Late payment fee"/>
    <s v="Fee"/>
    <s v="100.0"/>
    <s v="111.5"/>
    <s v="75.0"/>
    <s v="25.0"/>
    <s v="2025-09-18"/>
    <s v="2025-09-18T10:07:14.000Z"/>
    <m/>
    <s v="a24UU000002pBYAYA2"/>
    <s v="2025-09-18T10:07:14.000Z"/>
  </r>
  <r>
    <x v="1"/>
    <x v="0"/>
    <x v="0"/>
    <x v="0"/>
    <x v="0"/>
    <x v="0"/>
    <n v="1"/>
    <x v="0"/>
    <n v="2"/>
    <b v="1"/>
    <s v="a24UU000003BeN0YAK"/>
    <s v="PY-01747052"/>
    <x v="0"/>
    <x v="0"/>
    <s v="Activated"/>
    <s v="ACCEPTED"/>
    <s v="Fee"/>
    <s v="Subscription"/>
    <s v="75.0"/>
    <s v="83.63"/>
    <s v="75.0"/>
    <s v="0.0"/>
    <s v="2025-10-30"/>
    <s v="2025-10-30T10:01:34.000Z"/>
    <m/>
    <m/>
    <s v="2025-10-30T10:01:34.000Z"/>
  </r>
  <r>
    <x v="1"/>
    <x v="0"/>
    <x v="0"/>
    <x v="0"/>
    <x v="0"/>
    <x v="0"/>
    <n v="1"/>
    <x v="0"/>
    <n v="2"/>
    <b v="1"/>
    <s v="a24UU000003GddEYAS"/>
    <s v="PY-01752184"/>
    <x v="0"/>
    <x v="0"/>
    <s v="Activated"/>
    <s v="ACCEPTED"/>
    <s v="Late payment fee"/>
    <s v="Fee"/>
    <s v="100.0"/>
    <s v="100.0"/>
    <s v="75.0"/>
    <s v="25.0"/>
    <s v="2025-11-13"/>
    <s v="2025-11-13T10:06:41.000Z"/>
    <m/>
    <s v="a24UU0000030oCsYAI"/>
    <s v="2025-11-13T10:06:41.000Z"/>
  </r>
  <r>
    <x v="1"/>
    <x v="0"/>
    <x v="0"/>
    <x v="0"/>
    <x v="0"/>
    <x v="0"/>
    <n v="1"/>
    <x v="0"/>
    <n v="2"/>
    <b v="1"/>
    <s v="a24UU000003KeiqYAC"/>
    <s v="PY-01756917"/>
    <x v="0"/>
    <x v="0"/>
    <s v="Activated"/>
    <s v="ACCEPTED"/>
    <s v="Fee"/>
    <s v="Subscription"/>
    <s v="75.0"/>
    <s v="75.0"/>
    <s v="75.0"/>
    <s v="0.0"/>
    <s v="2025-11-26"/>
    <s v="2025-11-26T10:01:05.000Z"/>
    <m/>
    <m/>
    <s v="2025-11-26T10:01:05.000Z"/>
  </r>
  <r>
    <x v="1"/>
    <x v="0"/>
    <x v="0"/>
    <x v="0"/>
    <x v="0"/>
    <x v="0"/>
    <n v="1"/>
    <x v="0"/>
    <n v="2"/>
    <b v="1"/>
    <s v="a24UU000003VeigYAC"/>
    <s v="PY-01769856"/>
    <x v="0"/>
    <x v="0"/>
    <s v="Activated"/>
    <s v="ACCEPTED"/>
    <s v="Fee"/>
    <s v="Subscription"/>
    <s v="75.0"/>
    <s v="75.0"/>
    <s v="75.0"/>
    <s v="0.0"/>
    <s v="2025-12-26"/>
    <s v="2025-12-26T10:00:53.000Z"/>
    <m/>
    <m/>
    <s v="2025-12-26T10:00:53.000Z"/>
  </r>
  <r>
    <x v="1"/>
    <x v="0"/>
    <x v="0"/>
    <x v="0"/>
    <x v="0"/>
    <x v="0"/>
    <n v="1"/>
    <x v="0"/>
    <n v="2"/>
    <b v="1"/>
    <s v="a24UU000003nExlYAE"/>
    <s v="PY-01789911"/>
    <x v="0"/>
    <x v="0"/>
    <s v="Activated"/>
    <s v="ACCEPTED"/>
    <s v="Late payment fee"/>
    <s v="Fee"/>
    <s v="75.0"/>
    <s v="75.0"/>
    <s v="75.0"/>
    <s v="0.0"/>
    <s v="2026-02-06"/>
    <s v="2026-02-05T22:10:49.000Z"/>
    <m/>
    <s v="a24UU000003hp7FYAQ"/>
    <s v="2026-02-05T22:10:49.000Z"/>
  </r>
  <r>
    <x v="1"/>
    <x v="0"/>
    <x v="0"/>
    <x v="0"/>
    <x v="0"/>
    <x v="0"/>
    <n v="1"/>
    <x v="0"/>
    <n v="2"/>
    <b v="1"/>
    <s v="a24UU000003wyF3YAI"/>
    <s v="PY-01798775"/>
    <x v="0"/>
    <x v="0"/>
    <s v="Activated"/>
    <s v="ACCEPTED"/>
    <s v="Fee"/>
    <s v="Subscription"/>
    <s v="75.0"/>
    <s v="75.0"/>
    <s v="75.0"/>
    <s v="0.0"/>
    <s v="2026-02-27"/>
    <s v="2026-02-27T10:00:40.000Z"/>
    <m/>
    <m/>
    <s v="2026-02-27T10:00:40.000Z"/>
  </r>
  <r>
    <x v="1"/>
    <x v="0"/>
    <x v="0"/>
    <x v="0"/>
    <x v="0"/>
    <x v="0"/>
    <n v="1"/>
    <x v="0"/>
    <n v="2"/>
    <b v="1"/>
    <s v="a24UU000004ait4YAA"/>
    <s v="PY-01842636"/>
    <x v="0"/>
    <x v="0"/>
    <s v="Activated"/>
    <s v="ACCEPTED"/>
    <s v="Fee"/>
    <s v="Subscription"/>
    <s v="75.0"/>
    <s v="75.0"/>
    <s v="75.0"/>
    <s v="0.0"/>
    <s v="2026-05-29"/>
    <s v="2026-05-29T10:00:13.000Z"/>
    <m/>
    <m/>
    <s v="2026-05-29T10:00:13.000Z"/>
  </r>
  <r>
    <x v="1"/>
    <x v="0"/>
    <x v="0"/>
    <x v="0"/>
    <x v="0"/>
    <x v="0"/>
    <n v="1"/>
    <x v="0"/>
    <n v="2"/>
    <b v="1"/>
    <s v="a24UU000004mmMiYAI"/>
    <s v="PY-01856810"/>
    <x v="0"/>
    <x v="0"/>
    <s v="Activated"/>
    <s v="ACCEPTED"/>
    <s v="Late payment fee"/>
    <s v="Fee"/>
    <s v="100.0"/>
    <s v="100.0"/>
    <s v="75.0"/>
    <s v="25.0"/>
    <s v="2026-06-25"/>
    <s v="2026-06-25T10:05:31.000Z"/>
    <m/>
    <s v="a24UU000004NzLUYA0"/>
    <s v="2026-06-25T10:05:31.000Z"/>
  </r>
  <r>
    <x v="1"/>
    <x v="1"/>
    <x v="1"/>
    <x v="1"/>
    <x v="1"/>
    <x v="1"/>
    <n v="1"/>
    <x v="1"/>
    <n v="1"/>
    <b v="1"/>
    <s v="a24UU000001M4ciYAC"/>
    <s v="PY-01662919"/>
    <x v="1"/>
    <x v="1"/>
    <s v="Activated"/>
    <s v="ACCEPTED"/>
    <s v="Late payment fee"/>
    <s v="Fee"/>
    <s v="104.0"/>
    <s v="115.96"/>
    <s v="79.0"/>
    <s v="25.0"/>
    <s v="2025-01-31"/>
    <s v="2025-01-31T10:18:37.000Z"/>
    <m/>
    <s v="a24UU000001LgWsYAK"/>
    <s v="2025-01-31T10:18:37.000Z"/>
  </r>
  <r>
    <x v="1"/>
    <x v="1"/>
    <x v="1"/>
    <x v="1"/>
    <x v="1"/>
    <x v="1"/>
    <n v="1"/>
    <x v="1"/>
    <n v="1"/>
    <b v="1"/>
    <s v="a24UU000001WgwiYAC"/>
    <s v="PY-01674373"/>
    <x v="1"/>
    <x v="1"/>
    <s v="Activated"/>
    <s v="ACCEPTED"/>
    <s v="Late payment fee"/>
    <m/>
    <s v="79.0"/>
    <s v="88.09"/>
    <s v="79.0"/>
    <s v="0.0"/>
    <s v="2025-02-28"/>
    <s v="2025-03-10T10:14:15.000Z"/>
    <m/>
    <m/>
    <s v="2025-03-10T10:14:15.000Z"/>
  </r>
  <r>
    <x v="1"/>
    <x v="1"/>
    <x v="1"/>
    <x v="1"/>
    <x v="1"/>
    <x v="1"/>
    <n v="1"/>
    <x v="1"/>
    <n v="1"/>
    <b v="1"/>
    <s v="a24UU000001im5OYAQ"/>
    <s v="PY-01679086"/>
    <x v="1"/>
    <x v="1"/>
    <s v="Activated"/>
    <s v="ACCEPTED"/>
    <s v="Fee"/>
    <s v="Subscription"/>
    <s v="79.0"/>
    <s v="88.09"/>
    <s v="79.0"/>
    <s v="0.0"/>
    <s v="2025-03-28"/>
    <s v="2025-03-28T10:07:46.000Z"/>
    <m/>
    <m/>
    <s v="2025-03-28T10:07:46.000Z"/>
  </r>
  <r>
    <x v="1"/>
    <x v="1"/>
    <x v="1"/>
    <x v="1"/>
    <x v="1"/>
    <x v="1"/>
    <n v="1"/>
    <x v="1"/>
    <n v="1"/>
    <b v="1"/>
    <s v="a24UU0000028mpVYAQ"/>
    <s v="PY-01690923"/>
    <x v="1"/>
    <x v="1"/>
    <s v="Activated"/>
    <s v="ACCEPTED"/>
    <s v="Late payment fee"/>
    <s v="Fee"/>
    <s v="104.0"/>
    <s v="115.96"/>
    <s v="79.0"/>
    <s v="25.0"/>
    <s v="2025-05-02"/>
    <s v="2025-05-02T10:15:14.000Z"/>
    <m/>
    <s v="a24UU0000027mQ9YAI"/>
    <s v="2025-05-02T10:15:14.000Z"/>
  </r>
  <r>
    <x v="1"/>
    <x v="1"/>
    <x v="1"/>
    <x v="1"/>
    <x v="1"/>
    <x v="1"/>
    <n v="1"/>
    <x v="1"/>
    <n v="1"/>
    <b v="1"/>
    <s v="a24UU000002HWomYAG"/>
    <s v="PY-01698669"/>
    <x v="1"/>
    <x v="1"/>
    <s v="Activated"/>
    <s v="ACCEPTED"/>
    <s v="Fee"/>
    <s v="Subscription"/>
    <s v="79.0"/>
    <s v="88.09"/>
    <s v="79.0"/>
    <s v="0.0"/>
    <s v="2025-05-30"/>
    <s v="2025-05-30T10:07:16.000Z"/>
    <m/>
    <m/>
    <s v="2025-05-30T10:07:16.000Z"/>
  </r>
  <r>
    <x v="1"/>
    <x v="1"/>
    <x v="1"/>
    <x v="1"/>
    <x v="1"/>
    <x v="1"/>
    <n v="1"/>
    <x v="1"/>
    <n v="1"/>
    <b v="1"/>
    <s v="a24UU000002SBPOYA4"/>
    <s v="PY-01707178"/>
    <x v="1"/>
    <x v="1"/>
    <s v="Activated"/>
    <s v="ACCEPTED"/>
    <s v="Fee"/>
    <s v="Subscription"/>
    <s v="79.0"/>
    <s v="88.09"/>
    <s v="79.0"/>
    <s v="0.0"/>
    <s v="2025-06-27"/>
    <s v="2025-06-27T21:11:54.000Z"/>
    <m/>
    <m/>
    <s v="2025-06-27T21:11:54.000Z"/>
  </r>
  <r>
    <x v="1"/>
    <x v="1"/>
    <x v="1"/>
    <x v="1"/>
    <x v="1"/>
    <x v="1"/>
    <n v="1"/>
    <x v="1"/>
    <n v="1"/>
    <b v="1"/>
    <s v="a24UU000002droCYAQ"/>
    <s v="PY-01717221"/>
    <x v="1"/>
    <x v="1"/>
    <s v="Activated"/>
    <s v="ACCEPTED"/>
    <s v="Fee"/>
    <s v="Subscription"/>
    <s v="79.0"/>
    <s v="88.09"/>
    <s v="79.0"/>
    <s v="0.0"/>
    <s v="2025-07-30"/>
    <s v="2025-07-30T10:02:44.000Z"/>
    <m/>
    <m/>
    <s v="2025-07-30T10:02:44.000Z"/>
  </r>
  <r>
    <x v="1"/>
    <x v="1"/>
    <x v="1"/>
    <x v="1"/>
    <x v="1"/>
    <x v="1"/>
    <n v="1"/>
    <x v="1"/>
    <n v="1"/>
    <b v="1"/>
    <s v="a24UU000002pBRuYAM"/>
    <s v="PY-01726262"/>
    <x v="1"/>
    <x v="1"/>
    <s v="Activated"/>
    <s v="ACCEPTED"/>
    <s v="Fee"/>
    <s v="Subscription"/>
    <s v="79.0"/>
    <s v="88.09"/>
    <s v="79.0"/>
    <s v="0.0"/>
    <s v="2025-08-29"/>
    <s v="2025-08-29T10:02:54.000Z"/>
    <m/>
    <m/>
    <s v="2025-08-29T10:02:54.000Z"/>
  </r>
  <r>
    <x v="1"/>
    <x v="1"/>
    <x v="1"/>
    <x v="1"/>
    <x v="1"/>
    <x v="1"/>
    <n v="1"/>
    <x v="1"/>
    <n v="1"/>
    <b v="1"/>
    <s v="a24UU000003AOlpYAG"/>
    <s v="PY-01746438"/>
    <x v="1"/>
    <x v="1"/>
    <s v="Activated"/>
    <s v="ACCEPTED"/>
    <s v="Late payment fee"/>
    <s v="Fee"/>
    <s v="104.0"/>
    <s v="115.96"/>
    <s v="79.0"/>
    <s v="25.0"/>
    <s v="2025-10-27"/>
    <s v="2025-10-27T10:09:47.000Z"/>
    <m/>
    <s v="a24UU0000030oKrYAI"/>
    <s v="2025-10-27T10:09:47.000Z"/>
  </r>
  <r>
    <x v="1"/>
    <x v="1"/>
    <x v="1"/>
    <x v="1"/>
    <x v="1"/>
    <x v="1"/>
    <n v="1"/>
    <x v="1"/>
    <n v="1"/>
    <b v="1"/>
    <s v="a24UU000003CdqQYAS"/>
    <s v="PY-01749374"/>
    <x v="1"/>
    <x v="1"/>
    <s v="Activated"/>
    <s v="ACCEPTED"/>
    <s v="Late payment fee"/>
    <s v="Fee"/>
    <s v="104.0"/>
    <s v="115.96"/>
    <s v="79.0"/>
    <s v="25.0"/>
    <s v="2025-11-03"/>
    <s v="2025-11-03T10:12:26.000Z"/>
    <m/>
    <s v="a24UU000003Bed8YAC"/>
    <s v="2025-11-03T10:12:26.000Z"/>
  </r>
  <r>
    <x v="1"/>
    <x v="1"/>
    <x v="1"/>
    <x v="1"/>
    <x v="1"/>
    <x v="1"/>
    <n v="1"/>
    <x v="1"/>
    <n v="1"/>
    <b v="1"/>
    <s v="a24UU000003xwz9YAA"/>
    <s v="PY-01800094"/>
    <x v="1"/>
    <x v="1"/>
    <s v="Activated"/>
    <s v="ACCEPTED"/>
    <s v="Late payment fee"/>
    <s v="Fee"/>
    <s v="104.0"/>
    <s v="104.0"/>
    <s v="79.0"/>
    <s v="25.0"/>
    <s v="2026-03-02"/>
    <s v="2026-03-02T10:02:49.000Z"/>
    <m/>
    <s v="a24UU000003KepGYAS"/>
    <s v="2026-03-02T10:02:49.000Z"/>
  </r>
  <r>
    <x v="1"/>
    <x v="1"/>
    <x v="1"/>
    <x v="1"/>
    <x v="1"/>
    <x v="1"/>
    <n v="1"/>
    <x v="1"/>
    <n v="1"/>
    <b v="1"/>
    <s v="a24UU000003xxNQYAY"/>
    <s v="PY-01800207"/>
    <x v="1"/>
    <x v="1"/>
    <s v="Activated"/>
    <s v="ACCEPTED"/>
    <s v="Late payment fee"/>
    <s v="Fee"/>
    <s v="104.0"/>
    <s v="104.0"/>
    <s v="79.0"/>
    <s v="25.0"/>
    <s v="2026-03-02"/>
    <s v="2026-03-02T10:05:21.000Z"/>
    <m/>
    <s v="a24UU000003Wk7eYAC"/>
    <s v="2026-03-02T10:05:21.000Z"/>
  </r>
  <r>
    <x v="1"/>
    <x v="1"/>
    <x v="1"/>
    <x v="1"/>
    <x v="1"/>
    <x v="1"/>
    <n v="1"/>
    <x v="1"/>
    <n v="1"/>
    <b v="1"/>
    <s v="a24UU000003xxqNYAQ"/>
    <s v="PY-01800373"/>
    <x v="1"/>
    <x v="1"/>
    <s v="Activated"/>
    <s v="ACCEPTED"/>
    <s v="Late payment fee"/>
    <s v="Fee"/>
    <s v="104.0"/>
    <s v="104.0"/>
    <s v="79.0"/>
    <s v="25.0"/>
    <s v="2026-03-02"/>
    <s v="2026-03-02T10:08:59.000Z"/>
    <m/>
    <s v="a24UU000003jyOEYAY"/>
    <s v="2026-03-02T10:08:59.000Z"/>
  </r>
  <r>
    <x v="1"/>
    <x v="1"/>
    <x v="1"/>
    <x v="1"/>
    <x v="1"/>
    <x v="1"/>
    <n v="1"/>
    <x v="1"/>
    <n v="1"/>
    <b v="1"/>
    <s v="a24UU000004bDNOYA2"/>
    <s v="PY-01843855"/>
    <x v="1"/>
    <x v="1"/>
    <s v="Activated"/>
    <s v="ACCEPTED"/>
    <s v="Late payment fee"/>
    <s v="Fee"/>
    <s v="104.0"/>
    <s v="104.0"/>
    <s v="79.0"/>
    <s v="25.0"/>
    <s v="2026-06-01"/>
    <s v="2026-05-30T13:12:41.000Z"/>
    <m/>
    <s v="a24UU000004ait8YAA"/>
    <s v="2026-05-30T13:12:41.000Z"/>
  </r>
  <r>
    <x v="1"/>
    <x v="1"/>
    <x v="1"/>
    <x v="1"/>
    <x v="1"/>
    <x v="1"/>
    <n v="1"/>
    <x v="1"/>
    <n v="1"/>
    <b v="1"/>
    <s v="a24UU000004bKiDYAU"/>
    <s v="PY-01843852"/>
    <x v="1"/>
    <x v="1"/>
    <s v="Activated"/>
    <s v="ACCEPTED"/>
    <s v="Late payment fee"/>
    <s v="Fee"/>
    <s v="104.0"/>
    <s v="104.0"/>
    <s v="79.0"/>
    <s v="25.0"/>
    <s v="2026-06-01"/>
    <s v="2026-05-30T13:10:29.000Z"/>
    <m/>
    <s v="a24UU000004NzRyYAK"/>
    <s v="2026-05-30T13:10:29.000Z"/>
  </r>
  <r>
    <x v="1"/>
    <x v="1"/>
    <x v="1"/>
    <x v="1"/>
    <x v="1"/>
    <x v="1"/>
    <n v="1"/>
    <x v="1"/>
    <n v="1"/>
    <b v="1"/>
    <s v="a24UU000004qmCkYAI"/>
    <s v="PY-01862462"/>
    <x v="1"/>
    <x v="1"/>
    <s v="Activated"/>
    <s v="ACCEPTED"/>
    <s v="Late payment fee"/>
    <s v="Fee"/>
    <s v="104.0"/>
    <s v="104.0"/>
    <s v="79.0"/>
    <s v="25.0"/>
    <s v="2026-07-06"/>
    <s v="2026-07-03T23:45:43.000Z"/>
    <m/>
    <s v="a24UU0000045Q9GYAU"/>
    <s v="2026-07-03T23:45:43.000Z"/>
  </r>
  <r>
    <x v="1"/>
    <x v="1"/>
    <x v="1"/>
    <x v="1"/>
    <x v="1"/>
    <x v="1"/>
    <n v="1"/>
    <x v="1"/>
    <n v="1"/>
    <b v="1"/>
    <s v="a24UU000004qmRFYAY"/>
    <s v="PY-01862461"/>
    <x v="1"/>
    <x v="1"/>
    <s v="Activated"/>
    <s v="ACCEPTED"/>
    <s v="Late payment fee"/>
    <s v="Fee"/>
    <s v="104.0"/>
    <s v="104.0"/>
    <s v="79.0"/>
    <s v="25.0"/>
    <s v="2026-07-06"/>
    <s v="2026-07-03T23:43:45.000Z"/>
    <m/>
    <s v="a24UU000004ow1lYAA"/>
    <s v="2026-07-03T23:43:45.000Z"/>
  </r>
  <r>
    <x v="1"/>
    <x v="2"/>
    <x v="1"/>
    <x v="2"/>
    <x v="2"/>
    <x v="2"/>
    <n v="1"/>
    <x v="2"/>
    <n v="5"/>
    <b v="1"/>
    <s v="a24UU000001LgqJYAS"/>
    <s v="PY-01661571"/>
    <x v="2"/>
    <x v="2"/>
    <s v="Activated"/>
    <s v="ACCEPTED"/>
    <s v="Fee"/>
    <s v="Subscription"/>
    <s v="79.0"/>
    <s v="88.09"/>
    <s v="79.0"/>
    <s v="0.0"/>
    <s v="2025-01-30"/>
    <s v="2025-01-30T10:11:42.000Z"/>
    <m/>
    <m/>
    <s v="2025-01-30T10:11:42.000Z"/>
  </r>
  <r>
    <x v="1"/>
    <x v="2"/>
    <x v="1"/>
    <x v="2"/>
    <x v="2"/>
    <x v="2"/>
    <n v="1"/>
    <x v="2"/>
    <n v="5"/>
    <b v="1"/>
    <s v="a24UU000001XBSLYA4"/>
    <s v="PY-01674528"/>
    <x v="2"/>
    <x v="2"/>
    <s v="Activated"/>
    <s v="ACCEPTED"/>
    <s v="Late payment fee"/>
    <s v="Fee"/>
    <s v="104.0"/>
    <s v="115.96"/>
    <s v="79.0"/>
    <s v="25.0"/>
    <s v="2025-03-13"/>
    <s v="2025-03-11T23:42:12.000Z"/>
    <m/>
    <s v="a24UU000001TzQvYAK"/>
    <s v="2025-03-11T23:42:12.000Z"/>
  </r>
  <r>
    <x v="1"/>
    <x v="2"/>
    <x v="1"/>
    <x v="2"/>
    <x v="2"/>
    <x v="2"/>
    <n v="1"/>
    <x v="2"/>
    <n v="5"/>
    <b v="1"/>
    <s v="a24UU000001imRmYAI"/>
    <s v="PY-01679182"/>
    <x v="2"/>
    <x v="2"/>
    <s v="Activated"/>
    <s v="ACCEPTED"/>
    <s v="Fee"/>
    <s v="Subscription"/>
    <s v="79.0"/>
    <s v="88.09"/>
    <s v="79.0"/>
    <s v="0.0"/>
    <s v="2025-03-28"/>
    <s v="2025-03-28T10:10:05.000Z"/>
    <m/>
    <m/>
    <s v="2025-03-28T10:10:05.000Z"/>
  </r>
  <r>
    <x v="1"/>
    <x v="2"/>
    <x v="1"/>
    <x v="2"/>
    <x v="2"/>
    <x v="2"/>
    <n v="1"/>
    <x v="2"/>
    <n v="5"/>
    <b v="1"/>
    <s v="a24UU000002BuJ6YAK"/>
    <s v="PY-01693573"/>
    <x v="2"/>
    <x v="2"/>
    <s v="Activated"/>
    <s v="ACCEPTED"/>
    <s v="Late payment fee"/>
    <s v="Fee"/>
    <s v="104.0"/>
    <s v="115.96"/>
    <s v="79.0"/>
    <s v="25.0"/>
    <s v="2025-05-12"/>
    <s v="2025-05-12T10:13:19.000Z"/>
    <m/>
    <s v="a24UU0000027mbVYAQ"/>
    <s v="2025-05-12T10:13:19.000Z"/>
  </r>
  <r>
    <x v="1"/>
    <x v="2"/>
    <x v="1"/>
    <x v="2"/>
    <x v="2"/>
    <x v="2"/>
    <n v="1"/>
    <x v="2"/>
    <n v="5"/>
    <b v="1"/>
    <s v="a24UU000002McXVYA0"/>
    <s v="PY-01702106"/>
    <x v="2"/>
    <x v="2"/>
    <s v="Activated"/>
    <s v="ACCEPTED"/>
    <s v="Late payment fee"/>
    <s v="Fee"/>
    <s v="104.0"/>
    <s v="115.96"/>
    <s v="79.0"/>
    <s v="25.0"/>
    <s v="2025-06-13"/>
    <s v="2025-06-12T00:04:03.000Z"/>
    <m/>
    <s v="a24UU000002HWyRYAW"/>
    <s v="2025-06-12T00:04:03.000Z"/>
  </r>
  <r>
    <x v="1"/>
    <x v="2"/>
    <x v="1"/>
    <x v="2"/>
    <x v="2"/>
    <x v="2"/>
    <n v="1"/>
    <x v="2"/>
    <n v="5"/>
    <b v="1"/>
    <s v="a24UU000002SBacYAG"/>
    <s v="PY-01707230"/>
    <x v="2"/>
    <x v="2"/>
    <s v="Activated"/>
    <s v="ACCEPTED"/>
    <s v="Fee"/>
    <s v="Subscription"/>
    <s v="79.0"/>
    <s v="88.09"/>
    <s v="79.0"/>
    <s v="0.0"/>
    <s v="2025-06-27"/>
    <s v="2025-06-27T21:13:33.000Z"/>
    <m/>
    <m/>
    <s v="2025-06-27T21:13:33.000Z"/>
  </r>
  <r>
    <x v="1"/>
    <x v="2"/>
    <x v="1"/>
    <x v="2"/>
    <x v="2"/>
    <x v="2"/>
    <n v="1"/>
    <x v="2"/>
    <n v="5"/>
    <b v="1"/>
    <s v="a24UU000002mSTtYAM"/>
    <s v="PY-01723870"/>
    <x v="2"/>
    <x v="2"/>
    <s v="Activated"/>
    <s v="ACCEPTED"/>
    <s v="Late payment fee"/>
    <s v="Fee"/>
    <s v="104.0"/>
    <s v="115.96"/>
    <s v="79.0"/>
    <s v="25.0"/>
    <s v="2025-08-22"/>
    <s v="2025-08-21T23:48:22.000Z"/>
    <m/>
    <s v="a24UU000002drwGYAQ"/>
    <s v="2025-08-21T23:48:22.000Z"/>
  </r>
  <r>
    <x v="1"/>
    <x v="2"/>
    <x v="1"/>
    <x v="2"/>
    <x v="2"/>
    <x v="2"/>
    <n v="1"/>
    <x v="2"/>
    <n v="5"/>
    <b v="1"/>
    <s v="a24UU000002rvdLYAQ"/>
    <s v="PY-01729780"/>
    <x v="2"/>
    <x v="2"/>
    <s v="Activated"/>
    <s v="ACCEPTED"/>
    <s v="Late payment fee"/>
    <s v="Fee"/>
    <s v="104.0"/>
    <s v="115.96"/>
    <s v="79.0"/>
    <s v="25.0"/>
    <s v="2025-09-08"/>
    <s v="2025-09-05T23:47:11.000Z"/>
    <m/>
    <s v="a24UU000002pBoNYAU"/>
    <s v="2025-09-05T23:47:11.000Z"/>
  </r>
  <r>
    <x v="1"/>
    <x v="2"/>
    <x v="1"/>
    <x v="2"/>
    <x v="2"/>
    <x v="2"/>
    <n v="1"/>
    <x v="2"/>
    <n v="5"/>
    <b v="1"/>
    <s v="a24UU0000032W5JYAU"/>
    <s v="PY-01738713"/>
    <x v="2"/>
    <x v="2"/>
    <s v="Activated"/>
    <s v="ACCEPTED"/>
    <s v="Late payment fee"/>
    <s v="Fee"/>
    <s v="104.0"/>
    <s v="115.96"/>
    <s v="79.0"/>
    <s v="25.0"/>
    <s v="2025-10-06"/>
    <s v="2025-10-03T23:50:37.000Z"/>
    <m/>
    <s v="a24UU0000030oSzYAI"/>
    <s v="2025-10-03T23:50:37.000Z"/>
  </r>
  <r>
    <x v="1"/>
    <x v="2"/>
    <x v="1"/>
    <x v="2"/>
    <x v="2"/>
    <x v="2"/>
    <n v="1"/>
    <x v="2"/>
    <n v="5"/>
    <b v="1"/>
    <s v="a24UU000003BergYAC"/>
    <s v="PY-01747126"/>
    <x v="2"/>
    <x v="2"/>
    <s v="Activated"/>
    <s v="ACCEPTED"/>
    <s v="Fee"/>
    <s v="Subscription"/>
    <s v="79.0"/>
    <s v="88.09"/>
    <s v="79.0"/>
    <s v="0.0"/>
    <s v="2025-10-30"/>
    <s v="2025-10-30T10:03:27.000Z"/>
    <m/>
    <m/>
    <s v="2025-10-30T10:03:27.000Z"/>
  </r>
  <r>
    <x v="1"/>
    <x v="2"/>
    <x v="1"/>
    <x v="2"/>
    <x v="2"/>
    <x v="2"/>
    <n v="1"/>
    <x v="2"/>
    <n v="5"/>
    <b v="1"/>
    <s v="a24UU000003LJxBYAW"/>
    <s v="PY-01758966"/>
    <x v="2"/>
    <x v="2"/>
    <s v="Activated"/>
    <s v="ACCEPTED"/>
    <s v="Late payment fee"/>
    <s v="Fee"/>
    <s v="79.0"/>
    <s v="79.0"/>
    <s v="79.0"/>
    <s v="0.0"/>
    <s v="2025-12-01"/>
    <s v="2025-11-28T17:47:13.000Z"/>
    <m/>
    <s v="a24UU000003Keu8YAC"/>
    <s v="2025-11-28T17:47:13.000Z"/>
  </r>
  <r>
    <x v="1"/>
    <x v="2"/>
    <x v="1"/>
    <x v="2"/>
    <x v="2"/>
    <x v="2"/>
    <n v="1"/>
    <x v="2"/>
    <n v="5"/>
    <b v="1"/>
    <s v="a24UU000003XfZDYA0"/>
    <s v="PY-01773780"/>
    <x v="2"/>
    <x v="2"/>
    <s v="Activated"/>
    <s v="ACCEPTED"/>
    <s v="Late payment fee"/>
    <s v="Fee"/>
    <s v="79.0"/>
    <s v="79.0"/>
    <s v="79.0"/>
    <s v="0.0"/>
    <s v="2026-01-02"/>
    <s v="2026-01-02T10:15:09.000Z"/>
    <m/>
    <s v="a24UU000003Wc22YAC"/>
    <s v="2026-01-02T10:15:09.000Z"/>
  </r>
  <r>
    <x v="1"/>
    <x v="2"/>
    <x v="1"/>
    <x v="2"/>
    <x v="2"/>
    <x v="2"/>
    <n v="1"/>
    <x v="2"/>
    <n v="5"/>
    <b v="1"/>
    <s v="a24UU000003mf2LYAQ"/>
    <s v="PY-01789079"/>
    <x v="2"/>
    <x v="2"/>
    <s v="Activated"/>
    <s v="ACCEPTED"/>
    <s v="Late payment fee"/>
    <s v="Fee"/>
    <s v="104.0"/>
    <s v="104.0"/>
    <s v="79.0"/>
    <s v="25.0"/>
    <s v="2026-02-05"/>
    <s v="2026-02-05T00:29:47.000Z"/>
    <m/>
    <s v="a24UU000003jyuXYAQ"/>
    <s v="2026-02-05T00:29:47.000Z"/>
  </r>
  <r>
    <x v="1"/>
    <x v="3"/>
    <x v="1"/>
    <x v="3"/>
    <x v="3"/>
    <x v="2"/>
    <n v="1"/>
    <x v="2"/>
    <n v="5"/>
    <b v="1"/>
    <s v="a24UU000001E5nJYAS"/>
    <s v="PY-01651643"/>
    <x v="3"/>
    <x v="3"/>
    <s v="Activated"/>
    <s v="ACCEPTED"/>
    <s v="Late payment fee"/>
    <s v="Fee"/>
    <s v="100.0"/>
    <s v="111.5"/>
    <s v="75.0"/>
    <s v="25.0"/>
    <s v="2025-01-02"/>
    <s v="2025-01-02T10:17:41.000Z"/>
    <m/>
    <s v="a24UU000001DTwYYAW"/>
    <s v="2025-01-02T10:17:41.000Z"/>
  </r>
  <r>
    <x v="1"/>
    <x v="3"/>
    <x v="1"/>
    <x v="3"/>
    <x v="3"/>
    <x v="2"/>
    <n v="1"/>
    <x v="2"/>
    <n v="5"/>
    <b v="1"/>
    <s v="a24UU000001LgrtYAC"/>
    <s v="PY-01661659"/>
    <x v="3"/>
    <x v="3"/>
    <s v="Activated"/>
    <s v="ACCEPTED"/>
    <s v="Fee"/>
    <s v="Subscription"/>
    <s v="75.0"/>
    <s v="83.63"/>
    <s v="75.0"/>
    <s v="0.0"/>
    <s v="2025-01-30"/>
    <s v="2025-01-30T10:13:32.000Z"/>
    <m/>
    <m/>
    <s v="2025-01-30T10:13:32.000Z"/>
  </r>
  <r>
    <x v="1"/>
    <x v="3"/>
    <x v="1"/>
    <x v="3"/>
    <x v="3"/>
    <x v="2"/>
    <n v="1"/>
    <x v="2"/>
    <n v="5"/>
    <b v="1"/>
    <s v="a24UU000001UjtiYAC"/>
    <s v="PY-01672593"/>
    <x v="3"/>
    <x v="3"/>
    <s v="Activated"/>
    <s v="ACCEPTED"/>
    <s v="Late payment fee"/>
    <s v="Fee"/>
    <s v="100.0"/>
    <s v="111.5"/>
    <s v="75.0"/>
    <s v="25.0"/>
    <s v="2025-03-03"/>
    <s v="2025-03-03T10:17:53.000Z"/>
    <m/>
    <s v="a24UU000001TzSgYAK"/>
    <s v="2025-03-03T10:17:53.000Z"/>
  </r>
  <r>
    <x v="1"/>
    <x v="3"/>
    <x v="1"/>
    <x v="3"/>
    <x v="3"/>
    <x v="2"/>
    <n v="1"/>
    <x v="2"/>
    <n v="5"/>
    <b v="1"/>
    <s v="a24UU000001ilacYAA"/>
    <s v="PY-01679224"/>
    <x v="3"/>
    <x v="3"/>
    <s v="Activated"/>
    <s v="ACCEPTED"/>
    <s v="Fee"/>
    <s v="Subscription"/>
    <s v="75.0"/>
    <s v="83.63"/>
    <s v="75.0"/>
    <s v="0.0"/>
    <s v="2025-03-28"/>
    <s v="2025-03-28T10:11:01.000Z"/>
    <m/>
    <m/>
    <s v="2025-03-28T10:11:01.000Z"/>
  </r>
  <r>
    <x v="1"/>
    <x v="3"/>
    <x v="1"/>
    <x v="3"/>
    <x v="3"/>
    <x v="2"/>
    <n v="1"/>
    <x v="2"/>
    <n v="5"/>
    <b v="1"/>
    <s v="a24UU0000028mw4YAA"/>
    <s v="PY-01690980"/>
    <x v="3"/>
    <x v="3"/>
    <s v="Activated"/>
    <s v="ACCEPTED"/>
    <s v="Late payment fee"/>
    <s v="Fee"/>
    <s v="100.0"/>
    <s v="111.5"/>
    <s v="75.0"/>
    <s v="25.0"/>
    <s v="2025-05-02"/>
    <s v="2025-05-02T10:16:10.000Z"/>
    <m/>
    <s v="a24UU0000027mhyYAA"/>
    <s v="2025-05-02T10:16:10.000Z"/>
  </r>
  <r>
    <x v="1"/>
    <x v="3"/>
    <x v="1"/>
    <x v="3"/>
    <x v="3"/>
    <x v="2"/>
    <n v="1"/>
    <x v="2"/>
    <n v="5"/>
    <b v="1"/>
    <s v="a24UU000002PPGbYAO"/>
    <s v="PY-01704619"/>
    <x v="3"/>
    <x v="3"/>
    <s v="Activated"/>
    <s v="ACCEPTED"/>
    <s v="Late payment fee"/>
    <s v="Fee"/>
    <s v="100.0"/>
    <s v="111.5"/>
    <s v="75.0"/>
    <s v="25.0"/>
    <s v="2025-06-20"/>
    <s v="2025-06-19T22:30:58.000Z"/>
    <m/>
    <s v="a24UU000002HX4sYAG"/>
    <s v="2025-06-19T22:30:58.000Z"/>
  </r>
  <r>
    <x v="1"/>
    <x v="3"/>
    <x v="1"/>
    <x v="3"/>
    <x v="3"/>
    <x v="2"/>
    <n v="1"/>
    <x v="2"/>
    <n v="5"/>
    <b v="1"/>
    <s v="a24UU000002SBlqYAG"/>
    <s v="PY-01707251"/>
    <x v="3"/>
    <x v="3"/>
    <s v="Activated"/>
    <s v="ACCEPTED"/>
    <s v="Fee"/>
    <s v="Subscription"/>
    <s v="75.0"/>
    <s v="83.63"/>
    <s v="75.0"/>
    <s v="0.0"/>
    <s v="2025-06-27"/>
    <s v="2025-06-27T21:14:29.000Z"/>
    <m/>
    <m/>
    <s v="2025-06-27T21:14:29.000Z"/>
  </r>
  <r>
    <x v="1"/>
    <x v="3"/>
    <x v="1"/>
    <x v="3"/>
    <x v="3"/>
    <x v="2"/>
    <n v="1"/>
    <x v="2"/>
    <n v="5"/>
    <b v="1"/>
    <s v="a24UU000002ds14YAA"/>
    <s v="PY-01717303"/>
    <x v="3"/>
    <x v="3"/>
    <s v="Activated"/>
    <s v="ACCEPTED"/>
    <s v="Fee"/>
    <s v="Subscription"/>
    <s v="75.0"/>
    <s v="83.63"/>
    <s v="75.0"/>
    <s v="0.0"/>
    <s v="2025-07-30"/>
    <s v="2025-07-30T10:04:44.000Z"/>
    <m/>
    <m/>
    <s v="2025-07-30T10:04:44.000Z"/>
  </r>
  <r>
    <x v="1"/>
    <x v="3"/>
    <x v="1"/>
    <x v="3"/>
    <x v="3"/>
    <x v="2"/>
    <n v="1"/>
    <x v="2"/>
    <n v="5"/>
    <b v="1"/>
    <s v="a24UU000002pBujYAE"/>
    <s v="PY-01726335"/>
    <x v="3"/>
    <x v="3"/>
    <s v="Activated"/>
    <s v="ACCEPTED"/>
    <s v="Fee"/>
    <s v="Subscription"/>
    <s v="75.0"/>
    <s v="83.63"/>
    <s v="75.0"/>
    <s v="0.0"/>
    <s v="2025-08-29"/>
    <s v="2025-08-29T10:04:54.000Z"/>
    <m/>
    <m/>
    <s v="2025-08-29T10:04:54.000Z"/>
  </r>
  <r>
    <x v="1"/>
    <x v="3"/>
    <x v="1"/>
    <x v="3"/>
    <x v="3"/>
    <x v="2"/>
    <n v="1"/>
    <x v="2"/>
    <n v="5"/>
    <b v="1"/>
    <s v="a24UU0000030nf2YAA"/>
    <s v="PY-01736917"/>
    <x v="3"/>
    <x v="3"/>
    <s v="Activated"/>
    <s v="ACCEPTED"/>
    <s v="Fee"/>
    <s v="Subscription"/>
    <s v="75.0"/>
    <s v="83.63"/>
    <s v="75.0"/>
    <s v="0.0"/>
    <s v="2025-09-30"/>
    <s v="2025-09-30T10:03:51.000Z"/>
    <m/>
    <m/>
    <s v="2025-09-30T10:03:51.000Z"/>
  </r>
  <r>
    <x v="1"/>
    <x v="3"/>
    <x v="1"/>
    <x v="3"/>
    <x v="3"/>
    <x v="2"/>
    <n v="1"/>
    <x v="2"/>
    <n v="5"/>
    <b v="1"/>
    <s v="a24UU000003BeuwYAC"/>
    <s v="PY-01747143"/>
    <x v="3"/>
    <x v="3"/>
    <s v="Activated"/>
    <s v="ACCEPTED"/>
    <s v="Fee"/>
    <s v="Subscription"/>
    <s v="75.0"/>
    <s v="83.63"/>
    <s v="75.0"/>
    <s v="0.0"/>
    <s v="2025-10-30"/>
    <s v="2025-10-30T10:03:54.000Z"/>
    <m/>
    <m/>
    <s v="2025-10-30T10:03:54.000Z"/>
  </r>
  <r>
    <x v="1"/>
    <x v="3"/>
    <x v="1"/>
    <x v="3"/>
    <x v="3"/>
    <x v="2"/>
    <n v="1"/>
    <x v="2"/>
    <n v="5"/>
    <b v="1"/>
    <s v="a24UU000003KeyvYAC"/>
    <s v="PY-01757009"/>
    <x v="3"/>
    <x v="3"/>
    <s v="Activated"/>
    <s v="ACCEPTED"/>
    <s v="Fee"/>
    <s v="Subscription"/>
    <s v="75.0"/>
    <s v="75.0"/>
    <s v="75.0"/>
    <s v="0.0"/>
    <s v="2025-11-26"/>
    <s v="2025-11-26T10:03:37.000Z"/>
    <m/>
    <m/>
    <s v="2025-11-26T10:03:37.000Z"/>
  </r>
  <r>
    <x v="1"/>
    <x v="3"/>
    <x v="1"/>
    <x v="3"/>
    <x v="3"/>
    <x v="2"/>
    <n v="1"/>
    <x v="2"/>
    <n v="5"/>
    <b v="1"/>
    <s v="a24UU000003VetuYAC"/>
    <s v="PY-01769910"/>
    <x v="3"/>
    <x v="3"/>
    <s v="Activated"/>
    <s v="ACCEPTED"/>
    <s v="Fee"/>
    <s v="Subscription"/>
    <s v="75.0"/>
    <s v="75.0"/>
    <s v="75.0"/>
    <s v="0.0"/>
    <s v="2025-12-26"/>
    <s v="2025-12-26T10:02:16.000Z"/>
    <m/>
    <m/>
    <s v="2025-12-26T10:02:16.000Z"/>
  </r>
  <r>
    <x v="1"/>
    <x v="3"/>
    <x v="1"/>
    <x v="3"/>
    <x v="3"/>
    <x v="2"/>
    <n v="1"/>
    <x v="2"/>
    <n v="5"/>
    <b v="1"/>
    <s v="a24UU000003hpFNYAY"/>
    <s v="PY-01783779"/>
    <x v="3"/>
    <x v="3"/>
    <s v="Activated"/>
    <s v="ACCEPTED"/>
    <s v="Fee"/>
    <s v="Subscription"/>
    <s v="75.0"/>
    <s v="75.0"/>
    <s v="75.0"/>
    <s v="0.0"/>
    <s v="2026-01-26"/>
    <s v="2026-01-26T10:01:41.000Z"/>
    <m/>
    <m/>
    <s v="2026-01-26T10:01:41.000Z"/>
  </r>
  <r>
    <x v="0"/>
    <x v="4"/>
    <x v="2"/>
    <x v="4"/>
    <x v="4"/>
    <x v="2"/>
    <n v="1"/>
    <x v="2"/>
    <n v="5"/>
    <b v="1"/>
    <s v="a24UU000001PwpxYAC"/>
    <s v="PY-01667282"/>
    <x v="4"/>
    <x v="4"/>
    <s v="Activated"/>
    <s v="ACCEPTED"/>
    <s v="AC"/>
    <s v="AC"/>
    <s v="49.5"/>
    <s v="55.19"/>
    <s v="49.5"/>
    <s v="0.0"/>
    <s v="2025-02-14"/>
    <s v="2025-02-14T10:16:17.000Z"/>
    <m/>
    <m/>
    <s v="2025-02-14T10:16:17.000Z"/>
  </r>
  <r>
    <x v="0"/>
    <x v="4"/>
    <x v="2"/>
    <x v="4"/>
    <x v="4"/>
    <x v="2"/>
    <n v="1"/>
    <x v="2"/>
    <n v="5"/>
    <b v="1"/>
    <s v="a24UU000001TyunYAC"/>
    <s v="PY-01671683"/>
    <x v="4"/>
    <x v="4"/>
    <s v="Activated"/>
    <s v="ACCEPTED"/>
    <s v="AC"/>
    <s v="AC"/>
    <s v="49.5"/>
    <s v="55.19"/>
    <s v="49.5"/>
    <s v="0.0"/>
    <s v="2025-02-28"/>
    <s v="2025-02-28T10:18:46.000Z"/>
    <m/>
    <m/>
    <s v="2025-02-28T10:18:46.000Z"/>
  </r>
  <r>
    <x v="1"/>
    <x v="4"/>
    <x v="2"/>
    <x v="4"/>
    <x v="4"/>
    <x v="2"/>
    <n v="1"/>
    <x v="2"/>
    <n v="5"/>
    <b v="1"/>
    <s v="a24UU000001ilE5YAI"/>
    <s v="PY-01679646"/>
    <x v="4"/>
    <x v="4"/>
    <s v="Activated"/>
    <s v="ACCEPTED"/>
    <s v="Fee"/>
    <s v="Subscription"/>
    <s v="79.0"/>
    <s v="88.09"/>
    <s v="79.0"/>
    <s v="0.0"/>
    <s v="2025-03-28"/>
    <s v="2025-03-28T10:19:56.000Z"/>
    <m/>
    <m/>
    <s v="2025-03-28T10:19:56.000Z"/>
  </r>
  <r>
    <x v="1"/>
    <x v="4"/>
    <x v="2"/>
    <x v="4"/>
    <x v="4"/>
    <x v="2"/>
    <n v="1"/>
    <x v="2"/>
    <n v="5"/>
    <b v="1"/>
    <s v="a24UU000002BACcYAO"/>
    <s v="PY-01692986"/>
    <x v="4"/>
    <x v="4"/>
    <s v="Activated"/>
    <s v="ACCEPTED"/>
    <s v="Late payment fee"/>
    <s v="Fee"/>
    <s v="104.0"/>
    <s v="115.96"/>
    <s v="79.0"/>
    <s v="25.0"/>
    <s v="2025-05-09"/>
    <s v="2025-05-09T10:15:19.000Z"/>
    <m/>
    <s v="a24UU0000027nB8YAI"/>
    <s v="2025-05-09T10:15:19.000Z"/>
  </r>
  <r>
    <x v="1"/>
    <x v="4"/>
    <x v="2"/>
    <x v="4"/>
    <x v="4"/>
    <x v="2"/>
    <n v="1"/>
    <x v="2"/>
    <n v="5"/>
    <b v="1"/>
    <s v="a24UU000002HXWMYA4"/>
    <s v="PY-01698962"/>
    <x v="4"/>
    <x v="4"/>
    <s v="Activated"/>
    <s v="ACCEPTED"/>
    <s v="Fee"/>
    <s v="Subscription"/>
    <s v="79.0"/>
    <s v="88.09"/>
    <s v="79.0"/>
    <s v="0.0"/>
    <s v="2025-05-30"/>
    <s v="2025-05-30T10:13:21.000Z"/>
    <m/>
    <m/>
    <s v="2025-05-30T10:13:21.000Z"/>
  </r>
  <r>
    <x v="1"/>
    <x v="4"/>
    <x v="2"/>
    <x v="4"/>
    <x v="4"/>
    <x v="2"/>
    <n v="1"/>
    <x v="2"/>
    <n v="5"/>
    <b v="1"/>
    <s v="a24UU000002SBsTYAW"/>
    <s v="PY-01707349"/>
    <x v="4"/>
    <x v="4"/>
    <s v="Activated"/>
    <s v="ACCEPTED"/>
    <s v="Fee"/>
    <s v="Subscription"/>
    <s v="79.0"/>
    <s v="88.09"/>
    <s v="79.0"/>
    <s v="0.0"/>
    <s v="2025-06-27"/>
    <s v="2025-06-27T21:16:43.000Z"/>
    <m/>
    <m/>
    <s v="2025-06-27T21:16:43.000Z"/>
  </r>
  <r>
    <x v="1"/>
    <x v="4"/>
    <x v="2"/>
    <x v="4"/>
    <x v="4"/>
    <x v="2"/>
    <n v="1"/>
    <x v="2"/>
    <n v="5"/>
    <b v="1"/>
    <s v="a24UU000002dsHAYAY"/>
    <s v="PY-01717411"/>
    <x v="4"/>
    <x v="4"/>
    <s v="Activated"/>
    <s v="ACCEPTED"/>
    <s v="Fee"/>
    <s v="Subscription"/>
    <s v="79.0"/>
    <s v="88.09"/>
    <s v="79.0"/>
    <s v="0.0"/>
    <s v="2025-07-30"/>
    <s v="2025-07-30T10:07:39.000Z"/>
    <m/>
    <m/>
    <s v="2025-07-30T10:07:39.000Z"/>
  </r>
  <r>
    <x v="1"/>
    <x v="4"/>
    <x v="2"/>
    <x v="4"/>
    <x v="4"/>
    <x v="2"/>
    <n v="1"/>
    <x v="2"/>
    <n v="5"/>
    <b v="1"/>
    <s v="a24UU000002pC7jYAE"/>
    <s v="PY-01726438"/>
    <x v="4"/>
    <x v="4"/>
    <s v="Activated"/>
    <s v="ACCEPTED"/>
    <s v="Fee"/>
    <s v="Subscription"/>
    <s v="79.0"/>
    <s v="88.09"/>
    <s v="79.0"/>
    <s v="0.0"/>
    <s v="2025-08-29"/>
    <s v="2025-08-29T10:07:27.000Z"/>
    <m/>
    <m/>
    <s v="2025-08-29T10:07:27.000Z"/>
  </r>
  <r>
    <x v="1"/>
    <x v="4"/>
    <x v="2"/>
    <x v="4"/>
    <x v="4"/>
    <x v="2"/>
    <n v="1"/>
    <x v="2"/>
    <n v="5"/>
    <b v="1"/>
    <s v="a24UU0000030oeOYAQ"/>
    <s v="PY-01736994"/>
    <x v="4"/>
    <x v="4"/>
    <s v="Activated"/>
    <s v="ACCEPTED"/>
    <s v="Fee"/>
    <s v="Subscription"/>
    <s v="79.0"/>
    <s v="88.09"/>
    <s v="79.0"/>
    <s v="0.0"/>
    <s v="2025-09-30"/>
    <s v="2025-09-30T10:05:48.000Z"/>
    <m/>
    <m/>
    <s v="2025-09-30T10:05:48.000Z"/>
  </r>
  <r>
    <x v="1"/>
    <x v="4"/>
    <x v="2"/>
    <x v="4"/>
    <x v="4"/>
    <x v="2"/>
    <n v="1"/>
    <x v="2"/>
    <n v="5"/>
    <b v="1"/>
    <s v="a24UU000003JMuUYAW"/>
    <s v="PY-01755584"/>
    <x v="4"/>
    <x v="4"/>
    <s v="Activated"/>
    <s v="ACCEPTED"/>
    <s v="Late payment fee"/>
    <s v="Fee"/>
    <s v="104.0"/>
    <s v="104.0"/>
    <s v="79.0"/>
    <s v="25.0"/>
    <s v="2025-11-21"/>
    <s v="2025-11-21T10:11:31.000Z"/>
    <m/>
    <s v="a24UU000003Bf9OYAS"/>
    <s v="2025-11-21T10:11:31.000Z"/>
  </r>
  <r>
    <x v="1"/>
    <x v="4"/>
    <x v="2"/>
    <x v="4"/>
    <x v="4"/>
    <x v="2"/>
    <n v="1"/>
    <x v="2"/>
    <n v="5"/>
    <b v="1"/>
    <s v="a24UU000003XPYzYAO"/>
    <s v="PY-01772811"/>
    <x v="4"/>
    <x v="4"/>
    <s v="Activated"/>
    <s v="ACCEPTED"/>
    <s v="Late payment fee"/>
    <s v="Fee"/>
    <s v="104.0"/>
    <s v="104.0"/>
    <s v="79.0"/>
    <s v="25.0"/>
    <s v="2026-01-01"/>
    <s v="2026-01-01T10:09:31.000Z"/>
    <m/>
    <s v="a24UU000003KfDNYA0"/>
    <s v="2026-01-01T10:09:31.000Z"/>
  </r>
  <r>
    <x v="1"/>
    <x v="4"/>
    <x v="2"/>
    <x v="4"/>
    <x v="4"/>
    <x v="2"/>
    <n v="1"/>
    <x v="2"/>
    <n v="5"/>
    <b v="1"/>
    <s v="a24UU000004FbrRYAS"/>
    <s v="PY-01816295"/>
    <x v="4"/>
    <x v="4"/>
    <s v="Activated"/>
    <s v="ACCEPTED"/>
    <s v="Late payment fee"/>
    <s v="Fee"/>
    <s v="104.0"/>
    <s v="104.0"/>
    <s v="79.0"/>
    <s v="25.0"/>
    <s v="2026-04-10"/>
    <s v="2026-04-10T10:04:00.000Z"/>
    <m/>
    <s v="a24UU000003WkIxYAK"/>
    <s v="2026-04-10T10:04:00.000Z"/>
  </r>
  <r>
    <x v="1"/>
    <x v="4"/>
    <x v="2"/>
    <x v="4"/>
    <x v="4"/>
    <x v="2"/>
    <n v="1"/>
    <x v="2"/>
    <n v="5"/>
    <b v="1"/>
    <s v="a24UU000004jnYaYAI"/>
    <s v="PY-01853399"/>
    <x v="4"/>
    <x v="4"/>
    <s v="Activated"/>
    <s v="ACCEPTED"/>
    <s v="Late payment fee"/>
    <s v="Fee"/>
    <s v="104.0"/>
    <s v="104.0"/>
    <s v="79.0"/>
    <s v="25.0"/>
    <s v="2026-06-18"/>
    <s v="2026-06-18T10:01:04.000Z"/>
    <m/>
    <s v="a24UU000003jz42YAA"/>
    <s v="2026-06-18T10:01:04.000Z"/>
  </r>
  <r>
    <x v="0"/>
    <x v="4"/>
    <x v="1"/>
    <x v="4"/>
    <x v="4"/>
    <x v="2"/>
    <n v="1"/>
    <x v="2"/>
    <n v="5"/>
    <b v="1"/>
    <s v="a24UU000001Q2YfYAK"/>
    <s v="PY-01667475"/>
    <x v="5"/>
    <x v="5"/>
    <s v="Activated"/>
    <s v="ACCEPTED"/>
    <s v="AC"/>
    <s v="AC"/>
    <s v="99.0"/>
    <s v="110.39"/>
    <s v="99.0"/>
    <s v="0.0"/>
    <s v="2025-02-14"/>
    <s v="2025-02-14T19:52:20.000Z"/>
    <m/>
    <m/>
    <s v="2025-02-14T19:52:20.000Z"/>
  </r>
  <r>
    <x v="1"/>
    <x v="4"/>
    <x v="1"/>
    <x v="4"/>
    <x v="4"/>
    <x v="2"/>
    <n v="1"/>
    <x v="2"/>
    <n v="5"/>
    <b v="1"/>
    <s v="a24UU000001mBrpYAE"/>
    <s v="PY-01680586"/>
    <x v="5"/>
    <x v="5"/>
    <s v="Activated"/>
    <s v="ACCEPTED"/>
    <s v="Late payment fee"/>
    <s v="Fee"/>
    <s v="104.0"/>
    <s v="115.96"/>
    <s v="79.0"/>
    <s v="25.0"/>
    <s v="2025-04-03"/>
    <s v="2025-04-01T18:59:33.000Z"/>
    <m/>
    <s v="a24UU000001inMJYAY"/>
    <s v="2025-04-01T18:59:33.000Z"/>
  </r>
  <r>
    <x v="1"/>
    <x v="4"/>
    <x v="1"/>
    <x v="4"/>
    <x v="4"/>
    <x v="2"/>
    <n v="1"/>
    <x v="2"/>
    <n v="5"/>
    <b v="1"/>
    <s v="a24UU0000027n9MYAQ"/>
    <s v="PY-01689783"/>
    <x v="5"/>
    <x v="5"/>
    <s v="Activated"/>
    <s v="ACCEPTED"/>
    <s v="Fee"/>
    <s v="Subscription"/>
    <s v="79.0"/>
    <s v="88.09"/>
    <s v="79.0"/>
    <s v="0.0"/>
    <s v="2025-04-30"/>
    <s v="2025-04-30T10:13:49.000Z"/>
    <m/>
    <m/>
    <s v="2025-04-30T10:13:49.000Z"/>
  </r>
  <r>
    <x v="1"/>
    <x v="4"/>
    <x v="1"/>
    <x v="4"/>
    <x v="4"/>
    <x v="2"/>
    <n v="1"/>
    <x v="2"/>
    <n v="5"/>
    <b v="1"/>
    <s v="a24UU000002HXPwYAO"/>
    <s v="PY-01698929"/>
    <x v="5"/>
    <x v="5"/>
    <s v="Activated"/>
    <s v="ACCEPTED"/>
    <s v="Fee"/>
    <s v="Subscription"/>
    <s v="79.0"/>
    <s v="88.09"/>
    <s v="79.0"/>
    <s v="0.0"/>
    <s v="2025-05-30"/>
    <s v="2025-05-30T10:12:39.000Z"/>
    <m/>
    <m/>
    <s v="2025-05-30T10:12:39.000Z"/>
  </r>
  <r>
    <x v="1"/>
    <x v="4"/>
    <x v="1"/>
    <x v="4"/>
    <x v="4"/>
    <x v="2"/>
    <n v="1"/>
    <x v="2"/>
    <n v="5"/>
    <b v="1"/>
    <s v="a24UU000002UD6qYAG"/>
    <s v="PY-01708184"/>
    <x v="5"/>
    <x v="5"/>
    <s v="Activated"/>
    <s v="ACCEPTED"/>
    <s v="Late payment fee"/>
    <s v="Fee"/>
    <s v="104.0"/>
    <s v="115.96"/>
    <s v="79.0"/>
    <s v="25.0"/>
    <s v="2025-07-03"/>
    <s v="2025-07-03T10:06:54.000Z"/>
    <m/>
    <s v="a24UU000002SBm5YAG"/>
    <s v="2025-07-03T10:06:54.000Z"/>
  </r>
  <r>
    <x v="1"/>
    <x v="4"/>
    <x v="1"/>
    <x v="4"/>
    <x v="4"/>
    <x v="2"/>
    <n v="1"/>
    <x v="2"/>
    <n v="5"/>
    <b v="1"/>
    <s v="a24UU000002h47YYAQ"/>
    <s v="PY-01719973"/>
    <x v="5"/>
    <x v="5"/>
    <s v="Activated"/>
    <s v="ACCEPTED"/>
    <s v="Late payment fee"/>
    <s v="Fee"/>
    <s v="104.0"/>
    <s v="115.96"/>
    <s v="79.0"/>
    <s v="25.0"/>
    <s v="2025-08-07"/>
    <s v="2025-08-07T10:10:50.000Z"/>
    <m/>
    <s v="a24UU000002dsDwYAI"/>
    <s v="2025-08-07T10:10:50.000Z"/>
  </r>
  <r>
    <x v="1"/>
    <x v="4"/>
    <x v="1"/>
    <x v="4"/>
    <x v="4"/>
    <x v="2"/>
    <n v="1"/>
    <x v="2"/>
    <n v="5"/>
    <b v="1"/>
    <s v="a24UU000002wPZnYAM"/>
    <s v="PY-01733149"/>
    <x v="5"/>
    <x v="5"/>
    <s v="Activated"/>
    <s v="ACCEPTED"/>
    <s v="Late payment fee"/>
    <s v="Fee"/>
    <s v="104.0"/>
    <s v="115.96"/>
    <s v="79.0"/>
    <s v="25.0"/>
    <s v="2025-09-18"/>
    <s v="2025-09-18T10:07:52.000Z"/>
    <m/>
    <s v="a24UU000002pC65YAE"/>
    <s v="2025-09-18T10:07:52.000Z"/>
  </r>
  <r>
    <x v="1"/>
    <x v="4"/>
    <x v="1"/>
    <x v="4"/>
    <x v="4"/>
    <x v="2"/>
    <n v="1"/>
    <x v="2"/>
    <n v="5"/>
    <b v="1"/>
    <s v="a24UU0000030okgYAA"/>
    <s v="PY-01736986"/>
    <x v="5"/>
    <x v="5"/>
    <s v="Activated"/>
    <s v="ACCEPTED"/>
    <s v="Fee"/>
    <s v="Subscription"/>
    <s v="79.0"/>
    <s v="88.09"/>
    <s v="79.0"/>
    <s v="0.0"/>
    <s v="2025-09-30"/>
    <s v="2025-09-30T10:05:37.000Z"/>
    <m/>
    <m/>
    <s v="2025-09-30T10:05:37.000Z"/>
  </r>
  <r>
    <x v="1"/>
    <x v="4"/>
    <x v="1"/>
    <x v="4"/>
    <x v="4"/>
    <x v="2"/>
    <n v="1"/>
    <x v="2"/>
    <n v="5"/>
    <b v="1"/>
    <s v="a24UU000003IJldYAG"/>
    <s v="PY-01754240"/>
    <x v="5"/>
    <x v="5"/>
    <s v="Activated"/>
    <s v="ACCEPTED"/>
    <s v="Late payment fee"/>
    <s v="Fee"/>
    <s v="104.0"/>
    <s v="104.0"/>
    <s v="79.0"/>
    <s v="25.0"/>
    <s v="2025-11-20"/>
    <s v="2025-11-18T16:52:08.000Z"/>
    <m/>
    <s v="a24UU000003Bf4gYAC"/>
    <s v="2025-11-18T16:52:08.000Z"/>
  </r>
  <r>
    <x v="1"/>
    <x v="4"/>
    <x v="1"/>
    <x v="4"/>
    <x v="4"/>
    <x v="2"/>
    <n v="1"/>
    <x v="2"/>
    <n v="5"/>
    <b v="1"/>
    <s v="a24UU000003LqGYYA0"/>
    <s v="PY-01759826"/>
    <x v="5"/>
    <x v="5"/>
    <s v="Activated"/>
    <s v="ACCEPTED"/>
    <s v="Late payment fee"/>
    <s v="Fee"/>
    <s v="104.0"/>
    <s v="104.0"/>
    <s v="79.0"/>
    <s v="25.0"/>
    <s v="2025-12-01"/>
    <s v="2025-12-01T10:17:32.000Z"/>
    <m/>
    <s v="a24UU000003KfBmYAK"/>
    <s v="2025-12-01T10:17:32.000Z"/>
  </r>
  <r>
    <x v="1"/>
    <x v="4"/>
    <x v="1"/>
    <x v="4"/>
    <x v="4"/>
    <x v="2"/>
    <n v="1"/>
    <x v="2"/>
    <n v="5"/>
    <b v="1"/>
    <s v="a24UU000004BeZJYA0"/>
    <s v="PY-01812573"/>
    <x v="5"/>
    <x v="5"/>
    <s v="Activated"/>
    <s v="ACCEPTED"/>
    <s v="Late payment fee"/>
    <s v="Fee"/>
    <s v="104.0"/>
    <s v="104.0"/>
    <s v="79.0"/>
    <s v="25.0"/>
    <s v="2026-04-02"/>
    <s v="2026-04-01T01:31:35.000Z"/>
    <m/>
    <s v="a24UU000003jz2TYAQ"/>
    <s v="2026-04-01T01:31:35.000Z"/>
  </r>
  <r>
    <x v="1"/>
    <x v="4"/>
    <x v="1"/>
    <x v="4"/>
    <x v="4"/>
    <x v="2"/>
    <n v="1"/>
    <x v="2"/>
    <n v="5"/>
    <b v="1"/>
    <s v="a24UU000004BeavYAC"/>
    <s v="PY-01812574"/>
    <x v="5"/>
    <x v="5"/>
    <s v="Activated"/>
    <s v="ACCEPTED"/>
    <s v="Late payment fee"/>
    <s v="Fee"/>
    <s v="104.0"/>
    <s v="104.0"/>
    <s v="79.0"/>
    <s v="25.0"/>
    <s v="2026-04-02"/>
    <s v="2026-04-01T01:31:50.000Z"/>
    <m/>
    <s v="a24UU000004AjjDYAS"/>
    <s v="2026-04-01T01:31:50.000Z"/>
  </r>
  <r>
    <x v="0"/>
    <x v="5"/>
    <x v="1"/>
    <x v="5"/>
    <x v="5"/>
    <x v="2"/>
    <n v="1"/>
    <x v="2"/>
    <n v="5"/>
    <b v="1"/>
    <s v="a24UU000001W4j6YAC"/>
    <s v="PY-01673804"/>
    <x v="6"/>
    <x v="6"/>
    <s v="Activated"/>
    <s v="ACCEPTED"/>
    <s v="AC"/>
    <s v="AC"/>
    <s v="159.0"/>
    <s v="177.29"/>
    <s v="159.0"/>
    <s v="0.0"/>
    <s v="2025-03-07"/>
    <s v="2025-03-07T10:14:09.000Z"/>
    <m/>
    <m/>
    <s v="2025-03-07T10:14:09.000Z"/>
  </r>
  <r>
    <x v="1"/>
    <x v="5"/>
    <x v="1"/>
    <x v="5"/>
    <x v="5"/>
    <x v="2"/>
    <n v="1"/>
    <x v="2"/>
    <n v="5"/>
    <b v="1"/>
    <s v="a24UU000002MnIoYAK"/>
    <s v="PY-01702295"/>
    <x v="6"/>
    <x v="6"/>
    <s v="Activated"/>
    <s v="ACCEPTED"/>
    <s v="Late payment fee"/>
    <s v="Fee"/>
    <s v="104.0"/>
    <s v="115.96"/>
    <s v="79.0"/>
    <s v="25.0"/>
    <s v="2025-06-12"/>
    <s v="2025-06-12T10:09:47.000Z"/>
    <m/>
    <s v="a24UU0000027kkwYAA"/>
    <s v="2025-06-12T10:09:47.000Z"/>
  </r>
  <r>
    <x v="1"/>
    <x v="5"/>
    <x v="1"/>
    <x v="5"/>
    <x v="5"/>
    <x v="2"/>
    <n v="1"/>
    <x v="2"/>
    <n v="5"/>
    <b v="1"/>
    <s v="a24UU000002hU06YAE"/>
    <s v="PY-01720225"/>
    <x v="6"/>
    <x v="6"/>
    <s v="Activated"/>
    <s v="ACCEPTED"/>
    <s v="Late payment fee"/>
    <s v="Fee"/>
    <s v="79.0"/>
    <s v="88.09"/>
    <s v="79.0"/>
    <s v="0.0"/>
    <s v="2025-08-08"/>
    <s v="2025-08-08T10:04:12.000Z"/>
    <m/>
    <s v="a24UU000002HXZaYAO"/>
    <s v="2025-08-08T10:04:12.000Z"/>
  </r>
  <r>
    <x v="1"/>
    <x v="5"/>
    <x v="1"/>
    <x v="5"/>
    <x v="5"/>
    <x v="2"/>
    <n v="1"/>
    <x v="2"/>
    <n v="5"/>
    <b v="1"/>
    <s v="a24UU000002hUjHYAU"/>
    <s v="PY-01720543"/>
    <x v="6"/>
    <x v="6"/>
    <s v="Activated"/>
    <s v="ACCEPTED"/>
    <s v="Late payment fee"/>
    <s v="Fee"/>
    <s v="104.0"/>
    <s v="115.96"/>
    <s v="79.0"/>
    <s v="25.0"/>
    <s v="2025-08-08"/>
    <s v="2025-08-08T10:10:45.000Z"/>
    <m/>
    <s v="a24UU000002dsIsYAI"/>
    <s v="2025-08-08T10:10:45.000Z"/>
  </r>
  <r>
    <x v="1"/>
    <x v="5"/>
    <x v="1"/>
    <x v="5"/>
    <x v="5"/>
    <x v="2"/>
    <n v="1"/>
    <x v="2"/>
    <n v="5"/>
    <b v="1"/>
    <s v="a24UU00000351xvYAA"/>
    <s v="PY-01740665"/>
    <x v="6"/>
    <x v="6"/>
    <s v="Activated"/>
    <s v="ACCEPTED"/>
    <s v="Late payment fee"/>
    <s v="Fee"/>
    <s v="104.0"/>
    <s v="115.96"/>
    <s v="79.0"/>
    <s v="25.0"/>
    <s v="2025-10-10"/>
    <s v="2025-10-10T10:08:26.000Z"/>
    <m/>
    <s v="a24UU000002pC6GYAU"/>
    <s v="2025-10-10T10:08:26.000Z"/>
  </r>
  <r>
    <x v="1"/>
    <x v="5"/>
    <x v="1"/>
    <x v="5"/>
    <x v="5"/>
    <x v="2"/>
    <n v="1"/>
    <x v="2"/>
    <n v="5"/>
    <b v="1"/>
    <s v="a24UU00000352NjYAI"/>
    <s v="PY-01740914"/>
    <x v="6"/>
    <x v="6"/>
    <s v="Activated"/>
    <s v="ACCEPTED"/>
    <s v="Late payment fee"/>
    <s v="Fee"/>
    <s v="104.0"/>
    <s v="115.96"/>
    <s v="79.0"/>
    <s v="25.0"/>
    <s v="2025-10-10"/>
    <s v="2025-10-10T10:13:45.000Z"/>
    <m/>
    <s v="a24UU0000030omLYAQ"/>
    <s v="2025-10-10T10:13:45.000Z"/>
  </r>
  <r>
    <x v="1"/>
    <x v="5"/>
    <x v="1"/>
    <x v="5"/>
    <x v="5"/>
    <x v="2"/>
    <n v="1"/>
    <x v="2"/>
    <n v="5"/>
    <b v="1"/>
    <s v="a24UU00000352VhYAI"/>
    <s v="PY-01740968"/>
    <x v="6"/>
    <x v="6"/>
    <s v="Activated"/>
    <s v="ACCEPTED"/>
    <s v="Late payment fee"/>
    <m/>
    <s v="104.0"/>
    <s v="115.96"/>
    <s v="79.0"/>
    <s v="25.0"/>
    <s v="2025-10-10"/>
    <s v="2025-10-10T10:15:03.000Z"/>
    <m/>
    <m/>
    <s v="2025-10-10T10:15:03.000Z"/>
  </r>
  <r>
    <x v="1"/>
    <x v="5"/>
    <x v="1"/>
    <x v="5"/>
    <x v="5"/>
    <x v="2"/>
    <n v="1"/>
    <x v="2"/>
    <n v="5"/>
    <b v="1"/>
    <s v="a24UU000003LD0pYAG"/>
    <s v="PY-01758541"/>
    <x v="6"/>
    <x v="6"/>
    <s v="Activated"/>
    <s v="ACCEPTED"/>
    <s v="Late payment fee"/>
    <s v="Fee"/>
    <s v="104.0"/>
    <s v="104.0"/>
    <s v="79.0"/>
    <s v="25.0"/>
    <s v="2025-11-28"/>
    <s v="2025-11-28T10:10:22.000Z"/>
    <m/>
    <s v="a24UU000003BfB3YAK"/>
    <s v="2025-11-28T10:10:22.000Z"/>
  </r>
  <r>
    <x v="1"/>
    <x v="5"/>
    <x v="1"/>
    <x v="5"/>
    <x v="5"/>
    <x v="2"/>
    <n v="1"/>
    <x v="2"/>
    <n v="5"/>
    <b v="1"/>
    <s v="a24UU000003XPZ1YAO"/>
    <s v="PY-01772813"/>
    <x v="6"/>
    <x v="6"/>
    <s v="Activated"/>
    <s v="ACCEPTED"/>
    <s v="Late payment fee"/>
    <s v="Fee"/>
    <s v="79.0"/>
    <s v="79.0"/>
    <s v="79.0"/>
    <s v="0.0"/>
    <s v="2026-01-01"/>
    <s v="2026-01-01T10:09:31.000Z"/>
    <m/>
    <s v="a24UU000003KfEzYAK"/>
    <s v="2026-01-01T10:09:31.000Z"/>
  </r>
  <r>
    <x v="1"/>
    <x v="5"/>
    <x v="1"/>
    <x v="5"/>
    <x v="5"/>
    <x v="2"/>
    <n v="1"/>
    <x v="2"/>
    <n v="5"/>
    <b v="1"/>
    <s v="a24UU000003anDUYAY"/>
    <s v="PY-01776477"/>
    <x v="6"/>
    <x v="6"/>
    <s v="Activated"/>
    <s v="ACCEPTED"/>
    <s v="Late payment fee"/>
    <s v="Fee"/>
    <s v="104.0"/>
    <s v="104.0"/>
    <s v="79.0"/>
    <s v="25.0"/>
    <s v="2026-01-09"/>
    <s v="2026-01-09T10:13:38.000Z"/>
    <m/>
    <s v="a24UU000003VnNoYAK"/>
    <s v="2026-01-09T10:13:38.000Z"/>
  </r>
  <r>
    <x v="1"/>
    <x v="5"/>
    <x v="1"/>
    <x v="5"/>
    <x v="5"/>
    <x v="2"/>
    <n v="1"/>
    <x v="2"/>
    <n v="5"/>
    <b v="1"/>
    <s v="a24UU000003lOWbYAM"/>
    <s v="PY-01788768"/>
    <x v="6"/>
    <x v="6"/>
    <s v="Activated"/>
    <s v="ACCEPTED"/>
    <s v="Late payment fee"/>
    <s v="Fee"/>
    <s v="104.0"/>
    <s v="104.0"/>
    <s v="79.0"/>
    <s v="25.0"/>
    <s v="2026-02-03"/>
    <s v="2026-02-02T22:25:16.000Z"/>
    <m/>
    <s v="a24UU000003jz46YAA"/>
    <s v="2026-02-02T22:25:16.000Z"/>
  </r>
  <r>
    <x v="0"/>
    <x v="6"/>
    <x v="3"/>
    <x v="5"/>
    <x v="5"/>
    <x v="2"/>
    <n v="1"/>
    <x v="2"/>
    <n v="5"/>
    <b v="1"/>
    <s v="a24UU000001XoVJYA0"/>
    <s v="PY-01675056"/>
    <x v="7"/>
    <x v="7"/>
    <s v="Activated"/>
    <s v="ACCEPTED"/>
    <s v="AC"/>
    <s v="AC"/>
    <s v="79.5"/>
    <s v="88.64"/>
    <s v="79.5"/>
    <s v="0.0"/>
    <s v="2025-03-13"/>
    <s v="2025-03-13T20:49:29.000Z"/>
    <m/>
    <m/>
    <s v="2025-03-13T20:49:29.000Z"/>
  </r>
  <r>
    <x v="0"/>
    <x v="6"/>
    <x v="3"/>
    <x v="5"/>
    <x v="5"/>
    <x v="2"/>
    <n v="1"/>
    <x v="2"/>
    <n v="5"/>
    <b v="1"/>
    <s v="a24UU000001inkQYAQ"/>
    <s v="PY-01679716"/>
    <x v="7"/>
    <x v="7"/>
    <s v="Activated"/>
    <s v="ACCEPTED"/>
    <s v="AC"/>
    <s v="AC"/>
    <s v="79.5"/>
    <s v="88.64"/>
    <s v="79.5"/>
    <s v="0.0"/>
    <s v="2025-03-28"/>
    <s v="2025-03-28T10:21:51.000Z"/>
    <m/>
    <m/>
    <s v="2025-03-28T10:21:51.000Z"/>
  </r>
  <r>
    <x v="1"/>
    <x v="6"/>
    <x v="3"/>
    <x v="5"/>
    <x v="5"/>
    <x v="2"/>
    <n v="1"/>
    <x v="2"/>
    <n v="5"/>
    <b v="1"/>
    <s v="a24UU0000027nUIYAY"/>
    <s v="PY-01689929"/>
    <x v="7"/>
    <x v="7"/>
    <s v="Activated"/>
    <s v="ACCEPTED"/>
    <s v="Fee"/>
    <s v="Subscription"/>
    <s v="79.0"/>
    <s v="88.09"/>
    <s v="79.0"/>
    <s v="0.0"/>
    <s v="2025-04-30"/>
    <s v="2025-04-30T10:16:58.000Z"/>
    <m/>
    <m/>
    <s v="2025-04-30T10:16:58.000Z"/>
  </r>
  <r>
    <x v="1"/>
    <x v="6"/>
    <x v="3"/>
    <x v="5"/>
    <x v="5"/>
    <x v="2"/>
    <n v="1"/>
    <x v="2"/>
    <n v="5"/>
    <b v="1"/>
    <s v="a24UU000002MzWjYAK"/>
    <s v="PY-01702542"/>
    <x v="7"/>
    <x v="7"/>
    <s v="Activated"/>
    <s v="ACCEPTED"/>
    <s v="Late payment fee"/>
    <s v="Fee"/>
    <s v="104.0"/>
    <s v="115.96"/>
    <s v="79.0"/>
    <s v="25.0"/>
    <s v="2025-06-13"/>
    <s v="2025-06-12T21:03:10.000Z"/>
    <m/>
    <s v="a24UU000002HXpdYAG"/>
    <s v="2025-06-12T21:03:10.000Z"/>
  </r>
  <r>
    <x v="1"/>
    <x v="6"/>
    <x v="3"/>
    <x v="5"/>
    <x v="5"/>
    <x v="2"/>
    <n v="1"/>
    <x v="2"/>
    <n v="5"/>
    <b v="1"/>
    <s v="a24UU000002SC5AYAW"/>
    <s v="PY-01707382"/>
    <x v="7"/>
    <x v="7"/>
    <s v="Activated"/>
    <s v="ACCEPTED"/>
    <s v="Fee"/>
    <s v="Subscription"/>
    <s v="79.0"/>
    <s v="88.09"/>
    <s v="79.0"/>
    <s v="0.0"/>
    <s v="2025-06-27"/>
    <s v="2025-06-27T21:17:41.000Z"/>
    <m/>
    <m/>
    <s v="2025-06-27T21:17:41.000Z"/>
  </r>
  <r>
    <x v="1"/>
    <x v="6"/>
    <x v="3"/>
    <x v="5"/>
    <x v="5"/>
    <x v="2"/>
    <n v="1"/>
    <x v="2"/>
    <n v="5"/>
    <b v="1"/>
    <s v="a24UU000002dsPDYAY"/>
    <s v="PY-01717461"/>
    <x v="7"/>
    <x v="7"/>
    <s v="Activated"/>
    <s v="ACCEPTED"/>
    <s v="Fee"/>
    <s v="Subscription"/>
    <s v="79.0"/>
    <s v="88.09"/>
    <s v="79.0"/>
    <s v="0.0"/>
    <s v="2025-07-30"/>
    <s v="2025-07-30T10:08:57.000Z"/>
    <m/>
    <m/>
    <s v="2025-07-30T10:08:57.000Z"/>
  </r>
  <r>
    <x v="1"/>
    <x v="6"/>
    <x v="3"/>
    <x v="5"/>
    <x v="5"/>
    <x v="2"/>
    <n v="1"/>
    <x v="2"/>
    <n v="5"/>
    <b v="1"/>
    <s v="a24UU000002pC9SYAU"/>
    <s v="PY-01726494"/>
    <x v="7"/>
    <x v="7"/>
    <s v="Activated"/>
    <s v="ACCEPTED"/>
    <s v="Fee"/>
    <s v="Subscription"/>
    <s v="79.0"/>
    <s v="88.09"/>
    <s v="79.0"/>
    <s v="0.0"/>
    <s v="2025-08-29"/>
    <s v="2025-08-29T10:08:56.000Z"/>
    <m/>
    <m/>
    <s v="2025-08-29T10:08:56.000Z"/>
  </r>
  <r>
    <x v="1"/>
    <x v="6"/>
    <x v="3"/>
    <x v="5"/>
    <x v="5"/>
    <x v="2"/>
    <n v="1"/>
    <x v="2"/>
    <n v="5"/>
    <b v="1"/>
    <s v="a24UU0000035wBPYAY"/>
    <s v="PY-01741637"/>
    <x v="7"/>
    <x v="7"/>
    <s v="Activated"/>
    <s v="ACCEPTED"/>
    <s v="Late payment fee"/>
    <s v="Fee"/>
    <s v="104.0"/>
    <s v="115.96"/>
    <s v="79.0"/>
    <s v="25.0"/>
    <s v="2025-10-13"/>
    <s v="2025-10-13T10:12:46.000Z"/>
    <m/>
    <s v="a24UU0000030or8YAA"/>
    <s v="2025-10-13T10:12:46.000Z"/>
  </r>
  <r>
    <x v="1"/>
    <x v="6"/>
    <x v="3"/>
    <x v="5"/>
    <x v="5"/>
    <x v="2"/>
    <n v="1"/>
    <x v="2"/>
    <n v="5"/>
    <b v="1"/>
    <s v="a24UU000003EjrlYAC"/>
    <s v="PY-01750915"/>
    <x v="7"/>
    <x v="7"/>
    <s v="Activated"/>
    <s v="ACCEPTED"/>
    <s v="Late payment fee"/>
    <s v="Fee"/>
    <s v="104.0"/>
    <s v="115.96"/>
    <s v="79.0"/>
    <s v="25.0"/>
    <s v="2025-11-07"/>
    <s v="2025-11-07T10:12:49.000Z"/>
    <m/>
    <s v="a24UU000003BfCeYAK"/>
    <s v="2025-11-07T10:12:49.000Z"/>
  </r>
  <r>
    <x v="1"/>
    <x v="6"/>
    <x v="3"/>
    <x v="5"/>
    <x v="5"/>
    <x v="2"/>
    <n v="1"/>
    <x v="2"/>
    <n v="5"/>
    <b v="1"/>
    <s v="a24UU000003KfIDYA0"/>
    <s v="PY-01757100"/>
    <x v="7"/>
    <x v="7"/>
    <s v="Activated"/>
    <s v="ACCEPTED"/>
    <s v="Fee"/>
    <s v="Subscription"/>
    <s v="79.0"/>
    <s v="79.0"/>
    <s v="79.0"/>
    <s v="0.0"/>
    <s v="2025-11-26"/>
    <s v="2025-11-26T10:05:44.000Z"/>
    <m/>
    <m/>
    <s v="2025-11-26T10:05:44.000Z"/>
  </r>
  <r>
    <x v="1"/>
    <x v="6"/>
    <x v="3"/>
    <x v="5"/>
    <x v="5"/>
    <x v="2"/>
    <n v="1"/>
    <x v="2"/>
    <n v="5"/>
    <b v="1"/>
    <s v="a24UU000003e60DYAQ"/>
    <s v="PY-01779819"/>
    <x v="7"/>
    <x v="7"/>
    <s v="Activated"/>
    <s v="ACCEPTED"/>
    <s v="Late payment fee"/>
    <s v="Fee"/>
    <s v="104.0"/>
    <s v="104.0"/>
    <s v="79.0"/>
    <s v="25.0"/>
    <s v="2026-01-16"/>
    <s v="2026-01-16T10:14:04.000Z"/>
    <m/>
    <s v="a24UU000003Vem4YAC"/>
    <s v="2026-01-16T10:14:04.000Z"/>
  </r>
  <r>
    <x v="1"/>
    <x v="6"/>
    <x v="3"/>
    <x v="5"/>
    <x v="5"/>
    <x v="2"/>
    <n v="1"/>
    <x v="2"/>
    <n v="5"/>
    <b v="1"/>
    <s v="a24UU000004aChzYAE"/>
    <s v="PY-01840882"/>
    <x v="7"/>
    <x v="7"/>
    <s v="Activated"/>
    <s v="ACCEPTED"/>
    <s v="Late payment fee"/>
    <s v="Fee"/>
    <s v="104.0"/>
    <s v="104.0"/>
    <s v="79.0"/>
    <s v="25.0"/>
    <s v="2026-05-28"/>
    <s v="2026-05-28T10:02:45.000Z"/>
    <m/>
    <s v="a24UU000003jz5hYAA"/>
    <s v="2026-05-28T10:02:45.000Z"/>
  </r>
  <r>
    <x v="0"/>
    <x v="7"/>
    <x v="1"/>
    <x v="6"/>
    <x v="6"/>
    <x v="3"/>
    <n v="1"/>
    <x v="3"/>
    <n v="4"/>
    <b v="1"/>
    <s v="a24UU000002DMuPYAW"/>
    <s v="PY-01694592"/>
    <x v="8"/>
    <x v="8"/>
    <s v="Activated"/>
    <s v="ACCEPTED"/>
    <s v="AC"/>
    <s v="AC"/>
    <s v="99.0"/>
    <s v="110.39"/>
    <s v="99.0"/>
    <s v="0.0"/>
    <s v="2025-05-15"/>
    <s v="2025-05-15T21:24:05.000Z"/>
    <m/>
    <m/>
    <s v="2025-05-15T21:24:05.000Z"/>
  </r>
  <r>
    <x v="1"/>
    <x v="7"/>
    <x v="1"/>
    <x v="6"/>
    <x v="6"/>
    <x v="3"/>
    <n v="1"/>
    <x v="3"/>
    <n v="4"/>
    <b v="1"/>
    <s v="a24UU000002NC98YAG"/>
    <s v="PY-01703003"/>
    <x v="8"/>
    <x v="8"/>
    <s v="Activated"/>
    <s v="ACCEPTED"/>
    <s v="Fee"/>
    <s v="Subscription"/>
    <s v="99.0"/>
    <s v="110.39"/>
    <s v="99.0"/>
    <s v="0.0"/>
    <s v="2025-06-13"/>
    <s v="2025-06-13T10:15:01.000Z"/>
    <m/>
    <m/>
    <s v="2025-06-13T10:15:01.000Z"/>
  </r>
  <r>
    <x v="1"/>
    <x v="7"/>
    <x v="1"/>
    <x v="6"/>
    <x v="6"/>
    <x v="3"/>
    <n v="1"/>
    <x v="3"/>
    <n v="4"/>
    <b v="1"/>
    <s v="a24UU000002grgHYAQ"/>
    <s v="PY-01719513"/>
    <x v="8"/>
    <x v="8"/>
    <s v="Activated"/>
    <s v="ACCEPTED"/>
    <s v="Fee"/>
    <s v="Subscription"/>
    <s v="99.0"/>
    <s v="110.39"/>
    <s v="99.0"/>
    <s v="0.0"/>
    <s v="2025-08-15"/>
    <s v="2025-08-06T23:24:37.000Z"/>
    <m/>
    <m/>
    <s v="2025-08-06T23:24:37.000Z"/>
  </r>
  <r>
    <x v="1"/>
    <x v="7"/>
    <x v="1"/>
    <x v="6"/>
    <x v="6"/>
    <x v="3"/>
    <n v="1"/>
    <x v="3"/>
    <n v="4"/>
    <b v="1"/>
    <s v="a24UU000002v2iRYAQ"/>
    <s v="PY-01732011"/>
    <x v="8"/>
    <x v="8"/>
    <s v="Activated"/>
    <s v="ACCEPTED"/>
    <s v="Fee"/>
    <s v="Subscription"/>
    <s v="99.0"/>
    <s v="110.39"/>
    <s v="99.0"/>
    <s v="0.0"/>
    <s v="2025-09-15"/>
    <s v="2025-09-15T10:04:02.000Z"/>
    <m/>
    <m/>
    <s v="2025-09-15T10:04:02.000Z"/>
  </r>
  <r>
    <x v="1"/>
    <x v="7"/>
    <x v="1"/>
    <x v="6"/>
    <x v="6"/>
    <x v="3"/>
    <n v="1"/>
    <x v="3"/>
    <n v="4"/>
    <b v="1"/>
    <s v="a24UU0000032U8LYAU"/>
    <s v="PY-01738665"/>
    <x v="8"/>
    <x v="8"/>
    <s v="Activated"/>
    <s v="ACCEPTED"/>
    <s v="Fee"/>
    <s v="Subscription"/>
    <s v="99.0"/>
    <s v="110.39"/>
    <s v="99.0"/>
    <s v="0.0"/>
    <s v="2025-10-15"/>
    <s v="2025-10-03T22:22:02.000Z"/>
    <m/>
    <m/>
    <s v="2025-10-03T22:22:02.000Z"/>
  </r>
  <r>
    <x v="1"/>
    <x v="7"/>
    <x v="1"/>
    <x v="6"/>
    <x v="6"/>
    <x v="3"/>
    <n v="1"/>
    <x v="3"/>
    <n v="4"/>
    <b v="1"/>
    <s v="a24UU000003Gy0AYAS"/>
    <s v="PY-01752747"/>
    <x v="8"/>
    <x v="8"/>
    <s v="Activated"/>
    <s v="ACCEPTED"/>
    <s v="Fee"/>
    <s v="Subscription"/>
    <s v="99.0"/>
    <s v="99.0"/>
    <s v="99.0"/>
    <s v="0.0"/>
    <s v="2025-11-14"/>
    <s v="2025-11-14T10:03:34.000Z"/>
    <m/>
    <m/>
    <s v="2025-11-14T10:03:34.000Z"/>
  </r>
  <r>
    <x v="1"/>
    <x v="7"/>
    <x v="1"/>
    <x v="6"/>
    <x v="6"/>
    <x v="3"/>
    <n v="1"/>
    <x v="3"/>
    <n v="4"/>
    <b v="1"/>
    <s v="a24UU000003RolSYAS"/>
    <s v="PY-01764859"/>
    <x v="8"/>
    <x v="8"/>
    <s v="Activated"/>
    <s v="ACCEPTED"/>
    <s v="Fee"/>
    <s v="Subscription"/>
    <s v="99.0"/>
    <s v="99.0"/>
    <s v="99.0"/>
    <s v="0.0"/>
    <s v="2025-12-15"/>
    <s v="2025-12-15T10:03:12.000Z"/>
    <m/>
    <m/>
    <s v="2025-12-15T10:03:12.000Z"/>
  </r>
  <r>
    <x v="1"/>
    <x v="7"/>
    <x v="1"/>
    <x v="6"/>
    <x v="6"/>
    <x v="3"/>
    <n v="1"/>
    <x v="3"/>
    <n v="4"/>
    <b v="1"/>
    <s v="a24UU000003dUB6YAM"/>
    <s v="PY-01778253"/>
    <x v="8"/>
    <x v="8"/>
    <s v="Activated"/>
    <s v="ACCEPTED"/>
    <s v="Fee"/>
    <s v="Subscription"/>
    <s v="99.0"/>
    <s v="99.0"/>
    <s v="99.0"/>
    <s v="0.0"/>
    <s v="2026-01-15"/>
    <s v="2026-01-15T10:02:52.000Z"/>
    <m/>
    <m/>
    <s v="2026-01-15T10:02:52.000Z"/>
  </r>
  <r>
    <x v="1"/>
    <x v="7"/>
    <x v="1"/>
    <x v="6"/>
    <x v="6"/>
    <x v="3"/>
    <n v="1"/>
    <x v="3"/>
    <n v="4"/>
    <b v="1"/>
    <s v="a24UU000003qfbeYAA"/>
    <s v="PY-01793025"/>
    <x v="8"/>
    <x v="8"/>
    <s v="Activated"/>
    <s v="ACCEPTED"/>
    <s v="Fee"/>
    <s v="Subscription"/>
    <s v="99.0"/>
    <s v="99.0"/>
    <s v="99.0"/>
    <s v="0.0"/>
    <s v="2026-02-13"/>
    <s v="2026-02-13T10:02:12.000Z"/>
    <m/>
    <m/>
    <s v="2026-02-13T10:02:12.000Z"/>
  </r>
  <r>
    <x v="1"/>
    <x v="7"/>
    <x v="1"/>
    <x v="6"/>
    <x v="6"/>
    <x v="3"/>
    <n v="1"/>
    <x v="3"/>
    <n v="4"/>
    <b v="1"/>
    <s v="a24UU0000043X5CYAU"/>
    <s v="PY-01804711"/>
    <x v="8"/>
    <x v="8"/>
    <s v="Activated"/>
    <s v="ACCEPTED"/>
    <s v="Fee"/>
    <s v="Subscription"/>
    <s v="99.0"/>
    <s v="99.0"/>
    <s v="99.0"/>
    <s v="0.0"/>
    <s v="2026-03-13"/>
    <s v="2026-03-13T10:01:53.000Z"/>
    <m/>
    <m/>
    <s v="2026-03-13T10:01:53.000Z"/>
  </r>
  <r>
    <x v="0"/>
    <x v="8"/>
    <x v="1"/>
    <x v="7"/>
    <x v="7"/>
    <x v="4"/>
    <n v="1"/>
    <x v="4"/>
    <n v="3"/>
    <b v="1"/>
    <s v="a24UU000002Jg2PYAS"/>
    <s v="PY-01700331"/>
    <x v="9"/>
    <x v="9"/>
    <s v="Activated"/>
    <s v="ACCEPTED"/>
    <s v="AC"/>
    <s v="AC"/>
    <s v="159.0"/>
    <s v="177.29"/>
    <s v="159.0"/>
    <s v="0.0"/>
    <s v="2025-06-04"/>
    <s v="2025-06-04T17:30:03.000Z"/>
    <m/>
    <m/>
    <s v="2025-06-04T17:30:03.000Z"/>
  </r>
  <r>
    <x v="1"/>
    <x v="8"/>
    <x v="1"/>
    <x v="7"/>
    <x v="7"/>
    <x v="4"/>
    <n v="1"/>
    <x v="4"/>
    <n v="3"/>
    <b v="1"/>
    <s v="a24UU000002dsaYYAQ"/>
    <s v="PY-01717554"/>
    <x v="9"/>
    <x v="9"/>
    <s v="Activated"/>
    <s v="ACCEPTED"/>
    <s v="Fee"/>
    <s v="Subscription"/>
    <s v="79.0"/>
    <s v="88.09"/>
    <s v="79.0"/>
    <s v="0.0"/>
    <s v="2025-07-30"/>
    <s v="2025-07-30T10:10:56.000Z"/>
    <m/>
    <m/>
    <s v="2025-07-30T10:10:56.000Z"/>
  </r>
  <r>
    <x v="1"/>
    <x v="8"/>
    <x v="1"/>
    <x v="7"/>
    <x v="7"/>
    <x v="4"/>
    <n v="1"/>
    <x v="4"/>
    <n v="3"/>
    <b v="1"/>
    <s v="a24UU000002pChCYAU"/>
    <s v="PY-01726692"/>
    <x v="9"/>
    <x v="9"/>
    <s v="Activated"/>
    <s v="ACCEPTED"/>
    <s v="Fee"/>
    <s v="Subscription"/>
    <s v="79.0"/>
    <s v="88.09"/>
    <s v="79.0"/>
    <s v="0.0"/>
    <s v="2025-08-29"/>
    <s v="2025-08-29T10:13:42.000Z"/>
    <m/>
    <m/>
    <s v="2025-08-29T10:13:42.000Z"/>
  </r>
  <r>
    <x v="1"/>
    <x v="8"/>
    <x v="1"/>
    <x v="7"/>
    <x v="7"/>
    <x v="4"/>
    <n v="1"/>
    <x v="4"/>
    <n v="3"/>
    <b v="1"/>
    <s v="a24UU0000030ow4YAA"/>
    <s v="PY-01737083"/>
    <x v="9"/>
    <x v="9"/>
    <s v="Activated"/>
    <s v="ACCEPTED"/>
    <s v="Fee"/>
    <s v="Subscription"/>
    <s v="79.0"/>
    <s v="88.09"/>
    <s v="79.0"/>
    <s v="0.0"/>
    <s v="2025-09-30"/>
    <s v="2025-09-30T10:08:13.000Z"/>
    <m/>
    <m/>
    <s v="2025-09-30T10:08:13.000Z"/>
  </r>
  <r>
    <x v="1"/>
    <x v="8"/>
    <x v="1"/>
    <x v="7"/>
    <x v="7"/>
    <x v="4"/>
    <n v="1"/>
    <x v="4"/>
    <n v="3"/>
    <b v="1"/>
    <s v="a24UU000003BfMLYA0"/>
    <s v="PY-01747302"/>
    <x v="9"/>
    <x v="9"/>
    <s v="Activated"/>
    <s v="ACCEPTED"/>
    <s v="Fee"/>
    <s v="Subscription"/>
    <s v="79.0"/>
    <s v="88.09"/>
    <s v="79.0"/>
    <s v="0.0"/>
    <s v="2025-10-30"/>
    <s v="2025-10-30T10:08:04.000Z"/>
    <m/>
    <m/>
    <s v="2025-10-30T10:08:04.000Z"/>
  </r>
  <r>
    <x v="1"/>
    <x v="8"/>
    <x v="1"/>
    <x v="7"/>
    <x v="7"/>
    <x v="4"/>
    <n v="1"/>
    <x v="4"/>
    <n v="3"/>
    <b v="1"/>
    <s v="a24UU000003KfTVYA0"/>
    <s v="PY-01757161"/>
    <x v="9"/>
    <x v="9"/>
    <s v="Activated"/>
    <s v="ACCEPTED"/>
    <s v="Fee"/>
    <s v="Subscription"/>
    <s v="79.0"/>
    <s v="79.0"/>
    <s v="79.0"/>
    <s v="0.0"/>
    <s v="2025-11-26"/>
    <s v="2025-11-26T10:07:05.000Z"/>
    <m/>
    <m/>
    <s v="2025-11-26T10:07:05.000Z"/>
  </r>
  <r>
    <x v="1"/>
    <x v="8"/>
    <x v="1"/>
    <x v="7"/>
    <x v="7"/>
    <x v="4"/>
    <n v="1"/>
    <x v="4"/>
    <n v="3"/>
    <b v="1"/>
    <s v="a24UU000003dWuPYAU"/>
    <s v="PY-01778878"/>
    <x v="9"/>
    <x v="9"/>
    <s v="Activated"/>
    <s v="ACCEPTED"/>
    <s v="Late payment fee"/>
    <s v="Fee"/>
    <s v="104.0"/>
    <s v="104.0"/>
    <s v="79.0"/>
    <s v="25.0"/>
    <s v="2026-01-15"/>
    <s v="2026-01-15T10:17:22.000Z"/>
    <m/>
    <s v="a24UU000003Vf3dYAC"/>
    <s v="2026-01-15T10:17:22.000Z"/>
  </r>
  <r>
    <x v="1"/>
    <x v="8"/>
    <x v="1"/>
    <x v="7"/>
    <x v="7"/>
    <x v="4"/>
    <n v="1"/>
    <x v="4"/>
    <n v="3"/>
    <b v="1"/>
    <s v="a24UU000003q9OsYAI"/>
    <s v="PY-01792663"/>
    <x v="9"/>
    <x v="9"/>
    <s v="Activated"/>
    <s v="ACCEPTED"/>
    <s v="Late payment fee"/>
    <s v="Fee"/>
    <s v="104.0"/>
    <s v="104.0"/>
    <s v="79.0"/>
    <s v="25.0"/>
    <s v="2026-02-12"/>
    <s v="2026-02-12T10:09:29.000Z"/>
    <m/>
    <s v="a24UU000003jzDkYAI"/>
    <s v="2026-02-12T10:09:29.000Z"/>
  </r>
  <r>
    <x v="1"/>
    <x v="8"/>
    <x v="1"/>
    <x v="7"/>
    <x v="7"/>
    <x v="4"/>
    <n v="1"/>
    <x v="4"/>
    <n v="3"/>
    <b v="1"/>
    <s v="a24UU000004aD6EYAU"/>
    <s v="PY-01841095"/>
    <x v="9"/>
    <x v="9"/>
    <s v="Activated"/>
    <s v="ACCEPTED"/>
    <s v="Late payment fee"/>
    <s v="Fee"/>
    <s v="104.0"/>
    <s v="104.0"/>
    <s v="79.0"/>
    <s v="25.0"/>
    <s v="2026-05-28"/>
    <s v="2026-05-28T10:07:03.000Z"/>
    <m/>
    <s v="a24UU000004Ajw5YAC"/>
    <s v="2026-05-28T10:07:03.000Z"/>
  </r>
  <r>
    <x v="1"/>
    <x v="8"/>
    <x v="1"/>
    <x v="7"/>
    <x v="7"/>
    <x v="4"/>
    <n v="1"/>
    <x v="4"/>
    <n v="3"/>
    <b v="1"/>
    <s v="a24UU000004aDXXYA2"/>
    <s v="PY-01841238"/>
    <x v="9"/>
    <x v="9"/>
    <s v="Activated"/>
    <s v="ACCEPTED"/>
    <s v="Late payment fee"/>
    <s v="Fee"/>
    <s v="104.0"/>
    <s v="104.0"/>
    <s v="79.0"/>
    <s v="25.0"/>
    <s v="2026-05-28"/>
    <s v="2026-05-28T10:10:10.000Z"/>
    <m/>
    <s v="a24UU000004NzgVYAS"/>
    <s v="2026-05-28T10:10:10.000Z"/>
  </r>
  <r>
    <x v="0"/>
    <x v="9"/>
    <x v="1"/>
    <x v="8"/>
    <x v="8"/>
    <x v="2"/>
    <n v="1"/>
    <x v="2"/>
    <n v="5"/>
    <b v="1"/>
    <s v="a24UU000002XJkHYAW"/>
    <s v="PY-01710151"/>
    <x v="10"/>
    <x v="10"/>
    <s v="Activated"/>
    <s v="ACCEPTED"/>
    <s v="AC"/>
    <s v="AC"/>
    <s v="99.0"/>
    <s v="110.39"/>
    <s v="99.0"/>
    <s v="0.0"/>
    <s v="2025-07-11"/>
    <s v="2025-07-11T14:58:33.000Z"/>
    <m/>
    <m/>
    <s v="2025-07-11T14:58:33.000Z"/>
  </r>
  <r>
    <x v="1"/>
    <x v="9"/>
    <x v="1"/>
    <x v="8"/>
    <x v="8"/>
    <x v="2"/>
    <n v="1"/>
    <x v="2"/>
    <n v="5"/>
    <b v="1"/>
    <s v="a24UU000002pD3oYAE"/>
    <s v="PY-01726807"/>
    <x v="10"/>
    <x v="10"/>
    <s v="Activated"/>
    <s v="ACCEPTED"/>
    <s v="Fee"/>
    <s v="Subscription"/>
    <s v="79.0"/>
    <s v="88.09"/>
    <s v="79.0"/>
    <s v="0.0"/>
    <s v="2025-08-29"/>
    <s v="2025-08-29T10:16:24.000Z"/>
    <m/>
    <m/>
    <s v="2025-08-29T10:16:24.000Z"/>
  </r>
  <r>
    <x v="1"/>
    <x v="9"/>
    <x v="1"/>
    <x v="8"/>
    <x v="8"/>
    <x v="2"/>
    <n v="1"/>
    <x v="2"/>
    <n v="5"/>
    <b v="1"/>
    <s v="a24UU0000030p7HYAQ"/>
    <s v="PY-01737105"/>
    <x v="10"/>
    <x v="10"/>
    <s v="Activated"/>
    <s v="ACCEPTED"/>
    <s v="Fee"/>
    <s v="Subscription"/>
    <s v="79.0"/>
    <s v="88.09"/>
    <s v="79.0"/>
    <s v="0.0"/>
    <s v="2025-09-30"/>
    <s v="2025-09-30T10:08:47.000Z"/>
    <m/>
    <m/>
    <s v="2025-09-30T10:08:47.000Z"/>
  </r>
  <r>
    <x v="1"/>
    <x v="9"/>
    <x v="1"/>
    <x v="8"/>
    <x v="8"/>
    <x v="2"/>
    <n v="1"/>
    <x v="2"/>
    <n v="5"/>
    <b v="1"/>
    <s v="a24UU000003EjrsYAC"/>
    <s v="PY-01750922"/>
    <x v="10"/>
    <x v="10"/>
    <s v="Activated"/>
    <s v="ACCEPTED"/>
    <s v="Late payment fee"/>
    <s v="Fee"/>
    <s v="104.0"/>
    <s v="115.96"/>
    <s v="79.0"/>
    <s v="25.0"/>
    <s v="2025-11-07"/>
    <s v="2025-11-07T10:12:49.000Z"/>
    <m/>
    <s v="a24UU000003BfG0YAK"/>
    <s v="2025-11-07T10:12:49.000Z"/>
  </r>
  <r>
    <x v="1"/>
    <x v="9"/>
    <x v="1"/>
    <x v="8"/>
    <x v="8"/>
    <x v="2"/>
    <n v="1"/>
    <x v="2"/>
    <n v="5"/>
    <b v="1"/>
    <s v="a24UU000003KfWjYAK"/>
    <s v="PY-01757184"/>
    <x v="10"/>
    <x v="10"/>
    <s v="Activated"/>
    <s v="ACCEPTED"/>
    <s v="Fee"/>
    <s v="Subscription"/>
    <s v="79.0"/>
    <s v="79.0"/>
    <s v="79.0"/>
    <s v="0.0"/>
    <s v="2025-11-26"/>
    <s v="2025-11-26T10:07:40.000Z"/>
    <m/>
    <m/>
    <s v="2025-11-26T10:07:40.000Z"/>
  </r>
  <r>
    <x v="1"/>
    <x v="9"/>
    <x v="1"/>
    <x v="8"/>
    <x v="8"/>
    <x v="2"/>
    <n v="1"/>
    <x v="2"/>
    <n v="5"/>
    <b v="1"/>
    <s v="a24UU000003t2VhYAI"/>
    <s v="PY-01795030"/>
    <x v="10"/>
    <x v="10"/>
    <s v="Activated"/>
    <s v="ACCEPTED"/>
    <s v="Late payment fee"/>
    <s v="Fee"/>
    <s v="104.0"/>
    <s v="104.0"/>
    <s v="79.0"/>
    <s v="25.0"/>
    <s v="2026-02-19"/>
    <s v="2026-02-18T22:15:50.000Z"/>
    <m/>
    <s v="a24UU000003Vf6rYAC"/>
    <s v="2026-02-18T22:15:50.000Z"/>
  </r>
  <r>
    <x v="1"/>
    <x v="9"/>
    <x v="1"/>
    <x v="8"/>
    <x v="8"/>
    <x v="2"/>
    <n v="1"/>
    <x v="2"/>
    <n v="5"/>
    <b v="1"/>
    <s v="a24UU000003tg06YAA"/>
    <s v="PY-01795882"/>
    <x v="10"/>
    <x v="10"/>
    <s v="Activated"/>
    <s v="ACCEPTED"/>
    <s v="Late payment fee"/>
    <s v="Fee"/>
    <s v="104.0"/>
    <s v="104.0"/>
    <s v="79.0"/>
    <s v="25.0"/>
    <s v="2026-02-20"/>
    <s v="2026-02-20T00:42:56.000Z"/>
    <m/>
    <s v="a24UU000003jzH1YAI"/>
    <s v="2026-02-20T00:42:56.000Z"/>
  </r>
  <r>
    <x v="0"/>
    <x v="10"/>
    <x v="4"/>
    <x v="9"/>
    <x v="9"/>
    <x v="5"/>
    <n v="1"/>
    <x v="2"/>
    <n v="5"/>
    <b v="1"/>
    <s v="a24UU000002b5yrYAA"/>
    <s v="PY-01715485"/>
    <x v="11"/>
    <x v="11"/>
    <s v="Activated"/>
    <s v="ACCEPTED"/>
    <s v="AC"/>
    <s v="AC"/>
    <s v="79.5"/>
    <s v="79.5"/>
    <s v="79.5"/>
    <s v="0.0"/>
    <s v="2025-07-28"/>
    <s v="2025-07-22T21:13:14.000Z"/>
    <m/>
    <m/>
    <s v="2025-07-22T21:13:14.000Z"/>
  </r>
  <r>
    <x v="0"/>
    <x v="10"/>
    <x v="4"/>
    <x v="9"/>
    <x v="9"/>
    <x v="5"/>
    <s v=""/>
    <x v="2"/>
    <n v="5"/>
    <b v="1"/>
    <s v="a24UU000002b6ZxYAI"/>
    <s v="PY-01715488"/>
    <x v="11"/>
    <x v="11"/>
    <s v="Activated"/>
    <s v="REFUNDED"/>
    <s v="AC"/>
    <s v="AC"/>
    <s v="-79.5"/>
    <s v="-79.5"/>
    <s v="-79.5"/>
    <s v="0.0"/>
    <s v="2025-07-28"/>
    <s v="2025-07-28T00:00:00.000Z"/>
    <s v="a24UU000002b5yrYAA"/>
    <m/>
    <s v="2025-07-22T21:50:09.000Z"/>
  </r>
  <r>
    <x v="0"/>
    <x v="10"/>
    <x v="4"/>
    <x v="9"/>
    <x v="9"/>
    <x v="5"/>
    <n v="1"/>
    <x v="2"/>
    <n v="5"/>
    <b v="1"/>
    <s v="a24UU000002cdDhYAI"/>
    <s v="PY-01716312"/>
    <x v="11"/>
    <x v="11"/>
    <s v="Activated"/>
    <s v="ACCEPTED"/>
    <s v="Late payment fee"/>
    <s v="AC"/>
    <s v="79.5"/>
    <s v="88.64"/>
    <s v="79.5"/>
    <s v="0.0"/>
    <s v="2025-07-26"/>
    <s v="2025-07-26T10:00:40.000Z"/>
    <m/>
    <s v="a24UU000002b6ZxYAI"/>
    <s v="2025-07-26T10:00:40.000Z"/>
  </r>
  <r>
    <x v="0"/>
    <x v="10"/>
    <x v="4"/>
    <x v="9"/>
    <x v="9"/>
    <x v="5"/>
    <n v="1"/>
    <x v="2"/>
    <n v="5"/>
    <b v="1"/>
    <s v="a24UU000003HYrfYAG"/>
    <s v="PY-01753623"/>
    <x v="11"/>
    <x v="11"/>
    <s v="Activated"/>
    <s v="ACCEPTED"/>
    <s v="Late payment fee"/>
    <s v="AC"/>
    <s v="104.5"/>
    <s v="104.5"/>
    <s v="79.5"/>
    <s v="25.0"/>
    <s v="2025-11-17"/>
    <s v="2025-11-17T10:03:41.000Z"/>
    <m/>
    <s v="a24UU000002mcWiYAI"/>
    <s v="2025-11-17T10:03:41.000Z"/>
  </r>
  <r>
    <x v="1"/>
    <x v="10"/>
    <x v="4"/>
    <x v="9"/>
    <x v="9"/>
    <x v="5"/>
    <n v="1"/>
    <x v="2"/>
    <n v="5"/>
    <b v="1"/>
    <s v="a24UU000003LqOXYA0"/>
    <s v="PY-01759901"/>
    <x v="11"/>
    <x v="11"/>
    <s v="Activated"/>
    <s v="ACCEPTED"/>
    <s v="Late payment fee"/>
    <s v="Fee"/>
    <s v="104.0"/>
    <s v="104.0"/>
    <s v="79.0"/>
    <s v="25.0"/>
    <s v="2025-12-01"/>
    <s v="2025-12-01T10:19:11.000Z"/>
    <m/>
    <s v="a24UU000003LD0gYAG"/>
    <s v="2025-12-01T10:19:11.000Z"/>
  </r>
  <r>
    <x v="1"/>
    <x v="10"/>
    <x v="4"/>
    <x v="9"/>
    <x v="9"/>
    <x v="5"/>
    <n v="1"/>
    <x v="2"/>
    <n v="5"/>
    <b v="1"/>
    <s v="a24UU000003b7YfYAI"/>
    <s v="PY-01776744"/>
    <x v="11"/>
    <x v="11"/>
    <s v="Activated"/>
    <s v="ACCEPTED"/>
    <s v="Late payment fee"/>
    <m/>
    <s v="104.0"/>
    <s v="104.0"/>
    <s v="79.0"/>
    <s v="25.0"/>
    <s v="2026-01-12"/>
    <s v="2026-01-10T00:03:49.000Z"/>
    <m/>
    <m/>
    <s v="2026-01-10T00:03:49.000Z"/>
  </r>
  <r>
    <x v="1"/>
    <x v="10"/>
    <x v="4"/>
    <x v="9"/>
    <x v="9"/>
    <x v="5"/>
    <n v="1"/>
    <x v="2"/>
    <n v="5"/>
    <b v="1"/>
    <s v="a24UU000003uqWvYAI"/>
    <s v="PY-01796889"/>
    <x v="11"/>
    <x v="11"/>
    <s v="Activated"/>
    <s v="ACCEPTED"/>
    <s v="Late payment fee"/>
    <m/>
    <s v="104.0"/>
    <s v="104.0"/>
    <s v="79.0"/>
    <s v="25.0"/>
    <s v="2026-02-23"/>
    <s v="2026-02-23T10:03:09.000Z"/>
    <m/>
    <m/>
    <s v="2026-02-23T10:03:09.000Z"/>
  </r>
  <r>
    <x v="1"/>
    <x v="10"/>
    <x v="4"/>
    <x v="9"/>
    <x v="9"/>
    <x v="5"/>
    <n v="1"/>
    <x v="2"/>
    <n v="5"/>
    <b v="1"/>
    <s v="a24UU000004FdRrYAK"/>
    <s v="PY-01816815"/>
    <x v="11"/>
    <x v="11"/>
    <s v="Activated"/>
    <s v="ACCEPTED"/>
    <s v="Late payment fee"/>
    <s v="Fee"/>
    <s v="104.0"/>
    <s v="104.0"/>
    <s v="79.0"/>
    <s v="25.0"/>
    <s v="2026-04-10"/>
    <s v="2026-04-10T10:14:29.000Z"/>
    <m/>
    <s v="a24UU000004AjZiYAK"/>
    <s v="2026-04-10T10:14:29.000Z"/>
  </r>
  <r>
    <x v="1"/>
    <x v="10"/>
    <x v="4"/>
    <x v="9"/>
    <x v="9"/>
    <x v="5"/>
    <n v="1"/>
    <x v="2"/>
    <n v="5"/>
    <b v="1"/>
    <s v="a24UU000004jnYYYAY"/>
    <s v="PY-01853397"/>
    <x v="11"/>
    <x v="11"/>
    <s v="Activated"/>
    <s v="ACCEPTED"/>
    <s v="Late payment fee"/>
    <s v="Fee"/>
    <s v="104.0"/>
    <s v="104.0"/>
    <s v="79.0"/>
    <s v="25.0"/>
    <s v="2026-06-18"/>
    <s v="2026-06-18T10:01:04.000Z"/>
    <m/>
    <s v="a24UU000003jz15YAA"/>
    <s v="2026-06-18T10:01:04.000Z"/>
  </r>
  <r>
    <x v="0"/>
    <x v="11"/>
    <x v="1"/>
    <x v="9"/>
    <x v="9"/>
    <x v="2"/>
    <n v="1"/>
    <x v="2"/>
    <n v="5"/>
    <b v="1"/>
    <s v="a24UU000002gGyTYAU"/>
    <s v="PY-01719453"/>
    <x v="12"/>
    <x v="12"/>
    <s v="Activated"/>
    <s v="ACCEPTED"/>
    <s v="AC"/>
    <s v="AC"/>
    <s v="159.0"/>
    <s v="177.29"/>
    <s v="159.0"/>
    <s v="0.0"/>
    <s v="2025-08-05"/>
    <s v="2025-08-05T16:18:23.000Z"/>
    <m/>
    <m/>
    <s v="2025-08-05T16:18:23.000Z"/>
  </r>
  <r>
    <x v="1"/>
    <x v="11"/>
    <x v="1"/>
    <x v="9"/>
    <x v="9"/>
    <x v="2"/>
    <n v="1"/>
    <x v="2"/>
    <n v="5"/>
    <b v="1"/>
    <s v="a24UU0000030oLHYAY"/>
    <s v="PY-01737117"/>
    <x v="12"/>
    <x v="12"/>
    <s v="Activated"/>
    <s v="ACCEPTED"/>
    <s v="Fee"/>
    <s v="Subscription"/>
    <s v="79.0"/>
    <s v="88.09"/>
    <s v="79.0"/>
    <s v="0.0"/>
    <s v="2025-09-30"/>
    <s v="2025-09-30T10:09:11.000Z"/>
    <m/>
    <m/>
    <s v="2025-09-30T10:09:11.000Z"/>
  </r>
  <r>
    <x v="1"/>
    <x v="11"/>
    <x v="1"/>
    <x v="9"/>
    <x v="9"/>
    <x v="2"/>
    <n v="1"/>
    <x v="2"/>
    <n v="5"/>
    <b v="1"/>
    <s v="a24UU000003BfWEYA0"/>
    <s v="PY-01747428"/>
    <x v="12"/>
    <x v="12"/>
    <s v="Activated"/>
    <s v="ACCEPTED"/>
    <s v="Fee"/>
    <s v="Subscription"/>
    <s v="79.0"/>
    <s v="88.09"/>
    <s v="79.0"/>
    <s v="0.0"/>
    <s v="2025-10-30"/>
    <s v="2025-10-30T10:10:53.000Z"/>
    <m/>
    <m/>
    <s v="2025-10-30T10:10:53.000Z"/>
  </r>
  <r>
    <x v="1"/>
    <x v="11"/>
    <x v="1"/>
    <x v="9"/>
    <x v="9"/>
    <x v="2"/>
    <n v="1"/>
    <x v="2"/>
    <n v="5"/>
    <b v="1"/>
    <s v="a24UU000003KfYOYA0"/>
    <s v="PY-01757195"/>
    <x v="12"/>
    <x v="12"/>
    <s v="Activated"/>
    <s v="ACCEPTED"/>
    <s v="Fee"/>
    <s v="Subscription"/>
    <s v="79.0"/>
    <s v="79.0"/>
    <s v="79.0"/>
    <s v="0.0"/>
    <s v="2025-11-26"/>
    <s v="2025-11-26T10:07:48.000Z"/>
    <m/>
    <m/>
    <s v="2025-11-26T10:07:48.000Z"/>
  </r>
  <r>
    <x v="1"/>
    <x v="11"/>
    <x v="1"/>
    <x v="9"/>
    <x v="9"/>
    <x v="2"/>
    <n v="1"/>
    <x v="2"/>
    <n v="5"/>
    <b v="1"/>
    <s v="a24UU000003VfBgYAK"/>
    <s v="PY-01770011"/>
    <x v="12"/>
    <x v="12"/>
    <s v="Activated"/>
    <s v="ACCEPTED"/>
    <s v="Fee"/>
    <s v="Subscription"/>
    <s v="79.0"/>
    <s v="79.0"/>
    <s v="79.0"/>
    <s v="0.0"/>
    <s v="2025-12-26"/>
    <s v="2025-12-26T10:04:32.000Z"/>
    <m/>
    <m/>
    <s v="2025-12-26T10:04:32.000Z"/>
  </r>
  <r>
    <x v="1"/>
    <x v="11"/>
    <x v="1"/>
    <x v="9"/>
    <x v="9"/>
    <x v="2"/>
    <n v="1"/>
    <x v="2"/>
    <n v="5"/>
    <b v="1"/>
    <s v="a24UU000003hpVQYAY"/>
    <s v="PY-01783835"/>
    <x v="12"/>
    <x v="12"/>
    <s v="Activated"/>
    <s v="ACCEPTED"/>
    <s v="Fee"/>
    <s v="Subscription"/>
    <s v="79.0"/>
    <s v="79.0"/>
    <s v="79.0"/>
    <s v="0.0"/>
    <s v="2026-01-26"/>
    <s v="2026-01-26T10:03:14.000Z"/>
    <m/>
    <m/>
    <s v="2026-01-26T10:03:14.000Z"/>
  </r>
  <r>
    <x v="0"/>
    <x v="12"/>
    <x v="1"/>
    <x v="9"/>
    <x v="9"/>
    <x v="6"/>
    <n v="1"/>
    <x v="3"/>
    <n v="4"/>
    <b v="1"/>
    <s v="a24UU000002q1mtYAA"/>
    <s v="PY-01728028"/>
    <x v="13"/>
    <x v="13"/>
    <s v="Activated"/>
    <s v="ACCEPTED"/>
    <s v="Late payment fee"/>
    <s v="AC"/>
    <s v="124.0"/>
    <s v="138.26"/>
    <s v="99.0"/>
    <s v="25.0"/>
    <s v="2025-09-01"/>
    <s v="2025-09-01T10:17:21.000Z"/>
    <m/>
    <s v="a24UU000002pDbbYAE"/>
    <s v="2025-09-01T10:17:21.000Z"/>
  </r>
  <r>
    <x v="1"/>
    <x v="12"/>
    <x v="1"/>
    <x v="9"/>
    <x v="9"/>
    <x v="6"/>
    <n v="1"/>
    <x v="3"/>
    <n v="4"/>
    <b v="1"/>
    <s v="a24UU0000035wGBYAY"/>
    <s v="PY-01741663"/>
    <x v="13"/>
    <x v="13"/>
    <s v="Activated"/>
    <s v="ACCEPTED"/>
    <s v="Late payment fee"/>
    <s v="Fee"/>
    <s v="124.0"/>
    <s v="138.26"/>
    <s v="99.0"/>
    <s v="25.0"/>
    <s v="2025-10-13"/>
    <s v="2025-10-13T10:13:25.000Z"/>
    <m/>
    <s v="a24UU0000030pAbYAI"/>
    <s v="2025-10-13T10:13:25.000Z"/>
  </r>
  <r>
    <x v="1"/>
    <x v="12"/>
    <x v="1"/>
    <x v="9"/>
    <x v="9"/>
    <x v="6"/>
    <n v="1"/>
    <x v="3"/>
    <n v="4"/>
    <b v="1"/>
    <s v="a24UU000003BfpNYAS"/>
    <s v="PY-01747550"/>
    <x v="13"/>
    <x v="13"/>
    <s v="Activated"/>
    <s v="ACCEPTED"/>
    <s v="Fee"/>
    <s v="Subscription"/>
    <s v="99.0"/>
    <s v="110.39"/>
    <s v="99.0"/>
    <s v="0.0"/>
    <s v="2025-10-30"/>
    <s v="2025-10-30T10:13:49.000Z"/>
    <m/>
    <m/>
    <s v="2025-10-30T10:13:49.000Z"/>
  </r>
  <r>
    <x v="1"/>
    <x v="12"/>
    <x v="1"/>
    <x v="9"/>
    <x v="9"/>
    <x v="6"/>
    <n v="1"/>
    <x v="3"/>
    <n v="4"/>
    <b v="1"/>
    <s v="a24UU000003KfbiYAC"/>
    <s v="PY-01757219"/>
    <x v="13"/>
    <x v="13"/>
    <s v="Activated"/>
    <s v="ACCEPTED"/>
    <s v="Fee"/>
    <s v="Subscription"/>
    <s v="99.0"/>
    <s v="99.0"/>
    <s v="99.0"/>
    <s v="0.0"/>
    <s v="2025-11-26"/>
    <s v="2025-11-26T10:08:23.000Z"/>
    <m/>
    <m/>
    <s v="2025-11-26T10:08:23.000Z"/>
  </r>
  <r>
    <x v="1"/>
    <x v="12"/>
    <x v="1"/>
    <x v="9"/>
    <x v="9"/>
    <x v="6"/>
    <n v="1"/>
    <x v="3"/>
    <n v="4"/>
    <b v="1"/>
    <s v="a24UU000003VfI8YAK"/>
    <s v="PY-01770060"/>
    <x v="13"/>
    <x v="13"/>
    <s v="Activated"/>
    <s v="ACCEPTED"/>
    <s v="Fee"/>
    <s v="Subscription"/>
    <s v="99.0"/>
    <s v="99.0"/>
    <s v="99.0"/>
    <s v="0.0"/>
    <s v="2025-12-26"/>
    <s v="2025-12-26T10:05:36.000Z"/>
    <m/>
    <m/>
    <s v="2025-12-26T10:05:36.000Z"/>
  </r>
  <r>
    <x v="1"/>
    <x v="12"/>
    <x v="1"/>
    <x v="9"/>
    <x v="9"/>
    <x v="6"/>
    <n v="1"/>
    <x v="3"/>
    <n v="4"/>
    <b v="1"/>
    <s v="a24UU000003jSOWYA2"/>
    <s v="PY-01785802"/>
    <x v="13"/>
    <x v="13"/>
    <s v="Activated"/>
    <s v="ACCEPTED"/>
    <s v="Late payment fee"/>
    <s v="Fee"/>
    <s v="124.0"/>
    <s v="124.0"/>
    <s v="99.0"/>
    <s v="25.0"/>
    <s v="2026-01-29"/>
    <s v="2026-01-29T10:18:16.000Z"/>
    <m/>
    <s v="a24UU000003hpaKYAQ"/>
    <s v="2026-01-29T10:18:16.000Z"/>
  </r>
  <r>
    <x v="1"/>
    <x v="12"/>
    <x v="1"/>
    <x v="9"/>
    <x v="9"/>
    <x v="6"/>
    <n v="1"/>
    <x v="3"/>
    <n v="4"/>
    <b v="1"/>
    <s v="a24UU000003wzvuYAA"/>
    <s v="PY-01798921"/>
    <x v="13"/>
    <x v="13"/>
    <s v="Activated"/>
    <s v="ACCEPTED"/>
    <s v="Fee"/>
    <s v="Subscription"/>
    <s v="99.0"/>
    <s v="99.0"/>
    <s v="99.0"/>
    <s v="0.0"/>
    <s v="2026-02-27"/>
    <s v="2026-02-27T10:04:36.000Z"/>
    <m/>
    <m/>
    <s v="2026-02-27T10:04:36.000Z"/>
  </r>
  <r>
    <x v="0"/>
    <x v="13"/>
    <x v="1"/>
    <x v="9"/>
    <x v="9"/>
    <x v="1"/>
    <n v="1"/>
    <x v="1"/>
    <n v="1"/>
    <b v="1"/>
    <s v="a24UU000002nQjNYAU"/>
    <s v="PY-01725130"/>
    <x v="14"/>
    <x v="14"/>
    <s v="Activated"/>
    <s v="ACCEPTED"/>
    <s v="AC"/>
    <s v="AC"/>
    <s v="119.0"/>
    <s v="132.69"/>
    <s v="119.0"/>
    <s v="0.0"/>
    <s v="2025-08-25"/>
    <s v="2025-08-25T14:16:28.000Z"/>
    <m/>
    <m/>
    <s v="2025-08-25T14:16:28.000Z"/>
  </r>
  <r>
    <x v="1"/>
    <x v="13"/>
    <x v="1"/>
    <x v="9"/>
    <x v="9"/>
    <x v="1"/>
    <n v="1"/>
    <x v="1"/>
    <n v="1"/>
    <b v="1"/>
    <s v="a24UU0000037WflYAE"/>
    <s v="PY-01742762"/>
    <x v="14"/>
    <x v="14"/>
    <s v="Activated"/>
    <s v="ACCEPTED"/>
    <s v="Late payment fee"/>
    <s v="Fee"/>
    <s v="100.0"/>
    <s v="111.5"/>
    <s v="75.0"/>
    <s v="25.0"/>
    <s v="2025-10-17"/>
    <s v="2025-10-16T15:55:24.000Z"/>
    <m/>
    <s v="a24UU0000030p8wYAA"/>
    <s v="2025-10-16T15:55:24.000Z"/>
  </r>
  <r>
    <x v="1"/>
    <x v="13"/>
    <x v="1"/>
    <x v="9"/>
    <x v="9"/>
    <x v="1"/>
    <n v="1"/>
    <x v="1"/>
    <n v="1"/>
    <b v="1"/>
    <s v="a24UU000003BfhGYAS"/>
    <s v="PY-01747478"/>
    <x v="14"/>
    <x v="14"/>
    <s v="Activated"/>
    <s v="ACCEPTED"/>
    <s v="Fee"/>
    <s v="Subscription"/>
    <s v="75.0"/>
    <s v="83.63"/>
    <s v="75.0"/>
    <s v="0.0"/>
    <s v="2025-10-30"/>
    <s v="2025-10-30T10:12:12.000Z"/>
    <m/>
    <m/>
    <s v="2025-10-30T10:12:12.000Z"/>
  </r>
  <r>
    <x v="1"/>
    <x v="13"/>
    <x v="1"/>
    <x v="9"/>
    <x v="9"/>
    <x v="1"/>
    <n v="1"/>
    <x v="1"/>
    <n v="1"/>
    <b v="1"/>
    <s v="a24UU000003LuWvYAK"/>
    <s v="PY-01759923"/>
    <x v="14"/>
    <x v="14"/>
    <s v="Activated"/>
    <s v="ACCEPTED"/>
    <s v="Late payment fee"/>
    <s v="Fee"/>
    <s v="100.0"/>
    <s v="100.0"/>
    <s v="75.0"/>
    <s v="25.0"/>
    <s v="2025-12-04"/>
    <s v="2025-12-01T15:08:35.000Z"/>
    <m/>
    <s v="a24UU000003KfYQYA0"/>
    <s v="2025-12-01T15:08:35.000Z"/>
  </r>
  <r>
    <x v="1"/>
    <x v="13"/>
    <x v="1"/>
    <x v="9"/>
    <x v="9"/>
    <x v="1"/>
    <n v="1"/>
    <x v="1"/>
    <n v="1"/>
    <b v="1"/>
    <s v="a24UU000003M549YAC"/>
    <s v="PY-01759968"/>
    <x v="14"/>
    <x v="14"/>
    <s v="Activated"/>
    <s v="ACCEPTED"/>
    <s v="Fee"/>
    <s v="Subscription"/>
    <s v="75.0"/>
    <s v="75.0"/>
    <s v="75.0"/>
    <s v="0.0"/>
    <s v="2025-12-26"/>
    <s v="2025-12-01T22:59:27.000Z"/>
    <m/>
    <m/>
    <s v="2025-12-01T22:59:27.000Z"/>
  </r>
  <r>
    <x v="1"/>
    <x v="13"/>
    <x v="1"/>
    <x v="9"/>
    <x v="9"/>
    <x v="1"/>
    <n v="1"/>
    <x v="1"/>
    <n v="1"/>
    <b v="1"/>
    <s v="a24UU000003XOxtYAG"/>
    <s v="PY-01772461"/>
    <x v="14"/>
    <x v="14"/>
    <s v="Activated"/>
    <s v="ACCEPTED"/>
    <s v="Fee"/>
    <s v="Subscription"/>
    <s v="75.0"/>
    <s v="75.0"/>
    <s v="75.0"/>
    <s v="0.0"/>
    <s v="2026-01-01"/>
    <s v="2026-01-01T10:01:50.000Z"/>
    <m/>
    <m/>
    <s v="2026-01-01T10:01:50.000Z"/>
  </r>
  <r>
    <x v="1"/>
    <x v="13"/>
    <x v="1"/>
    <x v="9"/>
    <x v="9"/>
    <x v="1"/>
    <n v="1"/>
    <x v="1"/>
    <n v="1"/>
    <b v="1"/>
    <s v="a24UU000003l2vwYAA"/>
    <s v="PY-01787654"/>
    <x v="14"/>
    <x v="14"/>
    <s v="Activated"/>
    <s v="ACCEPTED"/>
    <s v="Fee"/>
    <s v="Subscription"/>
    <s v="75.0"/>
    <s v="75.0"/>
    <s v="75.0"/>
    <s v="0.0"/>
    <s v="2026-02-02"/>
    <s v="2026-02-02T10:00:59.000Z"/>
    <m/>
    <m/>
    <s v="2026-02-02T10:00:59.000Z"/>
  </r>
  <r>
    <x v="1"/>
    <x v="13"/>
    <x v="1"/>
    <x v="9"/>
    <x v="9"/>
    <x v="1"/>
    <n v="1"/>
    <x v="1"/>
    <n v="1"/>
    <b v="1"/>
    <s v="a24UU000003sDyLYAU"/>
    <s v="PY-01794905"/>
    <x v="14"/>
    <x v="14"/>
    <s v="Activated"/>
    <s v="ACCEPTED"/>
    <s v="Fee"/>
    <m/>
    <s v="75.0"/>
    <s v="75.0"/>
    <s v="75.0"/>
    <s v="0.0"/>
    <s v="2025-12-31"/>
    <s v="2025-12-31T00:00:00.000Z"/>
    <m/>
    <m/>
    <s v="2025-12-31T00:00:00.000Z"/>
  </r>
  <r>
    <x v="1"/>
    <x v="13"/>
    <x v="1"/>
    <x v="9"/>
    <x v="9"/>
    <x v="1"/>
    <n v="1"/>
    <x v="1"/>
    <n v="1"/>
    <b v="1"/>
    <s v="a24UU000003wzj3YAA"/>
    <s v="PY-01799728"/>
    <x v="14"/>
    <x v="14"/>
    <s v="Activated"/>
    <s v="ACCEPTED"/>
    <s v="Late payment fee"/>
    <s v="Fee"/>
    <s v="100.0"/>
    <s v="100.0"/>
    <s v="75.0"/>
    <s v="25.0"/>
    <s v="2026-02-27"/>
    <s v="2026-02-27T10:22:33.000Z"/>
    <m/>
    <s v="a24UU000003sDxxYAE"/>
    <s v="2026-02-27T10:22:33.000Z"/>
  </r>
  <r>
    <x v="1"/>
    <x v="13"/>
    <x v="1"/>
    <x v="9"/>
    <x v="9"/>
    <x v="1"/>
    <n v="1"/>
    <x v="1"/>
    <n v="1"/>
    <b v="1"/>
    <s v="a24UU000003xwnqYAA"/>
    <s v="PY-01800029"/>
    <x v="14"/>
    <x v="14"/>
    <s v="Activated"/>
    <s v="ACCEPTED"/>
    <s v="Fee"/>
    <s v="Subscription"/>
    <s v="75.0"/>
    <s v="75.0"/>
    <s v="75.0"/>
    <s v="0.0"/>
    <s v="2026-03-02"/>
    <s v="2026-03-02T10:01:11.000Z"/>
    <m/>
    <m/>
    <s v="2026-03-02T10:01:11.000Z"/>
  </r>
  <r>
    <x v="0"/>
    <x v="14"/>
    <x v="1"/>
    <x v="10"/>
    <x v="10"/>
    <x v="2"/>
    <n v="1"/>
    <x v="2"/>
    <n v="5"/>
    <b v="1"/>
    <s v="a24UU0000036WbNYAU"/>
    <s v="PY-01741794"/>
    <x v="15"/>
    <x v="15"/>
    <s v="Activated"/>
    <s v="ACCEPTED"/>
    <s v="AC"/>
    <s v="AC"/>
    <s v="149.0"/>
    <s v="149.0"/>
    <s v="149.0"/>
    <s v="0.0"/>
    <s v="2025-10-14"/>
    <s v="2025-10-14T15:20:58.000Z"/>
    <m/>
    <m/>
    <s v="2025-10-14T15:20:58.000Z"/>
  </r>
  <r>
    <x v="1"/>
    <x v="14"/>
    <x v="1"/>
    <x v="10"/>
    <x v="10"/>
    <x v="2"/>
    <n v="1"/>
    <x v="2"/>
    <n v="5"/>
    <b v="1"/>
    <s v="a24UU000003eNdhYAE"/>
    <s v="PY-01780280"/>
    <x v="15"/>
    <x v="15"/>
    <s v="Activated"/>
    <s v="ACCEPTED"/>
    <s v="Late payment fee"/>
    <s v="Fee"/>
    <s v="94.0"/>
    <s v="94.0"/>
    <s v="69.0"/>
    <s v="25.0"/>
    <s v="2026-01-19"/>
    <s v="2026-01-16T22:07:13.000Z"/>
    <m/>
    <s v="a24UU000003WkfWYAS"/>
    <s v="2026-01-16T22:07:13.000Z"/>
  </r>
  <r>
    <x v="1"/>
    <x v="14"/>
    <x v="1"/>
    <x v="10"/>
    <x v="10"/>
    <x v="2"/>
    <n v="1"/>
    <x v="2"/>
    <n v="5"/>
    <b v="1"/>
    <s v="a24UU000003eNgvYAE"/>
    <s v="PY-01780281"/>
    <x v="15"/>
    <x v="15"/>
    <s v="Activated"/>
    <s v="ACCEPTED"/>
    <s v="Late payment fee"/>
    <s v="Fee"/>
    <s v="94.0"/>
    <s v="94.0"/>
    <s v="69.0"/>
    <s v="25.0"/>
    <s v="2026-01-19"/>
    <s v="2026-01-16T22:07:41.000Z"/>
    <m/>
    <s v="a24UU000003Kfi7YAC"/>
    <s v="2026-01-16T22:07:41.000Z"/>
  </r>
  <r>
    <x v="1"/>
    <x v="14"/>
    <x v="1"/>
    <x v="10"/>
    <x v="10"/>
    <x v="2"/>
    <n v="1"/>
    <x v="2"/>
    <n v="5"/>
    <b v="1"/>
    <s v="a24UU000003mgzJYAQ"/>
    <s v="PY-01789118"/>
    <x v="15"/>
    <x v="15"/>
    <s v="Activated"/>
    <s v="ACCEPTED"/>
    <s v="Late payment fee"/>
    <s v="Fee"/>
    <s v="94.0"/>
    <s v="94.0"/>
    <s v="69.0"/>
    <s v="25.0"/>
    <s v="2026-02-05"/>
    <s v="2026-02-05T01:04:17.000Z"/>
    <m/>
    <s v="a24UU000003jzfEYAQ"/>
    <s v="2026-02-05T01:04:17.000Z"/>
  </r>
  <r>
    <x v="0"/>
    <x v="15"/>
    <x v="1"/>
    <x v="10"/>
    <x v="10"/>
    <x v="2"/>
    <n v="1"/>
    <x v="2"/>
    <n v="5"/>
    <b v="1"/>
    <s v="a24UU000003C3QJYA0"/>
    <s v="PY-01748482"/>
    <x v="16"/>
    <x v="16"/>
    <s v="Activated"/>
    <s v="ACCEPTED"/>
    <s v="AC"/>
    <s v="AC"/>
    <s v="149.0"/>
    <s v="149.0"/>
    <s v="149.0"/>
    <s v="0.0"/>
    <s v="2025-10-31"/>
    <s v="2025-10-31T10:11:57.000Z"/>
    <m/>
    <m/>
    <s v="2025-10-31T10:11:57.000Z"/>
  </r>
  <r>
    <x v="1"/>
    <x v="15"/>
    <x v="1"/>
    <x v="10"/>
    <x v="10"/>
    <x v="2"/>
    <n v="1"/>
    <x v="2"/>
    <n v="5"/>
    <b v="1"/>
    <s v="a24UU000003KflXYAS"/>
    <s v="PY-01757307"/>
    <x v="16"/>
    <x v="16"/>
    <s v="Activated"/>
    <s v="ACCEPTED"/>
    <s v="Fee"/>
    <s v="Subscription"/>
    <s v="69.0"/>
    <s v="69.0"/>
    <s v="69.0"/>
    <s v="0.0"/>
    <s v="2025-11-26"/>
    <s v="2025-11-26T10:10:28.000Z"/>
    <m/>
    <m/>
    <s v="2025-11-26T10:10:28.000Z"/>
  </r>
  <r>
    <x v="1"/>
    <x v="15"/>
    <x v="1"/>
    <x v="10"/>
    <x v="10"/>
    <x v="2"/>
    <n v="1"/>
    <x v="2"/>
    <n v="5"/>
    <b v="1"/>
    <s v="a24UU000003VfF3YAK"/>
    <s v="PY-01770328"/>
    <x v="16"/>
    <x v="16"/>
    <s v="Activated"/>
    <s v="ACCEPTED"/>
    <s v="Fee"/>
    <s v="Subscription"/>
    <s v="69.0"/>
    <s v="69.0"/>
    <s v="69.0"/>
    <s v="0.0"/>
    <s v="2025-12-26"/>
    <s v="2025-12-26T10:11:03.000Z"/>
    <m/>
    <m/>
    <s v="2025-12-26T10:11:03.000Z"/>
  </r>
  <r>
    <x v="1"/>
    <x v="15"/>
    <x v="1"/>
    <x v="10"/>
    <x v="10"/>
    <x v="2"/>
    <n v="1"/>
    <x v="2"/>
    <n v="5"/>
    <b v="1"/>
    <s v="a24UU000003hq8BYAQ"/>
    <s v="PY-01784085"/>
    <x v="16"/>
    <x v="16"/>
    <s v="Activated"/>
    <s v="ACCEPTED"/>
    <s v="Fee"/>
    <s v="Subscription"/>
    <s v="69.0"/>
    <s v="69.0"/>
    <s v="69.0"/>
    <s v="0.0"/>
    <s v="2026-01-26"/>
    <s v="2026-01-26T10:08:41.000Z"/>
    <m/>
    <m/>
    <s v="2026-01-26T10:08:41.000Z"/>
  </r>
  <r>
    <x v="0"/>
    <x v="16"/>
    <x v="5"/>
    <x v="11"/>
    <x v="11"/>
    <x v="2"/>
    <n v="1"/>
    <x v="2"/>
    <n v="5"/>
    <b v="1"/>
    <s v="a24UU000003GgnxYAC"/>
    <s v="PY-01752462"/>
    <x v="17"/>
    <x v="17"/>
    <s v="Activated"/>
    <s v="ACCEPTED"/>
    <s v="AC"/>
    <s v="AC"/>
    <s v="74.5"/>
    <s v="74.5"/>
    <s v="74.5"/>
    <s v="0.0"/>
    <s v="2025-11-13"/>
    <s v="2025-11-13T13:36:38.000Z"/>
    <m/>
    <m/>
    <s v="2025-11-13T13:36:38.000Z"/>
  </r>
  <r>
    <x v="0"/>
    <x v="16"/>
    <x v="5"/>
    <x v="11"/>
    <x v="11"/>
    <x v="2"/>
    <n v="1"/>
    <x v="2"/>
    <n v="5"/>
    <b v="1"/>
    <s v="a24UU000003JXL7YAO"/>
    <s v="PY-01755796"/>
    <x v="17"/>
    <x v="17"/>
    <s v="Activated"/>
    <s v="ACCEPTED"/>
    <s v="AC"/>
    <s v="AC"/>
    <s v="74.5"/>
    <s v="74.5"/>
    <s v="74.5"/>
    <s v="0.0"/>
    <s v="2025-11-27"/>
    <s v="2025-11-21T21:05:43.000Z"/>
    <m/>
    <m/>
    <s v="2025-11-21T21:05:43.000Z"/>
  </r>
  <r>
    <x v="1"/>
    <x v="16"/>
    <x v="5"/>
    <x v="11"/>
    <x v="11"/>
    <x v="2"/>
    <n v="1"/>
    <x v="2"/>
    <n v="5"/>
    <b v="1"/>
    <s v="a24UU000003amKqYAI"/>
    <s v="PY-01776579"/>
    <x v="17"/>
    <x v="17"/>
    <s v="Activated"/>
    <s v="ACCEPTED"/>
    <s v="Late payment fee"/>
    <s v="Fee"/>
    <s v="94.0"/>
    <s v="94.0"/>
    <s v="69.0"/>
    <s v="25.0"/>
    <s v="2026-01-09"/>
    <s v="2026-01-09T10:15:34.000Z"/>
    <m/>
    <s v="a24UU000003Wkm4YAC"/>
    <s v="2026-01-09T10:15:34.000Z"/>
  </r>
  <r>
    <x v="1"/>
    <x v="16"/>
    <x v="5"/>
    <x v="11"/>
    <x v="11"/>
    <x v="2"/>
    <n v="1"/>
    <x v="2"/>
    <n v="5"/>
    <b v="1"/>
    <s v="a24UU000003tGYnYAM"/>
    <s v="PY-01795452"/>
    <x v="17"/>
    <x v="17"/>
    <s v="Activated"/>
    <s v="ACCEPTED"/>
    <s v="Late payment fee"/>
    <s v="Fee"/>
    <s v="94.0"/>
    <s v="94.0"/>
    <s v="69.0"/>
    <s v="25.0"/>
    <s v="2026-02-19"/>
    <s v="2026-02-19T10:09:05.000Z"/>
    <m/>
    <s v="a24UU000003k01nYAA"/>
    <s v="2026-02-19T10:09:05.000Z"/>
  </r>
  <r>
    <x v="1"/>
    <x v="17"/>
    <x v="1"/>
    <x v="12"/>
    <x v="11"/>
    <x v="7"/>
    <n v="1"/>
    <x v="0"/>
    <n v="2"/>
    <b v="1"/>
    <s v="a24UU000003XPqmYAG"/>
    <s v="PY-01772886"/>
    <x v="18"/>
    <x v="18"/>
    <s v="Activated"/>
    <s v="ACCEPTED"/>
    <s v="Late payment fee"/>
    <s v="Fee"/>
    <s v="94.0"/>
    <s v="94.0"/>
    <s v="69.0"/>
    <s v="25.0"/>
    <s v="2026-01-01"/>
    <s v="2026-01-01T10:11:31.000Z"/>
    <m/>
    <s v="a24UU000003PltJYAS"/>
    <s v="2026-01-01T10:11:31.000Z"/>
  </r>
  <r>
    <x v="1"/>
    <x v="17"/>
    <x v="1"/>
    <x v="12"/>
    <x v="11"/>
    <x v="7"/>
    <n v="1"/>
    <x v="0"/>
    <n v="2"/>
    <b v="1"/>
    <s v="a24UU0000041pcUYAQ"/>
    <s v="PY-01803427"/>
    <x v="18"/>
    <x v="18"/>
    <s v="Activated"/>
    <s v="ACCEPTED"/>
    <s v="Fee"/>
    <s v="Subscription"/>
    <s v="69.0"/>
    <s v="69.0"/>
    <s v="69.0"/>
    <s v="0.0"/>
    <s v="2026-03-10"/>
    <s v="2026-03-10T10:01:02.000Z"/>
    <m/>
    <m/>
    <s v="2026-03-10T10:01:02.000Z"/>
  </r>
  <r>
    <x v="1"/>
    <x v="17"/>
    <x v="1"/>
    <x v="12"/>
    <x v="11"/>
    <x v="7"/>
    <n v="1"/>
    <x v="0"/>
    <n v="2"/>
    <b v="1"/>
    <s v="a24UU000004GsmvYAC"/>
    <s v="PY-01817885"/>
    <x v="18"/>
    <x v="18"/>
    <s v="Activated"/>
    <s v="ACCEPTED"/>
    <s v="Late payment fee"/>
    <s v="Fee"/>
    <s v="94.0"/>
    <s v="94.0"/>
    <s v="69.0"/>
    <s v="25.0"/>
    <s v="2026-04-16"/>
    <s v="2026-04-13T23:12:30.000Z"/>
    <m/>
    <s v="a24UU000004FbeTYAS"/>
    <s v="2026-04-13T23:12:30.000Z"/>
  </r>
  <r>
    <x v="1"/>
    <x v="17"/>
    <x v="1"/>
    <x v="12"/>
    <x v="11"/>
    <x v="7"/>
    <n v="1"/>
    <x v="0"/>
    <n v="2"/>
    <b v="1"/>
    <s v="a24UU000004HQOnYAO"/>
    <s v="PY-01818098"/>
    <x v="18"/>
    <x v="18"/>
    <s v="Activated"/>
    <s v="ACCEPTED"/>
    <s v="Late payment fee"/>
    <s v="Fee"/>
    <s v="94.0"/>
    <s v="94.0"/>
    <s v="69.0"/>
    <s v="25.0"/>
    <s v="2026-04-16"/>
    <s v="2026-04-14T23:50:56.000Z"/>
    <m/>
    <s v="a24UU000003p0xAYAQ"/>
    <s v="2026-04-14T23:50:56.000Z"/>
  </r>
  <r>
    <x v="1"/>
    <x v="17"/>
    <x v="1"/>
    <x v="12"/>
    <x v="11"/>
    <x v="7"/>
    <n v="1"/>
    <x v="0"/>
    <n v="2"/>
    <b v="1"/>
    <s v="a24UU000004I5rqYAC"/>
    <s v="PY-01818728"/>
    <x v="18"/>
    <x v="18"/>
    <s v="Activated"/>
    <s v="ACCEPTED"/>
    <s v="Late payment fee"/>
    <s v="Fee"/>
    <s v="69.0"/>
    <s v="69.0"/>
    <s v="69.0"/>
    <s v="0.0"/>
    <s v="2026-04-16"/>
    <s v="2026-04-16T10:04:00.000Z"/>
    <m/>
    <s v="a24UU000003ampCYAQ"/>
    <s v="2026-04-16T10:04:00.000Z"/>
  </r>
  <r>
    <x v="1"/>
    <x v="17"/>
    <x v="1"/>
    <x v="11"/>
    <x v="11"/>
    <x v="0"/>
    <n v="1"/>
    <x v="0"/>
    <n v="2"/>
    <b v="1"/>
    <s v="a24UU000003WksUYAS"/>
    <s v="PY-01772181"/>
    <x v="19"/>
    <x v="19"/>
    <s v="Activated"/>
    <s v="ACCEPTED"/>
    <s v="Fee"/>
    <s v="Subscription"/>
    <s v="69.0"/>
    <s v="69.0"/>
    <s v="69.0"/>
    <s v="0.0"/>
    <s v="2025-12-30"/>
    <s v="2025-12-30T10:06:31.000Z"/>
    <m/>
    <m/>
    <s v="2025-12-30T10:06:31.000Z"/>
  </r>
  <r>
    <x v="1"/>
    <x v="17"/>
    <x v="1"/>
    <x v="11"/>
    <x v="11"/>
    <x v="0"/>
    <n v="1"/>
    <x v="0"/>
    <n v="2"/>
    <b v="1"/>
    <s v="a24UU000003k0PxYAI"/>
    <s v="PY-01786834"/>
    <x v="19"/>
    <x v="19"/>
    <s v="Activated"/>
    <s v="ACCEPTED"/>
    <s v="Fee"/>
    <s v="Subscription"/>
    <s v="69.0"/>
    <s v="69.0"/>
    <s v="69.0"/>
    <s v="0.0"/>
    <s v="2026-01-30"/>
    <s v="2026-01-30T10:22:38.000Z"/>
    <m/>
    <m/>
    <s v="2026-01-30T10:22:38.000Z"/>
  </r>
  <r>
    <x v="1"/>
    <x v="17"/>
    <x v="1"/>
    <x v="11"/>
    <x v="11"/>
    <x v="0"/>
    <n v="1"/>
    <x v="0"/>
    <n v="2"/>
    <b v="1"/>
    <s v="a24UU000003x0LeYAI"/>
    <s v="PY-01799106"/>
    <x v="19"/>
    <x v="19"/>
    <s v="Activated"/>
    <s v="ACCEPTED"/>
    <s v="Fee"/>
    <s v="Subscription"/>
    <s v="69.0"/>
    <s v="69.0"/>
    <s v="69.0"/>
    <s v="0.0"/>
    <s v="2026-02-27"/>
    <s v="2026-02-27T10:09:12.000Z"/>
    <m/>
    <m/>
    <s v="2026-02-27T10:09:12.000Z"/>
  </r>
  <r>
    <x v="1"/>
    <x v="17"/>
    <x v="1"/>
    <x v="11"/>
    <x v="11"/>
    <x v="0"/>
    <n v="1"/>
    <x v="0"/>
    <n v="2"/>
    <b v="1"/>
    <s v="a24UU000004AkTuYAK"/>
    <s v="PY-01811598"/>
    <x v="19"/>
    <x v="19"/>
    <s v="Activated"/>
    <s v="ACCEPTED"/>
    <s v="Fee"/>
    <s v="Subscription"/>
    <s v="69.0"/>
    <s v="69.0"/>
    <s v="69.0"/>
    <s v="0.0"/>
    <s v="2026-03-30"/>
    <s v="2026-03-30T10:09:21.000Z"/>
    <m/>
    <m/>
    <s v="2026-03-30T10:09:21.000Z"/>
  </r>
  <r>
    <x v="1"/>
    <x v="17"/>
    <x v="1"/>
    <x v="11"/>
    <x v="11"/>
    <x v="0"/>
    <n v="1"/>
    <x v="0"/>
    <n v="2"/>
    <b v="1"/>
    <s v="a24UU000004O06TYAS"/>
    <s v="PY-01825359"/>
    <x v="19"/>
    <x v="19"/>
    <s v="Activated"/>
    <s v="ACCEPTED"/>
    <s v="Fee"/>
    <s v="Subscription"/>
    <s v="69.0"/>
    <s v="69.0"/>
    <s v="69.0"/>
    <s v="0.0"/>
    <s v="2026-04-30"/>
    <s v="2026-04-30T10:08:37.000Z"/>
    <m/>
    <m/>
    <s v="2026-04-30T10:08:37.000Z"/>
  </r>
  <r>
    <x v="1"/>
    <x v="17"/>
    <x v="1"/>
    <x v="11"/>
    <x v="11"/>
    <x v="8"/>
    <n v="1"/>
    <x v="5"/>
    <n v="-1"/>
    <b v="1"/>
    <s v="a24UU000003WksTYAS"/>
    <s v="PY-01772180"/>
    <x v="20"/>
    <x v="20"/>
    <s v="Activated"/>
    <s v="ACCEPTED"/>
    <s v="Fee"/>
    <s v="Subscription"/>
    <s v="69.0"/>
    <s v="69.0"/>
    <s v="69.0"/>
    <s v="0.0"/>
    <s v="2025-12-30"/>
    <s v="2025-12-30T10:06:31.000Z"/>
    <m/>
    <m/>
    <s v="2025-12-30T10:06:31.000Z"/>
  </r>
  <r>
    <x v="1"/>
    <x v="17"/>
    <x v="1"/>
    <x v="11"/>
    <x v="11"/>
    <x v="8"/>
    <n v="1"/>
    <x v="5"/>
    <n v="-1"/>
    <b v="1"/>
    <s v="a24UU000003k0PvYAI"/>
    <s v="PY-01786832"/>
    <x v="20"/>
    <x v="20"/>
    <s v="Activated"/>
    <s v="ACCEPTED"/>
    <s v="Fee"/>
    <s v="Subscription"/>
    <s v="69.0"/>
    <s v="69.0"/>
    <s v="69.0"/>
    <s v="0.0"/>
    <s v="2026-01-30"/>
    <s v="2026-01-30T10:22:38.000Z"/>
    <m/>
    <m/>
    <s v="2026-01-30T10:22:38.000Z"/>
  </r>
  <r>
    <x v="1"/>
    <x v="17"/>
    <x v="1"/>
    <x v="11"/>
    <x v="11"/>
    <x v="8"/>
    <n v="1"/>
    <x v="5"/>
    <n v="-1"/>
    <b v="1"/>
    <s v="a24UU000003x0LdYAI"/>
    <s v="PY-01799105"/>
    <x v="20"/>
    <x v="20"/>
    <s v="Activated"/>
    <s v="ACCEPTED"/>
    <s v="Fee"/>
    <s v="Subscription"/>
    <s v="69.0"/>
    <s v="69.0"/>
    <s v="69.0"/>
    <s v="0.0"/>
    <s v="2026-02-27"/>
    <s v="2026-02-27T10:09:12.000Z"/>
    <m/>
    <m/>
    <s v="2026-02-27T10:09:12.000Z"/>
  </r>
  <r>
    <x v="1"/>
    <x v="17"/>
    <x v="1"/>
    <x v="11"/>
    <x v="11"/>
    <x v="8"/>
    <n v="1"/>
    <x v="5"/>
    <n v="-1"/>
    <b v="1"/>
    <s v="a24UU000004AkTtYAK"/>
    <s v="PY-01811597"/>
    <x v="20"/>
    <x v="20"/>
    <s v="Activated"/>
    <s v="ACCEPTED"/>
    <s v="Fee"/>
    <s v="Subscription"/>
    <s v="69.0"/>
    <s v="69.0"/>
    <s v="69.0"/>
    <s v="0.0"/>
    <s v="2026-03-30"/>
    <s v="2026-03-30T10:09:21.000Z"/>
    <m/>
    <m/>
    <s v="2026-03-30T10:09:21.000Z"/>
  </r>
  <r>
    <x v="1"/>
    <x v="17"/>
    <x v="1"/>
    <x v="11"/>
    <x v="11"/>
    <x v="8"/>
    <n v="1"/>
    <x v="5"/>
    <n v="-1"/>
    <b v="1"/>
    <s v="a24UU000004O06SYAS"/>
    <s v="PY-01825358"/>
    <x v="20"/>
    <x v="20"/>
    <s v="Activated"/>
    <s v="ACCEPTED"/>
    <s v="Fee"/>
    <s v="Subscription"/>
    <s v="69.0"/>
    <s v="69.0"/>
    <s v="69.0"/>
    <s v="0.0"/>
    <s v="2026-04-30"/>
    <s v="2026-04-30T10:08:37.000Z"/>
    <m/>
    <m/>
    <s v="2026-04-30T10:08:37.000Z"/>
  </r>
  <r>
    <x v="1"/>
    <x v="17"/>
    <x v="1"/>
    <x v="11"/>
    <x v="11"/>
    <x v="8"/>
    <n v="1"/>
    <x v="5"/>
    <n v="-1"/>
    <b v="1"/>
    <s v="a24UU000004wLHtYAM"/>
    <s v="PY-01867276"/>
    <x v="20"/>
    <x v="20"/>
    <s v="Activated"/>
    <s v="ACCEPTED"/>
    <s v="Fee"/>
    <s v="Subscription"/>
    <s v="69.0"/>
    <s v="69.0"/>
    <s v="69.0"/>
    <s v="0.0"/>
    <s v="2026-07-14"/>
    <s v="2026-07-14T00:00:00.000Z"/>
    <m/>
    <m/>
    <s v="2026-07-16T19:45:30.000Z"/>
  </r>
  <r>
    <x v="1"/>
    <x v="17"/>
    <x v="1"/>
    <x v="11"/>
    <x v="11"/>
    <x v="8"/>
    <n v="1"/>
    <x v="5"/>
    <n v="-1"/>
    <b v="1"/>
    <s v="a24UU000004wLL7YAM"/>
    <s v="PY-01867277"/>
    <x v="20"/>
    <x v="20"/>
    <s v="Activated"/>
    <s v="ACCEPTED"/>
    <s v="Fee"/>
    <s v="Subscription"/>
    <s v="69.0"/>
    <s v="69.0"/>
    <s v="69.0"/>
    <s v="0.0"/>
    <s v="2026-07-14"/>
    <s v="2026-07-14T00:00:00.000Z"/>
    <m/>
    <m/>
    <s v="2026-07-16T19:46:00.000Z"/>
  </r>
  <r>
    <x v="1"/>
    <x v="17"/>
    <x v="1"/>
    <x v="11"/>
    <x v="11"/>
    <x v="8"/>
    <n v="1"/>
    <x v="5"/>
    <n v="-1"/>
    <b v="1"/>
    <s v="a24UU000004wLMjYAM"/>
    <s v="PY-01867278"/>
    <x v="20"/>
    <x v="20"/>
    <s v="Activated"/>
    <s v="ACCEPTED"/>
    <s v="Fee"/>
    <s v="Subscription"/>
    <s v="69.0"/>
    <s v="69.0"/>
    <s v="69.0"/>
    <s v="0.0"/>
    <s v="2026-07-14"/>
    <s v="2026-07-14T00:00:00.000Z"/>
    <m/>
    <m/>
    <s v="2026-07-16T19:46:17.000Z"/>
  </r>
  <r>
    <x v="0"/>
    <x v="18"/>
    <x v="1"/>
    <x v="13"/>
    <x v="12"/>
    <x v="9"/>
    <n v="1"/>
    <x v="5"/>
    <n v="-1"/>
    <b v="1"/>
    <s v="a24UU000003MNScYAO"/>
    <s v="PY-01760011"/>
    <x v="21"/>
    <x v="21"/>
    <s v="Activated"/>
    <s v="ACCEPTED"/>
    <s v="AC"/>
    <s v="AC"/>
    <s v="149.0"/>
    <s v="149.0"/>
    <s v="149.0"/>
    <s v="0.0"/>
    <s v="2025-12-02"/>
    <s v="2025-12-02T19:44:06.000Z"/>
    <m/>
    <m/>
    <s v="2025-12-02T18:50:01.000Z"/>
  </r>
  <r>
    <x v="1"/>
    <x v="18"/>
    <x v="1"/>
    <x v="13"/>
    <x v="12"/>
    <x v="9"/>
    <n v="1"/>
    <x v="5"/>
    <n v="-1"/>
    <b v="1"/>
    <s v="a24UU000003d9pIYAQ"/>
    <s v="PY-01778114"/>
    <x v="21"/>
    <x v="21"/>
    <s v="Activated"/>
    <s v="ACCEPTED"/>
    <s v="Fee"/>
    <s v="Subscription"/>
    <s v="79.0"/>
    <s v="79.0"/>
    <s v="79.0"/>
    <s v="0.0"/>
    <s v="2026-01-15"/>
    <s v="2026-01-14T20:18:04.000Z"/>
    <m/>
    <m/>
    <s v="2026-01-14T19:27:04.000Z"/>
  </r>
  <r>
    <x v="1"/>
    <x v="18"/>
    <x v="1"/>
    <x v="13"/>
    <x v="12"/>
    <x v="9"/>
    <n v="1"/>
    <x v="5"/>
    <n v="-1"/>
    <b v="1"/>
    <s v="a24UU000003qLETYA2"/>
    <s v="PY-01792868"/>
    <x v="21"/>
    <x v="21"/>
    <s v="Activated"/>
    <s v="ACCEPTED"/>
    <s v="Fee"/>
    <s v="Subscription"/>
    <s v="79.0"/>
    <s v="79.0"/>
    <s v="79.0"/>
    <s v="0.0"/>
    <s v="2026-02-11"/>
    <s v="2026-02-12T19:42:32.000Z"/>
    <m/>
    <m/>
    <s v="2026-02-12T18:50:04.000Z"/>
  </r>
  <r>
    <x v="1"/>
    <x v="18"/>
    <x v="1"/>
    <x v="13"/>
    <x v="12"/>
    <x v="9"/>
    <n v="1"/>
    <x v="5"/>
    <n v="-1"/>
    <b v="1"/>
    <s v="a24UU0000043KiaYAE"/>
    <s v="PY-01804545"/>
    <x v="21"/>
    <x v="21"/>
    <s v="Activated"/>
    <s v="ACCEPTED"/>
    <s v="Fee"/>
    <s v="Subscription"/>
    <s v="79.0"/>
    <s v="79.0"/>
    <s v="79.0"/>
    <s v="0.0"/>
    <s v="2026-03-12"/>
    <s v="2026-03-12T21:36:20.000Z"/>
    <m/>
    <m/>
    <s v="2026-03-12T21:22:04.000Z"/>
  </r>
  <r>
    <x v="1"/>
    <x v="18"/>
    <x v="1"/>
    <x v="13"/>
    <x v="12"/>
    <x v="9"/>
    <n v="1"/>
    <x v="5"/>
    <n v="-1"/>
    <b v="1"/>
    <s v="a24UU000004HGDUYA4"/>
    <s v="PY-01817995"/>
    <x v="21"/>
    <x v="21"/>
    <s v="Activated"/>
    <s v="ACCEPTED"/>
    <s v="Fee"/>
    <s v="Subscription"/>
    <s v="79.0"/>
    <s v="79.0"/>
    <s v="79.0"/>
    <s v="0.0"/>
    <s v="2026-04-15"/>
    <s v="2026-04-14T20:40:56.000Z"/>
    <m/>
    <m/>
    <s v="2026-04-14T18:50:03.000Z"/>
  </r>
  <r>
    <x v="1"/>
    <x v="18"/>
    <x v="1"/>
    <x v="13"/>
    <x v="12"/>
    <x v="9"/>
    <n v="1"/>
    <x v="5"/>
    <n v="-1"/>
    <b v="1"/>
    <s v="a24UU000004UoMbYAK"/>
    <s v="PY-01834112"/>
    <x v="21"/>
    <x v="21"/>
    <s v="Activated"/>
    <s v="ACCEPTED"/>
    <s v="Fee"/>
    <s v="Subscription"/>
    <s v="79.0"/>
    <s v="79.0"/>
    <s v="79.0"/>
    <s v="0.0"/>
    <s v="2026-05-15"/>
    <s v="2026-05-14T21:05:52.000Z"/>
    <m/>
    <m/>
    <s v="2026-05-14T20:12:26.000Z"/>
  </r>
  <r>
    <x v="1"/>
    <x v="18"/>
    <x v="1"/>
    <x v="13"/>
    <x v="12"/>
    <x v="9"/>
    <n v="1"/>
    <x v="5"/>
    <n v="-1"/>
    <b v="1"/>
    <s v="a24UU000004iVgUYAU"/>
    <s v="PY-01852588"/>
    <x v="21"/>
    <x v="21"/>
    <s v="Activated"/>
    <s v="ACCEPTED"/>
    <s v="Fee"/>
    <s v="Subscription"/>
    <s v="79.0"/>
    <s v="79.0"/>
    <s v="79.0"/>
    <s v="0.0"/>
    <s v="2026-06-15"/>
    <s v="2026-06-15T20:44:47.000Z"/>
    <m/>
    <m/>
    <s v="2026-06-15T19:46:04.000Z"/>
  </r>
  <r>
    <x v="1"/>
    <x v="18"/>
    <x v="1"/>
    <x v="13"/>
    <x v="12"/>
    <x v="9"/>
    <n v="1"/>
    <x v="5"/>
    <n v="-1"/>
    <b v="1"/>
    <s v="a24UU000004sLRlYAM"/>
    <s v="PY-01864200"/>
    <x v="21"/>
    <x v="21"/>
    <s v="Activated"/>
    <s v="ACCEPTED"/>
    <s v="Fee"/>
    <s v="Subscription"/>
    <s v="79.0"/>
    <s v="79.0"/>
    <s v="79.0"/>
    <s v="0.0"/>
    <s v="2026-07-15"/>
    <s v="2026-07-07T20:57:56.000Z"/>
    <m/>
    <m/>
    <s v="2026-07-07T20:57:56.000Z"/>
  </r>
  <r>
    <x v="0"/>
    <x v="19"/>
    <x v="1"/>
    <x v="14"/>
    <x v="12"/>
    <x v="0"/>
    <n v="1"/>
    <x v="0"/>
    <n v="2"/>
    <b v="1"/>
    <s v="a24UU000003RqtkYAC"/>
    <s v="PY-01765732"/>
    <x v="22"/>
    <x v="22"/>
    <s v="Activated"/>
    <s v="ACCEPTED"/>
    <s v="AC"/>
    <s v="AC"/>
    <s v="149.0"/>
    <s v="149.0"/>
    <s v="149.0"/>
    <s v="0.0"/>
    <s v="2025-12-15"/>
    <s v="2025-12-15T10:22:13.000Z"/>
    <m/>
    <m/>
    <s v="2025-12-15T10:22:13.000Z"/>
  </r>
  <r>
    <x v="1"/>
    <x v="19"/>
    <x v="1"/>
    <x v="14"/>
    <x v="12"/>
    <x v="0"/>
    <n v="1"/>
    <x v="0"/>
    <n v="2"/>
    <b v="1"/>
    <s v="a24UU000003k0bKYAQ"/>
    <s v="PY-01786936"/>
    <x v="22"/>
    <x v="22"/>
    <s v="Activated"/>
    <s v="ACCEPTED"/>
    <s v="Fee"/>
    <s v="Subscription"/>
    <s v="79.0"/>
    <s v="79.0"/>
    <s v="79.0"/>
    <s v="0.0"/>
    <s v="2026-01-30"/>
    <s v="2026-01-30T10:25:32.000Z"/>
    <m/>
    <m/>
    <s v="2026-01-30T10:25:32.000Z"/>
  </r>
  <r>
    <x v="1"/>
    <x v="19"/>
    <x v="1"/>
    <x v="14"/>
    <x v="12"/>
    <x v="0"/>
    <n v="1"/>
    <x v="0"/>
    <n v="2"/>
    <b v="1"/>
    <s v="a24UU000003x0VLYAY"/>
    <s v="PY-01799158"/>
    <x v="22"/>
    <x v="22"/>
    <s v="Activated"/>
    <s v="ACCEPTED"/>
    <s v="Fee"/>
    <s v="Subscription"/>
    <s v="79.0"/>
    <s v="79.0"/>
    <s v="79.0"/>
    <s v="0.0"/>
    <s v="2026-02-27"/>
    <s v="2026-02-27T10:10:26.000Z"/>
    <m/>
    <m/>
    <s v="2026-02-27T10:10:26.000Z"/>
  </r>
  <r>
    <x v="1"/>
    <x v="19"/>
    <x v="1"/>
    <x v="14"/>
    <x v="12"/>
    <x v="0"/>
    <n v="1"/>
    <x v="0"/>
    <n v="2"/>
    <b v="1"/>
    <s v="a24UU000004AjzcYAC"/>
    <s v="PY-01811645"/>
    <x v="22"/>
    <x v="22"/>
    <s v="Activated"/>
    <s v="ACCEPTED"/>
    <s v="Fee"/>
    <s v="Subscription"/>
    <s v="79.0"/>
    <s v="79.0"/>
    <s v="79.0"/>
    <s v="0.0"/>
    <s v="2026-03-30"/>
    <s v="2026-03-30T10:10:24.000Z"/>
    <m/>
    <m/>
    <s v="2026-03-30T10:10:24.000Z"/>
  </r>
  <r>
    <x v="1"/>
    <x v="19"/>
    <x v="1"/>
    <x v="14"/>
    <x v="12"/>
    <x v="0"/>
    <n v="1"/>
    <x v="0"/>
    <n v="2"/>
    <b v="1"/>
    <s v="a24UU000004O0HZYA0"/>
    <s v="PY-01825404"/>
    <x v="22"/>
    <x v="22"/>
    <s v="Activated"/>
    <s v="ACCEPTED"/>
    <s v="Fee"/>
    <s v="Subscription"/>
    <s v="79.0"/>
    <s v="79.0"/>
    <s v="79.0"/>
    <s v="0.0"/>
    <s v="2026-04-30"/>
    <s v="2026-04-30T10:09:47.000Z"/>
    <m/>
    <m/>
    <s v="2026-04-30T10:09:47.000Z"/>
  </r>
  <r>
    <x v="0"/>
    <x v="20"/>
    <x v="1"/>
    <x v="14"/>
    <x v="12"/>
    <x v="0"/>
    <n v="1"/>
    <x v="0"/>
    <n v="2"/>
    <b v="1"/>
    <s v="a24UU000003Ps3VYAS"/>
    <s v="PY-01762874"/>
    <x v="23"/>
    <x v="23"/>
    <s v="Activated"/>
    <s v="ACCEPTED"/>
    <s v="AC"/>
    <s v="AC"/>
    <s v="149.0"/>
    <s v="149.0"/>
    <s v="149.0"/>
    <s v="0.0"/>
    <s v="2025-12-10"/>
    <s v="2025-12-10T14:49:08.000Z"/>
    <m/>
    <m/>
    <s v="2025-12-10T14:49:08.000Z"/>
  </r>
  <r>
    <x v="1"/>
    <x v="20"/>
    <x v="1"/>
    <x v="14"/>
    <x v="12"/>
    <x v="0"/>
    <n v="1"/>
    <x v="0"/>
    <n v="2"/>
    <b v="1"/>
    <s v="a24UU000003k0EhYAI"/>
    <s v="PY-01786876"/>
    <x v="23"/>
    <x v="23"/>
    <s v="Activated"/>
    <s v="ACCEPTED"/>
    <s v="Fee"/>
    <s v="Subscription"/>
    <s v="79.0"/>
    <s v="79.0"/>
    <s v="79.0"/>
    <s v="0.0"/>
    <s v="2026-01-30"/>
    <s v="2026-01-30T10:23:37.000Z"/>
    <m/>
    <m/>
    <s v="2026-01-30T10:23:37.000Z"/>
  </r>
  <r>
    <x v="1"/>
    <x v="20"/>
    <x v="1"/>
    <x v="14"/>
    <x v="12"/>
    <x v="0"/>
    <n v="1"/>
    <x v="0"/>
    <n v="2"/>
    <b v="1"/>
    <s v="a24UU000003wzKkYAI"/>
    <s v="PY-01799134"/>
    <x v="23"/>
    <x v="23"/>
    <s v="Activated"/>
    <s v="ACCEPTED"/>
    <s v="Fee"/>
    <s v="Subscription"/>
    <s v="79.0"/>
    <s v="79.0"/>
    <s v="79.0"/>
    <s v="0.0"/>
    <s v="2026-02-27"/>
    <s v="2026-02-27T10:09:55.000Z"/>
    <m/>
    <m/>
    <s v="2026-02-27T10:09:55.000Z"/>
  </r>
  <r>
    <x v="1"/>
    <x v="20"/>
    <x v="1"/>
    <x v="14"/>
    <x v="12"/>
    <x v="0"/>
    <n v="1"/>
    <x v="0"/>
    <n v="2"/>
    <b v="1"/>
    <s v="a24UU000004AkXBYA0"/>
    <s v="PY-01811623"/>
    <x v="23"/>
    <x v="23"/>
    <s v="Activated"/>
    <s v="ACCEPTED"/>
    <s v="Fee"/>
    <s v="Subscription"/>
    <s v="79.0"/>
    <s v="79.0"/>
    <s v="79.0"/>
    <s v="0.0"/>
    <s v="2026-03-30"/>
    <s v="2026-03-30T10:09:56.000Z"/>
    <m/>
    <m/>
    <s v="2026-03-30T10:09:56.000Z"/>
  </r>
  <r>
    <x v="1"/>
    <x v="20"/>
    <x v="1"/>
    <x v="14"/>
    <x v="12"/>
    <x v="0"/>
    <n v="1"/>
    <x v="0"/>
    <n v="2"/>
    <b v="1"/>
    <s v="a24UU000004O0CkYAK"/>
    <s v="PY-01825382"/>
    <x v="23"/>
    <x v="23"/>
    <s v="Activated"/>
    <s v="ACCEPTED"/>
    <s v="Fee"/>
    <s v="Subscription"/>
    <s v="79.0"/>
    <s v="79.0"/>
    <s v="79.0"/>
    <s v="0.0"/>
    <s v="2026-04-30"/>
    <s v="2026-04-30T10:09:09.000Z"/>
    <m/>
    <m/>
    <s v="2026-04-30T10:09:09.000Z"/>
  </r>
  <r>
    <x v="0"/>
    <x v="21"/>
    <x v="6"/>
    <x v="15"/>
    <x v="13"/>
    <x v="10"/>
    <n v="1"/>
    <x v="0"/>
    <n v="2"/>
    <b v="1"/>
    <s v="a24UU000003f525YAA"/>
    <s v="PY-01780850"/>
    <x v="24"/>
    <x v="24"/>
    <s v="Activated"/>
    <s v="ACCEPTED"/>
    <s v="AC"/>
    <s v="AC"/>
    <s v="74.5"/>
    <s v="74.5"/>
    <s v="74.5"/>
    <s v="0.0"/>
    <s v="2026-01-19"/>
    <s v="2026-01-19T10:09:44.000Z"/>
    <m/>
    <m/>
    <s v="2026-01-19T10:09:44.000Z"/>
  </r>
  <r>
    <x v="0"/>
    <x v="21"/>
    <x v="6"/>
    <x v="15"/>
    <x v="13"/>
    <x v="10"/>
    <n v="1"/>
    <x v="0"/>
    <n v="2"/>
    <b v="1"/>
    <s v="a24UU000003l3onYAA"/>
    <s v="PY-01788022"/>
    <x v="24"/>
    <x v="24"/>
    <s v="Activated"/>
    <s v="ACCEPTED"/>
    <s v="AC"/>
    <s v="AC"/>
    <s v="74.5"/>
    <s v="74.5"/>
    <s v="74.5"/>
    <s v="0.0"/>
    <s v="2026-02-02"/>
    <s v="2026-02-02T10:08:43.000Z"/>
    <m/>
    <m/>
    <s v="2026-02-02T10:08:43.000Z"/>
  </r>
  <r>
    <x v="1"/>
    <x v="21"/>
    <x v="6"/>
    <x v="15"/>
    <x v="13"/>
    <x v="10"/>
    <n v="1"/>
    <x v="0"/>
    <n v="2"/>
    <b v="1"/>
    <s v="a24UU000003xwMxYAI"/>
    <s v="PY-01800461"/>
    <x v="24"/>
    <x v="24"/>
    <s v="Activated"/>
    <s v="ACCEPTED"/>
    <s v="Fee"/>
    <s v="Subscription"/>
    <s v="79.0"/>
    <s v="79.0"/>
    <s v="79.0"/>
    <s v="0.0"/>
    <s v="2026-03-02"/>
    <s v="2026-03-02T10:10:49.000Z"/>
    <m/>
    <m/>
    <s v="2026-03-02T10:10:49.000Z"/>
  </r>
  <r>
    <x v="1"/>
    <x v="21"/>
    <x v="6"/>
    <x v="15"/>
    <x v="13"/>
    <x v="10"/>
    <n v="1"/>
    <x v="0"/>
    <n v="2"/>
    <b v="1"/>
    <s v="a24UU000004IbuuYAC"/>
    <s v="PY-01820019"/>
    <x v="24"/>
    <x v="24"/>
    <s v="Activated"/>
    <s v="ACCEPTED"/>
    <s v="Late payment fee"/>
    <s v="Fee"/>
    <s v="104.0"/>
    <s v="104.0"/>
    <s v="79.0"/>
    <s v="25.0"/>
    <s v="2026-04-17"/>
    <s v="2026-04-17T10:15:53.000Z"/>
    <m/>
    <s v="a24UU000004CIYUYA4"/>
    <s v="2026-04-17T10:15:53.000Z"/>
  </r>
  <r>
    <x v="0"/>
    <x v="22"/>
    <x v="1"/>
    <x v="14"/>
    <x v="12"/>
    <x v="6"/>
    <n v="1"/>
    <x v="3"/>
    <n v="4"/>
    <b v="1"/>
    <s v="a24UU000003anDPYAY"/>
    <s v="PY-01776472"/>
    <x v="25"/>
    <x v="25"/>
    <s v="Activated"/>
    <s v="ACCEPTED"/>
    <s v="Late payment fee"/>
    <s v="AC"/>
    <s v="174.0"/>
    <s v="174.0"/>
    <s v="149.0"/>
    <s v="25.0"/>
    <s v="2026-01-09"/>
    <s v="2026-01-09T10:13:38.000Z"/>
    <m/>
    <s v="a24UU000003VgZ9YAK"/>
    <s v="2026-01-09T10:13:38.000Z"/>
  </r>
  <r>
    <x v="1"/>
    <x v="22"/>
    <x v="1"/>
    <x v="14"/>
    <x v="12"/>
    <x v="6"/>
    <n v="1"/>
    <x v="3"/>
    <n v="4"/>
    <b v="1"/>
    <s v="a24UU000003m13JYAQ"/>
    <s v="PY-01788942"/>
    <x v="25"/>
    <x v="25"/>
    <s v="Activated"/>
    <s v="ACCEPTED"/>
    <s v="Late payment fee"/>
    <s v="Fee"/>
    <s v="104.0"/>
    <s v="104.0"/>
    <s v="79.0"/>
    <s v="25.0"/>
    <s v="2026-02-05"/>
    <s v="2026-02-04T00:13:42.000Z"/>
    <m/>
    <s v="a24UU000003k17aYAA"/>
    <s v="2026-02-04T00:13:42.000Z"/>
  </r>
  <r>
    <x v="1"/>
    <x v="22"/>
    <x v="1"/>
    <x v="14"/>
    <x v="12"/>
    <x v="6"/>
    <n v="1"/>
    <x v="3"/>
    <n v="4"/>
    <b v="1"/>
    <s v="a24UU0000046fCfYAI"/>
    <s v="PY-01808162"/>
    <x v="25"/>
    <x v="25"/>
    <s v="Activated"/>
    <s v="ACCEPTED"/>
    <s v="Late payment fee"/>
    <s v="Fee"/>
    <s v="104.0"/>
    <s v="104.0"/>
    <s v="79.0"/>
    <s v="25.0"/>
    <s v="2026-03-20"/>
    <s v="2026-03-20T10:15:11.000Z"/>
    <m/>
    <s v="a24UU0000042q9tYAA"/>
    <s v="2026-03-20T10:15:11.000Z"/>
  </r>
  <r>
    <x v="0"/>
    <x v="23"/>
    <x v="1"/>
    <x v="13"/>
    <x v="12"/>
    <x v="11"/>
    <n v="1"/>
    <x v="1"/>
    <n v="1"/>
    <b v="1"/>
    <s v="a24UU000003StBAYA0"/>
    <s v="PY-01765989"/>
    <x v="26"/>
    <x v="26"/>
    <s v="Activated"/>
    <s v="ACCEPTED"/>
    <s v="AC"/>
    <s v="AC"/>
    <s v="149.0"/>
    <s v="149.0"/>
    <s v="149.0"/>
    <s v="0.0"/>
    <s v="2025-12-17"/>
    <s v="2025-12-17T10:01:42.000Z"/>
    <m/>
    <m/>
    <s v="2025-12-17T10:01:42.000Z"/>
  </r>
  <r>
    <x v="1"/>
    <x v="23"/>
    <x v="1"/>
    <x v="13"/>
    <x v="12"/>
    <x v="11"/>
    <n v="1"/>
    <x v="1"/>
    <n v="1"/>
    <b v="1"/>
    <s v="a24UU000003dWjBYAU"/>
    <s v="PY-01778808"/>
    <x v="26"/>
    <x v="26"/>
    <s v="Activated"/>
    <s v="ACCEPTED"/>
    <s v="Fee"/>
    <s v="Subscription"/>
    <s v="79.0"/>
    <s v="79.0"/>
    <s v="79.0"/>
    <s v="0.0"/>
    <s v="2026-01-15"/>
    <s v="2026-01-15T10:15:30.000Z"/>
    <m/>
    <m/>
    <s v="2026-01-15T10:15:30.000Z"/>
  </r>
  <r>
    <x v="1"/>
    <x v="23"/>
    <x v="1"/>
    <x v="13"/>
    <x v="12"/>
    <x v="11"/>
    <n v="1"/>
    <x v="1"/>
    <n v="1"/>
    <b v="1"/>
    <s v="a24UU000003qgCmYAI"/>
    <s v="PY-01793254"/>
    <x v="26"/>
    <x v="26"/>
    <s v="Activated"/>
    <s v="ACCEPTED"/>
    <s v="Fee"/>
    <s v="Subscription"/>
    <s v="79.0"/>
    <s v="79.0"/>
    <s v="79.0"/>
    <s v="0.0"/>
    <s v="2026-02-13"/>
    <s v="2026-02-13T10:07:27.000Z"/>
    <m/>
    <m/>
    <s v="2026-02-13T10:07:27.000Z"/>
  </r>
  <r>
    <x v="1"/>
    <x v="23"/>
    <x v="1"/>
    <x v="13"/>
    <x v="12"/>
    <x v="11"/>
    <n v="1"/>
    <x v="1"/>
    <n v="1"/>
    <b v="1"/>
    <s v="a24UU0000043XmlYAE"/>
    <s v="PY-01804893"/>
    <x v="26"/>
    <x v="26"/>
    <s v="Activated"/>
    <s v="ACCEPTED"/>
    <s v="Fee"/>
    <s v="Subscription"/>
    <s v="79.0"/>
    <s v="79.0"/>
    <s v="79.0"/>
    <s v="0.0"/>
    <s v="2026-03-13"/>
    <s v="2026-03-13T10:06:40.000Z"/>
    <m/>
    <m/>
    <s v="2026-03-13T10:06:40.000Z"/>
  </r>
  <r>
    <x v="1"/>
    <x v="23"/>
    <x v="1"/>
    <x v="13"/>
    <x v="12"/>
    <x v="11"/>
    <n v="1"/>
    <x v="1"/>
    <n v="1"/>
    <b v="1"/>
    <s v="a24UU000004HbiWYAS"/>
    <s v="PY-01818266"/>
    <x v="26"/>
    <x v="26"/>
    <s v="Activated"/>
    <s v="ACCEPTED"/>
    <s v="Fee"/>
    <s v="Subscription"/>
    <s v="79.0"/>
    <s v="79.0"/>
    <s v="79.0"/>
    <s v="0.0"/>
    <s v="2026-04-15"/>
    <s v="2026-04-15T10:04:14.000Z"/>
    <m/>
    <m/>
    <s v="2026-04-15T10:04:14.000Z"/>
  </r>
  <r>
    <x v="1"/>
    <x v="23"/>
    <x v="1"/>
    <x v="13"/>
    <x v="12"/>
    <x v="11"/>
    <n v="1"/>
    <x v="1"/>
    <n v="1"/>
    <b v="1"/>
    <s v="a24UU000004V314YAC"/>
    <s v="PY-01834468"/>
    <x v="26"/>
    <x v="26"/>
    <s v="Activated"/>
    <s v="ACCEPTED"/>
    <s v="Fee"/>
    <s v="Subscription"/>
    <s v="79.0"/>
    <s v="79.0"/>
    <s v="79.0"/>
    <s v="0.0"/>
    <s v="2026-05-15"/>
    <s v="2026-05-15T10:04:20.000Z"/>
    <m/>
    <m/>
    <s v="2026-05-15T10:04:20.000Z"/>
  </r>
  <r>
    <x v="0"/>
    <x v="24"/>
    <x v="7"/>
    <x v="16"/>
    <x v="14"/>
    <x v="12"/>
    <n v="1"/>
    <x v="4"/>
    <n v="3"/>
    <b v="1"/>
    <s v="a24UU000003e5oxYAA"/>
    <s v="PY-01779767"/>
    <x v="27"/>
    <x v="27"/>
    <s v="Activated"/>
    <s v="ACCEPTED"/>
    <s v="AC"/>
    <s v="AC"/>
    <s v="74.5"/>
    <s v="74.5"/>
    <s v="74.5"/>
    <s v="0.0"/>
    <s v="2026-01-16"/>
    <s v="2026-01-16T10:12:51.000Z"/>
    <m/>
    <m/>
    <s v="2026-01-16T10:12:51.000Z"/>
  </r>
  <r>
    <x v="0"/>
    <x v="24"/>
    <x v="7"/>
    <x v="16"/>
    <x v="14"/>
    <x v="12"/>
    <n v="1"/>
    <x v="4"/>
    <n v="3"/>
    <b v="1"/>
    <s v="a24UU000003k0eWYAQ"/>
    <s v="PY-01786961"/>
    <x v="27"/>
    <x v="27"/>
    <s v="Activated"/>
    <s v="ACCEPTED"/>
    <s v="AC"/>
    <s v="AC"/>
    <s v="74.5"/>
    <s v="74.5"/>
    <s v="74.5"/>
    <s v="0.0"/>
    <s v="2026-01-30"/>
    <s v="2026-01-30T10:26:07.000Z"/>
    <m/>
    <m/>
    <s v="2026-01-30T10:26:07.000Z"/>
  </r>
  <r>
    <x v="1"/>
    <x v="24"/>
    <x v="7"/>
    <x v="16"/>
    <x v="14"/>
    <x v="12"/>
    <n v="1"/>
    <x v="4"/>
    <n v="3"/>
    <b v="1"/>
    <s v="a24UU000003rdxgYAA"/>
    <s v="PY-01794503"/>
    <x v="27"/>
    <x v="27"/>
    <s v="Activated"/>
    <s v="ACCEPTED"/>
    <s v="Fee"/>
    <s v="Subscription"/>
    <s v="79.0"/>
    <s v="79.0"/>
    <s v="79.0"/>
    <s v="0.0"/>
    <s v="2026-02-16"/>
    <s v="2026-02-16T10:10:57.000Z"/>
    <m/>
    <m/>
    <s v="2026-02-16T10:10:57.000Z"/>
  </r>
  <r>
    <x v="1"/>
    <x v="24"/>
    <x v="7"/>
    <x v="16"/>
    <x v="14"/>
    <x v="12"/>
    <n v="1"/>
    <x v="4"/>
    <n v="3"/>
    <b v="1"/>
    <s v="a24UU0000044VWGYA2"/>
    <s v="PY-01806094"/>
    <x v="27"/>
    <x v="27"/>
    <s v="Activated"/>
    <s v="ACCEPTED"/>
    <s v="Fee"/>
    <s v="Subscription"/>
    <s v="79.0"/>
    <s v="79.0"/>
    <s v="79.0"/>
    <s v="0.0"/>
    <s v="2026-03-16"/>
    <s v="2026-03-16T10:08:29.000Z"/>
    <m/>
    <m/>
    <s v="2026-03-16T10:08:29.000Z"/>
  </r>
  <r>
    <x v="0"/>
    <x v="22"/>
    <x v="1"/>
    <x v="14"/>
    <x v="12"/>
    <x v="4"/>
    <n v="1"/>
    <x v="4"/>
    <n v="3"/>
    <b v="1"/>
    <s v="a24UU000003VgamYAC"/>
    <s v="PY-01770658"/>
    <x v="28"/>
    <x v="28"/>
    <s v="Activated"/>
    <s v="ACCEPTED"/>
    <s v="AC"/>
    <s v="AC"/>
    <s v="119.0"/>
    <s v="119.0"/>
    <s v="119.0"/>
    <s v="0.0"/>
    <s v="2025-12-26"/>
    <s v="2025-12-26T10:17:48.000Z"/>
    <m/>
    <m/>
    <s v="2025-12-26T10:17:48.000Z"/>
  </r>
  <r>
    <x v="1"/>
    <x v="22"/>
    <x v="1"/>
    <x v="14"/>
    <x v="12"/>
    <x v="4"/>
    <n v="1"/>
    <x v="4"/>
    <n v="3"/>
    <b v="1"/>
    <s v="a24UU000003oUUTYA2"/>
    <s v="PY-01791757"/>
    <x v="28"/>
    <x v="28"/>
    <s v="Activated"/>
    <s v="ACCEPTED"/>
    <s v="Late payment fee"/>
    <s v="Fee"/>
    <s v="144.0"/>
    <s v="144.0"/>
    <s v="119.0"/>
    <s v="25.0"/>
    <s v="2026-02-09"/>
    <s v="2026-02-09T10:15:01.000Z"/>
    <m/>
    <s v="a24UU000003k0kyYAA"/>
    <s v="2026-02-09T10:15:01.000Z"/>
  </r>
  <r>
    <x v="1"/>
    <x v="22"/>
    <x v="1"/>
    <x v="14"/>
    <x v="12"/>
    <x v="4"/>
    <n v="1"/>
    <x v="4"/>
    <n v="3"/>
    <b v="1"/>
    <s v="a24UU000004P1cvYAC"/>
    <s v="PY-01827670"/>
    <x v="28"/>
    <x v="28"/>
    <s v="Activated"/>
    <s v="ACCEPTED"/>
    <s v="Late payment fee"/>
    <s v="Fee"/>
    <s v="144.0"/>
    <s v="144.0"/>
    <s v="119.0"/>
    <s v="25.0"/>
    <s v="2026-05-04"/>
    <s v="2026-05-01T22:56:55.000Z"/>
    <m/>
    <s v="a24UU000004O0PaYAK"/>
    <s v="2026-05-01T22:56:55.000Z"/>
  </r>
  <r>
    <x v="1"/>
    <x v="22"/>
    <x v="1"/>
    <x v="14"/>
    <x v="12"/>
    <x v="4"/>
    <n v="1"/>
    <x v="4"/>
    <n v="3"/>
    <b v="1"/>
    <s v="a24UU000004SLLlYAO"/>
    <s v="PY-01831534"/>
    <x v="28"/>
    <x v="28"/>
    <s v="Activated"/>
    <s v="ACCEPTED"/>
    <s v="Late payment fee"/>
    <s v="Fee"/>
    <s v="119.0"/>
    <s v="119.0"/>
    <s v="119.0"/>
    <s v="0.0"/>
    <s v="2026-05-11"/>
    <s v="2026-05-08T23:53:25.000Z"/>
    <m/>
    <s v="a24UU000004AkaTYAS"/>
    <s v="2026-05-08T23:53:25.000Z"/>
  </r>
  <r>
    <x v="0"/>
    <x v="25"/>
    <x v="1"/>
    <x v="17"/>
    <x v="14"/>
    <x v="13"/>
    <n v="1"/>
    <x v="0"/>
    <n v="2"/>
    <b v="1"/>
    <s v="a24UU000003k08GYAQ"/>
    <s v="PY-01786969"/>
    <x v="29"/>
    <x v="29"/>
    <s v="Activated"/>
    <s v="ACCEPTED"/>
    <s v="AC"/>
    <s v="AC"/>
    <s v="119.0"/>
    <s v="119.0"/>
    <s v="119.0"/>
    <s v="0.0"/>
    <s v="2026-01-30"/>
    <s v="2026-01-30T10:26:33.000Z"/>
    <m/>
    <m/>
    <s v="2026-01-30T10:26:33.000Z"/>
  </r>
  <r>
    <x v="1"/>
    <x v="25"/>
    <x v="1"/>
    <x v="17"/>
    <x v="14"/>
    <x v="13"/>
    <n v="1"/>
    <x v="0"/>
    <n v="2"/>
    <b v="1"/>
    <s v="a24UU000003x1GgYAI"/>
    <s v="PY-01799530"/>
    <x v="29"/>
    <x v="29"/>
    <s v="Activated"/>
    <s v="ACCEPTED"/>
    <s v="Fee"/>
    <s v="Subscription"/>
    <s v="119.0"/>
    <s v="119.0"/>
    <s v="119.0"/>
    <s v="0.0"/>
    <s v="2026-02-27"/>
    <s v="2026-02-27T10:18:07.000Z"/>
    <m/>
    <m/>
    <s v="2026-02-27T10:18:07.000Z"/>
  </r>
  <r>
    <x v="1"/>
    <x v="25"/>
    <x v="1"/>
    <x v="17"/>
    <x v="14"/>
    <x v="13"/>
    <n v="1"/>
    <x v="0"/>
    <n v="2"/>
    <b v="1"/>
    <s v="a24UU0000049lAPYAY"/>
    <s v="PY-01810671"/>
    <x v="29"/>
    <x v="29"/>
    <s v="Activated"/>
    <s v="ACCEPTED"/>
    <s v="Fee"/>
    <s v="Subscription"/>
    <s v="119.0"/>
    <s v="119.0"/>
    <s v="119.0"/>
    <s v="0.0"/>
    <s v="2026-03-27"/>
    <s v="2026-03-27T10:08:31.000Z"/>
    <m/>
    <m/>
    <s v="2026-03-27T10:08:31.000Z"/>
  </r>
  <r>
    <x v="1"/>
    <x v="25"/>
    <x v="1"/>
    <x v="17"/>
    <x v="14"/>
    <x v="13"/>
    <n v="1"/>
    <x v="0"/>
    <n v="2"/>
    <b v="1"/>
    <s v="a24UU000004MQJXYA4"/>
    <s v="PY-01823708"/>
    <x v="29"/>
    <x v="29"/>
    <s v="Activated"/>
    <s v="ACCEPTED"/>
    <s v="Fee"/>
    <s v="Subscription"/>
    <s v="119.0"/>
    <s v="119.0"/>
    <s v="119.0"/>
    <s v="0.0"/>
    <s v="2026-04-27"/>
    <s v="2026-04-27T10:05:21.000Z"/>
    <m/>
    <m/>
    <s v="2026-04-27T10:05:21.000Z"/>
  </r>
  <r>
    <x v="0"/>
    <x v="26"/>
    <x v="1"/>
    <x v="18"/>
    <x v="12"/>
    <x v="14"/>
    <n v="1"/>
    <x v="6"/>
    <n v="0"/>
    <b v="1"/>
    <s v="a24UU000003TWCTYA4"/>
    <s v="PY-01766896"/>
    <x v="30"/>
    <x v="30"/>
    <s v="Activated"/>
    <s v="ACCEPTED"/>
    <s v="AC"/>
    <s v="AC"/>
    <s v="149.0"/>
    <s v="149.0"/>
    <s v="149.0"/>
    <s v="0.0"/>
    <s v="2025-12-18"/>
    <s v="2025-12-18T18:48:56.000Z"/>
    <m/>
    <m/>
    <s v="2025-12-18T18:48:56.000Z"/>
  </r>
  <r>
    <x v="1"/>
    <x v="26"/>
    <x v="1"/>
    <x v="18"/>
    <x v="12"/>
    <x v="14"/>
    <n v="1"/>
    <x v="6"/>
    <n v="0"/>
    <b v="1"/>
    <s v="a24UU000003e5s9YAA"/>
    <s v="PY-01779775"/>
    <x v="30"/>
    <x v="30"/>
    <s v="Activated"/>
    <s v="ACCEPTED"/>
    <s v="Fee"/>
    <s v="Subscription"/>
    <s v="79.0"/>
    <s v="79.0"/>
    <s v="79.0"/>
    <s v="0.0"/>
    <s v="2026-01-16"/>
    <s v="2026-01-16T10:13:07.000Z"/>
    <m/>
    <m/>
    <s v="2026-01-16T10:13:07.000Z"/>
  </r>
  <r>
    <x v="1"/>
    <x v="26"/>
    <x v="1"/>
    <x v="18"/>
    <x v="12"/>
    <x v="14"/>
    <n v="1"/>
    <x v="6"/>
    <n v="0"/>
    <b v="1"/>
    <s v="a24UU000003sg5NYAQ"/>
    <s v="PY-01794962"/>
    <x v="30"/>
    <x v="30"/>
    <s v="Activated"/>
    <s v="ACCEPTED"/>
    <s v="Fee"/>
    <s v="Subscription"/>
    <s v="79.0"/>
    <s v="79.0"/>
    <s v="79.0"/>
    <s v="0.0"/>
    <s v="2026-02-18"/>
    <s v="2026-02-18T10:01:12.000Z"/>
    <m/>
    <m/>
    <s v="2026-02-18T10:01:12.000Z"/>
  </r>
  <r>
    <x v="1"/>
    <x v="26"/>
    <x v="1"/>
    <x v="18"/>
    <x v="12"/>
    <x v="14"/>
    <n v="1"/>
    <x v="6"/>
    <n v="0"/>
    <b v="1"/>
    <s v="a24UU0000045ZfbYAE"/>
    <s v="PY-01806703"/>
    <x v="30"/>
    <x v="30"/>
    <s v="Activated"/>
    <s v="ACCEPTED"/>
    <s v="Fee"/>
    <s v="Subscription"/>
    <s v="79.0"/>
    <s v="79.0"/>
    <s v="79.0"/>
    <s v="0.0"/>
    <s v="2026-03-18"/>
    <s v="2026-03-18T10:01:13.000Z"/>
    <m/>
    <m/>
    <s v="2026-03-18T10:01:13.000Z"/>
  </r>
  <r>
    <x v="1"/>
    <x v="26"/>
    <x v="1"/>
    <x v="18"/>
    <x v="12"/>
    <x v="14"/>
    <n v="1"/>
    <x v="6"/>
    <n v="0"/>
    <b v="1"/>
    <s v="a24UU000004IcB3YAK"/>
    <s v="PY-01819415"/>
    <x v="30"/>
    <x v="30"/>
    <s v="Activated"/>
    <s v="ACCEPTED"/>
    <s v="Fee"/>
    <s v="Subscription"/>
    <s v="79.0"/>
    <s v="79.0"/>
    <s v="79.0"/>
    <s v="0.0"/>
    <s v="2026-04-17"/>
    <s v="2026-04-17T10:03:01.000Z"/>
    <m/>
    <m/>
    <s v="2026-04-17T10:03:01.000Z"/>
  </r>
  <r>
    <x v="1"/>
    <x v="26"/>
    <x v="1"/>
    <x v="18"/>
    <x v="12"/>
    <x v="14"/>
    <n v="1"/>
    <x v="6"/>
    <n v="0"/>
    <b v="1"/>
    <s v="a24UU000004WsarYAC"/>
    <s v="PY-01837019"/>
    <x v="30"/>
    <x v="30"/>
    <s v="Activated"/>
    <s v="ACCEPTED"/>
    <s v="Late payment fee"/>
    <s v="Fee"/>
    <s v="104.0"/>
    <s v="104.0"/>
    <s v="79.0"/>
    <s v="25.0"/>
    <s v="2026-05-22"/>
    <s v="2026-05-19T20:10:12.000Z"/>
    <m/>
    <s v="a24UU000004VzZbYAK"/>
    <s v="2026-05-19T20:10:12.000Z"/>
  </r>
  <r>
    <x v="1"/>
    <x v="26"/>
    <x v="1"/>
    <x v="18"/>
    <x v="12"/>
    <x v="14"/>
    <n v="1"/>
    <x v="6"/>
    <n v="0"/>
    <b v="1"/>
    <s v="a24UU000004ow8GYAQ"/>
    <s v="PY-01859925"/>
    <x v="30"/>
    <x v="30"/>
    <s v="Activated"/>
    <s v="ACCEPTED"/>
    <s v="Fee"/>
    <s v="Subscription"/>
    <s v="79.0"/>
    <s v="79.0"/>
    <s v="79.0"/>
    <s v="0.0"/>
    <s v="2026-06-30"/>
    <s v="2026-06-30T10:00:58.000Z"/>
    <m/>
    <m/>
    <s v="2026-06-30T10:00:58.000Z"/>
  </r>
  <r>
    <x v="2"/>
    <x v="27"/>
    <x v="1"/>
    <x v="19"/>
    <x v="12"/>
    <x v="15"/>
    <n v="1"/>
    <x v="1"/>
    <n v="1"/>
    <b v="1"/>
    <s v="a24UU000003Wq8DYAS"/>
    <s v="PY-01772241"/>
    <x v="31"/>
    <x v="31"/>
    <s v="Activated"/>
    <s v="ACCEPTED"/>
    <s v="AC"/>
    <s v="AC"/>
    <s v="25.0"/>
    <s v="25.0"/>
    <s v="25.0"/>
    <s v="0.0"/>
    <s v="2025-12-30"/>
    <s v="2025-12-30T17:22:09.000Z"/>
    <m/>
    <m/>
    <s v="2025-12-30T17:22:09.000Z"/>
  </r>
  <r>
    <x v="1"/>
    <x v="27"/>
    <x v="1"/>
    <x v="19"/>
    <x v="12"/>
    <x v="15"/>
    <n v="1"/>
    <x v="1"/>
    <n v="1"/>
    <b v="1"/>
    <s v="a24UU000003amBGYAY"/>
    <s v="PY-01776596"/>
    <x v="31"/>
    <x v="31"/>
    <s v="Activated"/>
    <s v="ACCEPTED"/>
    <s v="Fee"/>
    <s v="Subscription"/>
    <s v="99.0"/>
    <s v="99.0"/>
    <s v="99.0"/>
    <s v="0.0"/>
    <s v="2026-01-09"/>
    <s v="2026-01-09T10:15:56.000Z"/>
    <m/>
    <m/>
    <s v="2026-01-09T10:15:56.000Z"/>
  </r>
  <r>
    <x v="1"/>
    <x v="27"/>
    <x v="1"/>
    <x v="19"/>
    <x v="12"/>
    <x v="15"/>
    <n v="1"/>
    <x v="1"/>
    <n v="1"/>
    <b v="1"/>
    <s v="a24UU000003oU9FYAU"/>
    <s v="PY-01791524"/>
    <x v="31"/>
    <x v="31"/>
    <s v="Activated"/>
    <s v="ACCEPTED"/>
    <s v="Fee"/>
    <s v="Subscription"/>
    <s v="99.0"/>
    <s v="99.0"/>
    <s v="99.0"/>
    <s v="0.0"/>
    <s v="2026-02-09"/>
    <s v="2026-02-09T10:10:24.000Z"/>
    <m/>
    <m/>
    <s v="2026-02-09T10:10:24.000Z"/>
  </r>
  <r>
    <x v="1"/>
    <x v="27"/>
    <x v="1"/>
    <x v="19"/>
    <x v="12"/>
    <x v="15"/>
    <n v="1"/>
    <x v="1"/>
    <n v="1"/>
    <b v="1"/>
    <s v="a24UU0000041HZBYA2"/>
    <s v="PY-01802873"/>
    <x v="31"/>
    <x v="31"/>
    <s v="Activated"/>
    <s v="ACCEPTED"/>
    <s v="Fee"/>
    <s v="Subscription"/>
    <s v="99.0"/>
    <s v="99.0"/>
    <s v="99.0"/>
    <s v="0.0"/>
    <s v="2026-03-09"/>
    <s v="2026-03-09T10:04:49.000Z"/>
    <m/>
    <m/>
    <s v="2026-03-09T10:04:49.000Z"/>
  </r>
  <r>
    <x v="1"/>
    <x v="27"/>
    <x v="1"/>
    <x v="19"/>
    <x v="12"/>
    <x v="15"/>
    <n v="1"/>
    <x v="1"/>
    <n v="1"/>
    <b v="1"/>
    <s v="a24UU000004F6vdYAC"/>
    <s v="PY-01815416"/>
    <x v="31"/>
    <x v="31"/>
    <s v="Activated"/>
    <s v="ACCEPTED"/>
    <s v="Fee"/>
    <s v="Subscription"/>
    <s v="99.0"/>
    <s v="99.0"/>
    <s v="99.0"/>
    <s v="0.0"/>
    <s v="2026-04-09"/>
    <s v="2026-04-09T10:02:59.000Z"/>
    <m/>
    <m/>
    <s v="2026-04-09T10:02:59.000Z"/>
  </r>
  <r>
    <x v="1"/>
    <x v="27"/>
    <x v="1"/>
    <x v="19"/>
    <x v="12"/>
    <x v="15"/>
    <n v="1"/>
    <x v="1"/>
    <n v="1"/>
    <b v="1"/>
    <s v="a24UU000004S0VqYAK"/>
    <s v="PY-01830488"/>
    <x v="31"/>
    <x v="31"/>
    <s v="Activated"/>
    <s v="ACCEPTED"/>
    <s v="Fee"/>
    <s v="Subscription"/>
    <s v="99.0"/>
    <s v="99.0"/>
    <s v="99.0"/>
    <s v="0.0"/>
    <s v="2026-05-08"/>
    <s v="2026-05-08T10:03:40.000Z"/>
    <m/>
    <m/>
    <s v="2026-05-08T10:03:40.000Z"/>
  </r>
  <r>
    <x v="0"/>
    <x v="28"/>
    <x v="1"/>
    <x v="20"/>
    <x v="14"/>
    <x v="16"/>
    <n v="1"/>
    <x v="1"/>
    <n v="1"/>
    <b v="1"/>
    <s v="a24UU000003XqcPYAS"/>
    <s v="PY-01773968"/>
    <x v="32"/>
    <x v="32"/>
    <s v="Activated"/>
    <s v="ACCEPTED"/>
    <s v="AC"/>
    <s v="AC"/>
    <s v="99.0"/>
    <s v="99.0"/>
    <s v="99.0"/>
    <s v="0.0"/>
    <s v="2026-01-02"/>
    <s v="2026-01-02T20:11:49.000Z"/>
    <m/>
    <m/>
    <s v="2026-01-02T20:11:49.000Z"/>
  </r>
  <r>
    <x v="1"/>
    <x v="28"/>
    <x v="1"/>
    <x v="20"/>
    <x v="14"/>
    <x v="16"/>
    <n v="1"/>
    <x v="1"/>
    <n v="1"/>
    <b v="1"/>
    <s v="a24UU000003oUywYAE"/>
    <s v="PY-01791955"/>
    <x v="32"/>
    <x v="32"/>
    <s v="Activated"/>
    <s v="ACCEPTED"/>
    <s v="Late payment fee"/>
    <s v="Fee"/>
    <s v="124.0"/>
    <s v="124.0"/>
    <s v="99.0"/>
    <s v="25.0"/>
    <s v="2026-02-09"/>
    <s v="2026-02-09T10:19:19.000Z"/>
    <m/>
    <s v="a24UU000003nRTiYAM"/>
    <s v="2026-02-09T10:19:19.000Z"/>
  </r>
  <r>
    <x v="1"/>
    <x v="28"/>
    <x v="1"/>
    <x v="20"/>
    <x v="14"/>
    <x v="16"/>
    <n v="1"/>
    <x v="1"/>
    <n v="1"/>
    <b v="1"/>
    <s v="a24UU0000040NAPYA2"/>
    <s v="PY-01802095"/>
    <x v="32"/>
    <x v="32"/>
    <s v="Activated"/>
    <s v="ACCEPTED"/>
    <s v="Fee"/>
    <s v="Subscription"/>
    <s v="99.0"/>
    <s v="99.0"/>
    <s v="99.0"/>
    <s v="0.0"/>
    <s v="2026-03-06"/>
    <s v="2026-03-06T10:06:01.000Z"/>
    <m/>
    <m/>
    <s v="2026-03-06T10:06:01.000Z"/>
  </r>
  <r>
    <x v="1"/>
    <x v="28"/>
    <x v="1"/>
    <x v="20"/>
    <x v="14"/>
    <x v="16"/>
    <n v="1"/>
    <x v="1"/>
    <n v="1"/>
    <b v="1"/>
    <s v="a24UU000004DcJhYAK"/>
    <s v="PY-01814509"/>
    <x v="32"/>
    <x v="32"/>
    <s v="Activated"/>
    <s v="ACCEPTED"/>
    <s v="Fee"/>
    <s v="Subscription"/>
    <s v="99.0"/>
    <s v="99.0"/>
    <s v="99.0"/>
    <s v="0.0"/>
    <s v="2026-04-06"/>
    <s v="2026-04-06T10:02:56.000Z"/>
    <m/>
    <m/>
    <s v="2026-04-06T10:02:56.000Z"/>
  </r>
  <r>
    <x v="1"/>
    <x v="28"/>
    <x v="1"/>
    <x v="20"/>
    <x v="14"/>
    <x v="16"/>
    <n v="1"/>
    <x v="1"/>
    <n v="1"/>
    <b v="1"/>
    <s v="a24UU000004QqS5YAK"/>
    <s v="PY-01829184"/>
    <x v="32"/>
    <x v="32"/>
    <s v="Activated"/>
    <s v="ACCEPTED"/>
    <s v="Fee"/>
    <s v="Subscription"/>
    <s v="99.0"/>
    <s v="99.0"/>
    <s v="99.0"/>
    <s v="0.0"/>
    <s v="2026-05-06"/>
    <s v="2026-05-06T10:00:39.000Z"/>
    <m/>
    <m/>
    <s v="2026-05-06T10:00:39.000Z"/>
  </r>
  <r>
    <x v="0"/>
    <x v="25"/>
    <x v="1"/>
    <x v="21"/>
    <x v="14"/>
    <x v="17"/>
    <n v="1"/>
    <x v="0"/>
    <n v="2"/>
    <b v="1"/>
    <s v="a24UU000003jwkYYAQ"/>
    <s v="PY-01787185"/>
    <x v="33"/>
    <x v="33"/>
    <s v="Activated"/>
    <s v="ACCEPTED"/>
    <s v="AC"/>
    <s v="AC"/>
    <s v="99.0"/>
    <s v="99.0"/>
    <s v="99.0"/>
    <s v="0.0"/>
    <s v="2026-01-30"/>
    <s v="2026-01-30T10:31:49.000Z"/>
    <m/>
    <m/>
    <s v="2026-01-30T10:31:49.000Z"/>
  </r>
  <r>
    <x v="1"/>
    <x v="25"/>
    <x v="1"/>
    <x v="21"/>
    <x v="14"/>
    <x v="17"/>
    <n v="1"/>
    <x v="0"/>
    <n v="2"/>
    <b v="1"/>
    <s v="a24UU000003x1JQYAY"/>
    <s v="PY-01799539"/>
    <x v="33"/>
    <x v="33"/>
    <s v="Activated"/>
    <s v="ACCEPTED"/>
    <s v="Fee"/>
    <s v="Subscription"/>
    <s v="99.0"/>
    <s v="99.0"/>
    <s v="99.0"/>
    <s v="0.0"/>
    <s v="2026-02-27"/>
    <s v="2026-02-27T10:18:17.000Z"/>
    <m/>
    <m/>
    <s v="2026-02-27T10:18:17.000Z"/>
  </r>
  <r>
    <x v="1"/>
    <x v="25"/>
    <x v="1"/>
    <x v="21"/>
    <x v="14"/>
    <x v="17"/>
    <n v="1"/>
    <x v="0"/>
    <n v="2"/>
    <b v="1"/>
    <s v="a24UU0000049lByYAI"/>
    <s v="PY-01810677"/>
    <x v="33"/>
    <x v="33"/>
    <s v="Activated"/>
    <s v="ACCEPTED"/>
    <s v="Fee"/>
    <s v="Subscription"/>
    <s v="99.0"/>
    <s v="99.0"/>
    <s v="99.0"/>
    <s v="0.0"/>
    <s v="2026-03-27"/>
    <s v="2026-03-27T10:08:42.000Z"/>
    <m/>
    <m/>
    <s v="2026-03-27T10:08:42.000Z"/>
  </r>
  <r>
    <x v="1"/>
    <x v="25"/>
    <x v="1"/>
    <x v="21"/>
    <x v="14"/>
    <x v="17"/>
    <n v="1"/>
    <x v="0"/>
    <n v="2"/>
    <b v="1"/>
    <s v="a24UU000004Mwj5YAC"/>
    <s v="PY-01824544"/>
    <x v="33"/>
    <x v="33"/>
    <s v="Activated"/>
    <s v="ACCEPTED"/>
    <s v="Fee"/>
    <s v="Subscription"/>
    <s v="99.0"/>
    <s v="99.0"/>
    <s v="99.0"/>
    <s v="0.0"/>
    <s v="2026-04-28"/>
    <s v="2026-04-28T10:01:31.000Z"/>
    <m/>
    <m/>
    <s v="2026-04-28T10:01:31.000Z"/>
  </r>
  <r>
    <x v="0"/>
    <x v="29"/>
    <x v="1"/>
    <x v="22"/>
    <x v="14"/>
    <x v="18"/>
    <n v="1"/>
    <x v="0"/>
    <n v="2"/>
    <b v="1"/>
    <s v="a24UU000003auBdYAI"/>
    <s v="PY-01776666"/>
    <x v="34"/>
    <x v="34"/>
    <s v="Activated"/>
    <s v="ACCEPTED"/>
    <s v="Late payment fee"/>
    <s v="AC"/>
    <s v="99.0"/>
    <s v="99.0"/>
    <s v="99.0"/>
    <s v="0.0"/>
    <s v="2026-01-12"/>
    <s v="2026-01-09T16:08:50.000Z"/>
    <m/>
    <s v="a24UU000003aQQTYA2"/>
    <s v="2026-01-09T16:08:50.000Z"/>
  </r>
  <r>
    <x v="1"/>
    <x v="29"/>
    <x v="1"/>
    <x v="22"/>
    <x v="14"/>
    <x v="18"/>
    <n v="1"/>
    <x v="0"/>
    <n v="2"/>
    <b v="1"/>
    <s v="a24UU000003zwoZYAQ"/>
    <s v="PY-01801774"/>
    <x v="34"/>
    <x v="34"/>
    <s v="Activated"/>
    <s v="ACCEPTED"/>
    <s v="Late payment fee"/>
    <s v="Fee"/>
    <s v="124.0"/>
    <s v="124.0"/>
    <s v="99.0"/>
    <s v="25.0"/>
    <s v="2026-03-06"/>
    <s v="2026-03-05T16:13:06.000Z"/>
    <m/>
    <s v="a24UU000003txAbYAI"/>
    <s v="2026-03-05T16:13:06.000Z"/>
  </r>
  <r>
    <x v="1"/>
    <x v="29"/>
    <x v="1"/>
    <x v="22"/>
    <x v="14"/>
    <x v="18"/>
    <n v="1"/>
    <x v="0"/>
    <n v="2"/>
    <b v="1"/>
    <s v="a24UU000004Ht93YAC"/>
    <s v="PY-01818388"/>
    <x v="34"/>
    <x v="34"/>
    <s v="Activated"/>
    <s v="ACCEPTED"/>
    <s v="Late payment fee"/>
    <s v="Fee"/>
    <s v="99.0"/>
    <s v="99.0"/>
    <s v="99.0"/>
    <s v="0.0"/>
    <s v="2026-04-17"/>
    <s v="2026-04-15T22:30:24.000Z"/>
    <m/>
    <s v="a24UU000004H3IYYA0"/>
    <s v="2026-04-15T22:30:24.000Z"/>
  </r>
  <r>
    <x v="1"/>
    <x v="29"/>
    <x v="1"/>
    <x v="22"/>
    <x v="14"/>
    <x v="18"/>
    <n v="1"/>
    <x v="0"/>
    <n v="2"/>
    <b v="1"/>
    <s v="a24UU000004TLBdYAO"/>
    <s v="PY-01832871"/>
    <x v="34"/>
    <x v="34"/>
    <s v="Activated"/>
    <s v="ACCEPTED"/>
    <s v="Fee"/>
    <s v="Subscription"/>
    <s v="99.0"/>
    <s v="99.0"/>
    <s v="99.0"/>
    <s v="0.0"/>
    <s v="2026-05-14"/>
    <s v="2026-05-11T21:59:57.000Z"/>
    <m/>
    <m/>
    <s v="2026-05-11T21:59:57.000Z"/>
  </r>
  <r>
    <x v="0"/>
    <x v="24"/>
    <x v="7"/>
    <x v="17"/>
    <x v="14"/>
    <x v="19"/>
    <n v="1"/>
    <x v="6"/>
    <n v="5"/>
    <b v="1"/>
    <s v="a24UU000003e4EVYAY"/>
    <s v="PY-01780028"/>
    <x v="35"/>
    <x v="35"/>
    <s v="Activated"/>
    <s v="ACCEPTED"/>
    <s v="AC"/>
    <s v="AC"/>
    <s v="149.5"/>
    <s v="149.5"/>
    <s v="149.5"/>
    <s v="0.0"/>
    <s v="2026-01-16"/>
    <s v="2026-01-16T10:18:36.000Z"/>
    <m/>
    <m/>
    <s v="2026-01-16T10:18:36.000Z"/>
  </r>
  <r>
    <x v="0"/>
    <x v="24"/>
    <x v="7"/>
    <x v="17"/>
    <x v="14"/>
    <x v="19"/>
    <n v="1"/>
    <x v="6"/>
    <n v="5"/>
    <b v="1"/>
    <s v="a24UU000003eavuYAA"/>
    <s v="PY-01780355"/>
    <x v="35"/>
    <x v="35"/>
    <s v="Activated"/>
    <s v="ACCEPTED"/>
    <s v="AC"/>
    <s v="AC"/>
    <s v="149.5"/>
    <s v="149.5"/>
    <s v="149.5"/>
    <s v="0.0"/>
    <s v="2026-01-16"/>
    <s v="2026-01-17T10:00:23.000Z"/>
    <m/>
    <m/>
    <s v="2026-01-17T10:00:23.000Z"/>
  </r>
  <r>
    <x v="0"/>
    <x v="24"/>
    <x v="7"/>
    <x v="17"/>
    <x v="14"/>
    <x v="19"/>
    <n v="1"/>
    <x v="6"/>
    <n v="5"/>
    <b v="1"/>
    <s v="a24UU000003f5S2YAI"/>
    <s v="PY-01781148"/>
    <x v="35"/>
    <x v="35"/>
    <s v="Activated"/>
    <s v="ACCEPTED"/>
    <s v="AC"/>
    <s v="AC"/>
    <s v="149.5"/>
    <s v="149.5"/>
    <s v="149.5"/>
    <s v="0.0"/>
    <s v="2026-01-19"/>
    <s v="2026-01-19T10:15:29.000Z"/>
    <m/>
    <m/>
    <s v="2026-01-19T10:15:29.000Z"/>
  </r>
  <r>
    <x v="0"/>
    <x v="24"/>
    <x v="7"/>
    <x v="17"/>
    <x v="14"/>
    <x v="19"/>
    <n v="1"/>
    <x v="6"/>
    <n v="5"/>
    <b v="1"/>
    <s v="a24UU000003gx5MYAQ"/>
    <s v="PY-01783609"/>
    <x v="35"/>
    <x v="35"/>
    <s v="Activated"/>
    <s v="ACCEPTED"/>
    <s v="Late payment fee"/>
    <s v="AC"/>
    <s v="174.5"/>
    <s v="174.5"/>
    <s v="149.5"/>
    <s v="25.0"/>
    <s v="2026-01-23"/>
    <s v="2026-01-23T10:21:46.000Z"/>
    <m/>
    <s v="a24UU000003fV9OYAU"/>
    <s v="2026-01-23T10:21:46.000Z"/>
  </r>
  <r>
    <x v="0"/>
    <x v="24"/>
    <x v="7"/>
    <x v="17"/>
    <x v="14"/>
    <x v="19"/>
    <n v="1"/>
    <x v="6"/>
    <n v="5"/>
    <b v="1"/>
    <s v="a24UU000003gxIGYAY"/>
    <s v="PY-01783619"/>
    <x v="35"/>
    <x v="35"/>
    <s v="Activated"/>
    <s v="ACCEPTED"/>
    <s v="Late payment fee"/>
    <s v="AC"/>
    <s v="174.5"/>
    <s v="174.5"/>
    <s v="149.5"/>
    <s v="25.0"/>
    <s v="2026-01-23"/>
    <s v="2026-01-23T10:21:57.000Z"/>
    <m/>
    <s v="a24UU000003ftICYAY"/>
    <s v="2026-01-23T10:21:57.000Z"/>
  </r>
  <r>
    <x v="0"/>
    <x v="24"/>
    <x v="7"/>
    <x v="17"/>
    <x v="14"/>
    <x v="19"/>
    <n v="1"/>
    <x v="6"/>
    <n v="5"/>
    <b v="1"/>
    <s v="a24UU000003gynsYAA"/>
    <s v="PY-01783630"/>
    <x v="35"/>
    <x v="35"/>
    <s v="Activated"/>
    <s v="ACCEPTED"/>
    <s v="Late payment fee"/>
    <s v="AC"/>
    <s v="174.5"/>
    <s v="174.5"/>
    <s v="149.5"/>
    <s v="25.0"/>
    <s v="2026-01-23"/>
    <s v="2026-01-23T10:22:09.000Z"/>
    <m/>
    <s v="a24UU000003gQcXYAU"/>
    <s v="2026-01-23T10:22:09.000Z"/>
  </r>
  <r>
    <x v="0"/>
    <x v="24"/>
    <x v="7"/>
    <x v="17"/>
    <x v="14"/>
    <x v="19"/>
    <n v="1"/>
    <x v="6"/>
    <n v="5"/>
    <b v="1"/>
    <s v="a24UU000003gyxQYAQ"/>
    <s v="PY-01783403"/>
    <x v="35"/>
    <x v="35"/>
    <s v="Activated"/>
    <s v="ACCEPTED"/>
    <s v="AC"/>
    <s v="AC"/>
    <s v="149.5"/>
    <s v="149.5"/>
    <s v="149.5"/>
    <s v="0.0"/>
    <s v="2026-01-19"/>
    <s v="2026-01-23T10:17:42.000Z"/>
    <m/>
    <m/>
    <s v="2026-01-23T10:17:42.000Z"/>
  </r>
  <r>
    <x v="0"/>
    <x v="24"/>
    <x v="7"/>
    <x v="17"/>
    <x v="14"/>
    <x v="19"/>
    <n v="1"/>
    <x v="6"/>
    <n v="5"/>
    <b v="1"/>
    <s v="a24UU000003gzLoYAI"/>
    <s v="PY-01783605"/>
    <x v="35"/>
    <x v="35"/>
    <s v="Activated"/>
    <s v="ACCEPTED"/>
    <s v="Late payment fee"/>
    <s v="AC"/>
    <s v="174.5"/>
    <s v="174.5"/>
    <s v="149.5"/>
    <s v="25.0"/>
    <s v="2026-01-23"/>
    <s v="2026-01-23T10:21:35.000Z"/>
    <m/>
    <s v="a24UU000003fQxjYAE"/>
    <s v="2026-01-23T10:21:35.000Z"/>
  </r>
  <r>
    <x v="0"/>
    <x v="24"/>
    <x v="7"/>
    <x v="17"/>
    <x v="14"/>
    <x v="19"/>
    <n v="1"/>
    <x v="6"/>
    <n v="5"/>
    <b v="1"/>
    <s v="a24UU000003hP81YAE"/>
    <s v="PY-01783695"/>
    <x v="35"/>
    <x v="35"/>
    <s v="Activated"/>
    <s v="ACCEPTED"/>
    <s v="AC"/>
    <s v="AC"/>
    <s v="149.5"/>
    <s v="149.5"/>
    <s v="149.5"/>
    <s v="0.0"/>
    <s v="2026-01-23"/>
    <s v="2026-01-24T10:00:56.000Z"/>
    <m/>
    <m/>
    <s v="2026-01-24T10:00:56.000Z"/>
  </r>
  <r>
    <x v="0"/>
    <x v="24"/>
    <x v="7"/>
    <x v="17"/>
    <x v="14"/>
    <x v="19"/>
    <n v="1"/>
    <x v="6"/>
    <n v="5"/>
    <b v="1"/>
    <s v="a24UU000003hPB8YAM"/>
    <s v="PY-01783697"/>
    <x v="35"/>
    <x v="35"/>
    <s v="Activated"/>
    <s v="ACCEPTED"/>
    <s v="Late payment fee"/>
    <s v="AC"/>
    <s v="174.5"/>
    <s v="174.5"/>
    <s v="149.5"/>
    <s v="25.0"/>
    <s v="2026-01-24"/>
    <s v="2026-01-24T10:01:16.000Z"/>
    <m/>
    <s v="a24UU000003fzQoYAI"/>
    <s v="2026-01-24T10:01:16.000Z"/>
  </r>
  <r>
    <x v="0"/>
    <x v="24"/>
    <x v="7"/>
    <x v="17"/>
    <x v="14"/>
    <x v="19"/>
    <s v=""/>
    <x v="6"/>
    <n v="5"/>
    <b v="1"/>
    <s v="a24UU000003ipgDYAQ"/>
    <s v="PY-01784953"/>
    <x v="35"/>
    <x v="35"/>
    <s v="Activated"/>
    <s v="REFUNDED"/>
    <s v="Late payment fee"/>
    <s v="AC"/>
    <s v="-174.5"/>
    <s v="-174.5"/>
    <s v="-149.5"/>
    <s v="-25.0"/>
    <s v="2026-01-24"/>
    <s v="2026-01-24T00:00:00.000Z"/>
    <s v="a24UU000003hPB8YAM"/>
    <s v="a24UU000003fzQoYAI"/>
    <s v="2026-01-28T10:52:13.000Z"/>
  </r>
  <r>
    <x v="0"/>
    <x v="24"/>
    <x v="7"/>
    <x v="17"/>
    <x v="14"/>
    <x v="19"/>
    <s v=""/>
    <x v="6"/>
    <n v="5"/>
    <b v="1"/>
    <s v="a24UU000003iphpYAA"/>
    <s v="PY-01784954"/>
    <x v="35"/>
    <x v="35"/>
    <s v="Activated"/>
    <s v="REFUNDED"/>
    <s v="Late payment fee"/>
    <s v="AC"/>
    <s v="-174.5"/>
    <s v="-174.5"/>
    <s v="-149.5"/>
    <s v="-25.0"/>
    <s v="2026-01-23"/>
    <s v="2026-01-23T00:00:00.000Z"/>
    <s v="a24UU000003gynsYAA"/>
    <s v="a24UU000003gQcXYAU"/>
    <s v="2026-01-28T10:54:15.000Z"/>
  </r>
  <r>
    <x v="0"/>
    <x v="24"/>
    <x v="7"/>
    <x v="17"/>
    <x v="14"/>
    <x v="19"/>
    <s v=""/>
    <x v="6"/>
    <n v="5"/>
    <b v="1"/>
    <s v="a24UU000003ipjRYAQ"/>
    <s v="PY-01784955"/>
    <x v="35"/>
    <x v="35"/>
    <s v="Activated"/>
    <s v="REFUNDED"/>
    <s v="Late payment fee"/>
    <s v="AC"/>
    <s v="-174.5"/>
    <s v="-174.5"/>
    <s v="-149.5"/>
    <s v="-25.0"/>
    <s v="2026-01-23"/>
    <s v="2026-01-23T00:00:00.000Z"/>
    <s v="a24UU000003gxIGYAY"/>
    <s v="a24UU000003ftICYAY"/>
    <s v="2026-01-28T10:56:17.000Z"/>
  </r>
  <r>
    <x v="0"/>
    <x v="24"/>
    <x v="7"/>
    <x v="17"/>
    <x v="14"/>
    <x v="19"/>
    <s v=""/>
    <x v="6"/>
    <n v="5"/>
    <b v="1"/>
    <s v="a24UU000003ipt7YAA"/>
    <s v="PY-01784956"/>
    <x v="35"/>
    <x v="35"/>
    <s v="Activated"/>
    <s v="REFUNDED"/>
    <s v="Late payment fee"/>
    <s v="AC"/>
    <s v="-174.5"/>
    <s v="-174.5"/>
    <s v="-149.5"/>
    <s v="-25.0"/>
    <s v="2026-01-23"/>
    <s v="2026-01-23T00:00:00.000Z"/>
    <s v="a24UU000003gx5MYAQ"/>
    <s v="a24UU000003fV9OYAU"/>
    <s v="2026-01-28T11:03:50.000Z"/>
  </r>
  <r>
    <x v="0"/>
    <x v="24"/>
    <x v="7"/>
    <x v="17"/>
    <x v="14"/>
    <x v="19"/>
    <s v=""/>
    <x v="6"/>
    <n v="5"/>
    <b v="1"/>
    <s v="a24UU000003ipujYAA"/>
    <s v="PY-01784957"/>
    <x v="35"/>
    <x v="35"/>
    <s v="Activated"/>
    <s v="REFUNDED"/>
    <s v="Late payment fee"/>
    <s v="AC"/>
    <s v="-174.5"/>
    <s v="-174.5"/>
    <s v="-149.5"/>
    <s v="-25.0"/>
    <s v="2026-01-23"/>
    <s v="2026-01-23T00:00:00.000Z"/>
    <s v="a24UU000003gzLoYAI"/>
    <s v="a24UU000003fQxjYAE"/>
    <s v="2026-01-28T11:04:38.000Z"/>
  </r>
  <r>
    <x v="0"/>
    <x v="24"/>
    <x v="7"/>
    <x v="17"/>
    <x v="14"/>
    <x v="19"/>
    <n v="1"/>
    <x v="6"/>
    <n v="5"/>
    <b v="1"/>
    <s v="a24UU000003ipwLYAQ"/>
    <s v="PY-01784958"/>
    <x v="35"/>
    <x v="35"/>
    <s v="Activated"/>
    <s v="ACCEPTED"/>
    <s v="AC"/>
    <s v="AC"/>
    <s v="-149.5"/>
    <s v="-149.5"/>
    <s v="-149.5"/>
    <s v="0.0"/>
    <s v="2026-01-19"/>
    <s v="2026-01-28T11:05:19.000Z"/>
    <s v="a24UU000003gyxQYAQ"/>
    <m/>
    <s v="2026-01-28T11:05:19.000Z"/>
  </r>
  <r>
    <x v="0"/>
    <x v="24"/>
    <x v="7"/>
    <x v="17"/>
    <x v="14"/>
    <x v="19"/>
    <s v=""/>
    <x v="6"/>
    <n v="5"/>
    <b v="1"/>
    <s v="a24UU000003ipxxYAA"/>
    <s v="PY-01784959"/>
    <x v="35"/>
    <x v="35"/>
    <s v="Activated"/>
    <s v="REFUNDED"/>
    <s v="AC"/>
    <s v="AC"/>
    <s v="-149.5"/>
    <s v="-149.5"/>
    <s v="-149.5"/>
    <s v="0.0"/>
    <s v="2026-01-19"/>
    <s v="2026-01-19T00:00:00.000Z"/>
    <s v="a24UU000003f5S2YAI"/>
    <m/>
    <s v="2026-01-28T11:06:03.000Z"/>
  </r>
  <r>
    <x v="0"/>
    <x v="24"/>
    <x v="7"/>
    <x v="17"/>
    <x v="14"/>
    <x v="19"/>
    <s v=""/>
    <x v="6"/>
    <n v="5"/>
    <b v="1"/>
    <s v="a24UU000003ipzZYAQ"/>
    <s v="PY-01784960"/>
    <x v="35"/>
    <x v="35"/>
    <s v="Activated"/>
    <s v="REFUNDED"/>
    <s v="AC"/>
    <s v="AC"/>
    <s v="-149.5"/>
    <s v="-149.5"/>
    <s v="-149.5"/>
    <s v="0.0"/>
    <s v="2026-01-16"/>
    <s v="2026-01-16T00:00:00.000Z"/>
    <s v="a24UU000003eavuYAA"/>
    <m/>
    <s v="2026-01-28T11:06:44.000Z"/>
  </r>
  <r>
    <x v="0"/>
    <x v="24"/>
    <x v="7"/>
    <x v="17"/>
    <x v="14"/>
    <x v="19"/>
    <s v=""/>
    <x v="6"/>
    <n v="5"/>
    <b v="1"/>
    <s v="a24UU000004ZrojYAC"/>
    <s v="PY-01840702"/>
    <x v="35"/>
    <x v="35"/>
    <s v="Activated"/>
    <s v="REFUNDED"/>
    <s v="AC"/>
    <s v="AC"/>
    <s v="-149.5"/>
    <s v="-149.5"/>
    <s v="-149.5"/>
    <s v="0.0"/>
    <s v="2026-01-23"/>
    <s v="2026-01-23T00:00:00.000Z"/>
    <s v="a24UU000003gyxQYAQ"/>
    <m/>
    <s v="2026-05-27T16:09:11.000Z"/>
  </r>
  <r>
    <x v="0"/>
    <x v="24"/>
    <x v="7"/>
    <x v="17"/>
    <x v="14"/>
    <x v="19"/>
    <s v=""/>
    <x v="6"/>
    <n v="5"/>
    <b v="1"/>
    <s v="a24UU000004k61hYAA"/>
    <s v="PY-01854009"/>
    <x v="35"/>
    <x v="35"/>
    <s v="Activated"/>
    <s v="REFUNDED"/>
    <s v="AC"/>
    <s v="AC"/>
    <s v="-149.5"/>
    <s v="-149.5"/>
    <s v="-149.5"/>
    <s v="0.0"/>
    <s v="2026-01-16"/>
    <s v="2026-01-16T00:00:00.000Z"/>
    <s v="a24UU000003e4EVYAY"/>
    <m/>
    <s v="2026-06-18T23:08:57.000Z"/>
  </r>
  <r>
    <x v="0"/>
    <x v="30"/>
    <x v="8"/>
    <x v="17"/>
    <x v="14"/>
    <x v="13"/>
    <n v="1"/>
    <x v="0"/>
    <n v="2"/>
    <b v="1"/>
    <s v="a24UU000003d989YAA"/>
    <s v="PY-01778038"/>
    <x v="36"/>
    <x v="36"/>
    <s v="Activated"/>
    <s v="ACCEPTED"/>
    <s v="AC"/>
    <s v="AC"/>
    <s v="49.5"/>
    <s v="49.5"/>
    <s v="49.5"/>
    <s v="0.0"/>
    <s v="2026-01-14"/>
    <s v="2026-01-14T19:12:17.000Z"/>
    <m/>
    <m/>
    <s v="2026-01-14T19:12:17.000Z"/>
  </r>
  <r>
    <x v="0"/>
    <x v="30"/>
    <x v="8"/>
    <x v="17"/>
    <x v="14"/>
    <x v="13"/>
    <n v="1"/>
    <x v="0"/>
    <n v="2"/>
    <b v="1"/>
    <s v="a24UU000003gz2MYAQ"/>
    <s v="PY-01783439"/>
    <x v="36"/>
    <x v="36"/>
    <s v="Activated"/>
    <s v="ACCEPTED"/>
    <s v="AC"/>
    <s v="AC"/>
    <s v="49.5"/>
    <s v="49.5"/>
    <s v="49.5"/>
    <s v="0.0"/>
    <s v="2026-01-23"/>
    <s v="2026-01-23T10:18:30.000Z"/>
    <m/>
    <m/>
    <s v="2026-01-23T10:18:30.000Z"/>
  </r>
  <r>
    <x v="1"/>
    <x v="30"/>
    <x v="8"/>
    <x v="17"/>
    <x v="14"/>
    <x v="13"/>
    <n v="1"/>
    <x v="0"/>
    <n v="2"/>
    <b v="1"/>
    <s v="a24UU000003x185YAA"/>
    <s v="PY-01799388"/>
    <x v="36"/>
    <x v="36"/>
    <s v="Activated"/>
    <s v="ACCEPTED"/>
    <s v="Fee"/>
    <s v="Subscription"/>
    <s v="99.0"/>
    <s v="99.0"/>
    <s v="99.0"/>
    <s v="0.0"/>
    <s v="2026-02-27"/>
    <s v="2026-02-27T10:15:21.000Z"/>
    <m/>
    <m/>
    <s v="2026-02-27T10:15:21.000Z"/>
  </r>
  <r>
    <x v="1"/>
    <x v="30"/>
    <x v="8"/>
    <x v="17"/>
    <x v="14"/>
    <x v="13"/>
    <n v="1"/>
    <x v="0"/>
    <n v="2"/>
    <b v="1"/>
    <s v="a24UU000004AjUyYAK"/>
    <s v="PY-01811800"/>
    <x v="36"/>
    <x v="36"/>
    <s v="Activated"/>
    <s v="ACCEPTED"/>
    <s v="Fee"/>
    <s v="Subscription"/>
    <s v="99.0"/>
    <s v="99.0"/>
    <s v="99.0"/>
    <s v="0.0"/>
    <s v="2026-03-30"/>
    <s v="2026-03-30T10:14:05.000Z"/>
    <m/>
    <m/>
    <s v="2026-03-30T10:14:05.000Z"/>
  </r>
  <r>
    <x v="1"/>
    <x v="30"/>
    <x v="8"/>
    <x v="17"/>
    <x v="14"/>
    <x v="13"/>
    <n v="1"/>
    <x v="0"/>
    <n v="2"/>
    <b v="1"/>
    <s v="a24UU000004S2W5YAK"/>
    <s v="PY-01831360"/>
    <x v="36"/>
    <x v="36"/>
    <s v="Activated"/>
    <s v="ACCEPTED"/>
    <s v="Late payment fee"/>
    <s v="Fee"/>
    <s v="124.0"/>
    <s v="124.0"/>
    <s v="99.0"/>
    <s v="25.0"/>
    <s v="2026-05-08"/>
    <s v="2026-05-08T10:21:55.000Z"/>
    <m/>
    <s v="a24UU000004O0fhYAC"/>
    <s v="2026-05-08T10:21:55.000Z"/>
  </r>
  <r>
    <x v="0"/>
    <x v="31"/>
    <x v="1"/>
    <x v="23"/>
    <x v="14"/>
    <x v="20"/>
    <n v="1"/>
    <x v="3"/>
    <n v="4"/>
    <b v="1"/>
    <s v="a24UU000003wWNiYAM"/>
    <s v="PY-01798065"/>
    <x v="37"/>
    <x v="37"/>
    <s v="Activated"/>
    <s v="ACCEPTED"/>
    <s v="Late payment fee"/>
    <s v="AC"/>
    <s v="124.0"/>
    <s v="124.0"/>
    <s v="99.0"/>
    <s v="25.0"/>
    <s v="2026-02-26"/>
    <s v="2026-02-26T10:07:58.000Z"/>
    <m/>
    <s v="a24UU000003ftJqYAI"/>
    <s v="2026-02-26T10:07:58.000Z"/>
  </r>
  <r>
    <x v="1"/>
    <x v="31"/>
    <x v="1"/>
    <x v="23"/>
    <x v="14"/>
    <x v="20"/>
    <n v="1"/>
    <x v="3"/>
    <n v="4"/>
    <b v="1"/>
    <s v="a24UU0000043rlRYAQ"/>
    <s v="PY-01805574"/>
    <x v="37"/>
    <x v="37"/>
    <s v="Activated"/>
    <s v="ACCEPTED"/>
    <s v="Fee"/>
    <s v="Subscription"/>
    <s v="99.0"/>
    <s v="99.0"/>
    <s v="99.0"/>
    <s v="0.0"/>
    <s v="2026-03-25"/>
    <s v="2026-03-13T23:15:37.000Z"/>
    <m/>
    <m/>
    <s v="2026-03-13T23:15:37.000Z"/>
  </r>
  <r>
    <x v="0"/>
    <x v="32"/>
    <x v="9"/>
    <x v="21"/>
    <x v="14"/>
    <x v="21"/>
    <n v="1"/>
    <x v="1"/>
    <n v="1"/>
    <b v="1"/>
    <s v="a24UU000003dkUHYAY"/>
    <s v="PY-01779178"/>
    <x v="38"/>
    <x v="38"/>
    <s v="Activated"/>
    <s v="ACCEPTED"/>
    <s v="AC"/>
    <s v="AC"/>
    <s v="49.5"/>
    <s v="49.5"/>
    <s v="49.5"/>
    <s v="0.0"/>
    <s v="2026-01-15"/>
    <s v="2026-01-15T19:22:40.000Z"/>
    <m/>
    <m/>
    <s v="2026-01-15T19:22:40.000Z"/>
  </r>
  <r>
    <x v="0"/>
    <x v="32"/>
    <x v="9"/>
    <x v="21"/>
    <x v="14"/>
    <x v="21"/>
    <n v="1"/>
    <x v="1"/>
    <n v="1"/>
    <b v="1"/>
    <s v="a24UU000003hr93YAA"/>
    <s v="PY-01784631"/>
    <x v="38"/>
    <x v="38"/>
    <s v="Activated"/>
    <s v="ACCEPTED"/>
    <s v="AC"/>
    <s v="AC"/>
    <s v="49.5"/>
    <s v="49.5"/>
    <s v="49.5"/>
    <s v="0.0"/>
    <s v="2026-01-26"/>
    <s v="2026-01-26T10:19:59.000Z"/>
    <m/>
    <m/>
    <s v="2026-01-26T10:19:59.000Z"/>
  </r>
  <r>
    <x v="1"/>
    <x v="32"/>
    <x v="9"/>
    <x v="21"/>
    <x v="14"/>
    <x v="21"/>
    <n v="1"/>
    <x v="1"/>
    <n v="1"/>
    <b v="1"/>
    <s v="a24UU000003x1D3YAI"/>
    <s v="PY-01799419"/>
    <x v="38"/>
    <x v="38"/>
    <s v="Activated"/>
    <s v="ACCEPTED"/>
    <s v="Fee"/>
    <s v="Subscription"/>
    <s v="99.0"/>
    <s v="99.0"/>
    <s v="99.0"/>
    <s v="0.0"/>
    <s v="2026-02-27"/>
    <s v="2026-02-27T10:16:03.000Z"/>
    <m/>
    <m/>
    <s v="2026-02-27T10:16:03.000Z"/>
  </r>
  <r>
    <x v="1"/>
    <x v="32"/>
    <x v="9"/>
    <x v="21"/>
    <x v="14"/>
    <x v="21"/>
    <n v="1"/>
    <x v="1"/>
    <n v="1"/>
    <b v="1"/>
    <s v="a24UU000004Akc8YAC"/>
    <s v="PY-01811819"/>
    <x v="38"/>
    <x v="38"/>
    <s v="Activated"/>
    <s v="ACCEPTED"/>
    <s v="Fee"/>
    <s v="Subscription"/>
    <s v="99.0"/>
    <s v="99.0"/>
    <s v="99.0"/>
    <s v="0.0"/>
    <s v="2026-03-30"/>
    <s v="2026-03-30T10:14:25.000Z"/>
    <m/>
    <m/>
    <s v="2026-03-30T10:14:25.000Z"/>
  </r>
  <r>
    <x v="1"/>
    <x v="32"/>
    <x v="9"/>
    <x v="21"/>
    <x v="14"/>
    <x v="21"/>
    <n v="1"/>
    <x v="1"/>
    <n v="1"/>
    <b v="1"/>
    <s v="a24UU000004O0hRYAS"/>
    <s v="PY-01825546"/>
    <x v="38"/>
    <x v="38"/>
    <s v="Activated"/>
    <s v="ACCEPTED"/>
    <s v="Fee"/>
    <s v="Subscription"/>
    <s v="99.0"/>
    <s v="99.0"/>
    <s v="99.0"/>
    <s v="0.0"/>
    <s v="2026-04-30"/>
    <s v="2026-04-30T10:13:02.000Z"/>
    <m/>
    <m/>
    <s v="2026-04-30T10:13:02.000Z"/>
  </r>
  <r>
    <x v="1"/>
    <x v="32"/>
    <x v="9"/>
    <x v="21"/>
    <x v="14"/>
    <x v="21"/>
    <n v="1"/>
    <x v="1"/>
    <n v="1"/>
    <b v="1"/>
    <s v="a24UU000004ow8IYAQ"/>
    <s v="PY-01859927"/>
    <x v="38"/>
    <x v="38"/>
    <s v="Activated"/>
    <s v="ACCEPTED"/>
    <s v="Fee"/>
    <s v="Subscription"/>
    <s v="99.0"/>
    <s v="99.0"/>
    <s v="99.0"/>
    <s v="0.0"/>
    <s v="2026-06-30"/>
    <s v="2026-06-30T10:00:58.000Z"/>
    <m/>
    <m/>
    <s v="2026-06-30T10:00:58.000Z"/>
  </r>
  <r>
    <x v="0"/>
    <x v="25"/>
    <x v="10"/>
    <x v="24"/>
    <x v="13"/>
    <x v="0"/>
    <n v="1"/>
    <x v="0"/>
    <n v="2"/>
    <b v="1"/>
    <s v="a24UU000003k1VdYAI"/>
    <s v="PY-01787330"/>
    <x v="39"/>
    <x v="39"/>
    <s v="Activated"/>
    <s v="ACCEPTED"/>
    <s v="AC"/>
    <s v="AC"/>
    <s v="49.5"/>
    <s v="49.5"/>
    <s v="49.5"/>
    <s v="0.0"/>
    <s v="2026-01-30"/>
    <s v="2026-01-30T10:34:59.000Z"/>
    <m/>
    <m/>
    <s v="2026-01-30T10:34:59.000Z"/>
  </r>
  <r>
    <x v="0"/>
    <x v="25"/>
    <x v="10"/>
    <x v="24"/>
    <x v="13"/>
    <x v="0"/>
    <n v="1"/>
    <x v="0"/>
    <n v="2"/>
    <b v="1"/>
    <s v="a24UU000003qgkoYAA"/>
    <s v="PY-01793526"/>
    <x v="39"/>
    <x v="39"/>
    <s v="Activated"/>
    <s v="ACCEPTED"/>
    <s v="AC"/>
    <s v="AC"/>
    <s v="49.5"/>
    <s v="49.5"/>
    <s v="49.5"/>
    <s v="0.0"/>
    <s v="2026-02-13"/>
    <s v="2026-02-13T10:13:32.000Z"/>
    <m/>
    <m/>
    <s v="2026-02-13T10:13:32.000Z"/>
  </r>
  <r>
    <x v="1"/>
    <x v="25"/>
    <x v="10"/>
    <x v="24"/>
    <x v="13"/>
    <x v="0"/>
    <n v="1"/>
    <x v="0"/>
    <n v="2"/>
    <b v="1"/>
    <s v="a24UU000004CK0gYAG"/>
    <s v="PY-01813450"/>
    <x v="39"/>
    <x v="39"/>
    <s v="Activated"/>
    <s v="ACCEPTED"/>
    <s v="Late payment fee"/>
    <s v="Fee"/>
    <s v="124.0"/>
    <s v="124.0"/>
    <s v="99.0"/>
    <s v="25.0"/>
    <s v="2026-04-02"/>
    <s v="2026-04-02T10:16:31.000Z"/>
    <m/>
    <s v="a24UU000004Al54YAC"/>
    <s v="2026-04-02T10:16:31.000Z"/>
  </r>
  <r>
    <x v="1"/>
    <x v="25"/>
    <x v="10"/>
    <x v="24"/>
    <x v="13"/>
    <x v="0"/>
    <n v="1"/>
    <x v="0"/>
    <n v="2"/>
    <b v="1"/>
    <s v="a24UU000004O13xYAC"/>
    <s v="PY-01825656"/>
    <x v="39"/>
    <x v="39"/>
    <s v="Activated"/>
    <s v="ACCEPTED"/>
    <s v="Fee"/>
    <s v="Subscription"/>
    <s v="99.0"/>
    <s v="99.0"/>
    <s v="99.0"/>
    <s v="0.0"/>
    <s v="2026-04-30"/>
    <s v="2026-04-30T10:15:30.000Z"/>
    <m/>
    <m/>
    <s v="2026-04-30T10:15:30.000Z"/>
  </r>
  <r>
    <x v="0"/>
    <x v="33"/>
    <x v="1"/>
    <x v="21"/>
    <x v="14"/>
    <x v="17"/>
    <n v="1"/>
    <x v="0"/>
    <n v="2"/>
    <b v="1"/>
    <s v="a24UU000003jRx1YAE"/>
    <s v="PY-01785741"/>
    <x v="40"/>
    <x v="40"/>
    <s v="Activated"/>
    <s v="ACCEPTED"/>
    <s v="Late payment fee"/>
    <s v="AC"/>
    <s v="124.0"/>
    <s v="124.0"/>
    <s v="99.0"/>
    <s v="25.0"/>
    <s v="2026-01-29"/>
    <s v="2026-01-29T10:15:47.000Z"/>
    <m/>
    <s v="a24UU000003fQwIYAU"/>
    <s v="2026-01-29T10:15:47.000Z"/>
  </r>
  <r>
    <x v="1"/>
    <x v="33"/>
    <x v="1"/>
    <x v="21"/>
    <x v="14"/>
    <x v="17"/>
    <n v="1"/>
    <x v="0"/>
    <n v="2"/>
    <b v="1"/>
    <s v="a24UU000003zojAYAQ"/>
    <s v="PY-01801734"/>
    <x v="40"/>
    <x v="40"/>
    <s v="Activated"/>
    <s v="ACCEPTED"/>
    <s v="Late payment fee"/>
    <s v="Fee"/>
    <s v="124.0"/>
    <s v="124.0"/>
    <s v="99.0"/>
    <s v="25.0"/>
    <s v="2026-03-05"/>
    <s v="2026-03-05T10:14:53.000Z"/>
    <m/>
    <s v="a24UU000003x1BSYAY"/>
    <s v="2026-03-05T10:14:53.000Z"/>
  </r>
  <r>
    <x v="1"/>
    <x v="33"/>
    <x v="1"/>
    <x v="21"/>
    <x v="14"/>
    <x v="17"/>
    <n v="1"/>
    <x v="0"/>
    <n v="2"/>
    <b v="1"/>
    <s v="a24UU000004CJz6YAG"/>
    <s v="PY-01813442"/>
    <x v="40"/>
    <x v="40"/>
    <s v="Activated"/>
    <s v="ACCEPTED"/>
    <s v="Late payment fee"/>
    <s v="Fee"/>
    <s v="124.0"/>
    <s v="124.0"/>
    <s v="99.0"/>
    <s v="25.0"/>
    <s v="2026-04-02"/>
    <s v="2026-04-02T10:16:22.000Z"/>
    <m/>
    <s v="a24UU000004Aj85YAC"/>
    <s v="2026-04-02T10:16:22.000Z"/>
  </r>
  <r>
    <x v="1"/>
    <x v="33"/>
    <x v="1"/>
    <x v="21"/>
    <x v="14"/>
    <x v="17"/>
    <n v="1"/>
    <x v="0"/>
    <n v="2"/>
    <b v="1"/>
    <s v="a24UU000004Oi5tYAC"/>
    <s v="PY-01827515"/>
    <x v="40"/>
    <x v="40"/>
    <s v="Activated"/>
    <s v="ACCEPTED"/>
    <s v="Late payment fee"/>
    <s v="Fee"/>
    <s v="124.0"/>
    <s v="124.0"/>
    <s v="99.0"/>
    <s v="25.0"/>
    <s v="2026-05-01"/>
    <s v="2026-05-01T10:24:35.000Z"/>
    <m/>
    <s v="a24UU000004O0kXYAS"/>
    <s v="2026-05-01T10:24:35.000Z"/>
  </r>
  <r>
    <x v="0"/>
    <x v="34"/>
    <x v="1"/>
    <x v="23"/>
    <x v="14"/>
    <x v="22"/>
    <n v="1"/>
    <x v="4"/>
    <n v="3"/>
    <b v="1"/>
    <s v="a24UU000003ipI1YAI"/>
    <s v="PY-01784949"/>
    <x v="41"/>
    <x v="41"/>
    <s v="Activated"/>
    <s v="ACCEPTED"/>
    <s v="AC"/>
    <s v="AC"/>
    <s v="139.0"/>
    <s v="139.0"/>
    <s v="139.0"/>
    <s v="0.0"/>
    <s v="2026-01-28"/>
    <s v="2026-01-28T10:01:36.000Z"/>
    <m/>
    <m/>
    <s v="2026-01-28T10:01:36.000Z"/>
  </r>
  <r>
    <x v="1"/>
    <x v="34"/>
    <x v="1"/>
    <x v="23"/>
    <x v="14"/>
    <x v="22"/>
    <n v="1"/>
    <x v="4"/>
    <n v="3"/>
    <b v="1"/>
    <s v="a24UU000003vswQYAQ"/>
    <s v="PY-01797703"/>
    <x v="41"/>
    <x v="41"/>
    <s v="Activated"/>
    <s v="ACCEPTED"/>
    <s v="Fee"/>
    <s v="Subscription"/>
    <s v="139.0"/>
    <s v="139.0"/>
    <s v="139.0"/>
    <s v="0.0"/>
    <s v="2026-02-25"/>
    <s v="2026-02-25T10:01:54.000Z"/>
    <m/>
    <m/>
    <s v="2026-02-25T10:01:54.000Z"/>
  </r>
  <r>
    <x v="1"/>
    <x v="34"/>
    <x v="1"/>
    <x v="23"/>
    <x v="14"/>
    <x v="22"/>
    <n v="1"/>
    <x v="4"/>
    <n v="3"/>
    <b v="1"/>
    <s v="a24UU0000048htXYAQ"/>
    <s v="PY-01809287"/>
    <x v="41"/>
    <x v="41"/>
    <s v="Activated"/>
    <s v="ACCEPTED"/>
    <s v="Fee"/>
    <s v="Subscription"/>
    <s v="139.0"/>
    <s v="139.0"/>
    <s v="139.0"/>
    <s v="0.0"/>
    <s v="2026-03-25"/>
    <s v="2026-03-25T10:01:26.000Z"/>
    <m/>
    <m/>
    <s v="2026-03-25T10:01:26.000Z"/>
  </r>
  <r>
    <x v="0"/>
    <x v="35"/>
    <x v="1"/>
    <x v="17"/>
    <x v="14"/>
    <x v="13"/>
    <n v="1"/>
    <x v="0"/>
    <n v="2"/>
    <b v="1"/>
    <s v="a24UU000003iI2oYAE"/>
    <s v="PY-01784826"/>
    <x v="42"/>
    <x v="42"/>
    <s v="Activated"/>
    <s v="ACCEPTED"/>
    <s v="AC"/>
    <s v="AC"/>
    <s v="99.0"/>
    <s v="99.0"/>
    <s v="99.0"/>
    <s v="0.0"/>
    <s v="2026-01-27"/>
    <s v="2026-01-27T10:01:04.000Z"/>
    <m/>
    <m/>
    <s v="2026-01-27T10:01:04.000Z"/>
  </r>
  <r>
    <x v="1"/>
    <x v="35"/>
    <x v="1"/>
    <x v="17"/>
    <x v="14"/>
    <x v="13"/>
    <n v="1"/>
    <x v="0"/>
    <n v="2"/>
    <b v="1"/>
    <s v="a24UU0000043YnqYAE"/>
    <s v="PY-01805414"/>
    <x v="42"/>
    <x v="42"/>
    <s v="Activated"/>
    <s v="ACCEPTED"/>
    <s v="Late payment fee"/>
    <s v="Fee"/>
    <s v="124.0"/>
    <s v="124.0"/>
    <s v="99.0"/>
    <s v="25.0"/>
    <s v="2026-03-13"/>
    <s v="2026-03-13T10:18:10.000Z"/>
    <m/>
    <s v="a24UU000003wz6GYAQ"/>
    <s v="2026-03-13T10:18:10.000Z"/>
  </r>
  <r>
    <x v="1"/>
    <x v="35"/>
    <x v="1"/>
    <x v="17"/>
    <x v="14"/>
    <x v="13"/>
    <n v="1"/>
    <x v="0"/>
    <n v="2"/>
    <b v="1"/>
    <s v="a24UU000004GXkAYAW"/>
    <s v="PY-01817639"/>
    <x v="42"/>
    <x v="42"/>
    <s v="Activated"/>
    <s v="ACCEPTED"/>
    <s v="Late payment fee"/>
    <s v="Fee"/>
    <s v="124.0"/>
    <s v="124.0"/>
    <s v="99.0"/>
    <s v="25.0"/>
    <s v="2026-04-13"/>
    <s v="2026-04-13T10:12:31.000Z"/>
    <m/>
    <s v="a24UU0000049l3tYAA"/>
    <s v="2026-04-13T10:12:31.000Z"/>
  </r>
  <r>
    <x v="1"/>
    <x v="35"/>
    <x v="1"/>
    <x v="17"/>
    <x v="14"/>
    <x v="13"/>
    <n v="1"/>
    <x v="0"/>
    <n v="2"/>
    <b v="1"/>
    <s v="a24UU000004S2KlYAK"/>
    <s v="PY-01831218"/>
    <x v="42"/>
    <x v="42"/>
    <s v="Activated"/>
    <s v="ACCEPTED"/>
    <s v="Late payment fee"/>
    <s v="Fee"/>
    <s v="124.0"/>
    <s v="124.0"/>
    <s v="99.0"/>
    <s v="25.0"/>
    <s v="2026-05-08"/>
    <s v="2026-05-08T10:18:57.000Z"/>
    <m/>
    <s v="a24UU000004MQHjYAO"/>
    <s v="2026-05-08T10:18:57.000Z"/>
  </r>
  <r>
    <x v="0"/>
    <x v="25"/>
    <x v="1"/>
    <x v="21"/>
    <x v="14"/>
    <x v="17"/>
    <n v="1"/>
    <x v="0"/>
    <n v="2"/>
    <b v="1"/>
    <s v="a24UU000003jzydYAA"/>
    <s v="PY-01787382"/>
    <x v="43"/>
    <x v="43"/>
    <s v="Activated"/>
    <s v="ACCEPTED"/>
    <s v="AC"/>
    <s v="AC"/>
    <s v="99.0"/>
    <s v="99.0"/>
    <s v="99.0"/>
    <s v="0.0"/>
    <s v="2026-01-30"/>
    <s v="2026-01-30T10:36:06.000Z"/>
    <m/>
    <m/>
    <s v="2026-01-30T10:36:06.000Z"/>
  </r>
  <r>
    <x v="1"/>
    <x v="25"/>
    <x v="1"/>
    <x v="21"/>
    <x v="14"/>
    <x v="17"/>
    <n v="1"/>
    <x v="0"/>
    <n v="2"/>
    <b v="1"/>
    <s v="a24UU000003x1EwYAI"/>
    <s v="PY-01799502"/>
    <x v="43"/>
    <x v="43"/>
    <s v="Activated"/>
    <s v="ACCEPTED"/>
    <s v="Fee"/>
    <s v="Subscription"/>
    <s v="99.0"/>
    <s v="99.0"/>
    <s v="99.0"/>
    <s v="0.0"/>
    <s v="2026-02-27"/>
    <s v="2026-02-27T10:17:33.000Z"/>
    <m/>
    <m/>
    <s v="2026-02-27T10:17:33.000Z"/>
  </r>
  <r>
    <x v="1"/>
    <x v="25"/>
    <x v="1"/>
    <x v="21"/>
    <x v="14"/>
    <x v="17"/>
    <n v="1"/>
    <x v="0"/>
    <n v="2"/>
    <b v="1"/>
    <s v="a24UU0000049knvYAA"/>
    <s v="PY-01810660"/>
    <x v="43"/>
    <x v="43"/>
    <s v="Activated"/>
    <s v="ACCEPTED"/>
    <s v="Fee"/>
    <s v="Subscription"/>
    <s v="99.0"/>
    <s v="99.0"/>
    <s v="99.0"/>
    <s v="0.0"/>
    <s v="2026-03-27"/>
    <s v="2026-03-27T10:08:17.000Z"/>
    <m/>
    <m/>
    <s v="2026-03-27T10:08:17.000Z"/>
  </r>
  <r>
    <x v="1"/>
    <x v="25"/>
    <x v="1"/>
    <x v="21"/>
    <x v="14"/>
    <x v="17"/>
    <n v="1"/>
    <x v="0"/>
    <n v="2"/>
    <b v="1"/>
    <s v="a24UU000004Mwj3YAC"/>
    <s v="PY-01824542"/>
    <x v="43"/>
    <x v="43"/>
    <s v="Activated"/>
    <s v="ACCEPTED"/>
    <s v="Fee"/>
    <s v="Subscription"/>
    <s v="99.0"/>
    <s v="99.0"/>
    <s v="99.0"/>
    <s v="0.0"/>
    <s v="2026-04-28"/>
    <s v="2026-04-28T10:01:25.000Z"/>
    <m/>
    <m/>
    <s v="2026-04-28T10:01:25.000Z"/>
  </r>
  <r>
    <x v="0"/>
    <x v="36"/>
    <x v="11"/>
    <x v="25"/>
    <x v="13"/>
    <x v="11"/>
    <n v="1"/>
    <x v="1"/>
    <n v="1"/>
    <b v="1"/>
    <s v="a24UU000003htabYAA"/>
    <s v="PY-01784739"/>
    <x v="44"/>
    <x v="44"/>
    <s v="Activated"/>
    <s v="ACCEPTED"/>
    <s v="AC"/>
    <s v="AC"/>
    <s v="49.5"/>
    <s v="49.5"/>
    <s v="49.5"/>
    <s v="0.0"/>
    <s v="2026-01-26"/>
    <s v="2026-01-26T14:16:33.000Z"/>
    <m/>
    <m/>
    <s v="2026-01-26T14:16:33.000Z"/>
  </r>
  <r>
    <x v="0"/>
    <x v="36"/>
    <x v="11"/>
    <x v="25"/>
    <x v="13"/>
    <x v="11"/>
    <n v="1"/>
    <x v="1"/>
    <n v="1"/>
    <b v="1"/>
    <s v="a24UU000003qh0kYAA"/>
    <s v="PY-01793601"/>
    <x v="44"/>
    <x v="44"/>
    <s v="Activated"/>
    <s v="ACCEPTED"/>
    <s v="AC"/>
    <s v="AC"/>
    <s v="49.5"/>
    <s v="49.5"/>
    <s v="49.5"/>
    <s v="0.0"/>
    <s v="2026-02-13"/>
    <s v="2026-02-13T10:15:11.000Z"/>
    <m/>
    <m/>
    <s v="2026-02-13T10:15:11.000Z"/>
  </r>
  <r>
    <x v="1"/>
    <x v="36"/>
    <x v="11"/>
    <x v="25"/>
    <x v="13"/>
    <x v="11"/>
    <n v="1"/>
    <x v="1"/>
    <n v="1"/>
    <b v="1"/>
    <s v="a24UU0000043YRLYA2"/>
    <s v="PY-01805293"/>
    <x v="44"/>
    <x v="44"/>
    <s v="Activated"/>
    <s v="ACCEPTED"/>
    <s v="Fee"/>
    <s v="Subscription"/>
    <s v="99.0"/>
    <s v="99.0"/>
    <s v="99.0"/>
    <s v="0.0"/>
    <s v="2026-03-13"/>
    <s v="2026-03-13T10:15:19.000Z"/>
    <m/>
    <m/>
    <s v="2026-03-13T10:15:19.000Z"/>
  </r>
  <r>
    <x v="1"/>
    <x v="36"/>
    <x v="11"/>
    <x v="25"/>
    <x v="13"/>
    <x v="11"/>
    <n v="1"/>
    <x v="1"/>
    <n v="1"/>
    <b v="1"/>
    <s v="a24UU000004Hc8GYAS"/>
    <s v="PY-01818331"/>
    <x v="44"/>
    <x v="44"/>
    <s v="Activated"/>
    <s v="ACCEPTED"/>
    <s v="Fee"/>
    <s v="Subscription"/>
    <s v="99.0"/>
    <s v="99.0"/>
    <s v="99.0"/>
    <s v="0.0"/>
    <s v="2026-04-15"/>
    <s v="2026-04-15T10:06:12.000Z"/>
    <m/>
    <m/>
    <s v="2026-04-15T10:06:12.000Z"/>
  </r>
  <r>
    <x v="1"/>
    <x v="36"/>
    <x v="11"/>
    <x v="25"/>
    <x v="13"/>
    <x v="11"/>
    <n v="1"/>
    <x v="1"/>
    <n v="1"/>
    <b v="1"/>
    <s v="a24UU000004V3nJYAS"/>
    <s v="PY-01834718"/>
    <x v="44"/>
    <x v="44"/>
    <s v="Activated"/>
    <s v="ACCEPTED"/>
    <s v="Fee"/>
    <s v="Subscription"/>
    <s v="99.0"/>
    <s v="99.0"/>
    <s v="99.0"/>
    <s v="0.0"/>
    <s v="2026-05-15"/>
    <s v="2026-05-15T10:10:22.000Z"/>
    <m/>
    <m/>
    <s v="2026-05-15T10:10:22.000Z"/>
  </r>
  <r>
    <x v="0"/>
    <x v="25"/>
    <x v="1"/>
    <x v="21"/>
    <x v="14"/>
    <x v="21"/>
    <n v="1"/>
    <x v="1"/>
    <n v="1"/>
    <b v="1"/>
    <s v="a24UU000003re0tYAA"/>
    <s v="PY-01794522"/>
    <x v="45"/>
    <x v="45"/>
    <s v="Activated"/>
    <s v="ACCEPTED"/>
    <s v="Late payment fee"/>
    <s v="AC"/>
    <s v="124.0"/>
    <s v="124.0"/>
    <s v="99.0"/>
    <s v="25.0"/>
    <s v="2026-02-16"/>
    <s v="2026-02-16T10:11:28.000Z"/>
    <m/>
    <s v="a24UU000003k1h2YAA"/>
    <s v="2026-02-16T10:11:28.000Z"/>
  </r>
  <r>
    <x v="1"/>
    <x v="25"/>
    <x v="1"/>
    <x v="21"/>
    <x v="14"/>
    <x v="21"/>
    <n v="1"/>
    <x v="1"/>
    <n v="1"/>
    <b v="1"/>
    <s v="a24UU0000049YmXYAU"/>
    <s v="PY-01810300"/>
    <x v="45"/>
    <x v="45"/>
    <s v="Activated"/>
    <s v="ACCEPTED"/>
    <s v="Late payment fee"/>
    <s v="Fee"/>
    <s v="99.0"/>
    <s v="99.0"/>
    <s v="99.0"/>
    <s v="0.0"/>
    <s v="2026-03-26"/>
    <s v="2026-03-26T21:57:30.000Z"/>
    <m/>
    <s v="a24UU000003x1UjYAI"/>
    <s v="2026-03-26T21:57:30.000Z"/>
  </r>
  <r>
    <x v="1"/>
    <x v="25"/>
    <x v="1"/>
    <x v="21"/>
    <x v="14"/>
    <x v="21"/>
    <n v="1"/>
    <x v="1"/>
    <n v="1"/>
    <b v="1"/>
    <s v="a24UU000004aDSgYAM"/>
    <s v="PY-01841217"/>
    <x v="45"/>
    <x v="45"/>
    <s v="Activated"/>
    <s v="ACCEPTED"/>
    <s v="Late payment fee"/>
    <s v="Fee"/>
    <s v="124.0"/>
    <s v="124.0"/>
    <s v="99.0"/>
    <s v="25.0"/>
    <s v="2026-05-28"/>
    <s v="2026-05-28T10:09:44.000Z"/>
    <m/>
    <s v="a24UU000004NzLYYA0"/>
    <s v="2026-05-28T10:09:44.000Z"/>
  </r>
  <r>
    <x v="1"/>
    <x v="25"/>
    <x v="1"/>
    <x v="21"/>
    <x v="14"/>
    <x v="21"/>
    <n v="1"/>
    <x v="1"/>
    <n v="1"/>
    <b v="1"/>
    <s v="a24UU000004hCYiYAM"/>
    <s v="PY-01850622"/>
    <x v="45"/>
    <x v="45"/>
    <s v="Activated"/>
    <s v="ACCEPTED"/>
    <s v="Late payment fee"/>
    <s v="Fee"/>
    <s v="124.0"/>
    <s v="124.0"/>
    <s v="99.0"/>
    <s v="25.0"/>
    <s v="2026-06-12"/>
    <s v="2026-06-12T10:08:38.000Z"/>
    <m/>
    <s v="a24UU000004ajUAYAY"/>
    <s v="2026-06-12T10:08:38.000Z"/>
  </r>
  <r>
    <x v="1"/>
    <x v="25"/>
    <x v="1"/>
    <x v="21"/>
    <x v="14"/>
    <x v="21"/>
    <n v="1"/>
    <x v="1"/>
    <n v="1"/>
    <b v="1"/>
    <s v="a24UU000004ow9oYAA"/>
    <s v="PY-01859931"/>
    <x v="45"/>
    <x v="45"/>
    <s v="Activated"/>
    <s v="ACCEPTED"/>
    <s v="Fee"/>
    <s v="Subscription"/>
    <s v="99.0"/>
    <s v="99.0"/>
    <s v="99.0"/>
    <s v="0.0"/>
    <s v="2026-06-30"/>
    <s v="2026-06-30T10:01:18.000Z"/>
    <m/>
    <m/>
    <s v="2026-06-30T10:01:18.000Z"/>
  </r>
  <r>
    <x v="0"/>
    <x v="34"/>
    <x v="12"/>
    <x v="24"/>
    <x v="13"/>
    <x v="0"/>
    <n v="1"/>
    <x v="0"/>
    <n v="2"/>
    <b v="1"/>
    <s v="a24UU000003j75GYAQ"/>
    <s v="PY-01784978"/>
    <x v="46"/>
    <x v="46"/>
    <s v="Activated"/>
    <s v="ACCEPTED"/>
    <s v="AC"/>
    <s v="AC"/>
    <s v="49.5"/>
    <s v="49.5"/>
    <s v="49.5"/>
    <s v="0.0"/>
    <s v="2026-01-28"/>
    <s v="2026-01-28T19:12:47.000Z"/>
    <m/>
    <m/>
    <s v="2026-01-28T19:12:47.000Z"/>
  </r>
  <r>
    <x v="0"/>
    <x v="34"/>
    <x v="12"/>
    <x v="24"/>
    <x v="13"/>
    <x v="0"/>
    <n v="1"/>
    <x v="0"/>
    <n v="2"/>
    <b v="1"/>
    <s v="a24UU000003x1BOYAY"/>
    <s v="PY-01799436"/>
    <x v="46"/>
    <x v="46"/>
    <s v="Activated"/>
    <s v="ACCEPTED"/>
    <s v="AC"/>
    <s v="AC"/>
    <s v="49.5"/>
    <s v="49.5"/>
    <s v="49.5"/>
    <s v="0.0"/>
    <s v="2026-02-27"/>
    <s v="2026-02-27T10:16:25.000Z"/>
    <m/>
    <m/>
    <s v="2026-02-27T10:16:25.000Z"/>
  </r>
  <r>
    <x v="1"/>
    <x v="34"/>
    <x v="12"/>
    <x v="24"/>
    <x v="13"/>
    <x v="0"/>
    <n v="1"/>
    <x v="0"/>
    <n v="2"/>
    <b v="1"/>
    <s v="a24UU000004AlD9YAK"/>
    <s v="PY-01812088"/>
    <x v="46"/>
    <x v="46"/>
    <s v="Activated"/>
    <s v="ACCEPTED"/>
    <s v="Fee"/>
    <s v="Subscription"/>
    <s v="99.0"/>
    <s v="99.0"/>
    <s v="99.0"/>
    <s v="0.0"/>
    <s v="2026-03-30"/>
    <s v="2026-03-30T10:20:18.000Z"/>
    <m/>
    <m/>
    <s v="2026-03-30T10:20:18.000Z"/>
  </r>
  <r>
    <x v="1"/>
    <x v="34"/>
    <x v="12"/>
    <x v="24"/>
    <x v="13"/>
    <x v="0"/>
    <n v="1"/>
    <x v="0"/>
    <n v="2"/>
    <b v="1"/>
    <s v="a24UU000004O1FBYA0"/>
    <s v="PY-01825744"/>
    <x v="46"/>
    <x v="46"/>
    <s v="Activated"/>
    <s v="ACCEPTED"/>
    <s v="Fee"/>
    <s v="Subscription"/>
    <s v="99.0"/>
    <s v="99.0"/>
    <s v="99.0"/>
    <s v="0.0"/>
    <s v="2026-04-30"/>
    <s v="2026-04-30T10:17:44.000Z"/>
    <m/>
    <m/>
    <s v="2026-04-30T10:17:44.000Z"/>
  </r>
  <r>
    <x v="0"/>
    <x v="37"/>
    <x v="1"/>
    <x v="24"/>
    <x v="13"/>
    <x v="0"/>
    <n v="1"/>
    <x v="0"/>
    <n v="2"/>
    <b v="1"/>
    <s v="a24UU000003nUL8YAM"/>
    <s v="PY-01790902"/>
    <x v="47"/>
    <x v="47"/>
    <s v="Activated"/>
    <s v="ACCEPTED"/>
    <s v="AC"/>
    <s v="AC"/>
    <s v="99.0"/>
    <s v="99.0"/>
    <s v="99.0"/>
    <s v="0.0"/>
    <s v="2026-02-06"/>
    <s v="2026-02-06T10:20:17.000Z"/>
    <m/>
    <m/>
    <s v="2026-02-06T10:20:17.000Z"/>
  </r>
  <r>
    <x v="1"/>
    <x v="37"/>
    <x v="1"/>
    <x v="24"/>
    <x v="13"/>
    <x v="0"/>
    <n v="1"/>
    <x v="0"/>
    <n v="2"/>
    <b v="1"/>
    <s v="a24UU000004I72SYAS"/>
    <s v="PY-01819123"/>
    <x v="47"/>
    <x v="47"/>
    <s v="Activated"/>
    <s v="ACCEPTED"/>
    <s v="Late payment fee"/>
    <s v="Fee"/>
    <s v="124.0"/>
    <s v="124.0"/>
    <s v="99.0"/>
    <s v="25.0"/>
    <s v="2026-04-16"/>
    <s v="2026-04-16T10:12:40.000Z"/>
    <m/>
    <s v="a24UU0000049kxXYAQ"/>
    <s v="2026-04-16T10:12:40.000Z"/>
  </r>
  <r>
    <x v="1"/>
    <x v="37"/>
    <x v="1"/>
    <x v="24"/>
    <x v="13"/>
    <x v="0"/>
    <n v="1"/>
    <x v="0"/>
    <n v="2"/>
    <b v="1"/>
    <s v="a24UU000004mmpfYAA"/>
    <s v="PY-01856974"/>
    <x v="47"/>
    <x v="47"/>
    <s v="Activated"/>
    <s v="ACCEPTED"/>
    <s v="Late payment fee"/>
    <s v="Fee"/>
    <s v="124.0"/>
    <s v="124.0"/>
    <s v="99.0"/>
    <s v="25.0"/>
    <s v="2026-06-25"/>
    <s v="2026-06-25T10:09:00.000Z"/>
    <m/>
    <s v="a24UU000004iuPBYAY"/>
    <s v="2026-06-25T10:09:00.000Z"/>
  </r>
  <r>
    <x v="0"/>
    <x v="38"/>
    <x v="1"/>
    <x v="26"/>
    <x v="13"/>
    <x v="23"/>
    <n v="1"/>
    <x v="1"/>
    <n v="1"/>
    <b v="1"/>
    <s v="a24UU000003u8E5YAI"/>
    <s v="PY-01796688"/>
    <x v="48"/>
    <x v="48"/>
    <s v="Activated"/>
    <s v="ACCEPTED"/>
    <s v="Late payment fee"/>
    <s v="AC"/>
    <s v="199.0"/>
    <s v="199.0"/>
    <s v="199.0"/>
    <s v="0.0"/>
    <s v="2026-02-23"/>
    <s v="2026-02-20T20:29:46.000Z"/>
    <m/>
    <s v="a24UU000003tsnjYAA"/>
    <s v="2026-02-20T20:29:46.000Z"/>
  </r>
  <r>
    <x v="1"/>
    <x v="38"/>
    <x v="1"/>
    <x v="26"/>
    <x v="13"/>
    <x v="23"/>
    <n v="1"/>
    <x v="1"/>
    <n v="1"/>
    <b v="1"/>
    <s v="a24UU0000041pkbYAA"/>
    <s v="PY-01803440"/>
    <x v="48"/>
    <x v="48"/>
    <s v="Activated"/>
    <s v="ACCEPTED"/>
    <s v="Fee"/>
    <s v="Subscription"/>
    <s v="79.0"/>
    <s v="79.0"/>
    <s v="79.0"/>
    <s v="0.0"/>
    <s v="2026-03-10"/>
    <s v="2026-03-10T10:01:32.000Z"/>
    <m/>
    <m/>
    <s v="2026-03-10T10:01:32.000Z"/>
  </r>
  <r>
    <x v="1"/>
    <x v="38"/>
    <x v="1"/>
    <x v="26"/>
    <x v="13"/>
    <x v="23"/>
    <n v="1"/>
    <x v="1"/>
    <n v="1"/>
    <b v="1"/>
    <s v="a24UU000004FatnYAC"/>
    <s v="PY-01816532"/>
    <x v="48"/>
    <x v="48"/>
    <s v="Activated"/>
    <s v="ACCEPTED"/>
    <s v="Fee"/>
    <s v="Subscription"/>
    <s v="79.0"/>
    <s v="79.0"/>
    <s v="79.0"/>
    <s v="0.0"/>
    <s v="2026-04-10"/>
    <s v="2026-04-10T10:09:06.000Z"/>
    <m/>
    <m/>
    <s v="2026-04-10T10:09:06.000Z"/>
  </r>
  <r>
    <x v="1"/>
    <x v="38"/>
    <x v="1"/>
    <x v="26"/>
    <x v="13"/>
    <x v="23"/>
    <n v="1"/>
    <x v="1"/>
    <n v="1"/>
    <b v="1"/>
    <s v="a24UU000004T0ASYA0"/>
    <s v="PY-01832686"/>
    <x v="48"/>
    <x v="48"/>
    <s v="Activated"/>
    <s v="ACCEPTED"/>
    <s v="Late payment fee"/>
    <s v="Fee"/>
    <s v="104.0"/>
    <s v="104.0"/>
    <s v="79.0"/>
    <s v="25.0"/>
    <s v="2026-05-11"/>
    <s v="2026-05-11T10:21:12.000Z"/>
    <m/>
    <s v="a24UU000004S1GdYAK"/>
    <s v="2026-05-11T10:21:12.000Z"/>
  </r>
  <r>
    <x v="0"/>
    <x v="39"/>
    <x v="1"/>
    <x v="27"/>
    <x v="15"/>
    <x v="24"/>
    <n v="1"/>
    <x v="6"/>
    <n v="0"/>
    <b v="1"/>
    <s v="a24UU000004WEc9YAG"/>
    <s v="PY-01836848"/>
    <x v="49"/>
    <x v="49"/>
    <s v="Activated"/>
    <s v="ACCEPTED"/>
    <s v="AC"/>
    <s v="AC"/>
    <s v="99.0"/>
    <s v="99.0"/>
    <s v="99.0"/>
    <s v="0.0"/>
    <s v="2026-05-18"/>
    <s v="2026-05-18T21:29:44.000Z"/>
    <m/>
    <m/>
    <s v="2026-05-18T18:50:06.000Z"/>
  </r>
  <r>
    <x v="1"/>
    <x v="39"/>
    <x v="1"/>
    <x v="27"/>
    <x v="15"/>
    <x v="24"/>
    <n v="1"/>
    <x v="6"/>
    <n v="0"/>
    <b v="1"/>
    <s v="a24UU000004iD10YAE"/>
    <s v="PY-01851813"/>
    <x v="49"/>
    <x v="49"/>
    <s v="Activated"/>
    <s v="ACCEPTED"/>
    <s v="Fee"/>
    <s v="Subscription"/>
    <s v="99.0"/>
    <s v="99.0"/>
    <s v="99.0"/>
    <s v="0.0"/>
    <s v="2026-06-15"/>
    <s v="2026-06-15T10:09:33.000Z"/>
    <m/>
    <m/>
    <s v="2026-06-15T10:09:33.000Z"/>
  </r>
  <r>
    <x v="0"/>
    <x v="40"/>
    <x v="1"/>
    <x v="28"/>
    <x v="15"/>
    <x v="25"/>
    <n v="1"/>
    <x v="6"/>
    <n v="1"/>
    <b v="1"/>
    <s v="a24UU000004akQFYAY"/>
    <s v="PY-01843251"/>
    <x v="50"/>
    <x v="50"/>
    <s v="Activated"/>
    <s v="ACCEPTED"/>
    <s v="AC"/>
    <s v="AC"/>
    <s v="99.0"/>
    <s v="99.0"/>
    <s v="99.0"/>
    <s v="0.0"/>
    <s v="2026-05-29"/>
    <s v="2026-05-29T10:12:49.000Z"/>
    <m/>
    <m/>
    <s v="2026-05-29T10:12:49.000Z"/>
  </r>
  <r>
    <x v="0"/>
    <x v="40"/>
    <x v="1"/>
    <x v="29"/>
    <x v="15"/>
    <x v="26"/>
    <n v="1"/>
    <x v="5"/>
    <n v="-1"/>
    <b v="1"/>
    <s v="a24UU000004b28cYAA"/>
    <s v="PY-01843625"/>
    <x v="51"/>
    <x v="51"/>
    <s v="Activated"/>
    <s v="ACCEPTED"/>
    <s v="Late payment fee"/>
    <s v="AC"/>
    <s v="99.0"/>
    <s v="99.0"/>
    <s v="99.0"/>
    <s v="0.0"/>
    <s v="2026-06-01"/>
    <s v="2026-05-29T19:45:41.000Z"/>
    <m/>
    <s v="a24UU000004akRuYAI"/>
    <s v="2026-05-29T19:45:41.000Z"/>
  </r>
  <r>
    <x v="1"/>
    <x v="40"/>
    <x v="1"/>
    <x v="29"/>
    <x v="15"/>
    <x v="26"/>
    <n v="1"/>
    <x v="5"/>
    <n v="-1"/>
    <b v="1"/>
    <s v="a24UU000004eBvJYAU"/>
    <s v="PY-01847545"/>
    <x v="51"/>
    <x v="51"/>
    <s v="Activated"/>
    <s v="ACCEPTED"/>
    <s v="Late payment fee"/>
    <s v="Fee"/>
    <s v="99.0"/>
    <s v="99.0"/>
    <s v="99.0"/>
    <s v="0.0"/>
    <s v="2026-06-08"/>
    <s v="2026-06-05T15:52:59.000Z"/>
    <m/>
    <s v="a24UU000004e1EgYAI"/>
    <s v="2026-06-05T15:52:59.000Z"/>
  </r>
  <r>
    <x v="1"/>
    <x v="40"/>
    <x v="1"/>
    <x v="29"/>
    <x v="15"/>
    <x v="26"/>
    <n v="1"/>
    <x v="5"/>
    <n v="-1"/>
    <b v="1"/>
    <s v="a24UU000004qY3QYAU"/>
    <s v="PY-01862124"/>
    <x v="51"/>
    <x v="51"/>
    <s v="Activated"/>
    <s v="ACCEPTED"/>
    <s v="Fee"/>
    <s v="Subscription"/>
    <s v="99.0"/>
    <s v="99.0"/>
    <s v="99.0"/>
    <s v="0.0"/>
    <s v="2026-07-03"/>
    <s v="2026-07-03T10:07:53.000Z"/>
    <m/>
    <m/>
    <s v="2026-07-03T10:07:53.000Z"/>
  </r>
  <r>
    <x v="0"/>
    <x v="41"/>
    <x v="1"/>
    <x v="30"/>
    <x v="16"/>
    <x v="24"/>
    <n v="1"/>
    <x v="6"/>
    <n v="0"/>
    <b v="1"/>
    <s v="a24UU000004aJeXYAU"/>
    <s v="PY-01841400"/>
    <x v="52"/>
    <x v="52"/>
    <s v="Activated"/>
    <s v="ACCEPTED"/>
    <s v="AC"/>
    <s v="AC"/>
    <s v="99.0"/>
    <s v="99.0"/>
    <s v="99.0"/>
    <s v="0.0"/>
    <s v="2026-06-01"/>
    <s v="2026-05-28T15:12:12.000Z"/>
    <m/>
    <m/>
    <s v="2026-05-28T15:12:12.000Z"/>
  </r>
  <r>
    <x v="0"/>
    <x v="42"/>
    <x v="1"/>
    <x v="31"/>
    <x v="16"/>
    <x v="27"/>
    <n v="1"/>
    <x v="6"/>
    <n v="0"/>
    <b v="1"/>
    <s v="a24UU000004e11hYAA"/>
    <s v="PY-01847257"/>
    <x v="53"/>
    <x v="53"/>
    <s v="Activated"/>
    <s v="ACCEPTED"/>
    <s v="AC"/>
    <s v="AC"/>
    <s v="99.0"/>
    <s v="99.0"/>
    <s v="99.0"/>
    <s v="0.0"/>
    <s v="2026-06-05"/>
    <s v="2026-06-05T10:13:21.000Z"/>
    <m/>
    <m/>
    <s v="2026-06-05T10:13:21.000Z"/>
  </r>
  <r>
    <x v="0"/>
    <x v="40"/>
    <x v="1"/>
    <x v="28"/>
    <x v="15"/>
    <x v="25"/>
    <n v="1"/>
    <x v="6"/>
    <n v="1"/>
    <b v="1"/>
    <s v="a24UU000004akQTYAY"/>
    <s v="PY-01843285"/>
    <x v="54"/>
    <x v="54"/>
    <s v="Activated"/>
    <s v="ACCEPTED"/>
    <s v="AC"/>
    <s v="AC"/>
    <s v="99.0"/>
    <s v="99.0"/>
    <s v="99.0"/>
    <s v="0.0"/>
    <s v="2026-05-29"/>
    <s v="2026-05-29T10:13:24.000Z"/>
    <m/>
    <m/>
    <s v="2026-05-29T10:13:24.000Z"/>
  </r>
  <r>
    <x v="0"/>
    <x v="43"/>
    <x v="1"/>
    <x v="30"/>
    <x v="16"/>
    <x v="24"/>
    <n v="1"/>
    <x v="6"/>
    <n v="0"/>
    <b v="1"/>
    <s v="a24UU000004gENgYAM"/>
    <s v="PY-01849358"/>
    <x v="55"/>
    <x v="55"/>
    <s v="Activated"/>
    <s v="ACCEPTED"/>
    <s v="AC"/>
    <s v="AC"/>
    <s v="99.0"/>
    <s v="99.0"/>
    <s v="99.0"/>
    <s v="0.0"/>
    <s v="2026-06-10"/>
    <s v="2026-06-10T10:00:35.000Z"/>
    <m/>
    <m/>
    <s v="2026-06-10T10:00:35.000Z"/>
  </r>
  <r>
    <x v="0"/>
    <x v="44"/>
    <x v="1"/>
    <x v="32"/>
    <x v="16"/>
    <x v="28"/>
    <n v="1"/>
    <x v="6"/>
    <n v="0"/>
    <b v="1"/>
    <s v="a24UU000004dgczYAA"/>
    <s v="PY-01846479"/>
    <x v="56"/>
    <x v="56"/>
    <s v="Activated"/>
    <s v="ACCEPTED"/>
    <s v="Late payment fee"/>
    <s v="AC"/>
    <s v="99.0"/>
    <s v="99.0"/>
    <s v="99.0"/>
    <s v="0.0"/>
    <s v="2026-06-05"/>
    <s v="2026-06-04T17:19:26.000Z"/>
    <m/>
    <s v="a24UU000004dVzJYAU"/>
    <s v="2026-06-04T17:19:26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EBF0C-AE3A-4010-84C9-577A498F8BD6}" name="PivotTable1" cacheId="19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N42" firstHeaderRow="1" firstDataRow="3" firstDataCol="8"/>
  <pivotFields count="27">
    <pivotField axis="axisCol" compact="0" outline="0" showAll="0">
      <items count="4">
        <item x="0"/>
        <item x="1"/>
        <item x="2"/>
        <item t="default"/>
      </items>
    </pivotField>
    <pivotField axis="axisRow" compact="0" numFmtId="165" outline="0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23"/>
        <item x="19"/>
        <item x="18"/>
        <item x="22"/>
        <item x="20"/>
        <item x="21"/>
        <item x="27"/>
        <item x="24"/>
        <item x="26"/>
        <item x="25"/>
        <item x="31"/>
        <item x="28"/>
        <item x="30"/>
        <item x="29"/>
        <item x="32"/>
        <item x="33"/>
        <item x="35"/>
        <item x="36"/>
        <item x="34"/>
        <item x="37"/>
        <item x="38"/>
        <item x="39"/>
        <item x="40"/>
        <item x="41"/>
        <item x="42"/>
        <item x="43"/>
        <item x="44"/>
        <item x="17"/>
      </items>
    </pivotField>
    <pivotField axis="axisRow" compact="0" outline="0" showAll="0" defaultSubtotal="0">
      <items count="13">
        <item x="0"/>
        <item x="2"/>
        <item x="3"/>
        <item x="4"/>
        <item x="5"/>
        <item x="8"/>
        <item x="9"/>
        <item x="7"/>
        <item x="6"/>
        <item x="10"/>
        <item x="11"/>
        <item x="12"/>
        <item x="1"/>
      </items>
    </pivotField>
    <pivotField axis="axisRow" compact="0" numFmtId="165" outline="0" showAll="0" defaultSubtota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9"/>
        <item x="21"/>
        <item x="15"/>
        <item x="16"/>
        <item x="17"/>
        <item x="18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axis="axisRow" compact="0" outline="0" showAll="0" sortType="ascending" defaultSubtotal="0">
      <items count="17">
        <item x="16"/>
        <item x="15"/>
        <item x="13"/>
        <item x="14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Next Transaction" axis="axisRow" compact="0" numFmtId="166" outline="0" showAll="0" sortType="ascending" defaultSubtotal="0">
      <items count="29">
        <item x="5"/>
        <item x="19"/>
        <item x="2"/>
        <item x="3"/>
        <item x="20"/>
        <item x="6"/>
        <item x="12"/>
        <item x="22"/>
        <item x="4"/>
        <item x="10"/>
        <item x="7"/>
        <item x="18"/>
        <item x="13"/>
        <item x="17"/>
        <item x="0"/>
        <item x="16"/>
        <item x="15"/>
        <item x="23"/>
        <item x="11"/>
        <item x="21"/>
        <item x="25"/>
        <item x="1"/>
        <item x="28"/>
        <item x="24"/>
        <item x="14"/>
        <item x="27"/>
        <item x="26"/>
        <item x="9"/>
        <item x="8"/>
      </items>
    </pivotField>
    <pivotField dataField="1" compact="0" outline="0" showAll="0"/>
    <pivotField axis="axisRow" compact="0" outline="0" showAll="0" sortType="ascending">
      <items count="8">
        <item x="6"/>
        <item x="5"/>
        <item x="1"/>
        <item x="0"/>
        <item h="1" x="4"/>
        <item h="1" x="3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7">
        <item x="0"/>
        <item x="1"/>
        <item x="22"/>
        <item x="26"/>
        <item x="25"/>
        <item x="28"/>
        <item x="27"/>
        <item x="23"/>
        <item x="24"/>
        <item x="29"/>
        <item x="30"/>
        <item x="33"/>
        <item x="31"/>
        <item x="34"/>
        <item x="35"/>
        <item x="32"/>
        <item x="36"/>
        <item x="37"/>
        <item x="38"/>
        <item x="39"/>
        <item x="40"/>
        <item x="46"/>
        <item x="41"/>
        <item x="42"/>
        <item x="43"/>
        <item x="47"/>
        <item x="44"/>
        <item x="45"/>
        <item x="48"/>
        <item x="49"/>
        <item x="50"/>
        <item x="51"/>
        <item x="53"/>
        <item x="52"/>
        <item x="54"/>
        <item x="55"/>
        <item x="56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</items>
    </pivotField>
    <pivotField name="ContractNumber" axis="axisRow" compact="0" numFmtId="49" outline="0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8">
    <field x="12"/>
    <field x="13"/>
    <field x="1"/>
    <field x="2"/>
    <field x="3"/>
    <field x="4"/>
    <field x="5"/>
    <field x="7"/>
  </rowFields>
  <rowItems count="37">
    <i>
      <x/>
      <x/>
      <x/>
      <x/>
      <x/>
      <x v="16"/>
      <x v="14"/>
      <x v="3"/>
    </i>
    <i>
      <x v="1"/>
      <x v="1"/>
      <x v="1"/>
      <x v="12"/>
      <x v="1"/>
      <x v="15"/>
      <x v="21"/>
      <x v="2"/>
    </i>
    <i>
      <x v="2"/>
      <x v="22"/>
      <x v="18"/>
      <x v="12"/>
      <x v="13"/>
      <x v="4"/>
      <x v="14"/>
      <x v="3"/>
    </i>
    <i>
      <x v="3"/>
      <x v="26"/>
      <x v="17"/>
      <x v="12"/>
      <x v="14"/>
      <x v="4"/>
      <x v="18"/>
      <x v="2"/>
    </i>
    <i>
      <x v="7"/>
      <x v="23"/>
      <x v="21"/>
      <x v="12"/>
      <x v="13"/>
      <x v="4"/>
      <x v="14"/>
      <x v="3"/>
    </i>
    <i>
      <x v="8"/>
      <x v="24"/>
      <x v="22"/>
      <x v="8"/>
      <x v="17"/>
      <x v="2"/>
      <x v="9"/>
      <x v="3"/>
    </i>
    <i>
      <x v="9"/>
      <x v="29"/>
      <x v="26"/>
      <x v="12"/>
      <x v="19"/>
      <x v="3"/>
      <x v="12"/>
      <x v="3"/>
    </i>
    <i>
      <x v="10"/>
      <x v="30"/>
      <x v="25"/>
      <x v="12"/>
      <x v="20"/>
      <x v="4"/>
      <x v="24"/>
      <x/>
    </i>
    <i>
      <x v="11"/>
      <x v="33"/>
      <x v="26"/>
      <x v="12"/>
      <x v="16"/>
      <x v="3"/>
      <x v="13"/>
      <x v="3"/>
    </i>
    <i>
      <x v="12"/>
      <x v="31"/>
      <x v="23"/>
      <x v="12"/>
      <x v="15"/>
      <x v="4"/>
      <x v="16"/>
      <x v="2"/>
    </i>
    <i>
      <x v="13"/>
      <x v="34"/>
      <x v="30"/>
      <x v="12"/>
      <x v="22"/>
      <x v="3"/>
      <x v="11"/>
      <x v="3"/>
    </i>
    <i>
      <x v="14"/>
      <x v="35"/>
      <x v="24"/>
      <x v="7"/>
      <x v="19"/>
      <x v="3"/>
      <x v="1"/>
      <x/>
    </i>
    <i>
      <x v="15"/>
      <x v="32"/>
      <x v="28"/>
      <x v="12"/>
      <x v="21"/>
      <x v="3"/>
      <x v="15"/>
      <x v="2"/>
    </i>
    <i>
      <x v="16"/>
      <x v="36"/>
      <x v="29"/>
      <x v="5"/>
      <x v="19"/>
      <x v="3"/>
      <x v="12"/>
      <x v="3"/>
    </i>
    <i>
      <x v="18"/>
      <x v="38"/>
      <x v="31"/>
      <x v="6"/>
      <x v="16"/>
      <x v="3"/>
      <x v="19"/>
      <x v="2"/>
    </i>
    <i>
      <x v="19"/>
      <x v="39"/>
      <x v="26"/>
      <x v="9"/>
      <x v="24"/>
      <x v="2"/>
      <x v="14"/>
      <x v="3"/>
    </i>
    <i>
      <x v="20"/>
      <x v="40"/>
      <x v="32"/>
      <x v="12"/>
      <x v="16"/>
      <x v="3"/>
      <x v="13"/>
      <x v="3"/>
    </i>
    <i>
      <x v="21"/>
      <x v="46"/>
      <x v="35"/>
      <x v="11"/>
      <x v="24"/>
      <x v="2"/>
      <x v="14"/>
      <x v="3"/>
    </i>
    <i>
      <x v="23"/>
      <x v="42"/>
      <x v="33"/>
      <x v="12"/>
      <x v="19"/>
      <x v="3"/>
      <x v="12"/>
      <x v="3"/>
    </i>
    <i>
      <x v="24"/>
      <x v="43"/>
      <x v="26"/>
      <x v="12"/>
      <x v="16"/>
      <x v="3"/>
      <x v="13"/>
      <x v="3"/>
    </i>
    <i>
      <x v="25"/>
      <x v="47"/>
      <x v="36"/>
      <x v="12"/>
      <x v="24"/>
      <x v="2"/>
      <x v="14"/>
      <x v="3"/>
    </i>
    <i>
      <x v="26"/>
      <x v="44"/>
      <x v="34"/>
      <x v="10"/>
      <x v="25"/>
      <x v="2"/>
      <x v="18"/>
      <x v="2"/>
    </i>
    <i>
      <x v="27"/>
      <x v="45"/>
      <x v="26"/>
      <x v="12"/>
      <x v="16"/>
      <x v="3"/>
      <x v="19"/>
      <x v="2"/>
    </i>
    <i>
      <x v="28"/>
      <x v="48"/>
      <x v="37"/>
      <x v="12"/>
      <x v="26"/>
      <x v="2"/>
      <x v="17"/>
      <x v="2"/>
    </i>
    <i>
      <x v="29"/>
      <x v="49"/>
      <x v="38"/>
      <x v="12"/>
      <x v="27"/>
      <x v="1"/>
      <x v="23"/>
      <x/>
    </i>
    <i>
      <x v="30"/>
      <x v="50"/>
      <x v="39"/>
      <x v="12"/>
      <x v="28"/>
      <x v="1"/>
      <x v="20"/>
      <x/>
    </i>
    <i>
      <x v="31"/>
      <x v="51"/>
      <x v="39"/>
      <x v="12"/>
      <x v="29"/>
      <x v="1"/>
      <x v="26"/>
      <x v="1"/>
    </i>
    <i>
      <x v="32"/>
      <x v="53"/>
      <x v="41"/>
      <x v="12"/>
      <x v="31"/>
      <x/>
      <x v="25"/>
      <x/>
    </i>
    <i>
      <x v="33"/>
      <x v="52"/>
      <x v="40"/>
      <x v="12"/>
      <x v="30"/>
      <x/>
      <x v="23"/>
      <x/>
    </i>
    <i>
      <x v="34"/>
      <x v="54"/>
      <x v="39"/>
      <x v="12"/>
      <x v="28"/>
      <x v="1"/>
      <x v="20"/>
      <x/>
    </i>
    <i>
      <x v="35"/>
      <x v="55"/>
      <x v="42"/>
      <x v="12"/>
      <x v="30"/>
      <x/>
      <x v="23"/>
      <x/>
    </i>
    <i>
      <x v="36"/>
      <x v="56"/>
      <x v="43"/>
      <x v="12"/>
      <x v="32"/>
      <x/>
      <x v="22"/>
      <x/>
    </i>
    <i>
      <x v="48"/>
      <x v="14"/>
      <x v="13"/>
      <x v="12"/>
      <x v="9"/>
      <x v="7"/>
      <x v="21"/>
      <x v="2"/>
    </i>
    <i>
      <x v="53"/>
      <x v="18"/>
      <x v="44"/>
      <x v="12"/>
      <x v="12"/>
      <x v="5"/>
      <x v="10"/>
      <x v="3"/>
    </i>
    <i>
      <x v="54"/>
      <x v="20"/>
      <x v="44"/>
      <x v="12"/>
      <x v="11"/>
      <x v="5"/>
      <x v="14"/>
      <x v="3"/>
    </i>
    <i>
      <x v="55"/>
      <x v="19"/>
      <x v="44"/>
      <x v="12"/>
      <x v="11"/>
      <x v="5"/>
      <x v="28"/>
      <x v="1"/>
    </i>
    <i>
      <x v="56"/>
      <x v="21"/>
      <x v="19"/>
      <x v="12"/>
      <x v="14"/>
      <x v="4"/>
      <x v="27"/>
      <x v="1"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ACCEPTED." fld="6" subtotal="countNums" baseField="4" baseItem="0"/>
    <dataField name="Refunded" fld="24" subtotal="count" baseField="0" baseItem="0"/>
  </dataFields>
  <formats count="24">
    <format dxfId="124">
      <pivotArea field="16" dataOnly="0" grandCol="1" outline="0">
        <references count="1">
          <reference field="4294967294" count="1" selected="0">
            <x v="1"/>
          </reference>
        </references>
      </pivotArea>
    </format>
    <format dxfId="125">
      <pivotArea field="16" dataOnly="0" grandCol="1" outline="0">
        <references count="1">
          <reference field="4294967294" count="1" selected="0">
            <x v="1"/>
          </reference>
        </references>
      </pivotArea>
    </format>
    <format dxfId="126">
      <pivotArea field="16" dataOnly="0" labelOnly="1" grandCol="1" outline="0">
        <references count="1">
          <reference field="4294967294" count="1" selected="0">
            <x v="1"/>
          </reference>
        </references>
      </pivotArea>
    </format>
    <format dxfId="127">
      <pivotArea dataOnly="0" outline="0" fieldPosition="0">
        <references count="1">
          <reference field="0" count="1">
            <x v="0"/>
          </reference>
        </references>
      </pivotArea>
    </format>
    <format dxfId="128">
      <pivotArea dataOnly="0" outline="0" fieldPosition="0">
        <references count="1">
          <reference field="0" count="1">
            <x v="1"/>
          </reference>
        </references>
      </pivotArea>
    </format>
    <format dxfId="129">
      <pivotArea dataOnly="0" outline="0" fieldPosition="0">
        <references count="1">
          <reference field="0" count="1">
            <x v="2"/>
          </reference>
        </references>
      </pivotArea>
    </format>
    <format dxfId="130">
      <pivotArea dataOnly="0" outline="0" fieldPosition="0">
        <references count="1">
          <reference field="0" count="0"/>
        </references>
      </pivotArea>
    </format>
    <format dxfId="120">
      <pivotArea dataOnly="0" labelOnly="1" outline="0" fieldPosition="0">
        <references count="1">
          <reference field="2" count="0"/>
        </references>
      </pivotArea>
    </format>
    <format dxfId="109">
      <pivotArea dataOnly="0" labelOnly="1" outline="0" fieldPosition="0">
        <references count="1">
          <reference field="2" count="0"/>
        </references>
      </pivotArea>
    </format>
    <format dxfId="108">
      <pivotArea field="12" type="button" dataOnly="0" labelOnly="1" outline="0" axis="axisRow" fieldPosition="0"/>
    </format>
    <format dxfId="107">
      <pivotArea field="13" type="button" dataOnly="0" labelOnly="1" outline="0" axis="axisRow" fieldPosition="1"/>
    </format>
    <format dxfId="106">
      <pivotArea field="1" type="button" dataOnly="0" labelOnly="1" outline="0" axis="axisRow" fieldPosition="2"/>
    </format>
    <format dxfId="105">
      <pivotArea field="2" type="button" dataOnly="0" labelOnly="1" outline="0" axis="axisRow" fieldPosition="3"/>
    </format>
    <format dxfId="104">
      <pivotArea field="3" type="button" dataOnly="0" labelOnly="1" outline="0" axis="axisRow" fieldPosition="4"/>
    </format>
    <format dxfId="103">
      <pivotArea field="4" type="button" dataOnly="0" labelOnly="1" outline="0" axis="axisRow" fieldPosition="5"/>
    </format>
    <format dxfId="102">
      <pivotArea field="5" type="button" dataOnly="0" labelOnly="1" outline="0" axis="axisRow" fieldPosition="6"/>
    </format>
    <format dxfId="101">
      <pivotArea field="7" type="button" dataOnly="0" labelOnly="1" outline="0" axis="axisRow" fieldPosition="7"/>
    </format>
    <format dxfId="10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99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98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97">
      <pivotArea dataOnly="0" labelOnly="1" outline="0" fieldPosition="0">
        <references count="1">
          <reference field="7" count="0"/>
        </references>
      </pivotArea>
    </format>
    <format dxfId="2">
      <pivotArea field="5" type="button" dataOnly="0" labelOnly="1" outline="0" axis="axisRow" fieldPosition="6"/>
    </format>
    <format dxfId="1">
      <pivotArea field="5" type="button" dataOnly="0" labelOnly="1" outline="0" axis="axisRow" fieldPosition="6"/>
    </format>
    <format dxfId="0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5821D63-BFBB-49EB-B72A-4E5A565578D5}" autoFormatId="16" applyNumberFormats="0" applyBorderFormats="0" applyFontFormats="0" applyPatternFormats="0" applyAlignmentFormats="0" applyWidthHeightFormats="0">
  <queryTableRefresh nextId="33">
    <queryTableFields count="31">
      <queryTableField id="31" name="ContractNumber" tableColumnId="31"/>
      <queryTableField id="1" name="SM_Client_Id__c" tableColumnId="1"/>
      <queryTableField id="2" name="Status" tableColumnId="2"/>
      <queryTableField id="3" name="SM_AC_start_date__c" tableColumnId="3"/>
      <queryTableField id="4" name="SM_AC_Split_Date__c" tableColumnId="4"/>
      <queryTableField id="5" name="SM_Start_date__c" tableColumnId="5"/>
      <queryTableField id="6" name="SM_Total_ac__c" tableColumnId="6"/>
      <queryTableField id="7" name="SM_Monthly_offer__c" tableColumnId="7"/>
      <queryTableField id="8" name="SM_Plan_Months__c" tableColumnId="8"/>
      <queryTableField id="9" name="SM_Payment_day__c" tableColumnId="9"/>
      <queryTableField id="10" name="SM_Previous_Payment_day__c" tableColumnId="10"/>
      <queryTableField id="11" name="Reasons_for_change__c" tableColumnId="11"/>
      <queryTableField id="12" name="SM_Number_of_Refund__c" tableColumnId="12"/>
      <queryTableField id="13" name="Outstanding_installments__c" tableColumnId="13"/>
      <queryTableField id="14" name="Count_Monthly_Payment_Pending__c" tableColumnId="14"/>
      <queryTableField id="15" name="SM_Payment_methods__c" tableColumnId="15"/>
      <queryTableField id="16" name="SM_Registered_Card_Token__c" tableColumnId="16"/>
      <queryTableField id="17" name="GatewayId__c" tableColumnId="17"/>
      <queryTableField id="18" name="SM_Customer_Cancellation__c" tableColumnId="18"/>
      <queryTableField id="19" name="SM_ContractMonitoring__c" tableColumnId="19"/>
      <queryTableField id="20" name="SM_Payment_Method__c" tableColumnId="20"/>
      <queryTableField id="21" name="SM_Email_to_send_contract__c" tableColumnId="21"/>
      <queryTableField id="22" name="SM_Account_Name__c" tableColumnId="22"/>
      <queryTableField id="23" name="Id" tableColumnId="23"/>
      <queryTableField id="24" name="AccountId" tableColumnId="24"/>
      <queryTableField id="25" name="RecordTypeId" tableColumnId="25"/>
      <queryTableField id="26" name="CB_Subscription__c" tableColumnId="26"/>
      <queryTableField id="27" name="CANCELAR_CONTRATO__c" tableColumnId="27"/>
      <queryTableField id="28" name="SM_Billing_status__c" tableColumnId="28"/>
      <queryTableField id="29" name="Is_VIP_Contract__c" tableColumnId="29"/>
      <queryTableField id="30" name="Is_Test_Contract__c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0ECFBB-8426-4820-8CC5-FDDEA3AB795E}" autoFormatId="16" applyNumberFormats="0" applyBorderFormats="0" applyFontFormats="0" applyPatternFormats="0" applyAlignmentFormats="0" applyWidthHeightFormats="0">
  <queryTableRefresh nextId="86" unboundColumnsLeft="6">
    <queryTableFields count="71">
      <queryTableField id="66" dataBound="0" tableColumnId="66"/>
      <queryTableField id="67" dataBound="0" tableColumnId="67"/>
      <queryTableField id="68" dataBound="0" tableColumnId="68"/>
      <queryTableField id="83" dataBound="0" tableColumnId="76"/>
      <queryTableField id="84" dataBound="0" tableColumnId="10"/>
      <queryTableField id="85" dataBound="0" tableColumnId="13"/>
      <queryTableField id="1" name="Id" tableColumnId="1"/>
      <queryTableField id="2" name="OwnerId" tableColumnId="2"/>
      <queryTableField id="3" name="Name" tableColumnId="3"/>
      <queryTableField id="4" name="CreatedDate" tableColumnId="4"/>
      <queryTableField id="5" name="ChargentOrders__Card_Expiration_Month__c" tableColumnId="5"/>
      <queryTableField id="6" name="ChargentOrders__Card_Expiration_Year__c" tableColumnId="6"/>
      <queryTableField id="7" name="ChargentOrders__Card_Last_4__c" tableColumnId="7"/>
      <queryTableField id="8" name="ChargentOrders__Card_Month_Indicator__c" tableColumnId="8"/>
      <queryTableField id="9" name="ChargentOrders__Card_Number__c" tableColumnId="9"/>
      <queryTableField id="69" name="ChargentOrders__Card_Type__c" tableColumnId="69"/>
      <queryTableField id="11" name="ChargentOrders__Card_Year_Indicator__c" tableColumnId="11"/>
      <queryTableField id="12" name="ChargentOrders__Charge_Amount__c" tableColumnId="12"/>
      <queryTableField id="70" name="ChargentOrders__Charge_Date__c" tableColumnId="70"/>
      <queryTableField id="14" name="ChargentOrders__Gateway__c" tableColumnId="14"/>
      <queryTableField id="15" name="ChargentOrders__Next_Transaction_Date__c" tableColumnId="15"/>
      <queryTableField id="71" name="ChargentOrders__No_Tax__c" tableColumnId="71"/>
      <queryTableField id="72" name="ChargentOrders__Payment_Method__c" tableColumnId="72"/>
      <queryTableField id="18" name="ChargentOrders__Payment_Start_Date__c" tableColumnId="18"/>
      <queryTableField id="19" name="ChargentOrders__Payment_Status__c" tableColumnId="19"/>
      <queryTableField id="73" name="ChargentOrders__Status__c" tableColumnId="73"/>
      <queryTableField id="21" name="ChargentOrders__Subtotal__c" tableColumnId="21"/>
      <queryTableField id="22" name="ChargentOrders__Tax__c" tableColumnId="22"/>
      <queryTableField id="23" name="ChargentOrders__Tokenization__c" tableColumnId="23"/>
      <queryTableField id="74" name="ChargentOrders__Tracking_Number__c" tableColumnId="74"/>
      <queryTableField id="75" name="ChargentOrders__Update_Token__c" tableColumnId="75"/>
      <queryTableField id="26" name="ChargentOrders__Last_Recurring_Transaction__c" tableColumnId="26"/>
      <queryTableField id="27" name="ChargentOrders__Last_Transaction__c" tableColumnId="27"/>
      <queryTableField id="28" name="ChargentOrders__Transaction_Count_Recurring__c" tableColumnId="28"/>
      <queryTableField id="29" name="ChargentOrders__Transaction_Count__c" tableColumnId="29"/>
      <queryTableField id="30" name="ChargentOrders__Transaction_Total__c" tableColumnId="30"/>
      <queryTableField id="31" name="Contract__c" tableColumnId="31"/>
      <queryTableField id="32" name="SM_Payment_Type__c" tableColumnId="32"/>
      <queryTableField id="33" name="SM_Id_Salesforce_LCS__c" tableColumnId="33"/>
      <queryTableField id="34" name="SM_Migrated__c" tableColumnId="34"/>
      <queryTableField id="35" name="SM_Migration_Date__c" tableColumnId="35"/>
      <queryTableField id="36" name="SM_Fee_to_collect__c" tableColumnId="36"/>
      <queryTableField id="37" name="SM_P_IVU_Municipal_Amount__c" tableColumnId="37"/>
      <queryTableField id="38" name="SM_P_IVU_State_Amount__c" tableColumnId="38"/>
      <queryTableField id="39" name="SM_Purpose_of_Payment__c" tableColumnId="39"/>
      <queryTableField id="40" name="SM_ACH_Order_source__c" tableColumnId="40"/>
      <queryTableField id="41" name="SM_Apply_Penalty__c" tableColumnId="41"/>
      <queryTableField id="42" name="SM_Failed_Payment__c" tableColumnId="42"/>
      <queryTableField id="43" name="SM_IsRegisterToken__c" tableColumnId="43"/>
      <queryTableField id="44" name="SM_Penalty_Date__c" tableColumnId="44"/>
      <queryTableField id="45" name="SM_Penalty_Value__c" tableColumnId="45"/>
      <queryTableField id="46" name="SM_Tokenization_error__c" tableColumnId="46"/>
      <queryTableField id="47" name="SM_User_Who_Applies_Penalty__c" tableColumnId="47"/>
      <queryTableField id="48" name="SM_Approval_status__c" tableColumnId="48"/>
      <queryTableField id="49" name="SM_Reason_to_approve_exoneration__c" tableColumnId="49"/>
      <queryTableField id="50" name="SM_IsApplyingDaysCollectedPenalty__c" tableColumnId="50"/>
      <queryTableField id="51" name="SM_Last_Rejected_Payment__c" tableColumnId="51"/>
      <queryTableField id="52" name="SM_Last_Payment_date__c" tableColumnId="52"/>
      <queryTableField id="53" name="Discount_Original_Subtotal__c" tableColumnId="53"/>
      <queryTableField id="54" name="SM_Discount_Type__c" tableColumnId="54"/>
      <queryTableField id="55" name="SM_Discount_Percentage__c" tableColumnId="55"/>
      <queryTableField id="56" name="SM_Discount_Value__c" tableColumnId="56"/>
      <queryTableField id="57" name="SM_Discount_Reason__c" tableColumnId="57"/>
      <queryTableField id="58" name="SM_User_Who_Request_Discount__c" tableColumnId="58"/>
      <queryTableField id="59" name="SM_User_Who_Applies_Discount__c" tableColumnId="59"/>
      <queryTableField id="60" name="SM_Discount_Status__c" tableColumnId="60"/>
      <queryTableField id="61" name="SM_Discount_Applies_Date__c" tableColumnId="61"/>
      <queryTableField id="62" name="SM_Apply_Discount__c" tableColumnId="62"/>
      <queryTableField id="63" name="User_Who_Approve_Discount__c" tableColumnId="63"/>
      <queryTableField id="64" name="Discount_Original_Total__c" tableColumnId="64"/>
      <queryTableField id="65" name="SM_PTP_Montly__c" tableColumnId="65"/>
    </queryTableFields>
    <queryTableDeletedFields count="7">
      <deletedField name="ChargentOrders__Payment_Method__c"/>
      <deletedField name="ChargentOrders__Card_Type__c"/>
      <deletedField name="ChargentOrders__Charge_Date__c"/>
      <deletedField name="ChargentOrders__Status__c"/>
      <deletedField name="ChargentOrders__No_Tax__c"/>
      <deletedField name="ChargentOrders__Tracking_Number__c"/>
      <deletedField name="ChargentOrders__Update_Token__c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0655E1-34E0-4FBF-AD84-EABCFF98B3C5}" name="Table4" displayName="Table4" ref="E1:G3940" totalsRowShown="0">
  <autoFilter ref="E1:G3940" xr:uid="{A10655E1-34E0-4FBF-AD84-EABCFF98B3C5}"/>
  <tableColumns count="3">
    <tableColumn id="1" xr3:uid="{77F6D2D8-D358-46CA-8BA1-E8D77A571546}" name="_"/>
    <tableColumn id="2" xr3:uid="{F616FEB5-F67F-4689-9C81-095AA570B875}" name="Id"/>
    <tableColumn id="3" xr3:uid="{14FB19C5-9D87-42C7-9DDF-8899A66B8FA9}" name="SM_Payment_Method__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F9A20-A247-4D50-8068-131B1178E906}" name="Contract" displayName="Contract" ref="A1:AE73" tableType="queryTable" totalsRowShown="0">
  <autoFilter ref="A1:AE73" xr:uid="{FE7F9A20-A247-4D50-8068-131B1178E906}"/>
  <tableColumns count="31">
    <tableColumn id="31" xr3:uid="{D681A7E3-5A83-4822-98C3-7F07B8EE7713}" uniqueName="31" name="ContractNumber" queryTableFieldId="31" dataDxfId="114"/>
    <tableColumn id="1" xr3:uid="{54ACDEEF-38D2-4D3E-8D89-BFE4F9701A66}" uniqueName="1" name="SM_Client_Id__c" queryTableFieldId="1" dataDxfId="309"/>
    <tableColumn id="2" xr3:uid="{2010895C-8BFD-46D3-82F1-B7EE1C9EDC1B}" uniqueName="2" name="Status" queryTableFieldId="2" dataDxfId="308"/>
    <tableColumn id="3" xr3:uid="{7DB2F937-6814-442F-B376-045A30DE162B}" uniqueName="3" name="SM_AC_start_date__c" queryTableFieldId="3" dataDxfId="113"/>
    <tableColumn id="4" xr3:uid="{B963DE27-67FF-474E-83E4-B3730A3A92A1}" uniqueName="4" name="SM_AC_Split_Date__c" queryTableFieldId="4" dataDxfId="112"/>
    <tableColumn id="5" xr3:uid="{1457CBBC-F54D-4AEA-9CC0-A91983DF4FD5}" uniqueName="5" name="SM_Start_date__c" queryTableFieldId="5" dataDxfId="111"/>
    <tableColumn id="6" xr3:uid="{3A28EBF5-294F-4880-9D7F-A04CA26A4CB6}" uniqueName="6" name="SM_Total_ac__c" queryTableFieldId="6"/>
    <tableColumn id="7" xr3:uid="{B9771405-3F6D-41A2-BD95-700650D443A4}" uniqueName="7" name="SM_Monthly_offer__c" queryTableFieldId="7"/>
    <tableColumn id="8" xr3:uid="{A71A7DFC-D2BC-462A-91EB-556A0DF7E662}" uniqueName="8" name="SM_Plan_Months__c" queryTableFieldId="8"/>
    <tableColumn id="9" xr3:uid="{386785D2-A26A-403F-88E9-D07FDEE0A9AE}" uniqueName="9" name="SM_Payment_day__c" queryTableFieldId="9"/>
    <tableColumn id="10" xr3:uid="{9C9A5EE0-9717-467B-B5DE-A28E3DF4F064}" uniqueName="10" name="SM_Previous_Payment_day__c" queryTableFieldId="10"/>
    <tableColumn id="11" xr3:uid="{874F532A-9BFB-4545-A90A-0F1364CEF885}" uniqueName="11" name="Reasons_for_change__c" queryTableFieldId="11" dataDxfId="307"/>
    <tableColumn id="12" xr3:uid="{78987D50-FDED-4049-9009-1F3BF8707B09}" uniqueName="12" name="SM_Number_of_Refund__c" queryTableFieldId="12"/>
    <tableColumn id="13" xr3:uid="{4B09BA0D-005D-4178-8CDD-D3CD8324D11F}" uniqueName="13" name="Outstanding_installments__c" queryTableFieldId="13"/>
    <tableColumn id="14" xr3:uid="{96151B11-0333-4ED7-863D-67F6E9DB8C61}" uniqueName="14" name="Count_Monthly_Payment_Pending__c" queryTableFieldId="14"/>
    <tableColumn id="15" xr3:uid="{515511E2-DEC0-4AFC-ABEE-4148BF68BAB0}" uniqueName="15" name="SM_Payment_methods__c" queryTableFieldId="15" dataDxfId="306"/>
    <tableColumn id="16" xr3:uid="{5610880F-B250-42FE-A8B0-E0E681CFA2D1}" uniqueName="16" name="SM_Registered_Card_Token__c" queryTableFieldId="16" dataDxfId="305"/>
    <tableColumn id="17" xr3:uid="{F2C1AE97-6369-44CA-B2C5-E30DB030BE0F}" uniqueName="17" name="GatewayId__c" queryTableFieldId="17" dataDxfId="304"/>
    <tableColumn id="18" xr3:uid="{84E3673E-85AD-49CF-855B-4B105B43ED64}" uniqueName="18" name="SM_Customer_Cancellation__c" queryTableFieldId="18"/>
    <tableColumn id="19" xr3:uid="{FA304A6F-AED7-4719-BCE2-7ACBAD986607}" uniqueName="19" name="SM_ContractMonitoring__c" queryTableFieldId="19"/>
    <tableColumn id="20" xr3:uid="{16C653BC-CF05-4E08-842D-B5645AB0051A}" uniqueName="20" name="SM_Payment_Method__c" queryTableFieldId="20" dataDxfId="303"/>
    <tableColumn id="21" xr3:uid="{B77CE022-1358-4AAE-8BC3-AA78FAD3F8E4}" uniqueName="21" name="SM_Email_to_send_contract__c" queryTableFieldId="21" dataDxfId="302"/>
    <tableColumn id="22" xr3:uid="{B78BA78A-6E1F-4FD4-A808-253C522F8085}" uniqueName="22" name="SM_Account_Name__c" queryTableFieldId="22" dataDxfId="301"/>
    <tableColumn id="23" xr3:uid="{6AAA6CA5-5EF8-4819-A20D-F91CA421332B}" uniqueName="23" name="Id" queryTableFieldId="23" dataDxfId="300"/>
    <tableColumn id="24" xr3:uid="{DAF4AC1E-2C47-423D-9D17-698692CD2FDF}" uniqueName="24" name="AccountId" queryTableFieldId="24" dataDxfId="299"/>
    <tableColumn id="25" xr3:uid="{91BDC566-2E63-4144-AC7B-BB4065400AF3}" uniqueName="25" name="RecordTypeId" queryTableFieldId="25" dataDxfId="298"/>
    <tableColumn id="26" xr3:uid="{AF59EC13-D133-456D-AFFC-5EA69154B8A0}" uniqueName="26" name="CB_Subscription__c" queryTableFieldId="26" dataDxfId="297"/>
    <tableColumn id="27" xr3:uid="{91E81853-AD8E-4555-AFAE-6F4847275304}" uniqueName="27" name="CANCELAR_CONTRATO__c" queryTableFieldId="27" dataDxfId="296"/>
    <tableColumn id="28" xr3:uid="{CBC3D6C8-1C05-416E-B9BC-9E49E0D1483C}" uniqueName="28" name="SM_Billing_status__c" queryTableFieldId="28" dataDxfId="295"/>
    <tableColumn id="29" xr3:uid="{31B53369-2699-4602-9759-24787BB6FAE0}" uniqueName="29" name="Is_VIP_Contract__c" queryTableFieldId="29"/>
    <tableColumn id="30" xr3:uid="{C7B66A74-46D6-4BA9-83D2-0450864B5A31}" uniqueName="30" name="Is_Test_Contract__c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6A066D-61BD-414C-B9A6-881BDD5E3032}" name="Table5" displayName="Table5" ref="A4:AA386" totalsRowShown="0" headerRowDxfId="294">
  <autoFilter ref="A4:AA386" xr:uid="{416A066D-61BD-414C-B9A6-881BDD5E3032}"/>
  <tableColumns count="27">
    <tableColumn id="17" xr3:uid="{539BE837-6B23-40B7-B47D-F3D81C1EC2DB}" name="TYPE" dataDxfId="134">
      <calculatedColumnFormula>IF(Table5[[#This Row],[SM_Amount__c]]="25.0","FEE",IF(IF(Table5[[#This Row],[SM_Original_Type__c]]="",Table5[[#This Row],[SM_Type__c]],Table5[[#This Row],[SM_Original_Type__c]])="AC","AC","SUBS"))</calculatedColumnFormula>
    </tableColumn>
    <tableColumn id="19" xr3:uid="{E4EB098C-9130-42AA-9880-EBECC53A78B3}" name="AC DATE" dataDxfId="118">
      <calculatedColumnFormula>IF(INDEX(Contract[SM_AC_start_date__c],MATCH(Table5[[#This Row],[SM_Contract__c]],Contract[Id],0))=0,"",INDEX(Contract[SM_AC_start_date__c],MATCH(Table5[[#This Row],[SM_Contract__c]],Contract[Id],0)))</calculatedColumnFormula>
    </tableColumn>
    <tableColumn id="24" xr3:uid="{C6F200E7-5C27-47B1-A735-176CAF5C5F24}" name="AC Split" dataDxfId="119">
      <calculatedColumnFormula>IF(INDEX(Contract[SM_AC_Split_Date__c],MATCH(Table5[[#This Row],[SM_Contract__c]],Contract[Id],0))=0,"",INDEX(Contract[SM_AC_Split_Date__c],MATCH(Table5[[#This Row],[SM_Contract__c]],Contract[Id],0)))</calculatedColumnFormula>
    </tableColumn>
    <tableColumn id="20" xr3:uid="{E55E55F3-FAD2-4354-B13A-B90CD5778DC4}" name="RC DATE" dataDxfId="117">
      <calculatedColumnFormula>IF(INDEX(Contract[SM_Start_date__c],MATCH(Table5[[#This Row],[SM_Contract__c]],Contract[Id],0))=0,"",INDEX(Contract[SM_Start_date__c],MATCH(Table5[[#This Row],[SM_Contract__c]],Contract[Id],0)))</calculatedColumnFormula>
    </tableColumn>
    <tableColumn id="21" xr3:uid="{4CBBC499-7CCD-430B-AC6E-34D38BCC7231}" name="# months" dataDxfId="133">
      <calculatedColumnFormula>(YEAR(TODAY())-YEAR(Table5[[#This Row],[RC DATE]]))*12 + MONTH(TODAY())-MONTH(Table5[[#This Row],[RC DATE]])</calculatedColumnFormula>
    </tableColumn>
    <tableColumn id="22" xr3:uid="{C38D62FB-B552-4112-A51F-D91761D61841}" name="CUENTA" dataDxfId="122">
      <calculatedColumnFormula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calculatedColumnFormula>
    </tableColumn>
    <tableColumn id="23" xr3:uid="{BF580320-BAD2-4183-8E51-0A57E73C01B5}" name="ACCEPTED" dataDxfId="121">
      <calculatedColumnFormula>IF(Table5[[#This Row],[Payment_Status__c]]="ACCEPTED",1,"")</calculatedColumnFormula>
    </tableColumn>
    <tableColumn id="25" xr3:uid="{C7E80E53-1DF5-48A2-9E15-55855911784C}" name="ESTADO" dataDxfId="116">
      <calculatedColumnFormula>IF(Table5[[#This Row],['#]]&lt;0,"DE MAS "&amp;Table5[[#This Row],['#]]*-1,IF(Table5[[#This Row],['#]]=0,"AL DIA",IF(Table5[[#This Row],['#]]&lt;Table5[[#This Row],['# months]],"DEBE "&amp;Table5[[#This Row],['#]],"AL DIA")))</calculatedColumnFormula>
    </tableColumn>
    <tableColumn id="26" xr3:uid="{3DD0C546-51C2-49F5-8F22-CBB1389D0F35}" name="#" dataDxfId="123">
      <calculatedColumnFormula>Table5[[#This Row],['# months]]-COUNTIFS(Table5[SM_Contract__c],Table5[[#This Row],[SM_Contract__c]],Table5[TYPE],"SUBS",Table5[ACCEPTED],1)</calculatedColumnFormula>
    </tableColumn>
    <tableColumn id="27" xr3:uid="{86BEF452-9C5D-41C5-B670-36573CA21174}" name="val cnt" dataDxfId="115">
      <calculatedColumnFormula>ISNUMBER(MATCH(Table5[[#This Row],[SM_Contract__c]],Contract[Id],0))</calculatedColumnFormula>
    </tableColumn>
    <tableColumn id="1" xr3:uid="{ABE3A63D-D904-4AFA-82AB-70D67E9468F6}" name="Id" dataDxfId="132"/>
    <tableColumn id="2" xr3:uid="{722EB606-B0FC-460A-917D-27E9D657B1EF}" name="Name" dataDxfId="293"/>
    <tableColumn id="3" xr3:uid="{8EA85AC5-BDA4-45FA-8D0A-AA660DC4E589}" name="SM_Contract__c" dataDxfId="292"/>
    <tableColumn id="4" xr3:uid="{EAF1B003-31B6-41A5-BA7E-26A2A858E696}" name="SM_Contract__r.ContractNumber" dataDxfId="291"/>
    <tableColumn id="5" xr3:uid="{05B94424-A535-4E15-AD15-7CAC1DE16E2E}" name="SM_Contract__r.Status" dataDxfId="290"/>
    <tableColumn id="6" xr3:uid="{65D01705-187A-447F-81AC-C1C5BFE6409B}" name="Payment_Status__c" dataDxfId="289"/>
    <tableColumn id="7" xr3:uid="{1DFF0F33-6190-4FFF-92C3-DAF3A528F844}" name="SM_Type__c" dataDxfId="288"/>
    <tableColumn id="8" xr3:uid="{D48B5E75-311A-4F69-A326-F6846C19595A}" name="SM_Original_Type__c" dataDxfId="287"/>
    <tableColumn id="9" xr3:uid="{69621BDF-5901-4504-8572-D61B9225935E}" name="SM_Amount__c" dataDxfId="286"/>
    <tableColumn id="10" xr3:uid="{12BD4C61-51A9-4368-AEAF-082E891D1631}" name="SM_Net_Amount__c" dataDxfId="285"/>
    <tableColumn id="11" xr3:uid="{BE0F14AB-3D45-4C13-A360-394BD287FCD9}" name="SM_Fee_value__c" dataDxfId="284"/>
    <tableColumn id="12" xr3:uid="{587E00C4-C5BA-45F0-9243-C51D73F631B5}" name="SM_Penalty_value__c" dataDxfId="283"/>
    <tableColumn id="13" xr3:uid="{58F37518-851B-497C-BEC0-9E18A1F34AD8}" name="SM_Payment_Date__c" dataDxfId="282"/>
    <tableColumn id="14" xr3:uid="{8FC12810-F99B-4D28-B7D2-0D435A261A42}" name="SM_Payment_execution_date__c" dataDxfId="281"/>
    <tableColumn id="15" xr3:uid="{904A95A7-1343-4AF0-BDD1-97EC5AF85E32}" name="SM_Payments_refunded__c" dataDxfId="280"/>
    <tableColumn id="16" xr3:uid="{6DF9A167-95ED-456E-A5E9-3B049CBA0826}" name="SM_Failed_payment__c" dataDxfId="279"/>
    <tableColumn id="18" xr3:uid="{7356E3E8-E0BE-463B-944B-DBF42974A474}" name="CreatedDate" dataDxfId="2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B89491-00A8-4B12-9DF7-97676C10CE6B}" name="PaymentMethod" displayName="PaymentMethod" ref="A2:I74" totalsRowShown="0" dataDxfId="88">
  <autoFilter ref="A2:I74" xr:uid="{B6B89491-00A8-4B12-9DF7-97676C10CE6B}"/>
  <tableColumns count="9">
    <tableColumn id="1" xr3:uid="{B83FBA05-500F-4716-B122-4D1B82D3616C}" name="_" dataDxfId="96"/>
    <tableColumn id="2" xr3:uid="{E854DC3F-2968-4EA9-BA11-C9E5C1220C1A}" name="Id" dataDxfId="95"/>
    <tableColumn id="3" xr3:uid="{61703DE9-C2E0-43FA-9EE9-5F562C51266C}" name="AccountId" dataDxfId="94"/>
    <tableColumn id="4" xr3:uid="{88D9ADE7-25A3-4557-B578-1F7F27A185B7}" name="Account.chargebeeapps__CB_Id__c" dataDxfId="93"/>
    <tableColumn id="5" xr3:uid="{69EF7931-8CE3-440F-B3F1-539FD1900DC7}" name="SM_Payment_Method__r.SM_Card_Token__c" dataDxfId="92"/>
    <tableColumn id="6" xr3:uid="{77B219A8-4A2B-4624-AAEF-07E0413708E6}" name="SM_Payment_Method__r.SM_Credit_Card_Number__c" dataDxfId="91"/>
    <tableColumn id="7" xr3:uid="{141ED54A-60A2-46D3-823E-42025041DAA9}" name="SM_Payment_Method__r.SM_Credit_Card_expiration_month__c" dataDxfId="90"/>
    <tableColumn id="8" xr3:uid="{803F2958-8F1C-411A-96C6-69D405F6E556}" name="SM_Payment_Method__r.SM_Credit_Card_expiration_year__c" dataDxfId="89"/>
    <tableColumn id="9" xr3:uid="{5FA55B06-B51C-40C1-8C7C-5F146C4DE548}" name="instrument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4DC8C-9DDE-4B31-947E-F94F2C9CA7AA}" name="ChargentOrders" displayName="ChargentOrders" ref="A2:BS437" tableType="queryTable" totalsRowShown="0">
  <autoFilter ref="A2:BS437" xr:uid="{DC24DC8C-9DDE-4B31-947E-F94F2C9CA7AA}"/>
  <sortState xmlns:xlrd2="http://schemas.microsoft.com/office/spreadsheetml/2017/richdata2" ref="A3:BS437">
    <sortCondition ref="A3:A437"/>
    <sortCondition ref="E3:E437"/>
  </sortState>
  <tableColumns count="71">
    <tableColumn id="66" xr3:uid="{180B56B7-B432-4B08-B18E-0CA77E7246BB}" uniqueName="66" name="_Contract" queryTableFieldId="66" dataDxfId="277">
      <calculatedColumnFormula>ISNUMBER(MATCH(ChargentOrders[[#This Row],[Contract__c]],Contract[Id],0))</calculatedColumnFormula>
    </tableColumn>
    <tableColumn id="67" xr3:uid="{275594FF-7113-46DE-BADC-6E15926BE8CF}" uniqueName="67" name="CB Subscription" queryTableFieldId="67" dataDxfId="276">
      <calculatedColumnFormula>IFERROR(INDEX(Contract[CB_Subscription__c],MATCH(ChargentOrders[[#This Row],[Contract__c]],Contract[Id],0)),0)</calculatedColumnFormula>
    </tableColumn>
    <tableColumn id="68" xr3:uid="{2D9AE98A-69DC-48FC-8A2B-87814161BBAE}" uniqueName="68" name="Claude" queryTableFieldId="68" dataDxfId="275">
      <calculatedColumnFormula>ISNUMBER(MATCH(ChargentOrders[[#This Row],[Id]],Claude[Id],0))</calculatedColumnFormula>
    </tableColumn>
    <tableColumn id="76" xr3:uid="{2B8183B6-ED1B-4280-B78D-684C63590FEE}" uniqueName="76" name="VALIDO" queryTableFieldId="83" dataDxfId="274">
      <calculatedColumnFormula>AND(ChargentOrders[[#This Row],[_Contract]],ChargentOrders[[#This Row],[CB Subscription]]=0)</calculatedColumnFormula>
    </tableColumn>
    <tableColumn id="10" xr3:uid="{895C870A-BD23-4302-B831-734771D3B004}" uniqueName="10" name="Next_Transaction" queryTableFieldId="84" dataDxfId="131">
      <calculatedColumnFormula>INDEX(Table5[CUENTA],MATCH(ChargentOrders[[#This Row],[Contract__c]],Table5[SM_Contract__c],0))</calculatedColumnFormula>
    </tableColumn>
    <tableColumn id="13" xr3:uid="{076607C2-7297-4958-9541-DE52DEE8185D}" uniqueName="13" name="estado payments" queryTableFieldId="85" dataDxfId="110">
      <calculatedColumnFormula>INDEX(Table5[ESTADO],MATCH(ChargentOrders[[#This Row],[Contract__c]],Table5[SM_Contract__c],0))</calculatedColumnFormula>
    </tableColumn>
    <tableColumn id="1" xr3:uid="{8C3C5292-51C2-4119-8F82-FA7866EBEA5C}" uniqueName="1" name="Id" queryTableFieldId="1" dataDxfId="273"/>
    <tableColumn id="2" xr3:uid="{484EA2FD-BDEC-48B3-BCE4-1680C08B94AF}" uniqueName="2" name="OwnerId" queryTableFieldId="2" dataDxfId="272"/>
    <tableColumn id="3" xr3:uid="{CB17F0BD-3759-44A6-A332-83DAF1261471}" uniqueName="3" name="Name" queryTableFieldId="3" dataDxfId="271"/>
    <tableColumn id="4" xr3:uid="{E1C3269E-BDB9-41CA-95EA-7D04CD11D4F6}" uniqueName="4" name="CreatedDate" queryTableFieldId="4" dataDxfId="270"/>
    <tableColumn id="5" xr3:uid="{29A74E58-A363-4467-9AD5-351113766A37}" uniqueName="5" name="ChargentOrders__Card_Expiration_Month__c" queryTableFieldId="5"/>
    <tableColumn id="6" xr3:uid="{6A549605-4368-403F-8DD2-FC37C2BB3874}" uniqueName="6" name="ChargentOrders__Card_Expiration_Year__c" queryTableFieldId="6"/>
    <tableColumn id="7" xr3:uid="{40FA37F1-D41A-43C3-9BDC-A71402031983}" uniqueName="7" name="ChargentOrders__Card_Last_4__c" queryTableFieldId="7" dataDxfId="269"/>
    <tableColumn id="8" xr3:uid="{DDAEC865-55F0-4441-BE87-454AB8D3D630}" uniqueName="8" name="ChargentOrders__Card_Month_Indicator__c" queryTableFieldId="8"/>
    <tableColumn id="9" xr3:uid="{70401F0E-3185-4C6A-A6E3-F6677E641E09}" uniqueName="9" name="ChargentOrders__Card_Number__c" queryTableFieldId="9" dataDxfId="268"/>
    <tableColumn id="69" xr3:uid="{895EE808-B7B3-4FB5-94FF-BAD740F7D3E5}" uniqueName="69" name="ChargentOrders__Card_Type__c" queryTableFieldId="69" dataDxfId="267"/>
    <tableColumn id="11" xr3:uid="{D9F2B174-EDAE-4239-9127-ED2B43C125B4}" uniqueName="11" name="ChargentOrders__Card_Year_Indicator__c" queryTableFieldId="11"/>
    <tableColumn id="12" xr3:uid="{E79B9F4E-CDE0-4F10-8364-8B95BEF8E638}" uniqueName="12" name="ChargentOrders__Charge_Amount__c" queryTableFieldId="12"/>
    <tableColumn id="70" xr3:uid="{653A2D24-58A1-4F90-B0C9-4A3F5670F337}" uniqueName="70" name="ChargentOrders__Charge_Date__c" queryTableFieldId="70"/>
    <tableColumn id="14" xr3:uid="{793241BC-2B19-49DC-87C0-B21CD2B75619}" uniqueName="14" name="ChargentOrders__Gateway__c" queryTableFieldId="14" dataDxfId="266"/>
    <tableColumn id="15" xr3:uid="{A15D8285-B7ED-4E9C-A3CB-FC6E57097E97}" uniqueName="15" name="ChargentOrders__Next_Transaction_Date__c" queryTableFieldId="15" dataDxfId="265"/>
    <tableColumn id="71" xr3:uid="{C6FF3F98-3DC2-4F5A-8F54-20FD3D0B2408}" uniqueName="71" name="ChargentOrders__No_Tax__c" queryTableFieldId="71"/>
    <tableColumn id="72" xr3:uid="{E5E299FC-3030-4998-A253-D030D6C0A6C2}" uniqueName="72" name="ChargentOrders__Payment_Method__c" queryTableFieldId="72" dataDxfId="264"/>
    <tableColumn id="18" xr3:uid="{89205E96-BB57-49C9-AA58-8CCAFEA60B03}" uniqueName="18" name="ChargentOrders__Payment_Start_Date__c" queryTableFieldId="18" dataDxfId="263"/>
    <tableColumn id="19" xr3:uid="{16AC6BA1-8DAA-4DC3-9B08-1CA7E05437D1}" uniqueName="19" name="ChargentOrders__Payment_Status__c" queryTableFieldId="19" dataDxfId="262"/>
    <tableColumn id="73" xr3:uid="{640C13D5-8E23-4520-AC8C-E427305B8D03}" uniqueName="73" name="ChargentOrders__Status__c" queryTableFieldId="73" dataDxfId="261"/>
    <tableColumn id="21" xr3:uid="{D106EAE2-F4FD-4850-8656-059D40EF3F9F}" uniqueName="21" name="ChargentOrders__Subtotal__c" queryTableFieldId="21"/>
    <tableColumn id="22" xr3:uid="{0DEC78F6-C5D9-4884-AB49-2AEE8E86876C}" uniqueName="22" name="ChargentOrders__Tax__c" queryTableFieldId="22"/>
    <tableColumn id="23" xr3:uid="{580F4C07-B60D-40DB-912E-613B631E65AA}" uniqueName="23" name="ChargentOrders__Tokenization__c" queryTableFieldId="23" dataDxfId="260"/>
    <tableColumn id="74" xr3:uid="{6C251C95-FCC6-4753-A208-3361C1B0979A}" uniqueName="74" name="ChargentOrders__Tracking_Number__c" queryTableFieldId="74" dataDxfId="259"/>
    <tableColumn id="75" xr3:uid="{99FB1EAB-76FE-4E4E-BC85-E40DDD788F17}" uniqueName="75" name="ChargentOrders__Update_Token__c" queryTableFieldId="75"/>
    <tableColumn id="26" xr3:uid="{9AADFFEA-E4DC-4D89-B3EF-BD31B74E8393}" uniqueName="26" name="ChargentOrders__Last_Recurring_Transaction__c" queryTableFieldId="26" dataDxfId="258"/>
    <tableColumn id="27" xr3:uid="{5545F0FE-2404-443B-B753-E439CDCC63BD}" uniqueName="27" name="ChargentOrders__Last_Transaction__c" queryTableFieldId="27" dataDxfId="257"/>
    <tableColumn id="28" xr3:uid="{3390DB28-CDBD-4006-8D13-8A66D229927A}" uniqueName="28" name="ChargentOrders__Transaction_Count_Recurring__c" queryTableFieldId="28"/>
    <tableColumn id="29" xr3:uid="{8710A78B-7F3B-49D2-8339-5117691ED3AE}" uniqueName="29" name="ChargentOrders__Transaction_Count__c" queryTableFieldId="29"/>
    <tableColumn id="30" xr3:uid="{7A3C91B7-2038-4A7C-9FA7-54CD05919B5D}" uniqueName="30" name="ChargentOrders__Transaction_Total__c" queryTableFieldId="30"/>
    <tableColumn id="31" xr3:uid="{4695EFA3-A089-47A7-87CB-20D4633FFCE6}" uniqueName="31" name="Contract__c" queryTableFieldId="31" dataDxfId="256"/>
    <tableColumn id="32" xr3:uid="{15E7043C-67E5-4868-97B1-41CAEDD1A980}" uniqueName="32" name="SM_Payment_Type__c" queryTableFieldId="32" dataDxfId="255"/>
    <tableColumn id="33" xr3:uid="{AE68319A-FBAB-4267-9BD9-2227218DD165}" uniqueName="33" name="SM_Id_Salesforce_LCS__c" queryTableFieldId="33" dataDxfId="254"/>
    <tableColumn id="34" xr3:uid="{AD9FDFAE-9C3A-4CC1-B46E-4BB0931157DE}" uniqueName="34" name="SM_Migrated__c" queryTableFieldId="34"/>
    <tableColumn id="35" xr3:uid="{0743F286-463C-4865-B37A-32F9CF6B2C58}" uniqueName="35" name="SM_Migration_Date__c" queryTableFieldId="35" dataDxfId="253"/>
    <tableColumn id="36" xr3:uid="{5E58E039-71C7-4D6F-A802-5C731E1AB5B2}" uniqueName="36" name="SM_Fee_to_collect__c" queryTableFieldId="36"/>
    <tableColumn id="37" xr3:uid="{DE4C439C-AC71-4B4D-B907-FF4C7A8403AD}" uniqueName="37" name="SM_P_IVU_Municipal_Amount__c" queryTableFieldId="37"/>
    <tableColumn id="38" xr3:uid="{BF6563A0-AF02-4F86-84BC-C7C18AD58C19}" uniqueName="38" name="SM_P_IVU_State_Amount__c" queryTableFieldId="38"/>
    <tableColumn id="39" xr3:uid="{DFE78CC3-EA4C-42ED-B5D0-05E35B3CAEC7}" uniqueName="39" name="SM_Purpose_of_Payment__c" queryTableFieldId="39" dataDxfId="252"/>
    <tableColumn id="40" xr3:uid="{9899BF37-6C20-4219-9BF2-016FA10436A3}" uniqueName="40" name="SM_ACH_Order_source__c" queryTableFieldId="40" dataDxfId="251"/>
    <tableColumn id="41" xr3:uid="{5160AA18-9DAB-4E6F-86D6-11B6E316C05E}" uniqueName="41" name="SM_Apply_Penalty__c" queryTableFieldId="41"/>
    <tableColumn id="42" xr3:uid="{C56C3590-79BC-4CA2-AAB4-82ED2CE1D3EE}" uniqueName="42" name="SM_Failed_Payment__c" queryTableFieldId="42" dataDxfId="250"/>
    <tableColumn id="43" xr3:uid="{D5933B26-2E85-4403-A4D8-E0C0C91D3BE0}" uniqueName="43" name="SM_IsRegisterToken__c" queryTableFieldId="43"/>
    <tableColumn id="44" xr3:uid="{51BA3062-8214-4880-9ECF-89BD4613634C}" uniqueName="44" name="SM_Penalty_Date__c" queryTableFieldId="44" dataDxfId="249"/>
    <tableColumn id="45" xr3:uid="{FA670C53-7D0D-474B-9356-D646984195C1}" uniqueName="45" name="SM_Penalty_Value__c" queryTableFieldId="45"/>
    <tableColumn id="46" xr3:uid="{93E38779-E5FF-4F49-BCD9-CAF06EEB2875}" uniqueName="46" name="SM_Tokenization_error__c" queryTableFieldId="46" dataDxfId="248"/>
    <tableColumn id="47" xr3:uid="{4BB1A355-0719-4235-8841-5C067F416330}" uniqueName="47" name="SM_User_Who_Applies_Penalty__c" queryTableFieldId="47" dataDxfId="247"/>
    <tableColumn id="48" xr3:uid="{CCEF04CE-40A2-49E1-BA3A-82E7A0C0975D}" uniqueName="48" name="SM_Approval_status__c" queryTableFieldId="48" dataDxfId="246"/>
    <tableColumn id="49" xr3:uid="{1C7B291E-61FD-422A-918F-05672C526990}" uniqueName="49" name="SM_Reason_to_approve_exoneration__c" queryTableFieldId="49" dataDxfId="245"/>
    <tableColumn id="50" xr3:uid="{D0CF4E7B-E7A4-45F1-9902-D35F15D8BE08}" uniqueName="50" name="SM_IsApplyingDaysCollectedPenalty__c" queryTableFieldId="50"/>
    <tableColumn id="51" xr3:uid="{3447C602-91FF-4D9A-90EA-349CD2CA56BD}" uniqueName="51" name="SM_Last_Rejected_Payment__c" queryTableFieldId="51" dataDxfId="244"/>
    <tableColumn id="52" xr3:uid="{D54E02BF-A3BE-41D5-8F52-681DFC7DD954}" uniqueName="52" name="SM_Last_Payment_date__c" queryTableFieldId="52" dataDxfId="243"/>
    <tableColumn id="53" xr3:uid="{291782DA-C3D2-48E5-A990-44EE48F4FB88}" uniqueName="53" name="Discount_Original_Subtotal__c" queryTableFieldId="53" dataDxfId="242"/>
    <tableColumn id="54" xr3:uid="{8310353F-75A3-4185-ACD3-BEC1F50A30E7}" uniqueName="54" name="SM_Discount_Type__c" queryTableFieldId="54" dataDxfId="241"/>
    <tableColumn id="55" xr3:uid="{C9E0DC49-EA2C-43D5-8398-D42F03C03125}" uniqueName="55" name="SM_Discount_Percentage__c" queryTableFieldId="55" dataDxfId="240"/>
    <tableColumn id="56" xr3:uid="{5D977EA2-DACF-4786-A961-433C4057DDE1}" uniqueName="56" name="SM_Discount_Value__c" queryTableFieldId="56" dataDxfId="239"/>
    <tableColumn id="57" xr3:uid="{24BA448C-C077-4654-B2CD-EDDEBAF88D63}" uniqueName="57" name="SM_Discount_Reason__c" queryTableFieldId="57" dataDxfId="238"/>
    <tableColumn id="58" xr3:uid="{7C2BA87D-533C-4A83-A6FB-01CE64814205}" uniqueName="58" name="SM_User_Who_Request_Discount__c" queryTableFieldId="58" dataDxfId="237"/>
    <tableColumn id="59" xr3:uid="{7E7C1161-C395-4FE5-BCF2-AEC1192EF5EF}" uniqueName="59" name="SM_User_Who_Applies_Discount__c" queryTableFieldId="59" dataDxfId="236"/>
    <tableColumn id="60" xr3:uid="{5F01896B-7014-4629-99B9-F17582520767}" uniqueName="60" name="SM_Discount_Status__c" queryTableFieldId="60" dataDxfId="235"/>
    <tableColumn id="61" xr3:uid="{0750FAB0-1506-4497-9FDF-DE8C433C2F88}" uniqueName="61" name="SM_Discount_Applies_Date__c" queryTableFieldId="61" dataDxfId="234"/>
    <tableColumn id="62" xr3:uid="{643DB3A8-E448-4FE7-AFBF-5CA53683960C}" uniqueName="62" name="SM_Apply_Discount__c" queryTableFieldId="62"/>
    <tableColumn id="63" xr3:uid="{7165A92E-4F1C-40BC-AF9E-9FCB1BC84270}" uniqueName="63" name="User_Who_Approve_Discount__c" queryTableFieldId="63" dataDxfId="233"/>
    <tableColumn id="64" xr3:uid="{B7BB5A27-23B5-47C6-8B41-CE50EDBCE568}" uniqueName="64" name="Discount_Original_Total__c" queryTableFieldId="64" dataDxfId="232"/>
    <tableColumn id="65" xr3:uid="{884C7F64-8957-4C5B-BE81-5A401EC9715D}" uniqueName="65" name="SM_PTP_Montly__c" queryTableFieldId="65" dataDxfId="23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629F08-D16A-421E-9CED-B71CDDAC365C}" name="Claude" displayName="Claude" ref="A2:CQ452" totalsRowShown="0" headerRowDxfId="230">
  <autoFilter ref="A2:CQ452" xr:uid="{31629F08-D16A-421E-9CED-B71CDDAC365C}"/>
  <sortState xmlns:xlrd2="http://schemas.microsoft.com/office/spreadsheetml/2017/richdata2" ref="A3:D3">
    <sortCondition ref="A2:A3"/>
  </sortState>
  <tableColumns count="95">
    <tableColumn id="2" xr3:uid="{22DED197-B1E4-4118-81A9-8C3492C9E92F}" name="en Chargent" dataDxfId="229">
      <calculatedColumnFormula>ISNUMBER(MATCH(Claude[[#This Row],[Id]],ChargentOrders[Id],0))</calculatedColumnFormula>
    </tableColumn>
    <tableColumn id="248" xr3:uid="{58D67C0C-4BB5-45EC-861F-CFB3A1F94299}" name="VALIDO" dataDxfId="228">
      <calculatedColumnFormula>INDEX(ChargentOrders[VALIDO],MATCH(Claude[[#This Row],[Id]],ChargentOrders[Id],0))</calculatedColumnFormula>
    </tableColumn>
    <tableColumn id="249" xr3:uid="{600018B0-A336-4A11-A2A6-21AB345E7C6D}" name="CB Subscription" dataDxfId="227">
      <calculatedColumnFormula>INDEX(Contract[CB_Subscription__c],MATCH(Claude[[#This Row],[Contract__c]],Contract[Id],0))</calculatedColumnFormula>
    </tableColumn>
    <tableColumn id="1" xr3:uid="{84282CE8-C76E-4FD8-9092-7F59B96E34FE}" name="Id" dataDxfId="226"/>
    <tableColumn id="157" xr3:uid="{25AA6055-9449-4924-BF1E-41D417AEA9D8}" name="OwnerId" dataDxfId="225"/>
    <tableColumn id="158" xr3:uid="{20D4DAAA-1ECA-46D7-92E6-2C14FA405D62}" name="IsDeleted" dataDxfId="224"/>
    <tableColumn id="159" xr3:uid="{A4BA0545-0633-42A7-94B9-89182D8851D0}" name="Name" dataDxfId="223"/>
    <tableColumn id="160" xr3:uid="{CDC140B5-BFFD-442F-8A2C-C3CF516D5ED1}" name="CreatedDate" dataDxfId="222"/>
    <tableColumn id="161" xr3:uid="{0A1B37FB-8835-415F-BA1E-70E544C56728}" name="CreatedById" dataDxfId="221"/>
    <tableColumn id="162" xr3:uid="{388ED296-ED4B-4CCB-9BA7-0968C1936DF8}" name="LastModifiedDate" dataDxfId="220"/>
    <tableColumn id="163" xr3:uid="{F8384D62-153A-4F92-9238-A0F77A241731}" name="LastModifiedById" dataDxfId="219"/>
    <tableColumn id="164" xr3:uid="{D651150B-93F6-4B84-8C89-B5EFA2518C5D}" name="SystemModstamp" dataDxfId="218"/>
    <tableColumn id="165" xr3:uid="{D3937AAE-1170-4CD4-92F3-275396AAE716}" name="LastActivityDate" dataDxfId="217"/>
    <tableColumn id="166" xr3:uid="{AA2D7C39-5C2A-4820-B0EE-1BE63AA78316}" name="ChargentOrders__Account__c" dataDxfId="216"/>
    <tableColumn id="167" xr3:uid="{34A1A51E-2093-4D1C-8759-4CA471DA7A8E}" name="ChargentOrders__Billing_Address__c" dataDxfId="215"/>
    <tableColumn id="168" xr3:uid="{759EF3A1-A736-4544-845A-C15690C31A80}" name="ChargentOrders__Billing_City__c" dataDxfId="214"/>
    <tableColumn id="169" xr3:uid="{2CA04320-A45B-4654-9DE6-6F451AA648F1}" name="ChargentOrders__Billing_Country__c" dataDxfId="213"/>
    <tableColumn id="170" xr3:uid="{E1ECB08A-2A54-4EE9-B000-7BD73D0EB489}" name="ChargentOrders__Billing_Email__c" dataDxfId="212"/>
    <tableColumn id="171" xr3:uid="{75CC050D-64E1-4719-B11F-E70FD1C0D936}" name="ChargentOrders__Billing_First_Name__c" dataDxfId="211"/>
    <tableColumn id="172" xr3:uid="{262F46AC-DD71-48B8-A67D-344EA3002B56}" name="ChargentOrders__Billing_Last_Name__c" dataDxfId="210"/>
    <tableColumn id="173" xr3:uid="{B36DFE71-75A2-4D51-82AB-F9655E14E4EC}" name="ChargentOrders__Billing_State__c" dataDxfId="209"/>
    <tableColumn id="174" xr3:uid="{8479A8F0-6E70-4EF7-B675-908684F740D4}" name="ChargentOrders__Billing_Zip_Postal__c" dataDxfId="208"/>
    <tableColumn id="175" xr3:uid="{5E82CD10-FEB9-48C3-BE15-6A43E6344D46}" name="ChargentOrders__Card_Expiration_Month__c" dataDxfId="207"/>
    <tableColumn id="176" xr3:uid="{61DFDA3E-61E8-4327-8DE3-616B487F0507}" name="ChargentOrders__Card_Expiration_Year__c" dataDxfId="206"/>
    <tableColumn id="177" xr3:uid="{6DDBC209-8F17-4432-A35D-6AA754C8A446}" name="ChargentOrders__Card_Last_4__c" dataDxfId="205"/>
    <tableColumn id="178" xr3:uid="{20784A38-E21A-4894-B7BE-E8CD2311E2F3}" name="ChargentOrders__Card_Month_Indicator__c" dataDxfId="204"/>
    <tableColumn id="179" xr3:uid="{E33584D9-4DBE-4B54-A634-320420E8A089}" name="ChargentOrders__Card_Number__c" dataDxfId="203"/>
    <tableColumn id="180" xr3:uid="{471338B3-07F1-4391-9D7A-3E94E630EC6E}" name="ChargentOrders__Card_Type__c" dataDxfId="202"/>
    <tableColumn id="181" xr3:uid="{35529E2E-7192-4E39-8418-A5040958A4BE}" name="ChargentOrders__Card_Year_Indicator__c" dataDxfId="201"/>
    <tableColumn id="182" xr3:uid="{7C6D4D12-8D40-4647-988D-CEB888D79E17}" name="ChargentOrders__Charge_Amount__c" dataDxfId="200"/>
    <tableColumn id="183" xr3:uid="{C139D308-3DED-46A2-A20F-5FF9ABDCAEDA}" name="ChargentOrders__Charge_Date__c" dataDxfId="199"/>
    <tableColumn id="184" xr3:uid="{CA627C6C-BC16-4D41-A0FF-BB4A310AD294}" name="ChargentOrders__Currency__c" dataDxfId="198"/>
    <tableColumn id="185" xr3:uid="{410516D3-63C4-4280-88C6-0D717689EE8F}" name="ChargentOrders__Date__c" dataDxfId="197"/>
    <tableColumn id="186" xr3:uid="{E964A1E0-D299-40E3-A09E-22B477FDC934}" name="ChargentOrders__Gateway__c" dataDxfId="196"/>
    <tableColumn id="187" xr3:uid="{3A1A8852-1D9E-4379-B929-9C261DA5009E}" name="ChargentOrders__Manual_Charge__c" dataDxfId="195"/>
    <tableColumn id="188" xr3:uid="{1807819A-37E7-47FE-870E-94B848B6B0B5}" name="ChargentOrders__Next_Transaction_Date__c" dataDxfId="194"/>
    <tableColumn id="189" xr3:uid="{DF39D368-C446-4487-9377-23158F9087A0}" name="ChargentOrders__No_Tax__c" dataDxfId="193"/>
    <tableColumn id="190" xr3:uid="{7A16472C-493B-495D-85DF-323E31784AF1}" name="ChargentOrders__OrderSource__c" dataDxfId="192"/>
    <tableColumn id="191" xr3:uid="{21D285EA-07CB-4ECC-95D6-D02C2E88686F}" name="ChargentOrders__Payment_Count__c" dataDxfId="191"/>
    <tableColumn id="192" xr3:uid="{65A95345-B9C5-477B-B8F1-DA23B723E890}" name="ChargentOrders__Payment_End_Date__c" dataDxfId="190"/>
    <tableColumn id="193" xr3:uid="{DAFF8C35-EE63-43AC-AC14-747F2CC21106}" name="ChargentOrders__Payment_Frequency__c" dataDxfId="189"/>
    <tableColumn id="194" xr3:uid="{0D0AC9CF-8B14-42DB-8A8C-F60A1820EA1E}" name="ChargentOrders__Payment_Method__c" dataDxfId="188"/>
    <tableColumn id="195" xr3:uid="{C720AA3A-7546-403F-A668-CC407C4056E1}" name="ChargentOrders__Payment_Received__c" dataDxfId="187"/>
    <tableColumn id="196" xr3:uid="{0E84B78B-7E60-4286-8A78-0AE4F6E0539E}" name="ChargentOrders__Payment_Start_Date__c" dataDxfId="186"/>
    <tableColumn id="197" xr3:uid="{6D451905-7E00-4519-9042-D67CB812302C}" name="ChargentOrders__Payment_Status__c" dataDxfId="185"/>
    <tableColumn id="198" xr3:uid="{D1F6EBAF-2004-4D3A-B033-005051DAE91F}" name="ChargentOrders__Payment_Stop__c" dataDxfId="184"/>
    <tableColumn id="199" xr3:uid="{648CF67D-CB9E-48EC-B294-A9C65C78C67A}" name="ChargentOrders__Subtotal__c" dataDxfId="183"/>
    <tableColumn id="200" xr3:uid="{DF5EBDCD-81C9-4CCD-A53F-E5DCA9C24933}" name="ChargentOrders__Tax_Exempt__c" dataDxfId="182"/>
    <tableColumn id="201" xr3:uid="{845ED3A5-C2E3-4E41-870C-D2974D83D368}" name="ChargentOrders__Tax__c" dataDxfId="181"/>
    <tableColumn id="202" xr3:uid="{A057A5AF-9202-4D9C-A062-B5F11262EE7F}" name="ChargentOrders__Tokenization__c" dataDxfId="180"/>
    <tableColumn id="203" xr3:uid="{C1ED17CC-5B85-4EDC-B900-AAF98C2E55E2}" name="ChargentOrders__Update_Token__c" dataDxfId="179"/>
    <tableColumn id="204" xr3:uid="{90BB5959-8EDD-4C07-9DF6-5BDB22F5F928}" name="ChargentOrders__Last_Recurring_Transaction__c" dataDxfId="178"/>
    <tableColumn id="205" xr3:uid="{452A34C7-B888-4546-BDE8-08E512462A1E}" name="ChargentOrders__Last_Transaction__c" dataDxfId="177"/>
    <tableColumn id="206" xr3:uid="{13D3D5CE-65EF-4F80-A973-4735C58BD4F1}" name="ChargentOrders__Transaction_Count_Recurring__c" dataDxfId="176"/>
    <tableColumn id="207" xr3:uid="{9D489D00-2CFD-41E0-8369-6EA98817D75B}" name="ChargentOrders__Transaction_Count__c" dataDxfId="175"/>
    <tableColumn id="208" xr3:uid="{6AB941F1-D4ED-499D-AFB6-3334F291F8B2}" name="ChargentOrders__Transaction_Total__c" dataDxfId="174"/>
    <tableColumn id="209" xr3:uid="{A579638D-99D5-48E6-BC41-B04AADEA9F77}" name="Contract__c" dataDxfId="173"/>
    <tableColumn id="210" xr3:uid="{C183B918-55FF-4D56-B63C-C7AB52B97C80}" name="SM_Payment_Type__c" dataDxfId="172"/>
    <tableColumn id="211" xr3:uid="{75D274B0-7460-4DFD-9D12-242309EA109A}" name="SM_Id_Salesforce_LCS__c" dataDxfId="171"/>
    <tableColumn id="212" xr3:uid="{2EBA1A2F-AE0E-4494-A1D1-BA756D16BAA9}" name="SM_Migrated__c" dataDxfId="170"/>
    <tableColumn id="213" xr3:uid="{F1124331-7069-4D0E-ACA3-C0F8DEA15289}" name="SM_Migration_Date__c" dataDxfId="169"/>
    <tableColumn id="214" xr3:uid="{EC4FECB5-258D-4E06-B100-56FFCC985FC4}" name="SM_Fee_to_collect__c" dataDxfId="168"/>
    <tableColumn id="215" xr3:uid="{B5AEC8CB-912D-4B0D-A814-90267AF9D0D1}" name="SM_P_IVU_Municipal_Amount__c" dataDxfId="167"/>
    <tableColumn id="216" xr3:uid="{26306773-CBCE-44F6-BC0F-F28D7AA24205}" name="SM_P_IVU_State_Amount__c" dataDxfId="166"/>
    <tableColumn id="217" xr3:uid="{2BC916FE-8071-4296-A0AA-CFD1F42DBEF1}" name="SM_Purpose_of_Payment__c" dataDxfId="165"/>
    <tableColumn id="218" xr3:uid="{6D9E04BC-E104-425D-8430-57360B582466}" name="SM_ACH_Order_source__c" dataDxfId="164"/>
    <tableColumn id="219" xr3:uid="{63081318-2549-4BCE-AFE9-7E29EE1E25AC}" name="SM_Apply_Penalty__c" dataDxfId="163"/>
    <tableColumn id="220" xr3:uid="{BFB8B8B4-DB11-42A0-9A50-44338AD207F5}" name="SM_Failed_Payment__c" dataDxfId="162"/>
    <tableColumn id="221" xr3:uid="{859C0F30-896C-4E99-B24A-74762F778CE1}" name="SM_IsRegisterToken__c" dataDxfId="161"/>
    <tableColumn id="222" xr3:uid="{93A19F7B-454A-4169-AEF1-C48FBD3C56BD}" name="SM_Penalty_Date__c" dataDxfId="160"/>
    <tableColumn id="223" xr3:uid="{053DD17B-B229-4F0A-816E-B9DBC5576B14}" name="SM_Penalty_Value__c" dataDxfId="159"/>
    <tableColumn id="224" xr3:uid="{ABC215B7-6E93-43AF-856D-21DD5ABD9484}" name="SM_User_Who_Applies_Penalty__c" dataDxfId="158"/>
    <tableColumn id="225" xr3:uid="{8D96BECC-4084-4BB9-BA26-61A46FFECA09}" name="SM_Approval_status__c" dataDxfId="157"/>
    <tableColumn id="226" xr3:uid="{10712CF2-303C-4A81-AECB-EB519B5C5EC9}" name="SM_Reason_to_approve_exoneration__c" dataDxfId="156"/>
    <tableColumn id="227" xr3:uid="{4E1655FC-0388-435F-8B59-5312247982D6}" name="SM_IsApplyingDaysCollectedPenalty__c" dataDxfId="155"/>
    <tableColumn id="228" xr3:uid="{49513956-D98A-4846-BC44-7BAA17079937}" name="SM_Last_Rejected_Payment__c" dataDxfId="154"/>
    <tableColumn id="229" xr3:uid="{E9EBF5FD-0BDE-4E6C-9693-75ED8DF208EE}" name="SM_Last_Payment_date__c" dataDxfId="153"/>
    <tableColumn id="230" xr3:uid="{3515759D-E24C-4A67-8488-9284DE842BA8}" name="Discount_Original_Subtotal__c" dataDxfId="152"/>
    <tableColumn id="231" xr3:uid="{638E8C01-B613-491E-9F8D-DB07C86BBCB8}" name="SM_Discount_Type__c" dataDxfId="151"/>
    <tableColumn id="232" xr3:uid="{F88F8538-87BA-4846-B2A2-9611BF48EEF6}" name="SM_Discount_Percentage__c" dataDxfId="150"/>
    <tableColumn id="233" xr3:uid="{79A021DA-7EA1-406F-9715-88C52C90B6D2}" name="SM_Discount_Value__c" dataDxfId="149"/>
    <tableColumn id="234" xr3:uid="{3E509ADC-C7DC-44B6-AD2B-2A61ECCB05A0}" name="SM_Discount_Reason__c" dataDxfId="148"/>
    <tableColumn id="235" xr3:uid="{AAB7E98F-42B2-42AE-9F3C-0DFBDB667501}" name="SM_User_Who_Request_Discount__c" dataDxfId="147"/>
    <tableColumn id="236" xr3:uid="{24718302-37AC-4AEB-84B8-F296D159D9D2}" name="SM_User_Who_Applies_Discount__c" dataDxfId="146"/>
    <tableColumn id="237" xr3:uid="{D4BA10D3-9C4D-4E2C-8E37-27EE53410C2E}" name="SM_Discount_Status__c" dataDxfId="145"/>
    <tableColumn id="238" xr3:uid="{5B66EEE5-F08C-42F0-B078-F5F328A61FFD}" name="SM_Discount_Applies_Date__c" dataDxfId="144"/>
    <tableColumn id="239" xr3:uid="{499E41AA-40BD-40F3-9505-36AFB2A34B30}" name="SM_Apply_Discount__c" dataDxfId="143"/>
    <tableColumn id="240" xr3:uid="{73D821F0-8466-4481-AD02-4C95D1DA462B}" name="User_Who_Approve_Discount__c" dataDxfId="142"/>
    <tableColumn id="241" xr3:uid="{E9F84FB5-09F2-45D9-9F92-FE6F7A4E42C3}" name="Discount_Original_Total__c" dataDxfId="141"/>
    <tableColumn id="242" xr3:uid="{D4DA1B7D-3CDD-4CD0-94BC-F07BD3BC204C}" name="ChargentOrders__Contact__c" dataDxfId="140"/>
    <tableColumn id="243" xr3:uid="{A5E8434B-A3FD-45B5-A3E0-D5C5D608FD76}" name="SM_PTP_Montly__c" dataDxfId="139"/>
    <tableColumn id="244" xr3:uid="{127983B1-5B72-4BA8-92E9-28FF76ADBCEA}" name="ChargentOrders__Waive_Fee__c" dataDxfId="138"/>
    <tableColumn id="245" xr3:uid="{86491FAF-059C-4FBE-B282-A2077267478A}" name="Merchant_Descriptor_State__c" dataDxfId="137"/>
    <tableColumn id="246" xr3:uid="{0198A4DD-2D3C-49AC-968A-59BFEC626969}" name="Pmnt_Token_Migrated_to_CB_PM_Source_ID__c" dataDxfId="136"/>
    <tableColumn id="247" xr3:uid="{48716F03-8E76-4155-9FF0-087A6A47C0C1}" name="Pmnt_Token_Migrated_to_CB_Error__c" dataDxfId="1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5335-FBAC-4AB1-8221-60B00E47C307}">
  <dimension ref="A1:G3940"/>
  <sheetViews>
    <sheetView workbookViewId="0">
      <selection activeCell="E2" sqref="E2"/>
    </sheetView>
  </sheetViews>
  <sheetFormatPr defaultRowHeight="14.5" x14ac:dyDescent="0.35"/>
  <cols>
    <col min="1" max="1" width="21.453125" bestFit="1" customWidth="1"/>
    <col min="5" max="5" width="15" bestFit="1" customWidth="1"/>
    <col min="7" max="7" width="23.26953125" customWidth="1"/>
  </cols>
  <sheetData>
    <row r="1" spans="1:7" x14ac:dyDescent="0.35">
      <c r="A1" s="35" t="s">
        <v>0</v>
      </c>
      <c r="E1" t="s">
        <v>3802</v>
      </c>
      <c r="F1" t="s">
        <v>0</v>
      </c>
      <c r="G1" t="s">
        <v>1556</v>
      </c>
    </row>
    <row r="2" spans="1:7" x14ac:dyDescent="0.35">
      <c r="A2" s="36" t="s">
        <v>112</v>
      </c>
      <c r="B2" t="str">
        <f>"'"&amp;A2&amp;"'"</f>
        <v>'8008W0000055W7KQAU'</v>
      </c>
      <c r="E2" t="s">
        <v>3803</v>
      </c>
      <c r="F2" t="s">
        <v>2368</v>
      </c>
      <c r="G2" t="s">
        <v>3804</v>
      </c>
    </row>
    <row r="3" spans="1:7" x14ac:dyDescent="0.35">
      <c r="A3" s="37" t="s">
        <v>159</v>
      </c>
      <c r="B3" t="str">
        <f>B2&amp;",'"&amp;A3&amp;"'"</f>
        <v>'8008W0000055W7KQAU','800UU000006eB2xYAE'</v>
      </c>
      <c r="E3" t="s">
        <v>3803</v>
      </c>
      <c r="F3" t="s">
        <v>126</v>
      </c>
      <c r="G3" t="s">
        <v>3804</v>
      </c>
    </row>
    <row r="4" spans="1:7" x14ac:dyDescent="0.35">
      <c r="A4" s="36" t="s">
        <v>179</v>
      </c>
      <c r="B4" t="str">
        <f t="shared" ref="B4:B67" si="0">B3&amp;",'"&amp;A4&amp;"'"</f>
        <v>'8008W0000055W7KQAU','800UU000006eB2xYAE','800UU00000HS91pYAD'</v>
      </c>
      <c r="E4" t="s">
        <v>3803</v>
      </c>
      <c r="F4" t="s">
        <v>2371</v>
      </c>
      <c r="G4" t="s">
        <v>3805</v>
      </c>
    </row>
    <row r="5" spans="1:7" x14ac:dyDescent="0.35">
      <c r="A5" s="37" t="s">
        <v>197</v>
      </c>
      <c r="B5" t="str">
        <f t="shared" si="0"/>
        <v>'8008W0000055W7KQAU','800UU000006eB2xYAE','800UU00000HS91pYAD','800UU00000J4rfVYAR'</v>
      </c>
      <c r="E5" t="s">
        <v>3803</v>
      </c>
      <c r="F5" t="s">
        <v>153</v>
      </c>
      <c r="G5" t="s">
        <v>3804</v>
      </c>
    </row>
    <row r="6" spans="1:7" x14ac:dyDescent="0.35">
      <c r="A6" s="36" t="s">
        <v>220</v>
      </c>
      <c r="B6" t="str">
        <f t="shared" si="0"/>
        <v>'8008W0000055W7KQAU','800UU000006eB2xYAE','800UU00000HS91pYAD','800UU00000J4rfVYAR','800UU00000M8FlEYAV'</v>
      </c>
      <c r="E6" t="s">
        <v>3803</v>
      </c>
      <c r="F6" t="s">
        <v>3806</v>
      </c>
      <c r="G6" t="s">
        <v>3804</v>
      </c>
    </row>
    <row r="7" spans="1:7" x14ac:dyDescent="0.35">
      <c r="A7" s="37" t="s">
        <v>235</v>
      </c>
      <c r="B7" t="str">
        <f t="shared" si="0"/>
        <v>'8008W0000055W7KQAU','800UU000006eB2xYAE','800UU00000HS91pYAD','800UU00000J4rfVYAR','800UU00000M8FlEYAV','800UU00000N36DJYAZ'</v>
      </c>
      <c r="E7" t="s">
        <v>3803</v>
      </c>
      <c r="F7" t="s">
        <v>2374</v>
      </c>
      <c r="G7" t="s">
        <v>3804</v>
      </c>
    </row>
    <row r="8" spans="1:7" x14ac:dyDescent="0.35">
      <c r="A8" s="36" t="s">
        <v>253</v>
      </c>
      <c r="B8" t="str">
        <f t="shared" si="0"/>
        <v>'8008W0000055W7KQAU','800UU000006eB2xYAE','800UU00000HS91pYAD','800UU00000J4rfVYAR','800UU00000M8FlEYAV','800UU00000N36DJYAZ','800UU00000NfC87YAF'</v>
      </c>
      <c r="E8" t="s">
        <v>3803</v>
      </c>
      <c r="F8" t="s">
        <v>2377</v>
      </c>
      <c r="G8" t="s">
        <v>3804</v>
      </c>
    </row>
    <row r="9" spans="1:7" x14ac:dyDescent="0.35">
      <c r="A9" s="37" t="s">
        <v>265</v>
      </c>
      <c r="B9" t="str">
        <f t="shared" si="0"/>
        <v>'8008W0000055W7KQAU','800UU000006eB2xYAE','800UU00000HS91pYAD','800UU00000J4rfVYAR','800UU00000M8FlEYAV','800UU00000N36DJYAZ','800UU00000NfC87YAF','800UU00000O4xgWYAR'</v>
      </c>
      <c r="E9" t="s">
        <v>3803</v>
      </c>
      <c r="F9" t="s">
        <v>2380</v>
      </c>
      <c r="G9" t="s">
        <v>3804</v>
      </c>
    </row>
    <row r="10" spans="1:7" x14ac:dyDescent="0.35">
      <c r="A10" s="36" t="s">
        <v>1608</v>
      </c>
      <c r="B10" t="str">
        <f t="shared" si="0"/>
        <v>'8008W0000055W7KQAU','800UU000006eB2xYAE','800UU00000HS91pYAD','800UU00000J4rfVYAR','800UU00000M8FlEYAV','800UU00000N36DJYAZ','800UU00000NfC87YAF','800UU00000O4xgWYAR','800UU00000QPHI5YAP'</v>
      </c>
      <c r="E10" t="s">
        <v>3803</v>
      </c>
      <c r="F10" t="s">
        <v>2383</v>
      </c>
      <c r="G10" t="s">
        <v>3804</v>
      </c>
    </row>
    <row r="11" spans="1:7" x14ac:dyDescent="0.35">
      <c r="A11" s="37" t="s">
        <v>1611</v>
      </c>
      <c r="B11" t="str">
        <f t="shared" si="0"/>
        <v>'8008W0000055W7KQAU','800UU000006eB2xYAE','800UU00000HS91pYAD','800UU00000J4rfVYAR','800UU00000M8FlEYAV','800UU00000N36DJYAZ','800UU00000NfC87YAF','800UU00000O4xgWYAR','800UU00000QPHI5YAP','800UU00000QPHI7YAP'</v>
      </c>
      <c r="E11" t="s">
        <v>3803</v>
      </c>
      <c r="F11" t="s">
        <v>2386</v>
      </c>
      <c r="G11" t="s">
        <v>3804</v>
      </c>
    </row>
    <row r="12" spans="1:7" x14ac:dyDescent="0.35">
      <c r="A12" s="36" t="s">
        <v>1612</v>
      </c>
      <c r="B1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</v>
      </c>
      <c r="E12" t="s">
        <v>3803</v>
      </c>
      <c r="F12" t="s">
        <v>2389</v>
      </c>
      <c r="G12" t="s">
        <v>3804</v>
      </c>
    </row>
    <row r="13" spans="1:7" x14ac:dyDescent="0.35">
      <c r="A13" s="37" t="s">
        <v>1614</v>
      </c>
      <c r="B1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</v>
      </c>
      <c r="E13" t="s">
        <v>3803</v>
      </c>
      <c r="F13" t="s">
        <v>2392</v>
      </c>
      <c r="G13" t="s">
        <v>3804</v>
      </c>
    </row>
    <row r="14" spans="1:7" x14ac:dyDescent="0.35">
      <c r="A14" s="36" t="s">
        <v>1616</v>
      </c>
      <c r="B1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</v>
      </c>
      <c r="E14" t="s">
        <v>3803</v>
      </c>
      <c r="F14" t="s">
        <v>2395</v>
      </c>
      <c r="G14" t="s">
        <v>3804</v>
      </c>
    </row>
    <row r="15" spans="1:7" x14ac:dyDescent="0.35">
      <c r="A15" s="37" t="s">
        <v>332</v>
      </c>
      <c r="B1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</v>
      </c>
      <c r="E15" t="s">
        <v>3803</v>
      </c>
      <c r="F15" t="s">
        <v>2398</v>
      </c>
      <c r="G15" t="s">
        <v>3804</v>
      </c>
    </row>
    <row r="16" spans="1:7" x14ac:dyDescent="0.35">
      <c r="A16" s="36" t="s">
        <v>356</v>
      </c>
      <c r="B1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</v>
      </c>
      <c r="E16" t="s">
        <v>3803</v>
      </c>
      <c r="F16" t="s">
        <v>2401</v>
      </c>
      <c r="G16" t="s">
        <v>3804</v>
      </c>
    </row>
    <row r="17" spans="1:7" x14ac:dyDescent="0.35">
      <c r="A17" s="37" t="s">
        <v>369</v>
      </c>
      <c r="B1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</v>
      </c>
      <c r="E17" t="s">
        <v>3803</v>
      </c>
      <c r="F17" t="s">
        <v>3807</v>
      </c>
      <c r="G17" t="s">
        <v>3804</v>
      </c>
    </row>
    <row r="18" spans="1:7" x14ac:dyDescent="0.35">
      <c r="A18" s="36" t="s">
        <v>378</v>
      </c>
      <c r="B18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</v>
      </c>
      <c r="E18" t="s">
        <v>3803</v>
      </c>
      <c r="F18" t="s">
        <v>3808</v>
      </c>
      <c r="G18" t="s">
        <v>3804</v>
      </c>
    </row>
    <row r="19" spans="1:7" x14ac:dyDescent="0.35">
      <c r="A19" s="37" t="s">
        <v>407</v>
      </c>
      <c r="B19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</v>
      </c>
      <c r="E19" t="s">
        <v>3803</v>
      </c>
      <c r="F19" t="s">
        <v>3809</v>
      </c>
      <c r="G19" t="s">
        <v>3804</v>
      </c>
    </row>
    <row r="20" spans="1:7" x14ac:dyDescent="0.35">
      <c r="A20" s="36" t="s">
        <v>415</v>
      </c>
      <c r="B20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</v>
      </c>
      <c r="E20" t="s">
        <v>3803</v>
      </c>
      <c r="F20" t="s">
        <v>3810</v>
      </c>
      <c r="G20" t="s">
        <v>3804</v>
      </c>
    </row>
    <row r="21" spans="1:7" x14ac:dyDescent="0.35">
      <c r="A21" s="37" t="s">
        <v>424</v>
      </c>
      <c r="B21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</v>
      </c>
      <c r="E21" t="s">
        <v>3803</v>
      </c>
      <c r="F21" t="s">
        <v>3811</v>
      </c>
      <c r="G21" t="s">
        <v>3804</v>
      </c>
    </row>
    <row r="22" spans="1:7" x14ac:dyDescent="0.35">
      <c r="A22" s="36" t="s">
        <v>480</v>
      </c>
      <c r="B2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</v>
      </c>
      <c r="E22" t="s">
        <v>3803</v>
      </c>
      <c r="F22" t="s">
        <v>3812</v>
      </c>
      <c r="G22" t="s">
        <v>3804</v>
      </c>
    </row>
    <row r="23" spans="1:7" x14ac:dyDescent="0.35">
      <c r="A23" s="37" t="s">
        <v>490</v>
      </c>
      <c r="B2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</v>
      </c>
      <c r="E23" t="s">
        <v>3803</v>
      </c>
      <c r="F23" t="s">
        <v>3813</v>
      </c>
      <c r="G23" t="s">
        <v>3804</v>
      </c>
    </row>
    <row r="24" spans="1:7" x14ac:dyDescent="0.35">
      <c r="A24" s="36" t="s">
        <v>516</v>
      </c>
      <c r="B2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</v>
      </c>
      <c r="E24" t="s">
        <v>3803</v>
      </c>
      <c r="F24" t="s">
        <v>3814</v>
      </c>
      <c r="G24" t="s">
        <v>3804</v>
      </c>
    </row>
    <row r="25" spans="1:7" x14ac:dyDescent="0.35">
      <c r="A25" s="37" t="s">
        <v>563</v>
      </c>
      <c r="B2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</v>
      </c>
      <c r="E25" t="s">
        <v>3803</v>
      </c>
      <c r="F25" t="s">
        <v>3815</v>
      </c>
      <c r="G25" t="s">
        <v>3804</v>
      </c>
    </row>
    <row r="26" spans="1:7" x14ac:dyDescent="0.35">
      <c r="A26" s="36" t="s">
        <v>582</v>
      </c>
      <c r="B2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</v>
      </c>
      <c r="E26" t="s">
        <v>3803</v>
      </c>
      <c r="F26" t="s">
        <v>3816</v>
      </c>
      <c r="G26" t="s">
        <v>3804</v>
      </c>
    </row>
    <row r="27" spans="1:7" x14ac:dyDescent="0.35">
      <c r="A27" s="37" t="s">
        <v>576</v>
      </c>
      <c r="B2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</v>
      </c>
      <c r="E27" t="s">
        <v>3803</v>
      </c>
      <c r="F27" t="s">
        <v>3817</v>
      </c>
      <c r="G27" t="s">
        <v>3804</v>
      </c>
    </row>
    <row r="28" spans="1:7" x14ac:dyDescent="0.35">
      <c r="A28" s="36" t="s">
        <v>1399</v>
      </c>
      <c r="B28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</v>
      </c>
      <c r="E28" t="s">
        <v>3803</v>
      </c>
      <c r="F28" t="s">
        <v>3818</v>
      </c>
      <c r="G28" t="s">
        <v>3804</v>
      </c>
    </row>
    <row r="29" spans="1:7" x14ac:dyDescent="0.35">
      <c r="A29" s="37" t="s">
        <v>588</v>
      </c>
      <c r="B29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</v>
      </c>
      <c r="E29" t="s">
        <v>3803</v>
      </c>
      <c r="F29" t="s">
        <v>191</v>
      </c>
      <c r="G29" t="s">
        <v>3819</v>
      </c>
    </row>
    <row r="30" spans="1:7" x14ac:dyDescent="0.35">
      <c r="A30" s="36" t="s">
        <v>597</v>
      </c>
      <c r="B30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</v>
      </c>
      <c r="E30" t="s">
        <v>3803</v>
      </c>
      <c r="F30" t="s">
        <v>3820</v>
      </c>
      <c r="G30" t="s">
        <v>3819</v>
      </c>
    </row>
    <row r="31" spans="1:7" x14ac:dyDescent="0.35">
      <c r="A31" s="37" t="s">
        <v>605</v>
      </c>
      <c r="B31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</v>
      </c>
      <c r="E31" t="s">
        <v>3803</v>
      </c>
      <c r="F31" t="s">
        <v>2404</v>
      </c>
      <c r="G31" t="s">
        <v>3819</v>
      </c>
    </row>
    <row r="32" spans="1:7" x14ac:dyDescent="0.35">
      <c r="A32" s="36" t="s">
        <v>617</v>
      </c>
      <c r="B3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</v>
      </c>
      <c r="E32" t="s">
        <v>3803</v>
      </c>
      <c r="F32" t="s">
        <v>3821</v>
      </c>
      <c r="G32" t="s">
        <v>3819</v>
      </c>
    </row>
    <row r="33" spans="1:7" x14ac:dyDescent="0.35">
      <c r="A33" s="37" t="s">
        <v>623</v>
      </c>
      <c r="B3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</v>
      </c>
      <c r="E33" t="s">
        <v>3803</v>
      </c>
      <c r="F33" t="s">
        <v>3822</v>
      </c>
      <c r="G33" t="s">
        <v>3819</v>
      </c>
    </row>
    <row r="34" spans="1:7" x14ac:dyDescent="0.35">
      <c r="A34" s="36" t="s">
        <v>635</v>
      </c>
      <c r="B3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</v>
      </c>
      <c r="E34" t="s">
        <v>3803</v>
      </c>
      <c r="F34" t="s">
        <v>3823</v>
      </c>
      <c r="G34" t="s">
        <v>3819</v>
      </c>
    </row>
    <row r="35" spans="1:7" x14ac:dyDescent="0.35">
      <c r="A35" s="37" t="s">
        <v>631</v>
      </c>
      <c r="B3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</v>
      </c>
      <c r="E35" t="s">
        <v>3803</v>
      </c>
      <c r="F35" t="s">
        <v>3824</v>
      </c>
      <c r="G35" t="s">
        <v>3819</v>
      </c>
    </row>
    <row r="36" spans="1:7" x14ac:dyDescent="0.35">
      <c r="A36" s="36" t="s">
        <v>645</v>
      </c>
      <c r="B3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</v>
      </c>
      <c r="E36" t="s">
        <v>3803</v>
      </c>
      <c r="F36" t="s">
        <v>3825</v>
      </c>
      <c r="G36" t="s">
        <v>3819</v>
      </c>
    </row>
    <row r="37" spans="1:7" x14ac:dyDescent="0.35">
      <c r="A37" s="37" t="s">
        <v>651</v>
      </c>
      <c r="B3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</v>
      </c>
      <c r="E37" t="s">
        <v>3803</v>
      </c>
      <c r="F37" t="s">
        <v>3826</v>
      </c>
      <c r="G37" t="s">
        <v>3819</v>
      </c>
    </row>
    <row r="38" spans="1:7" x14ac:dyDescent="0.35">
      <c r="A38" s="36" t="s">
        <v>695</v>
      </c>
      <c r="B38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</v>
      </c>
      <c r="E38" t="s">
        <v>3803</v>
      </c>
      <c r="F38" t="s">
        <v>205</v>
      </c>
      <c r="G38" t="s">
        <v>3819</v>
      </c>
    </row>
    <row r="39" spans="1:7" x14ac:dyDescent="0.35">
      <c r="A39" s="37" t="s">
        <v>703</v>
      </c>
      <c r="B39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</v>
      </c>
      <c r="E39" t="s">
        <v>3803</v>
      </c>
      <c r="F39" t="s">
        <v>3827</v>
      </c>
      <c r="G39" t="s">
        <v>3819</v>
      </c>
    </row>
    <row r="40" spans="1:7" x14ac:dyDescent="0.35">
      <c r="A40" s="36" t="s">
        <v>711</v>
      </c>
      <c r="B40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</v>
      </c>
      <c r="E40" t="s">
        <v>3803</v>
      </c>
      <c r="F40" t="s">
        <v>2406</v>
      </c>
      <c r="G40" t="s">
        <v>3819</v>
      </c>
    </row>
    <row r="41" spans="1:7" x14ac:dyDescent="0.35">
      <c r="A41" s="37" t="s">
        <v>717</v>
      </c>
      <c r="B41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</v>
      </c>
      <c r="E41" t="s">
        <v>3803</v>
      </c>
      <c r="F41" t="s">
        <v>3828</v>
      </c>
      <c r="G41" t="s">
        <v>3819</v>
      </c>
    </row>
    <row r="42" spans="1:7" x14ac:dyDescent="0.35">
      <c r="A42" s="36" t="s">
        <v>732</v>
      </c>
      <c r="B4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</v>
      </c>
      <c r="E42" t="s">
        <v>3803</v>
      </c>
      <c r="F42" t="s">
        <v>3829</v>
      </c>
      <c r="G42" t="s">
        <v>3819</v>
      </c>
    </row>
    <row r="43" spans="1:7" x14ac:dyDescent="0.35">
      <c r="A43" s="37" t="s">
        <v>745</v>
      </c>
      <c r="B4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</v>
      </c>
      <c r="E43" t="s">
        <v>3803</v>
      </c>
      <c r="F43" t="s">
        <v>3830</v>
      </c>
      <c r="G43" t="s">
        <v>3819</v>
      </c>
    </row>
    <row r="44" spans="1:7" x14ac:dyDescent="0.35">
      <c r="A44" s="36" t="s">
        <v>752</v>
      </c>
      <c r="B4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</v>
      </c>
      <c r="E44" t="s">
        <v>3803</v>
      </c>
      <c r="F44" t="s">
        <v>3831</v>
      </c>
      <c r="G44" t="s">
        <v>3819</v>
      </c>
    </row>
    <row r="45" spans="1:7" x14ac:dyDescent="0.35">
      <c r="A45" s="37" t="s">
        <v>761</v>
      </c>
      <c r="B4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</v>
      </c>
      <c r="E45" t="s">
        <v>3803</v>
      </c>
      <c r="F45" t="s">
        <v>3832</v>
      </c>
      <c r="G45" t="s">
        <v>3819</v>
      </c>
    </row>
    <row r="46" spans="1:7" x14ac:dyDescent="0.35">
      <c r="A46" s="36" t="s">
        <v>769</v>
      </c>
      <c r="B4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</v>
      </c>
      <c r="E46" t="s">
        <v>3803</v>
      </c>
      <c r="F46" t="s">
        <v>3833</v>
      </c>
      <c r="G46" t="s">
        <v>3819</v>
      </c>
    </row>
    <row r="47" spans="1:7" x14ac:dyDescent="0.35">
      <c r="A47" s="37" t="s">
        <v>779</v>
      </c>
      <c r="B4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</v>
      </c>
      <c r="E47" t="s">
        <v>3803</v>
      </c>
      <c r="F47" t="s">
        <v>3834</v>
      </c>
      <c r="G47" t="s">
        <v>3819</v>
      </c>
    </row>
    <row r="48" spans="1:7" x14ac:dyDescent="0.35">
      <c r="A48" s="36" t="s">
        <v>803</v>
      </c>
      <c r="B48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</v>
      </c>
      <c r="E48" t="s">
        <v>3803</v>
      </c>
      <c r="F48" t="s">
        <v>3835</v>
      </c>
      <c r="G48" t="s">
        <v>3819</v>
      </c>
    </row>
    <row r="49" spans="1:7" x14ac:dyDescent="0.35">
      <c r="A49" s="37" t="s">
        <v>812</v>
      </c>
      <c r="B49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</v>
      </c>
      <c r="E49" t="s">
        <v>3803</v>
      </c>
      <c r="F49" t="s">
        <v>3836</v>
      </c>
      <c r="G49" t="s">
        <v>3819</v>
      </c>
    </row>
    <row r="50" spans="1:7" x14ac:dyDescent="0.35">
      <c r="A50" s="36" t="s">
        <v>821</v>
      </c>
      <c r="B50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</v>
      </c>
      <c r="E50" t="s">
        <v>3803</v>
      </c>
      <c r="F50" t="s">
        <v>3837</v>
      </c>
      <c r="G50" t="s">
        <v>3819</v>
      </c>
    </row>
    <row r="51" spans="1:7" x14ac:dyDescent="0.35">
      <c r="A51" s="37" t="s">
        <v>837</v>
      </c>
      <c r="B51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</v>
      </c>
      <c r="E51" t="s">
        <v>3803</v>
      </c>
      <c r="F51" t="s">
        <v>3838</v>
      </c>
      <c r="G51" t="s">
        <v>3819</v>
      </c>
    </row>
    <row r="52" spans="1:7" x14ac:dyDescent="0.35">
      <c r="A52" s="36" t="s">
        <v>846</v>
      </c>
      <c r="B5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</v>
      </c>
      <c r="E52" t="s">
        <v>3803</v>
      </c>
      <c r="F52" t="s">
        <v>3839</v>
      </c>
      <c r="G52" t="s">
        <v>3819</v>
      </c>
    </row>
    <row r="53" spans="1:7" x14ac:dyDescent="0.35">
      <c r="A53" s="37" t="s">
        <v>857</v>
      </c>
      <c r="B5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</v>
      </c>
      <c r="E53" t="s">
        <v>3803</v>
      </c>
      <c r="F53" t="s">
        <v>3840</v>
      </c>
      <c r="G53" t="s">
        <v>3819</v>
      </c>
    </row>
    <row r="54" spans="1:7" x14ac:dyDescent="0.35">
      <c r="A54" s="36" t="s">
        <v>919</v>
      </c>
      <c r="B5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</v>
      </c>
      <c r="E54" t="s">
        <v>3803</v>
      </c>
      <c r="F54" t="s">
        <v>3841</v>
      </c>
      <c r="G54" t="s">
        <v>3819</v>
      </c>
    </row>
    <row r="55" spans="1:7" x14ac:dyDescent="0.35">
      <c r="A55" s="37" t="s">
        <v>951</v>
      </c>
      <c r="B5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</v>
      </c>
      <c r="E55" t="s">
        <v>3803</v>
      </c>
      <c r="F55" t="s">
        <v>3842</v>
      </c>
      <c r="G55" t="s">
        <v>3819</v>
      </c>
    </row>
    <row r="56" spans="1:7" x14ac:dyDescent="0.35">
      <c r="A56" s="36" t="s">
        <v>1315</v>
      </c>
      <c r="B5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</v>
      </c>
      <c r="E56" t="s">
        <v>3803</v>
      </c>
      <c r="F56" t="s">
        <v>3843</v>
      </c>
      <c r="G56" t="s">
        <v>3819</v>
      </c>
    </row>
    <row r="57" spans="1:7" x14ac:dyDescent="0.35">
      <c r="A57" s="37" t="s">
        <v>1177</v>
      </c>
      <c r="B5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</v>
      </c>
      <c r="E57" t="s">
        <v>3803</v>
      </c>
      <c r="F57" t="s">
        <v>3844</v>
      </c>
      <c r="G57" t="s">
        <v>3819</v>
      </c>
    </row>
    <row r="58" spans="1:7" x14ac:dyDescent="0.35">
      <c r="A58" s="36" t="s">
        <v>1185</v>
      </c>
      <c r="B58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</v>
      </c>
      <c r="E58" t="s">
        <v>3803</v>
      </c>
      <c r="F58" t="s">
        <v>3845</v>
      </c>
      <c r="G58" t="s">
        <v>3819</v>
      </c>
    </row>
    <row r="59" spans="1:7" x14ac:dyDescent="0.35">
      <c r="A59" s="37" t="s">
        <v>1194</v>
      </c>
      <c r="B59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</v>
      </c>
      <c r="E59" t="s">
        <v>3803</v>
      </c>
      <c r="F59" t="s">
        <v>3846</v>
      </c>
      <c r="G59" t="s">
        <v>3819</v>
      </c>
    </row>
    <row r="60" spans="1:7" x14ac:dyDescent="0.35">
      <c r="A60" s="36" t="s">
        <v>1200</v>
      </c>
      <c r="B60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</v>
      </c>
      <c r="E60" t="s">
        <v>3803</v>
      </c>
      <c r="F60" t="s">
        <v>3847</v>
      </c>
      <c r="G60" t="s">
        <v>3819</v>
      </c>
    </row>
    <row r="61" spans="1:7" x14ac:dyDescent="0.35">
      <c r="A61" s="37" t="s">
        <v>1215</v>
      </c>
      <c r="B61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</v>
      </c>
      <c r="E61" t="s">
        <v>3803</v>
      </c>
      <c r="F61" t="s">
        <v>2409</v>
      </c>
      <c r="G61" t="s">
        <v>3819</v>
      </c>
    </row>
    <row r="62" spans="1:7" x14ac:dyDescent="0.35">
      <c r="A62" s="36" t="s">
        <v>1223</v>
      </c>
      <c r="B62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</v>
      </c>
      <c r="E62" t="s">
        <v>3803</v>
      </c>
      <c r="F62" t="s">
        <v>3848</v>
      </c>
      <c r="G62" t="s">
        <v>3819</v>
      </c>
    </row>
    <row r="63" spans="1:7" x14ac:dyDescent="0.35">
      <c r="A63" s="37" t="s">
        <v>1287</v>
      </c>
      <c r="B63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</v>
      </c>
      <c r="E63" t="s">
        <v>3803</v>
      </c>
      <c r="F63" t="s">
        <v>3849</v>
      </c>
      <c r="G63" t="s">
        <v>3819</v>
      </c>
    </row>
    <row r="64" spans="1:7" x14ac:dyDescent="0.35">
      <c r="A64" s="36" t="s">
        <v>1863</v>
      </c>
      <c r="B64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</v>
      </c>
      <c r="E64" t="s">
        <v>3803</v>
      </c>
      <c r="F64" t="s">
        <v>3850</v>
      </c>
      <c r="G64" t="s">
        <v>3819</v>
      </c>
    </row>
    <row r="65" spans="1:7" x14ac:dyDescent="0.35">
      <c r="A65" s="37" t="s">
        <v>1869</v>
      </c>
      <c r="B65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</v>
      </c>
      <c r="E65" t="s">
        <v>3803</v>
      </c>
      <c r="F65" t="s">
        <v>3851</v>
      </c>
      <c r="G65" t="s">
        <v>3819</v>
      </c>
    </row>
    <row r="66" spans="1:7" x14ac:dyDescent="0.35">
      <c r="A66" s="36" t="s">
        <v>1875</v>
      </c>
      <c r="B66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</v>
      </c>
      <c r="E66" t="s">
        <v>3803</v>
      </c>
      <c r="F66" t="s">
        <v>3852</v>
      </c>
      <c r="G66" t="s">
        <v>3819</v>
      </c>
    </row>
    <row r="67" spans="1:7" x14ac:dyDescent="0.35">
      <c r="A67" s="37" t="s">
        <v>1881</v>
      </c>
      <c r="B67" t="str">
        <f t="shared" si="0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</v>
      </c>
      <c r="E67" t="s">
        <v>3803</v>
      </c>
      <c r="F67" t="s">
        <v>3853</v>
      </c>
      <c r="G67" t="s">
        <v>3819</v>
      </c>
    </row>
    <row r="68" spans="1:7" x14ac:dyDescent="0.35">
      <c r="A68" s="36" t="s">
        <v>1887</v>
      </c>
      <c r="B68" t="str">
        <f t="shared" ref="B68:B73" si="1">B67&amp;",'"&amp;A68&amp;"'"</f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</v>
      </c>
      <c r="E68" t="s">
        <v>3803</v>
      </c>
      <c r="F68" t="s">
        <v>3854</v>
      </c>
      <c r="G68" t="s">
        <v>3819</v>
      </c>
    </row>
    <row r="69" spans="1:7" x14ac:dyDescent="0.35">
      <c r="A69" s="37" t="s">
        <v>1893</v>
      </c>
      <c r="B69" t="str">
        <f t="shared" si="1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,'800UU00000jQuw3YAC'</v>
      </c>
      <c r="E69" t="s">
        <v>3803</v>
      </c>
      <c r="F69" t="s">
        <v>3855</v>
      </c>
      <c r="G69" t="s">
        <v>3819</v>
      </c>
    </row>
    <row r="70" spans="1:7" x14ac:dyDescent="0.35">
      <c r="A70" s="36" t="s">
        <v>1899</v>
      </c>
      <c r="B70" t="str">
        <f t="shared" si="1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,'800UU00000jQuw3YAC','800UU00000jR5GHYA0'</v>
      </c>
      <c r="E70" t="s">
        <v>3803</v>
      </c>
      <c r="F70" t="s">
        <v>3856</v>
      </c>
      <c r="G70" t="s">
        <v>3819</v>
      </c>
    </row>
    <row r="71" spans="1:7" x14ac:dyDescent="0.35">
      <c r="A71" s="37" t="s">
        <v>1912</v>
      </c>
      <c r="B71" t="str">
        <f t="shared" si="1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,'800UU00000jQuw3YAC','800UU00000jR5GHYA0','800UU00000jTmIhYAK'</v>
      </c>
      <c r="E71" t="s">
        <v>3803</v>
      </c>
      <c r="F71" t="s">
        <v>3857</v>
      </c>
      <c r="G71" t="s">
        <v>3819</v>
      </c>
    </row>
    <row r="72" spans="1:7" x14ac:dyDescent="0.35">
      <c r="A72" s="36" t="s">
        <v>3770</v>
      </c>
      <c r="B72" t="str">
        <f t="shared" si="1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,'800UU00000jQuw3YAC','800UU00000jR5GHYA0','800UU00000jTmIhYAK','800UU00000jU2SIYA0'</v>
      </c>
      <c r="E72" t="s">
        <v>3803</v>
      </c>
      <c r="F72" t="s">
        <v>2411</v>
      </c>
      <c r="G72" t="s">
        <v>3819</v>
      </c>
    </row>
    <row r="73" spans="1:7" x14ac:dyDescent="0.35">
      <c r="A73" s="37" t="s">
        <v>3776</v>
      </c>
      <c r="B73" t="str">
        <f t="shared" si="1"/>
        <v>'8008W0000055W7KQAU','800UU000006eB2xYAE','800UU00000HS91pYAD','800UU00000J4rfVYAR','800UU00000M8FlEYAV','800UU00000N36DJYAZ','800UU00000NfC87YAF','800UU00000O4xgWYAR','800UU00000QPHI5YAP','800UU00000QPHI7YAP','800UU00000QPHI8YAP','800UU00000QPHI9YAP','800UU00000QPHIAYA5','800UU00000QWWKOYA5','800UU00000RHL28YAH','800UU00000SnSmEYAV','800UU00000SyDC1YAN','800UU00000TmpZ1YAJ','800UU00000UCZAXYA5','800UU00000UcnbEYAR','800UU00000WxhMfYAJ','800UU00000XZUppYAH','800UU00000YsAusYAF','800UU00000ZoI41YAF','800UU00000Zt6iAYAR','800UU00000Zt82SYAR','800UU00000ZvCRkYAN','800UU00000a6OChYAM','800UU00000aKAhlYAG','800UU00000aM0nrYAC','800UU00000afS0VYAU','800UU00000afmlXYAQ','800UU00000ajOClYAM','800UU00000ajftWYAQ','800UU00000amZYEYA2','800UU00000anaKBYAY','800UU00000bGDGzYAO','800UU00000bO0OKYA0','800UU00000bdH2AYAU','800UU00000bgUIyYAM','800UU00000bjnCFYAY','800UU00000bzox5YAA','800UU00000c3tLVYAY','800UU00000c3yWXYAY','800UU00000c6XTOYA2','800UU00000cA6JDYA0','800UU00000cIyj9YAC','800UU00000cLnRHYA0','800UU00000cMXFgYAO','800UU00000cU88oYAC','800UU00000cXN4qYAG','800UU00000cb3pAYAQ','800UU00000crjh3YAA','800UU00000dMcHxYAK','800UU00000geZi4YAE','800UU00000ggCnnYAE','800UU00000gpa9PYAQ','800UU00000gwSOkYAM','800UU00000gwgy0YAA','800UU00000h2fuWYAQ','800UU00000h47i7YAA','800UU00000h5gh2YAA','800UU00000jKN6kYAG','800UU00000jNYaHYAW','800UU00000jNrTNYA0','800UU00000jQ2h7YAC','800UU00000jQTKeYAO','800UU00000jQuw3YAC','800UU00000jR5GHYA0','800UU00000jTmIhYAK','800UU00000jU2SIYA0','800UU00000jUQ9hYAG'</v>
      </c>
      <c r="E73" t="s">
        <v>3803</v>
      </c>
      <c r="F73" t="s">
        <v>3858</v>
      </c>
      <c r="G73" t="s">
        <v>3819</v>
      </c>
    </row>
    <row r="74" spans="1:7" x14ac:dyDescent="0.35">
      <c r="E74" t="s">
        <v>3803</v>
      </c>
      <c r="F74" t="s">
        <v>3859</v>
      </c>
      <c r="G74" t="s">
        <v>3819</v>
      </c>
    </row>
    <row r="75" spans="1:7" x14ac:dyDescent="0.35">
      <c r="E75" t="s">
        <v>3803</v>
      </c>
      <c r="F75" t="s">
        <v>3860</v>
      </c>
      <c r="G75" t="s">
        <v>3819</v>
      </c>
    </row>
    <row r="76" spans="1:7" x14ac:dyDescent="0.35">
      <c r="E76" t="s">
        <v>3803</v>
      </c>
      <c r="F76" t="s">
        <v>3861</v>
      </c>
      <c r="G76" t="s">
        <v>3819</v>
      </c>
    </row>
    <row r="77" spans="1:7" x14ac:dyDescent="0.35">
      <c r="E77" t="s">
        <v>3803</v>
      </c>
      <c r="F77" t="s">
        <v>3862</v>
      </c>
      <c r="G77" t="s">
        <v>3819</v>
      </c>
    </row>
    <row r="78" spans="1:7" x14ac:dyDescent="0.35">
      <c r="E78" t="s">
        <v>3803</v>
      </c>
      <c r="F78" t="s">
        <v>3863</v>
      </c>
      <c r="G78" t="s">
        <v>3819</v>
      </c>
    </row>
    <row r="79" spans="1:7" x14ac:dyDescent="0.35">
      <c r="E79" t="s">
        <v>3803</v>
      </c>
      <c r="F79" t="s">
        <v>227</v>
      </c>
      <c r="G79" t="s">
        <v>3819</v>
      </c>
    </row>
    <row r="80" spans="1:7" x14ac:dyDescent="0.35">
      <c r="E80" t="s">
        <v>3803</v>
      </c>
      <c r="F80" t="s">
        <v>3864</v>
      </c>
      <c r="G80" t="s">
        <v>3819</v>
      </c>
    </row>
    <row r="81" spans="5:7" x14ac:dyDescent="0.35">
      <c r="E81" t="s">
        <v>3803</v>
      </c>
      <c r="F81" t="s">
        <v>3865</v>
      </c>
      <c r="G81" t="s">
        <v>3819</v>
      </c>
    </row>
    <row r="82" spans="5:7" x14ac:dyDescent="0.35">
      <c r="E82" t="s">
        <v>3803</v>
      </c>
      <c r="F82" t="s">
        <v>3866</v>
      </c>
      <c r="G82" t="s">
        <v>3819</v>
      </c>
    </row>
    <row r="83" spans="5:7" x14ac:dyDescent="0.35">
      <c r="E83" t="s">
        <v>3803</v>
      </c>
      <c r="F83" t="s">
        <v>3867</v>
      </c>
      <c r="G83" t="s">
        <v>3819</v>
      </c>
    </row>
    <row r="84" spans="5:7" x14ac:dyDescent="0.35">
      <c r="E84" t="s">
        <v>3803</v>
      </c>
      <c r="F84" t="s">
        <v>3868</v>
      </c>
      <c r="G84" t="s">
        <v>3819</v>
      </c>
    </row>
    <row r="85" spans="5:7" x14ac:dyDescent="0.35">
      <c r="E85" t="s">
        <v>3803</v>
      </c>
      <c r="F85" t="s">
        <v>3869</v>
      </c>
      <c r="G85" t="s">
        <v>3819</v>
      </c>
    </row>
    <row r="86" spans="5:7" x14ac:dyDescent="0.35">
      <c r="E86" t="s">
        <v>3803</v>
      </c>
      <c r="F86" t="s">
        <v>3870</v>
      </c>
      <c r="G86" t="s">
        <v>3819</v>
      </c>
    </row>
    <row r="87" spans="5:7" x14ac:dyDescent="0.35">
      <c r="E87" t="s">
        <v>3803</v>
      </c>
      <c r="F87" t="s">
        <v>3871</v>
      </c>
      <c r="G87" t="s">
        <v>3819</v>
      </c>
    </row>
    <row r="88" spans="5:7" x14ac:dyDescent="0.35">
      <c r="E88" t="s">
        <v>3803</v>
      </c>
      <c r="F88" t="s">
        <v>3872</v>
      </c>
      <c r="G88" t="s">
        <v>3819</v>
      </c>
    </row>
    <row r="89" spans="5:7" x14ac:dyDescent="0.35">
      <c r="E89" t="s">
        <v>3803</v>
      </c>
      <c r="F89" t="s">
        <v>3873</v>
      </c>
      <c r="G89" t="s">
        <v>3819</v>
      </c>
    </row>
    <row r="90" spans="5:7" x14ac:dyDescent="0.35">
      <c r="E90" t="s">
        <v>3803</v>
      </c>
      <c r="F90" t="s">
        <v>3874</v>
      </c>
      <c r="G90" t="s">
        <v>3819</v>
      </c>
    </row>
    <row r="91" spans="5:7" x14ac:dyDescent="0.35">
      <c r="E91" t="s">
        <v>3803</v>
      </c>
      <c r="F91" t="s">
        <v>3875</v>
      </c>
      <c r="G91" t="s">
        <v>3819</v>
      </c>
    </row>
    <row r="92" spans="5:7" x14ac:dyDescent="0.35">
      <c r="E92" t="s">
        <v>3803</v>
      </c>
      <c r="F92" t="s">
        <v>3876</v>
      </c>
      <c r="G92" t="s">
        <v>3819</v>
      </c>
    </row>
    <row r="93" spans="5:7" x14ac:dyDescent="0.35">
      <c r="E93" t="s">
        <v>3803</v>
      </c>
      <c r="F93" t="s">
        <v>3877</v>
      </c>
      <c r="G93" t="s">
        <v>3819</v>
      </c>
    </row>
    <row r="94" spans="5:7" x14ac:dyDescent="0.35">
      <c r="E94" t="s">
        <v>3803</v>
      </c>
      <c r="F94" t="s">
        <v>3878</v>
      </c>
      <c r="G94" t="s">
        <v>3819</v>
      </c>
    </row>
    <row r="95" spans="5:7" x14ac:dyDescent="0.35">
      <c r="E95" t="s">
        <v>3803</v>
      </c>
      <c r="F95" t="s">
        <v>3879</v>
      </c>
      <c r="G95" t="s">
        <v>3819</v>
      </c>
    </row>
    <row r="96" spans="5:7" x14ac:dyDescent="0.35">
      <c r="E96" t="s">
        <v>3803</v>
      </c>
      <c r="F96" t="s">
        <v>3880</v>
      </c>
      <c r="G96" t="s">
        <v>3819</v>
      </c>
    </row>
    <row r="97" spans="5:7" x14ac:dyDescent="0.35">
      <c r="E97" t="s">
        <v>3803</v>
      </c>
      <c r="F97" t="s">
        <v>3881</v>
      </c>
      <c r="G97" t="s">
        <v>3819</v>
      </c>
    </row>
    <row r="98" spans="5:7" x14ac:dyDescent="0.35">
      <c r="E98" t="s">
        <v>3803</v>
      </c>
      <c r="F98" t="s">
        <v>3882</v>
      </c>
      <c r="G98" t="s">
        <v>3819</v>
      </c>
    </row>
    <row r="99" spans="5:7" x14ac:dyDescent="0.35">
      <c r="E99" t="s">
        <v>3803</v>
      </c>
      <c r="F99" t="s">
        <v>3883</v>
      </c>
      <c r="G99" t="s">
        <v>3819</v>
      </c>
    </row>
    <row r="100" spans="5:7" x14ac:dyDescent="0.35">
      <c r="E100" t="s">
        <v>3803</v>
      </c>
      <c r="F100" t="s">
        <v>3884</v>
      </c>
      <c r="G100" t="s">
        <v>3819</v>
      </c>
    </row>
    <row r="101" spans="5:7" x14ac:dyDescent="0.35">
      <c r="E101" t="s">
        <v>3803</v>
      </c>
      <c r="F101" t="s">
        <v>2465</v>
      </c>
      <c r="G101" t="s">
        <v>3819</v>
      </c>
    </row>
    <row r="102" spans="5:7" x14ac:dyDescent="0.35">
      <c r="E102" t="s">
        <v>3803</v>
      </c>
      <c r="F102" t="s">
        <v>3885</v>
      </c>
      <c r="G102" t="s">
        <v>3819</v>
      </c>
    </row>
    <row r="103" spans="5:7" x14ac:dyDescent="0.35">
      <c r="E103" t="s">
        <v>3803</v>
      </c>
      <c r="F103" t="s">
        <v>3886</v>
      </c>
      <c r="G103" t="s">
        <v>3819</v>
      </c>
    </row>
    <row r="104" spans="5:7" x14ac:dyDescent="0.35">
      <c r="E104" t="s">
        <v>3803</v>
      </c>
      <c r="F104" t="s">
        <v>3887</v>
      </c>
      <c r="G104" t="s">
        <v>3819</v>
      </c>
    </row>
    <row r="105" spans="5:7" x14ac:dyDescent="0.35">
      <c r="E105" t="s">
        <v>3803</v>
      </c>
      <c r="F105" t="s">
        <v>3888</v>
      </c>
      <c r="G105" t="s">
        <v>3819</v>
      </c>
    </row>
    <row r="106" spans="5:7" x14ac:dyDescent="0.35">
      <c r="E106" t="s">
        <v>3803</v>
      </c>
      <c r="F106" t="s">
        <v>3889</v>
      </c>
      <c r="G106" t="s">
        <v>3819</v>
      </c>
    </row>
    <row r="107" spans="5:7" x14ac:dyDescent="0.35">
      <c r="E107" t="s">
        <v>3803</v>
      </c>
      <c r="F107" t="s">
        <v>3890</v>
      </c>
      <c r="G107" t="s">
        <v>3819</v>
      </c>
    </row>
    <row r="108" spans="5:7" x14ac:dyDescent="0.35">
      <c r="E108" t="s">
        <v>3803</v>
      </c>
      <c r="F108" t="s">
        <v>3891</v>
      </c>
      <c r="G108" t="s">
        <v>3819</v>
      </c>
    </row>
    <row r="109" spans="5:7" x14ac:dyDescent="0.35">
      <c r="E109" t="s">
        <v>3803</v>
      </c>
      <c r="F109" t="s">
        <v>3892</v>
      </c>
      <c r="G109" t="s">
        <v>3819</v>
      </c>
    </row>
    <row r="110" spans="5:7" x14ac:dyDescent="0.35">
      <c r="E110" t="s">
        <v>3803</v>
      </c>
      <c r="F110" t="s">
        <v>3893</v>
      </c>
      <c r="G110" t="s">
        <v>3819</v>
      </c>
    </row>
    <row r="111" spans="5:7" x14ac:dyDescent="0.35">
      <c r="E111" t="s">
        <v>3803</v>
      </c>
      <c r="F111" t="s">
        <v>3894</v>
      </c>
      <c r="G111" t="s">
        <v>3819</v>
      </c>
    </row>
    <row r="112" spans="5:7" x14ac:dyDescent="0.35">
      <c r="E112" t="s">
        <v>3803</v>
      </c>
      <c r="F112" t="s">
        <v>3895</v>
      </c>
      <c r="G112" t="s">
        <v>3819</v>
      </c>
    </row>
    <row r="113" spans="5:7" x14ac:dyDescent="0.35">
      <c r="E113" t="s">
        <v>3803</v>
      </c>
      <c r="F113" t="s">
        <v>3896</v>
      </c>
      <c r="G113" t="s">
        <v>3819</v>
      </c>
    </row>
    <row r="114" spans="5:7" x14ac:dyDescent="0.35">
      <c r="E114" t="s">
        <v>3803</v>
      </c>
      <c r="F114" t="s">
        <v>3897</v>
      </c>
      <c r="G114" t="s">
        <v>3819</v>
      </c>
    </row>
    <row r="115" spans="5:7" x14ac:dyDescent="0.35">
      <c r="E115" t="s">
        <v>3803</v>
      </c>
      <c r="F115" t="s">
        <v>3898</v>
      </c>
      <c r="G115" t="s">
        <v>3819</v>
      </c>
    </row>
    <row r="116" spans="5:7" x14ac:dyDescent="0.35">
      <c r="E116" t="s">
        <v>3803</v>
      </c>
      <c r="F116" t="s">
        <v>3899</v>
      </c>
      <c r="G116" t="s">
        <v>3819</v>
      </c>
    </row>
    <row r="117" spans="5:7" x14ac:dyDescent="0.35">
      <c r="E117" t="s">
        <v>3803</v>
      </c>
      <c r="F117" t="s">
        <v>3900</v>
      </c>
      <c r="G117" t="s">
        <v>3819</v>
      </c>
    </row>
    <row r="118" spans="5:7" x14ac:dyDescent="0.35">
      <c r="E118" t="s">
        <v>3803</v>
      </c>
      <c r="F118" t="s">
        <v>3901</v>
      </c>
      <c r="G118" t="s">
        <v>3902</v>
      </c>
    </row>
    <row r="119" spans="5:7" x14ac:dyDescent="0.35">
      <c r="E119" t="s">
        <v>3803</v>
      </c>
      <c r="F119" t="s">
        <v>3903</v>
      </c>
      <c r="G119" t="s">
        <v>3902</v>
      </c>
    </row>
    <row r="120" spans="5:7" x14ac:dyDescent="0.35">
      <c r="E120" t="s">
        <v>3803</v>
      </c>
      <c r="F120" t="s">
        <v>2468</v>
      </c>
      <c r="G120" t="s">
        <v>3902</v>
      </c>
    </row>
    <row r="121" spans="5:7" x14ac:dyDescent="0.35">
      <c r="E121" t="s">
        <v>3803</v>
      </c>
      <c r="F121" t="s">
        <v>2472</v>
      </c>
      <c r="G121" t="s">
        <v>3902</v>
      </c>
    </row>
    <row r="122" spans="5:7" x14ac:dyDescent="0.35">
      <c r="E122" t="s">
        <v>3803</v>
      </c>
      <c r="F122" t="s">
        <v>3904</v>
      </c>
      <c r="G122" t="s">
        <v>3902</v>
      </c>
    </row>
    <row r="123" spans="5:7" x14ac:dyDescent="0.35">
      <c r="E123" t="s">
        <v>3803</v>
      </c>
      <c r="F123" t="s">
        <v>3905</v>
      </c>
      <c r="G123" t="s">
        <v>3902</v>
      </c>
    </row>
    <row r="124" spans="5:7" x14ac:dyDescent="0.35">
      <c r="E124" t="s">
        <v>3803</v>
      </c>
      <c r="F124" t="s">
        <v>3906</v>
      </c>
      <c r="G124" t="s">
        <v>3902</v>
      </c>
    </row>
    <row r="125" spans="5:7" x14ac:dyDescent="0.35">
      <c r="E125" t="s">
        <v>3803</v>
      </c>
      <c r="F125" t="s">
        <v>3907</v>
      </c>
      <c r="G125" t="s">
        <v>3902</v>
      </c>
    </row>
    <row r="126" spans="5:7" x14ac:dyDescent="0.35">
      <c r="E126" t="s">
        <v>3803</v>
      </c>
      <c r="F126" t="s">
        <v>3908</v>
      </c>
      <c r="G126" t="s">
        <v>3902</v>
      </c>
    </row>
    <row r="127" spans="5:7" x14ac:dyDescent="0.35">
      <c r="E127" t="s">
        <v>3803</v>
      </c>
      <c r="F127" t="s">
        <v>3909</v>
      </c>
      <c r="G127" t="s">
        <v>3902</v>
      </c>
    </row>
    <row r="128" spans="5:7" x14ac:dyDescent="0.35">
      <c r="E128" t="s">
        <v>3803</v>
      </c>
      <c r="F128" t="s">
        <v>2475</v>
      </c>
      <c r="G128" t="s">
        <v>3902</v>
      </c>
    </row>
    <row r="129" spans="5:7" x14ac:dyDescent="0.35">
      <c r="E129" t="s">
        <v>3803</v>
      </c>
      <c r="F129" t="s">
        <v>2478</v>
      </c>
      <c r="G129" t="s">
        <v>3902</v>
      </c>
    </row>
    <row r="130" spans="5:7" x14ac:dyDescent="0.35">
      <c r="E130" t="s">
        <v>3803</v>
      </c>
      <c r="F130" t="s">
        <v>339</v>
      </c>
      <c r="G130" t="s">
        <v>3902</v>
      </c>
    </row>
    <row r="131" spans="5:7" x14ac:dyDescent="0.35">
      <c r="E131" t="s">
        <v>3803</v>
      </c>
      <c r="F131" t="s">
        <v>3910</v>
      </c>
      <c r="G131" t="s">
        <v>3902</v>
      </c>
    </row>
    <row r="132" spans="5:7" x14ac:dyDescent="0.35">
      <c r="E132" t="s">
        <v>3803</v>
      </c>
      <c r="F132" t="s">
        <v>3911</v>
      </c>
      <c r="G132" t="s">
        <v>3902</v>
      </c>
    </row>
    <row r="133" spans="5:7" x14ac:dyDescent="0.35">
      <c r="E133" t="s">
        <v>3803</v>
      </c>
      <c r="F133" t="s">
        <v>3912</v>
      </c>
      <c r="G133" t="s">
        <v>3902</v>
      </c>
    </row>
    <row r="134" spans="5:7" x14ac:dyDescent="0.35">
      <c r="E134" t="s">
        <v>3803</v>
      </c>
      <c r="F134" t="s">
        <v>3913</v>
      </c>
      <c r="G134" t="s">
        <v>3902</v>
      </c>
    </row>
    <row r="135" spans="5:7" x14ac:dyDescent="0.35">
      <c r="E135" t="s">
        <v>3803</v>
      </c>
      <c r="F135" t="s">
        <v>3914</v>
      </c>
      <c r="G135" t="s">
        <v>3902</v>
      </c>
    </row>
    <row r="136" spans="5:7" x14ac:dyDescent="0.35">
      <c r="E136" t="s">
        <v>3803</v>
      </c>
      <c r="F136" t="s">
        <v>3915</v>
      </c>
      <c r="G136" t="s">
        <v>3902</v>
      </c>
    </row>
    <row r="137" spans="5:7" x14ac:dyDescent="0.35">
      <c r="E137" t="s">
        <v>3803</v>
      </c>
      <c r="F137" t="s">
        <v>3916</v>
      </c>
      <c r="G137" t="s">
        <v>3902</v>
      </c>
    </row>
    <row r="138" spans="5:7" x14ac:dyDescent="0.35">
      <c r="E138" t="s">
        <v>3803</v>
      </c>
      <c r="F138" t="s">
        <v>3917</v>
      </c>
      <c r="G138" t="s">
        <v>3902</v>
      </c>
    </row>
    <row r="139" spans="5:7" x14ac:dyDescent="0.35">
      <c r="E139" t="s">
        <v>3803</v>
      </c>
      <c r="F139" t="s">
        <v>3918</v>
      </c>
      <c r="G139" t="s">
        <v>3902</v>
      </c>
    </row>
    <row r="140" spans="5:7" x14ac:dyDescent="0.35">
      <c r="E140" t="s">
        <v>3803</v>
      </c>
      <c r="F140" t="s">
        <v>3919</v>
      </c>
      <c r="G140" t="s">
        <v>3902</v>
      </c>
    </row>
    <row r="141" spans="5:7" x14ac:dyDescent="0.35">
      <c r="E141" t="s">
        <v>3803</v>
      </c>
      <c r="F141" t="s">
        <v>3920</v>
      </c>
      <c r="G141" t="s">
        <v>3902</v>
      </c>
    </row>
    <row r="142" spans="5:7" x14ac:dyDescent="0.35">
      <c r="E142" t="s">
        <v>3803</v>
      </c>
      <c r="F142" t="s">
        <v>3921</v>
      </c>
      <c r="G142" t="s">
        <v>3902</v>
      </c>
    </row>
    <row r="143" spans="5:7" x14ac:dyDescent="0.35">
      <c r="E143" t="s">
        <v>3803</v>
      </c>
      <c r="F143" t="s">
        <v>3922</v>
      </c>
      <c r="G143" t="s">
        <v>3902</v>
      </c>
    </row>
    <row r="144" spans="5:7" x14ac:dyDescent="0.35">
      <c r="E144" t="s">
        <v>3803</v>
      </c>
      <c r="F144" t="s">
        <v>3923</v>
      </c>
      <c r="G144" t="s">
        <v>3902</v>
      </c>
    </row>
    <row r="145" spans="5:7" x14ac:dyDescent="0.35">
      <c r="E145" t="s">
        <v>3803</v>
      </c>
      <c r="F145" t="s">
        <v>3924</v>
      </c>
      <c r="G145" t="s">
        <v>3902</v>
      </c>
    </row>
    <row r="146" spans="5:7" x14ac:dyDescent="0.35">
      <c r="E146" t="s">
        <v>3803</v>
      </c>
      <c r="F146" t="s">
        <v>3925</v>
      </c>
      <c r="G146" t="s">
        <v>3902</v>
      </c>
    </row>
    <row r="147" spans="5:7" x14ac:dyDescent="0.35">
      <c r="E147" t="s">
        <v>3803</v>
      </c>
      <c r="F147" t="s">
        <v>3926</v>
      </c>
      <c r="G147" t="s">
        <v>3902</v>
      </c>
    </row>
    <row r="148" spans="5:7" x14ac:dyDescent="0.35">
      <c r="E148" t="s">
        <v>3803</v>
      </c>
      <c r="F148" t="s">
        <v>3927</v>
      </c>
      <c r="G148" t="s">
        <v>3902</v>
      </c>
    </row>
    <row r="149" spans="5:7" x14ac:dyDescent="0.35">
      <c r="E149" t="s">
        <v>3803</v>
      </c>
      <c r="F149" t="s">
        <v>2481</v>
      </c>
      <c r="G149" t="s">
        <v>3902</v>
      </c>
    </row>
    <row r="150" spans="5:7" x14ac:dyDescent="0.35">
      <c r="E150" t="s">
        <v>3803</v>
      </c>
      <c r="F150" t="s">
        <v>2484</v>
      </c>
      <c r="G150" t="s">
        <v>3902</v>
      </c>
    </row>
    <row r="151" spans="5:7" x14ac:dyDescent="0.35">
      <c r="E151" t="s">
        <v>3803</v>
      </c>
      <c r="F151" t="s">
        <v>396</v>
      </c>
      <c r="G151" t="s">
        <v>3902</v>
      </c>
    </row>
    <row r="152" spans="5:7" x14ac:dyDescent="0.35">
      <c r="E152" t="s">
        <v>3803</v>
      </c>
      <c r="F152" t="s">
        <v>3928</v>
      </c>
      <c r="G152" t="s">
        <v>3902</v>
      </c>
    </row>
    <row r="153" spans="5:7" x14ac:dyDescent="0.35">
      <c r="E153" t="s">
        <v>3803</v>
      </c>
      <c r="F153" t="s">
        <v>3929</v>
      </c>
      <c r="G153" t="s">
        <v>3902</v>
      </c>
    </row>
    <row r="154" spans="5:7" x14ac:dyDescent="0.35">
      <c r="E154" t="s">
        <v>3803</v>
      </c>
      <c r="F154" t="s">
        <v>3930</v>
      </c>
      <c r="G154" t="s">
        <v>3902</v>
      </c>
    </row>
    <row r="155" spans="5:7" x14ac:dyDescent="0.35">
      <c r="E155" t="s">
        <v>3803</v>
      </c>
      <c r="F155" t="s">
        <v>3931</v>
      </c>
      <c r="G155" t="s">
        <v>3902</v>
      </c>
    </row>
    <row r="156" spans="5:7" x14ac:dyDescent="0.35">
      <c r="E156" t="s">
        <v>3803</v>
      </c>
      <c r="F156" t="s">
        <v>3932</v>
      </c>
      <c r="G156" t="s">
        <v>3902</v>
      </c>
    </row>
    <row r="157" spans="5:7" x14ac:dyDescent="0.35">
      <c r="E157" t="s">
        <v>3803</v>
      </c>
      <c r="F157" t="s">
        <v>3933</v>
      </c>
      <c r="G157" t="s">
        <v>3902</v>
      </c>
    </row>
    <row r="158" spans="5:7" x14ac:dyDescent="0.35">
      <c r="E158" t="s">
        <v>3803</v>
      </c>
      <c r="F158" t="s">
        <v>3934</v>
      </c>
      <c r="G158" t="s">
        <v>3902</v>
      </c>
    </row>
    <row r="159" spans="5:7" x14ac:dyDescent="0.35">
      <c r="E159" t="s">
        <v>3803</v>
      </c>
      <c r="F159" t="s">
        <v>3935</v>
      </c>
      <c r="G159" t="s">
        <v>3902</v>
      </c>
    </row>
    <row r="160" spans="5:7" x14ac:dyDescent="0.35">
      <c r="E160" t="s">
        <v>3803</v>
      </c>
      <c r="F160" t="s">
        <v>3936</v>
      </c>
      <c r="G160" t="s">
        <v>3902</v>
      </c>
    </row>
    <row r="161" spans="5:7" x14ac:dyDescent="0.35">
      <c r="E161" t="s">
        <v>3803</v>
      </c>
      <c r="F161" t="s">
        <v>3937</v>
      </c>
      <c r="G161" t="s">
        <v>3902</v>
      </c>
    </row>
    <row r="162" spans="5:7" x14ac:dyDescent="0.35">
      <c r="E162" t="s">
        <v>3803</v>
      </c>
      <c r="F162" t="s">
        <v>3938</v>
      </c>
      <c r="G162" t="s">
        <v>3902</v>
      </c>
    </row>
    <row r="163" spans="5:7" x14ac:dyDescent="0.35">
      <c r="E163" t="s">
        <v>3803</v>
      </c>
      <c r="F163" t="s">
        <v>3939</v>
      </c>
      <c r="G163" t="s">
        <v>3902</v>
      </c>
    </row>
    <row r="164" spans="5:7" x14ac:dyDescent="0.35">
      <c r="E164" t="s">
        <v>3803</v>
      </c>
      <c r="F164" t="s">
        <v>3940</v>
      </c>
      <c r="G164" t="s">
        <v>3902</v>
      </c>
    </row>
    <row r="165" spans="5:7" x14ac:dyDescent="0.35">
      <c r="E165" t="s">
        <v>3803</v>
      </c>
      <c r="F165" t="s">
        <v>3941</v>
      </c>
      <c r="G165" t="s">
        <v>3902</v>
      </c>
    </row>
    <row r="166" spans="5:7" x14ac:dyDescent="0.35">
      <c r="E166" t="s">
        <v>3803</v>
      </c>
      <c r="F166" t="s">
        <v>432</v>
      </c>
      <c r="G166" t="s">
        <v>3902</v>
      </c>
    </row>
    <row r="167" spans="5:7" x14ac:dyDescent="0.35">
      <c r="E167" t="s">
        <v>3803</v>
      </c>
      <c r="F167" t="s">
        <v>3942</v>
      </c>
      <c r="G167" t="s">
        <v>3902</v>
      </c>
    </row>
    <row r="168" spans="5:7" x14ac:dyDescent="0.35">
      <c r="E168" t="s">
        <v>3803</v>
      </c>
      <c r="F168" t="s">
        <v>2486</v>
      </c>
      <c r="G168" t="s">
        <v>1567</v>
      </c>
    </row>
    <row r="169" spans="5:7" x14ac:dyDescent="0.35">
      <c r="E169" t="s">
        <v>3803</v>
      </c>
      <c r="F169" t="s">
        <v>2489</v>
      </c>
      <c r="G169" t="s">
        <v>1567</v>
      </c>
    </row>
    <row r="170" spans="5:7" x14ac:dyDescent="0.35">
      <c r="E170" t="s">
        <v>3803</v>
      </c>
      <c r="F170" t="s">
        <v>453</v>
      </c>
      <c r="G170" t="s">
        <v>1567</v>
      </c>
    </row>
    <row r="171" spans="5:7" x14ac:dyDescent="0.35">
      <c r="E171" t="s">
        <v>3803</v>
      </c>
      <c r="F171" t="s">
        <v>3943</v>
      </c>
      <c r="G171" t="s">
        <v>1567</v>
      </c>
    </row>
    <row r="172" spans="5:7" x14ac:dyDescent="0.35">
      <c r="E172" t="s">
        <v>3803</v>
      </c>
      <c r="F172" t="s">
        <v>3944</v>
      </c>
      <c r="G172" t="s">
        <v>1567</v>
      </c>
    </row>
    <row r="173" spans="5:7" x14ac:dyDescent="0.35">
      <c r="E173" t="s">
        <v>3803</v>
      </c>
      <c r="F173" t="s">
        <v>3945</v>
      </c>
      <c r="G173" t="s">
        <v>1567</v>
      </c>
    </row>
    <row r="174" spans="5:7" x14ac:dyDescent="0.35">
      <c r="E174" t="s">
        <v>3803</v>
      </c>
      <c r="F174" t="s">
        <v>3946</v>
      </c>
      <c r="G174" t="s">
        <v>1567</v>
      </c>
    </row>
    <row r="175" spans="5:7" x14ac:dyDescent="0.35">
      <c r="E175" t="s">
        <v>3803</v>
      </c>
      <c r="F175" t="s">
        <v>3947</v>
      </c>
      <c r="G175" t="s">
        <v>1567</v>
      </c>
    </row>
    <row r="176" spans="5:7" x14ac:dyDescent="0.35">
      <c r="E176" t="s">
        <v>3803</v>
      </c>
      <c r="F176" t="s">
        <v>3948</v>
      </c>
      <c r="G176" t="s">
        <v>1567</v>
      </c>
    </row>
    <row r="177" spans="5:7" x14ac:dyDescent="0.35">
      <c r="E177" t="s">
        <v>3803</v>
      </c>
      <c r="F177" t="s">
        <v>3949</v>
      </c>
      <c r="G177" t="s">
        <v>1567</v>
      </c>
    </row>
    <row r="178" spans="5:7" x14ac:dyDescent="0.35">
      <c r="E178" t="s">
        <v>3803</v>
      </c>
      <c r="F178" t="s">
        <v>3950</v>
      </c>
      <c r="G178" t="s">
        <v>1567</v>
      </c>
    </row>
    <row r="179" spans="5:7" x14ac:dyDescent="0.35">
      <c r="E179" t="s">
        <v>3803</v>
      </c>
      <c r="F179" t="s">
        <v>3951</v>
      </c>
      <c r="G179" t="s">
        <v>1567</v>
      </c>
    </row>
    <row r="180" spans="5:7" x14ac:dyDescent="0.35">
      <c r="E180" t="s">
        <v>3803</v>
      </c>
      <c r="F180" t="s">
        <v>3952</v>
      </c>
      <c r="G180" t="s">
        <v>1567</v>
      </c>
    </row>
    <row r="181" spans="5:7" x14ac:dyDescent="0.35">
      <c r="E181" t="s">
        <v>3803</v>
      </c>
      <c r="F181" t="s">
        <v>3953</v>
      </c>
      <c r="G181" t="s">
        <v>1567</v>
      </c>
    </row>
    <row r="182" spans="5:7" x14ac:dyDescent="0.35">
      <c r="E182" t="s">
        <v>3803</v>
      </c>
      <c r="F182" t="s">
        <v>3954</v>
      </c>
      <c r="G182" t="s">
        <v>1567</v>
      </c>
    </row>
    <row r="183" spans="5:7" x14ac:dyDescent="0.35">
      <c r="E183" t="s">
        <v>3803</v>
      </c>
      <c r="F183" t="s">
        <v>3955</v>
      </c>
      <c r="G183" t="s">
        <v>1567</v>
      </c>
    </row>
    <row r="184" spans="5:7" x14ac:dyDescent="0.35">
      <c r="E184" t="s">
        <v>3803</v>
      </c>
      <c r="F184" t="s">
        <v>3956</v>
      </c>
      <c r="G184" t="s">
        <v>1567</v>
      </c>
    </row>
    <row r="185" spans="5:7" x14ac:dyDescent="0.35">
      <c r="E185" t="s">
        <v>3803</v>
      </c>
      <c r="F185" t="s">
        <v>3957</v>
      </c>
      <c r="G185" t="s">
        <v>1567</v>
      </c>
    </row>
    <row r="186" spans="5:7" x14ac:dyDescent="0.35">
      <c r="E186" t="s">
        <v>3803</v>
      </c>
      <c r="F186" t="s">
        <v>3958</v>
      </c>
      <c r="G186" t="s">
        <v>1567</v>
      </c>
    </row>
    <row r="187" spans="5:7" x14ac:dyDescent="0.35">
      <c r="E187" t="s">
        <v>3803</v>
      </c>
      <c r="F187" t="s">
        <v>3959</v>
      </c>
      <c r="G187" t="s">
        <v>1567</v>
      </c>
    </row>
    <row r="188" spans="5:7" x14ac:dyDescent="0.35">
      <c r="E188" t="s">
        <v>3803</v>
      </c>
      <c r="F188" t="s">
        <v>3960</v>
      </c>
      <c r="G188" t="s">
        <v>1567</v>
      </c>
    </row>
    <row r="189" spans="5:7" x14ac:dyDescent="0.35">
      <c r="E189" t="s">
        <v>3803</v>
      </c>
      <c r="F189" t="s">
        <v>3961</v>
      </c>
      <c r="G189" t="s">
        <v>1567</v>
      </c>
    </row>
    <row r="190" spans="5:7" x14ac:dyDescent="0.35">
      <c r="E190" t="s">
        <v>3803</v>
      </c>
      <c r="F190" t="s">
        <v>3962</v>
      </c>
      <c r="G190" t="s">
        <v>1567</v>
      </c>
    </row>
    <row r="191" spans="5:7" x14ac:dyDescent="0.35">
      <c r="E191" t="s">
        <v>3803</v>
      </c>
      <c r="F191" t="s">
        <v>2492</v>
      </c>
      <c r="G191" t="s">
        <v>1567</v>
      </c>
    </row>
    <row r="192" spans="5:7" x14ac:dyDescent="0.35">
      <c r="E192" t="s">
        <v>3803</v>
      </c>
      <c r="F192" t="s">
        <v>2494</v>
      </c>
      <c r="G192" t="s">
        <v>1567</v>
      </c>
    </row>
    <row r="193" spans="5:7" x14ac:dyDescent="0.35">
      <c r="E193" t="s">
        <v>3803</v>
      </c>
      <c r="F193" t="s">
        <v>2497</v>
      </c>
      <c r="G193" t="s">
        <v>1567</v>
      </c>
    </row>
    <row r="194" spans="5:7" x14ac:dyDescent="0.35">
      <c r="E194" t="s">
        <v>3803</v>
      </c>
      <c r="F194" t="s">
        <v>2499</v>
      </c>
      <c r="G194" t="s">
        <v>1567</v>
      </c>
    </row>
    <row r="195" spans="5:7" x14ac:dyDescent="0.35">
      <c r="E195" t="s">
        <v>3803</v>
      </c>
      <c r="F195" t="s">
        <v>828</v>
      </c>
      <c r="G195" t="s">
        <v>1567</v>
      </c>
    </row>
    <row r="196" spans="5:7" x14ac:dyDescent="0.35">
      <c r="E196" t="s">
        <v>3803</v>
      </c>
      <c r="F196" t="s">
        <v>3963</v>
      </c>
      <c r="G196" t="s">
        <v>1567</v>
      </c>
    </row>
    <row r="197" spans="5:7" x14ac:dyDescent="0.35">
      <c r="E197" t="s">
        <v>3803</v>
      </c>
      <c r="F197" t="s">
        <v>3964</v>
      </c>
      <c r="G197" t="s">
        <v>1567</v>
      </c>
    </row>
    <row r="198" spans="5:7" x14ac:dyDescent="0.35">
      <c r="E198" t="s">
        <v>3803</v>
      </c>
      <c r="F198" t="s">
        <v>3965</v>
      </c>
      <c r="G198" t="s">
        <v>1567</v>
      </c>
    </row>
    <row r="199" spans="5:7" x14ac:dyDescent="0.35">
      <c r="E199" t="s">
        <v>3803</v>
      </c>
      <c r="F199" t="s">
        <v>3966</v>
      </c>
      <c r="G199" t="s">
        <v>1567</v>
      </c>
    </row>
    <row r="200" spans="5:7" x14ac:dyDescent="0.35">
      <c r="E200" t="s">
        <v>3803</v>
      </c>
      <c r="F200" t="s">
        <v>3967</v>
      </c>
      <c r="G200" t="s">
        <v>1567</v>
      </c>
    </row>
    <row r="201" spans="5:7" x14ac:dyDescent="0.35">
      <c r="E201" t="s">
        <v>3803</v>
      </c>
      <c r="F201" t="s">
        <v>3968</v>
      </c>
      <c r="G201" t="s">
        <v>1567</v>
      </c>
    </row>
    <row r="202" spans="5:7" x14ac:dyDescent="0.35">
      <c r="E202" t="s">
        <v>3803</v>
      </c>
      <c r="F202" t="s">
        <v>2501</v>
      </c>
      <c r="G202" t="s">
        <v>1567</v>
      </c>
    </row>
    <row r="203" spans="5:7" x14ac:dyDescent="0.35">
      <c r="E203" t="s">
        <v>3803</v>
      </c>
      <c r="F203" t="s">
        <v>2504</v>
      </c>
      <c r="G203" t="s">
        <v>1567</v>
      </c>
    </row>
    <row r="204" spans="5:7" x14ac:dyDescent="0.35">
      <c r="E204" t="s">
        <v>3803</v>
      </c>
      <c r="F204" t="s">
        <v>1021</v>
      </c>
      <c r="G204" t="s">
        <v>1567</v>
      </c>
    </row>
    <row r="205" spans="5:7" x14ac:dyDescent="0.35">
      <c r="E205" t="s">
        <v>3803</v>
      </c>
      <c r="F205" t="s">
        <v>3969</v>
      </c>
      <c r="G205" t="s">
        <v>1567</v>
      </c>
    </row>
    <row r="206" spans="5:7" x14ac:dyDescent="0.35">
      <c r="E206" t="s">
        <v>3803</v>
      </c>
      <c r="F206" t="s">
        <v>3970</v>
      </c>
      <c r="G206" t="s">
        <v>1567</v>
      </c>
    </row>
    <row r="207" spans="5:7" x14ac:dyDescent="0.35">
      <c r="E207" t="s">
        <v>3803</v>
      </c>
      <c r="F207" t="s">
        <v>3971</v>
      </c>
      <c r="G207" t="s">
        <v>1567</v>
      </c>
    </row>
    <row r="208" spans="5:7" x14ac:dyDescent="0.35">
      <c r="E208" t="s">
        <v>3803</v>
      </c>
      <c r="F208" t="s">
        <v>3972</v>
      </c>
      <c r="G208" t="s">
        <v>1567</v>
      </c>
    </row>
    <row r="209" spans="5:7" x14ac:dyDescent="0.35">
      <c r="E209" t="s">
        <v>3803</v>
      </c>
      <c r="F209" t="s">
        <v>3973</v>
      </c>
      <c r="G209" t="s">
        <v>1567</v>
      </c>
    </row>
    <row r="210" spans="5:7" x14ac:dyDescent="0.35">
      <c r="E210" t="s">
        <v>3803</v>
      </c>
      <c r="F210" t="s">
        <v>3974</v>
      </c>
      <c r="G210" t="s">
        <v>1567</v>
      </c>
    </row>
    <row r="211" spans="5:7" x14ac:dyDescent="0.35">
      <c r="E211" t="s">
        <v>3803</v>
      </c>
      <c r="F211" t="s">
        <v>3975</v>
      </c>
      <c r="G211" t="s">
        <v>1567</v>
      </c>
    </row>
    <row r="212" spans="5:7" x14ac:dyDescent="0.35">
      <c r="E212" t="s">
        <v>3803</v>
      </c>
      <c r="F212" t="s">
        <v>3976</v>
      </c>
      <c r="G212" t="s">
        <v>1567</v>
      </c>
    </row>
    <row r="213" spans="5:7" x14ac:dyDescent="0.35">
      <c r="E213" t="s">
        <v>3803</v>
      </c>
      <c r="F213" t="s">
        <v>3977</v>
      </c>
      <c r="G213" t="s">
        <v>1567</v>
      </c>
    </row>
    <row r="214" spans="5:7" x14ac:dyDescent="0.35">
      <c r="E214" t="s">
        <v>3803</v>
      </c>
      <c r="F214" t="s">
        <v>3978</v>
      </c>
      <c r="G214" t="s">
        <v>1567</v>
      </c>
    </row>
    <row r="215" spans="5:7" x14ac:dyDescent="0.35">
      <c r="E215" t="s">
        <v>3803</v>
      </c>
      <c r="F215" t="s">
        <v>3979</v>
      </c>
      <c r="G215" t="s">
        <v>1567</v>
      </c>
    </row>
    <row r="216" spans="5:7" x14ac:dyDescent="0.35">
      <c r="E216" t="s">
        <v>3803</v>
      </c>
      <c r="F216" t="s">
        <v>3980</v>
      </c>
      <c r="G216" t="s">
        <v>1567</v>
      </c>
    </row>
    <row r="217" spans="5:7" x14ac:dyDescent="0.35">
      <c r="E217" t="s">
        <v>3803</v>
      </c>
      <c r="F217" t="s">
        <v>3981</v>
      </c>
      <c r="G217" t="s">
        <v>1567</v>
      </c>
    </row>
    <row r="218" spans="5:7" x14ac:dyDescent="0.35">
      <c r="E218" t="s">
        <v>3803</v>
      </c>
      <c r="F218" t="s">
        <v>3982</v>
      </c>
      <c r="G218" t="s">
        <v>1567</v>
      </c>
    </row>
    <row r="219" spans="5:7" x14ac:dyDescent="0.35">
      <c r="E219" t="s">
        <v>3803</v>
      </c>
      <c r="F219" t="s">
        <v>3983</v>
      </c>
      <c r="G219" t="s">
        <v>1567</v>
      </c>
    </row>
    <row r="220" spans="5:7" x14ac:dyDescent="0.35">
      <c r="E220" t="s">
        <v>3803</v>
      </c>
      <c r="F220" t="s">
        <v>3984</v>
      </c>
      <c r="G220" t="s">
        <v>1567</v>
      </c>
    </row>
    <row r="221" spans="5:7" x14ac:dyDescent="0.35">
      <c r="E221" t="s">
        <v>3803</v>
      </c>
      <c r="F221" t="s">
        <v>3985</v>
      </c>
      <c r="G221" t="s">
        <v>1567</v>
      </c>
    </row>
    <row r="222" spans="5:7" x14ac:dyDescent="0.35">
      <c r="E222" t="s">
        <v>3803</v>
      </c>
      <c r="F222" t="s">
        <v>1106</v>
      </c>
      <c r="G222" t="s">
        <v>1567</v>
      </c>
    </row>
    <row r="223" spans="5:7" x14ac:dyDescent="0.35">
      <c r="E223" t="s">
        <v>3803</v>
      </c>
      <c r="F223" t="s">
        <v>3986</v>
      </c>
      <c r="G223" t="s">
        <v>1567</v>
      </c>
    </row>
    <row r="224" spans="5:7" x14ac:dyDescent="0.35">
      <c r="E224" t="s">
        <v>3803</v>
      </c>
      <c r="F224" t="s">
        <v>3987</v>
      </c>
      <c r="G224" t="s">
        <v>1567</v>
      </c>
    </row>
    <row r="225" spans="5:7" x14ac:dyDescent="0.35">
      <c r="E225" t="s">
        <v>3803</v>
      </c>
      <c r="F225" t="s">
        <v>3988</v>
      </c>
      <c r="G225" t="s">
        <v>1567</v>
      </c>
    </row>
    <row r="226" spans="5:7" x14ac:dyDescent="0.35">
      <c r="E226" t="s">
        <v>3803</v>
      </c>
      <c r="F226" t="s">
        <v>3989</v>
      </c>
      <c r="G226" t="s">
        <v>1567</v>
      </c>
    </row>
    <row r="227" spans="5:7" x14ac:dyDescent="0.35">
      <c r="E227" t="s">
        <v>3803</v>
      </c>
      <c r="F227" t="s">
        <v>3990</v>
      </c>
      <c r="G227" t="s">
        <v>1567</v>
      </c>
    </row>
    <row r="228" spans="5:7" x14ac:dyDescent="0.35">
      <c r="E228" t="s">
        <v>3803</v>
      </c>
      <c r="F228" t="s">
        <v>2506</v>
      </c>
      <c r="G228" t="s">
        <v>1567</v>
      </c>
    </row>
    <row r="229" spans="5:7" x14ac:dyDescent="0.35">
      <c r="E229" t="s">
        <v>3803</v>
      </c>
      <c r="F229" t="s">
        <v>2509</v>
      </c>
      <c r="G229" t="s">
        <v>1567</v>
      </c>
    </row>
    <row r="230" spans="5:7" x14ac:dyDescent="0.35">
      <c r="E230" t="s">
        <v>3803</v>
      </c>
      <c r="F230" t="s">
        <v>3991</v>
      </c>
      <c r="G230" t="s">
        <v>1567</v>
      </c>
    </row>
    <row r="231" spans="5:7" x14ac:dyDescent="0.35">
      <c r="E231" t="s">
        <v>3803</v>
      </c>
      <c r="F231" t="s">
        <v>1356</v>
      </c>
      <c r="G231" t="s">
        <v>1567</v>
      </c>
    </row>
    <row r="232" spans="5:7" x14ac:dyDescent="0.35">
      <c r="E232" t="s">
        <v>3803</v>
      </c>
      <c r="F232" t="s">
        <v>3992</v>
      </c>
      <c r="G232" t="s">
        <v>1567</v>
      </c>
    </row>
    <row r="233" spans="5:7" x14ac:dyDescent="0.35">
      <c r="E233" t="s">
        <v>3803</v>
      </c>
      <c r="F233" t="s">
        <v>3993</v>
      </c>
      <c r="G233" t="s">
        <v>1567</v>
      </c>
    </row>
    <row r="234" spans="5:7" x14ac:dyDescent="0.35">
      <c r="E234" t="s">
        <v>3803</v>
      </c>
      <c r="F234" t="s">
        <v>3994</v>
      </c>
      <c r="G234" t="s">
        <v>1567</v>
      </c>
    </row>
    <row r="235" spans="5:7" x14ac:dyDescent="0.35">
      <c r="E235" t="s">
        <v>3803</v>
      </c>
      <c r="F235" t="s">
        <v>3995</v>
      </c>
      <c r="G235" t="s">
        <v>1567</v>
      </c>
    </row>
    <row r="236" spans="5:7" x14ac:dyDescent="0.35">
      <c r="E236" t="s">
        <v>3803</v>
      </c>
      <c r="F236" t="s">
        <v>3996</v>
      </c>
      <c r="G236" t="s">
        <v>1567</v>
      </c>
    </row>
    <row r="237" spans="5:7" x14ac:dyDescent="0.35">
      <c r="E237" t="s">
        <v>3803</v>
      </c>
      <c r="F237" t="s">
        <v>3997</v>
      </c>
      <c r="G237" t="s">
        <v>1567</v>
      </c>
    </row>
    <row r="238" spans="5:7" x14ac:dyDescent="0.35">
      <c r="E238" t="s">
        <v>3803</v>
      </c>
      <c r="F238" t="s">
        <v>3998</v>
      </c>
      <c r="G238" t="s">
        <v>1567</v>
      </c>
    </row>
    <row r="239" spans="5:7" x14ac:dyDescent="0.35">
      <c r="E239" t="s">
        <v>3803</v>
      </c>
      <c r="F239" t="s">
        <v>3999</v>
      </c>
      <c r="G239" t="s">
        <v>1567</v>
      </c>
    </row>
    <row r="240" spans="5:7" x14ac:dyDescent="0.35">
      <c r="E240" t="s">
        <v>3803</v>
      </c>
      <c r="F240" t="s">
        <v>2422</v>
      </c>
      <c r="G240" t="s">
        <v>1573</v>
      </c>
    </row>
    <row r="241" spans="5:7" x14ac:dyDescent="0.35">
      <c r="E241" t="s">
        <v>3803</v>
      </c>
      <c r="F241" t="s">
        <v>2425</v>
      </c>
      <c r="G241" t="s">
        <v>1573</v>
      </c>
    </row>
    <row r="242" spans="5:7" x14ac:dyDescent="0.35">
      <c r="E242" t="s">
        <v>3803</v>
      </c>
      <c r="F242" t="s">
        <v>2427</v>
      </c>
      <c r="G242" t="s">
        <v>1573</v>
      </c>
    </row>
    <row r="243" spans="5:7" x14ac:dyDescent="0.35">
      <c r="E243" t="s">
        <v>3803</v>
      </c>
      <c r="F243" t="s">
        <v>171</v>
      </c>
      <c r="G243" t="s">
        <v>1573</v>
      </c>
    </row>
    <row r="244" spans="5:7" x14ac:dyDescent="0.35">
      <c r="E244" t="s">
        <v>3803</v>
      </c>
      <c r="F244" t="s">
        <v>2429</v>
      </c>
      <c r="G244" t="s">
        <v>1573</v>
      </c>
    </row>
    <row r="245" spans="5:7" x14ac:dyDescent="0.35">
      <c r="E245" t="s">
        <v>3803</v>
      </c>
      <c r="F245" t="s">
        <v>2432</v>
      </c>
      <c r="G245" t="s">
        <v>1573</v>
      </c>
    </row>
    <row r="246" spans="5:7" x14ac:dyDescent="0.35">
      <c r="E246" t="s">
        <v>3803</v>
      </c>
      <c r="F246" t="s">
        <v>2434</v>
      </c>
      <c r="G246" t="s">
        <v>1573</v>
      </c>
    </row>
    <row r="247" spans="5:7" x14ac:dyDescent="0.35">
      <c r="E247" t="s">
        <v>3803</v>
      </c>
      <c r="F247" t="s">
        <v>208</v>
      </c>
      <c r="G247" t="s">
        <v>1573</v>
      </c>
    </row>
    <row r="248" spans="5:7" x14ac:dyDescent="0.35">
      <c r="E248" t="s">
        <v>3803</v>
      </c>
      <c r="F248" t="s">
        <v>2436</v>
      </c>
      <c r="G248" t="s">
        <v>1573</v>
      </c>
    </row>
    <row r="249" spans="5:7" x14ac:dyDescent="0.35">
      <c r="E249" t="s">
        <v>3803</v>
      </c>
      <c r="F249" t="s">
        <v>2438</v>
      </c>
      <c r="G249" t="s">
        <v>1573</v>
      </c>
    </row>
    <row r="250" spans="5:7" x14ac:dyDescent="0.35">
      <c r="E250" t="s">
        <v>3803</v>
      </c>
      <c r="F250" t="s">
        <v>2440</v>
      </c>
      <c r="G250" t="s">
        <v>1573</v>
      </c>
    </row>
    <row r="251" spans="5:7" x14ac:dyDescent="0.35">
      <c r="E251" t="s">
        <v>3803</v>
      </c>
      <c r="F251" t="s">
        <v>230</v>
      </c>
      <c r="G251" t="s">
        <v>1573</v>
      </c>
    </row>
    <row r="252" spans="5:7" x14ac:dyDescent="0.35">
      <c r="E252" t="s">
        <v>3803</v>
      </c>
      <c r="F252" t="s">
        <v>2523</v>
      </c>
      <c r="G252" t="s">
        <v>1573</v>
      </c>
    </row>
    <row r="253" spans="5:7" x14ac:dyDescent="0.35">
      <c r="E253" t="s">
        <v>3803</v>
      </c>
      <c r="F253" t="s">
        <v>2525</v>
      </c>
      <c r="G253" t="s">
        <v>1573</v>
      </c>
    </row>
    <row r="254" spans="5:7" x14ac:dyDescent="0.35">
      <c r="E254" t="s">
        <v>3803</v>
      </c>
      <c r="F254" t="s">
        <v>2527</v>
      </c>
      <c r="G254" t="s">
        <v>1573</v>
      </c>
    </row>
    <row r="255" spans="5:7" x14ac:dyDescent="0.35">
      <c r="E255" t="s">
        <v>3803</v>
      </c>
      <c r="F255" t="s">
        <v>300</v>
      </c>
      <c r="G255" t="s">
        <v>1573</v>
      </c>
    </row>
    <row r="256" spans="5:7" x14ac:dyDescent="0.35">
      <c r="E256" t="s">
        <v>3803</v>
      </c>
      <c r="F256" t="s">
        <v>2529</v>
      </c>
      <c r="G256" t="s">
        <v>1573</v>
      </c>
    </row>
    <row r="257" spans="5:7" x14ac:dyDescent="0.35">
      <c r="E257" t="s">
        <v>3803</v>
      </c>
      <c r="F257" t="s">
        <v>2531</v>
      </c>
      <c r="G257" t="s">
        <v>1573</v>
      </c>
    </row>
    <row r="258" spans="5:7" x14ac:dyDescent="0.35">
      <c r="E258" t="s">
        <v>3803</v>
      </c>
      <c r="F258" t="s">
        <v>2533</v>
      </c>
      <c r="G258" t="s">
        <v>1573</v>
      </c>
    </row>
    <row r="259" spans="5:7" x14ac:dyDescent="0.35">
      <c r="E259" t="s">
        <v>3803</v>
      </c>
      <c r="F259" t="s">
        <v>2535</v>
      </c>
      <c r="G259" t="s">
        <v>1573</v>
      </c>
    </row>
    <row r="260" spans="5:7" x14ac:dyDescent="0.35">
      <c r="E260" t="s">
        <v>3803</v>
      </c>
      <c r="F260" t="s">
        <v>2537</v>
      </c>
      <c r="G260" t="s">
        <v>1573</v>
      </c>
    </row>
    <row r="261" spans="5:7" x14ac:dyDescent="0.35">
      <c r="E261" t="s">
        <v>3803</v>
      </c>
      <c r="F261" t="s">
        <v>456</v>
      </c>
      <c r="G261" t="s">
        <v>1573</v>
      </c>
    </row>
    <row r="262" spans="5:7" x14ac:dyDescent="0.35">
      <c r="E262" t="s">
        <v>3803</v>
      </c>
      <c r="F262" t="s">
        <v>4000</v>
      </c>
      <c r="G262" t="s">
        <v>1573</v>
      </c>
    </row>
    <row r="263" spans="5:7" x14ac:dyDescent="0.35">
      <c r="E263" t="s">
        <v>3803</v>
      </c>
      <c r="F263" t="s">
        <v>4001</v>
      </c>
      <c r="G263" t="s">
        <v>1573</v>
      </c>
    </row>
    <row r="264" spans="5:7" x14ac:dyDescent="0.35">
      <c r="E264" t="s">
        <v>3803</v>
      </c>
      <c r="F264" t="s">
        <v>4002</v>
      </c>
      <c r="G264" t="s">
        <v>1573</v>
      </c>
    </row>
    <row r="265" spans="5:7" x14ac:dyDescent="0.35">
      <c r="E265" t="s">
        <v>3803</v>
      </c>
      <c r="F265" t="s">
        <v>4003</v>
      </c>
      <c r="G265" t="s">
        <v>1573</v>
      </c>
    </row>
    <row r="266" spans="5:7" x14ac:dyDescent="0.35">
      <c r="E266" t="s">
        <v>3803</v>
      </c>
      <c r="F266" t="s">
        <v>4004</v>
      </c>
      <c r="G266" t="s">
        <v>1573</v>
      </c>
    </row>
    <row r="267" spans="5:7" x14ac:dyDescent="0.35">
      <c r="E267" t="s">
        <v>3803</v>
      </c>
      <c r="F267" t="s">
        <v>4005</v>
      </c>
      <c r="G267" t="s">
        <v>1573</v>
      </c>
    </row>
    <row r="268" spans="5:7" x14ac:dyDescent="0.35">
      <c r="E268" t="s">
        <v>3803</v>
      </c>
      <c r="F268" t="s">
        <v>4006</v>
      </c>
      <c r="G268" t="s">
        <v>1573</v>
      </c>
    </row>
    <row r="269" spans="5:7" x14ac:dyDescent="0.35">
      <c r="E269" t="s">
        <v>3803</v>
      </c>
      <c r="F269" t="s">
        <v>4007</v>
      </c>
      <c r="G269" t="s">
        <v>1573</v>
      </c>
    </row>
    <row r="270" spans="5:7" x14ac:dyDescent="0.35">
      <c r="E270" t="s">
        <v>3803</v>
      </c>
      <c r="F270" t="s">
        <v>4008</v>
      </c>
      <c r="G270" t="s">
        <v>1573</v>
      </c>
    </row>
    <row r="271" spans="5:7" x14ac:dyDescent="0.35">
      <c r="E271" t="s">
        <v>3803</v>
      </c>
      <c r="F271" t="s">
        <v>4009</v>
      </c>
      <c r="G271" t="s">
        <v>1573</v>
      </c>
    </row>
    <row r="272" spans="5:7" x14ac:dyDescent="0.35">
      <c r="E272" t="s">
        <v>3803</v>
      </c>
      <c r="F272" t="s">
        <v>4010</v>
      </c>
      <c r="G272" t="s">
        <v>1573</v>
      </c>
    </row>
    <row r="273" spans="5:7" x14ac:dyDescent="0.35">
      <c r="E273" t="s">
        <v>3803</v>
      </c>
      <c r="F273" t="s">
        <v>4011</v>
      </c>
      <c r="G273" t="s">
        <v>1573</v>
      </c>
    </row>
    <row r="274" spans="5:7" x14ac:dyDescent="0.35">
      <c r="E274" t="s">
        <v>3803</v>
      </c>
      <c r="F274" t="s">
        <v>4012</v>
      </c>
      <c r="G274" t="s">
        <v>1573</v>
      </c>
    </row>
    <row r="275" spans="5:7" x14ac:dyDescent="0.35">
      <c r="E275" t="s">
        <v>3803</v>
      </c>
      <c r="F275" t="s">
        <v>4013</v>
      </c>
      <c r="G275" t="s">
        <v>1573</v>
      </c>
    </row>
    <row r="276" spans="5:7" x14ac:dyDescent="0.35">
      <c r="E276" t="s">
        <v>3803</v>
      </c>
      <c r="F276" t="s">
        <v>4014</v>
      </c>
      <c r="G276" t="s">
        <v>1573</v>
      </c>
    </row>
    <row r="277" spans="5:7" x14ac:dyDescent="0.35">
      <c r="E277" t="s">
        <v>3803</v>
      </c>
      <c r="F277" t="s">
        <v>4015</v>
      </c>
      <c r="G277" t="s">
        <v>1573</v>
      </c>
    </row>
    <row r="278" spans="5:7" x14ac:dyDescent="0.35">
      <c r="E278" t="s">
        <v>3803</v>
      </c>
      <c r="F278" t="s">
        <v>2539</v>
      </c>
      <c r="G278" t="s">
        <v>1573</v>
      </c>
    </row>
    <row r="279" spans="5:7" x14ac:dyDescent="0.35">
      <c r="E279" t="s">
        <v>3803</v>
      </c>
      <c r="F279" t="s">
        <v>495</v>
      </c>
      <c r="G279" t="s">
        <v>1573</v>
      </c>
    </row>
    <row r="280" spans="5:7" x14ac:dyDescent="0.35">
      <c r="E280" t="s">
        <v>3803</v>
      </c>
      <c r="F280" t="s">
        <v>4016</v>
      </c>
      <c r="G280" t="s">
        <v>1573</v>
      </c>
    </row>
    <row r="281" spans="5:7" x14ac:dyDescent="0.35">
      <c r="E281" t="s">
        <v>3803</v>
      </c>
      <c r="F281" t="s">
        <v>4017</v>
      </c>
      <c r="G281" t="s">
        <v>1573</v>
      </c>
    </row>
    <row r="282" spans="5:7" x14ac:dyDescent="0.35">
      <c r="E282" t="s">
        <v>3803</v>
      </c>
      <c r="F282" t="s">
        <v>4018</v>
      </c>
      <c r="G282" t="s">
        <v>1573</v>
      </c>
    </row>
    <row r="283" spans="5:7" x14ac:dyDescent="0.35">
      <c r="E283" t="s">
        <v>3803</v>
      </c>
      <c r="F283" t="s">
        <v>2541</v>
      </c>
      <c r="G283" t="s">
        <v>1573</v>
      </c>
    </row>
    <row r="284" spans="5:7" x14ac:dyDescent="0.35">
      <c r="E284" t="s">
        <v>3803</v>
      </c>
      <c r="F284" t="s">
        <v>536</v>
      </c>
      <c r="G284" t="s">
        <v>1573</v>
      </c>
    </row>
    <row r="285" spans="5:7" x14ac:dyDescent="0.35">
      <c r="E285" t="s">
        <v>3803</v>
      </c>
      <c r="F285" t="s">
        <v>4019</v>
      </c>
      <c r="G285" t="s">
        <v>1573</v>
      </c>
    </row>
    <row r="286" spans="5:7" x14ac:dyDescent="0.35">
      <c r="E286" t="s">
        <v>3803</v>
      </c>
      <c r="F286" t="s">
        <v>4020</v>
      </c>
      <c r="G286" t="s">
        <v>1573</v>
      </c>
    </row>
    <row r="287" spans="5:7" x14ac:dyDescent="0.35">
      <c r="E287" t="s">
        <v>3803</v>
      </c>
      <c r="F287" t="s">
        <v>4021</v>
      </c>
      <c r="G287" t="s">
        <v>1573</v>
      </c>
    </row>
    <row r="288" spans="5:7" x14ac:dyDescent="0.35">
      <c r="E288" t="s">
        <v>3803</v>
      </c>
      <c r="F288" t="s">
        <v>4022</v>
      </c>
      <c r="G288" t="s">
        <v>1573</v>
      </c>
    </row>
    <row r="289" spans="5:7" x14ac:dyDescent="0.35">
      <c r="E289" t="s">
        <v>3803</v>
      </c>
      <c r="F289" t="s">
        <v>4023</v>
      </c>
      <c r="G289" t="s">
        <v>1573</v>
      </c>
    </row>
    <row r="290" spans="5:7" x14ac:dyDescent="0.35">
      <c r="E290" t="s">
        <v>3803</v>
      </c>
      <c r="F290" t="s">
        <v>4024</v>
      </c>
      <c r="G290" t="s">
        <v>1573</v>
      </c>
    </row>
    <row r="291" spans="5:7" x14ac:dyDescent="0.35">
      <c r="E291" t="s">
        <v>3803</v>
      </c>
      <c r="F291" t="s">
        <v>4025</v>
      </c>
      <c r="G291" t="s">
        <v>1573</v>
      </c>
    </row>
    <row r="292" spans="5:7" x14ac:dyDescent="0.35">
      <c r="E292" t="s">
        <v>3803</v>
      </c>
      <c r="F292" t="s">
        <v>4026</v>
      </c>
      <c r="G292" t="s">
        <v>1573</v>
      </c>
    </row>
    <row r="293" spans="5:7" x14ac:dyDescent="0.35">
      <c r="E293" t="s">
        <v>3803</v>
      </c>
      <c r="F293" t="s">
        <v>4027</v>
      </c>
      <c r="G293" t="s">
        <v>1573</v>
      </c>
    </row>
    <row r="294" spans="5:7" x14ac:dyDescent="0.35">
      <c r="E294" t="s">
        <v>3803</v>
      </c>
      <c r="F294" t="s">
        <v>4028</v>
      </c>
      <c r="G294" t="s">
        <v>1573</v>
      </c>
    </row>
    <row r="295" spans="5:7" x14ac:dyDescent="0.35">
      <c r="E295" t="s">
        <v>3803</v>
      </c>
      <c r="F295" t="s">
        <v>4029</v>
      </c>
      <c r="G295" t="s">
        <v>1573</v>
      </c>
    </row>
    <row r="296" spans="5:7" x14ac:dyDescent="0.35">
      <c r="E296" t="s">
        <v>3803</v>
      </c>
      <c r="F296" t="s">
        <v>4030</v>
      </c>
      <c r="G296" t="s">
        <v>1573</v>
      </c>
    </row>
    <row r="297" spans="5:7" x14ac:dyDescent="0.35">
      <c r="E297" t="s">
        <v>3803</v>
      </c>
      <c r="F297" t="s">
        <v>4031</v>
      </c>
      <c r="G297" t="s">
        <v>1573</v>
      </c>
    </row>
    <row r="298" spans="5:7" x14ac:dyDescent="0.35">
      <c r="E298" t="s">
        <v>3803</v>
      </c>
      <c r="F298" t="s">
        <v>4032</v>
      </c>
      <c r="G298" t="s">
        <v>1573</v>
      </c>
    </row>
    <row r="299" spans="5:7" x14ac:dyDescent="0.35">
      <c r="E299" t="s">
        <v>3803</v>
      </c>
      <c r="F299" t="s">
        <v>4033</v>
      </c>
      <c r="G299" t="s">
        <v>1573</v>
      </c>
    </row>
    <row r="300" spans="5:7" x14ac:dyDescent="0.35">
      <c r="E300" t="s">
        <v>3803</v>
      </c>
      <c r="F300" t="s">
        <v>4034</v>
      </c>
      <c r="G300" t="s">
        <v>1573</v>
      </c>
    </row>
    <row r="301" spans="5:7" x14ac:dyDescent="0.35">
      <c r="E301" t="s">
        <v>3803</v>
      </c>
      <c r="F301" t="s">
        <v>4035</v>
      </c>
      <c r="G301" t="s">
        <v>1573</v>
      </c>
    </row>
    <row r="302" spans="5:7" x14ac:dyDescent="0.35">
      <c r="E302" t="s">
        <v>3803</v>
      </c>
      <c r="F302" t="s">
        <v>4036</v>
      </c>
      <c r="G302" t="s">
        <v>1573</v>
      </c>
    </row>
    <row r="303" spans="5:7" x14ac:dyDescent="0.35">
      <c r="E303" t="s">
        <v>3803</v>
      </c>
      <c r="F303" t="s">
        <v>4037</v>
      </c>
      <c r="G303" t="s">
        <v>1573</v>
      </c>
    </row>
    <row r="304" spans="5:7" x14ac:dyDescent="0.35">
      <c r="E304" t="s">
        <v>3803</v>
      </c>
      <c r="F304" t="s">
        <v>4038</v>
      </c>
      <c r="G304" t="s">
        <v>1573</v>
      </c>
    </row>
    <row r="305" spans="5:7" x14ac:dyDescent="0.35">
      <c r="E305" t="s">
        <v>3803</v>
      </c>
      <c r="F305" t="s">
        <v>4039</v>
      </c>
      <c r="G305" t="s">
        <v>1573</v>
      </c>
    </row>
    <row r="306" spans="5:7" x14ac:dyDescent="0.35">
      <c r="E306" t="s">
        <v>3803</v>
      </c>
      <c r="F306" t="s">
        <v>4040</v>
      </c>
      <c r="G306" t="s">
        <v>1573</v>
      </c>
    </row>
    <row r="307" spans="5:7" x14ac:dyDescent="0.35">
      <c r="E307" t="s">
        <v>3803</v>
      </c>
      <c r="F307" t="s">
        <v>4041</v>
      </c>
      <c r="G307" t="s">
        <v>1573</v>
      </c>
    </row>
    <row r="308" spans="5:7" x14ac:dyDescent="0.35">
      <c r="E308" t="s">
        <v>3803</v>
      </c>
      <c r="F308" t="s">
        <v>4042</v>
      </c>
      <c r="G308" t="s">
        <v>1573</v>
      </c>
    </row>
    <row r="309" spans="5:7" x14ac:dyDescent="0.35">
      <c r="E309" t="s">
        <v>3803</v>
      </c>
      <c r="F309" t="s">
        <v>4043</v>
      </c>
      <c r="G309" t="s">
        <v>1573</v>
      </c>
    </row>
    <row r="310" spans="5:7" x14ac:dyDescent="0.35">
      <c r="E310" t="s">
        <v>3803</v>
      </c>
      <c r="F310" t="s">
        <v>4044</v>
      </c>
      <c r="G310" t="s">
        <v>1573</v>
      </c>
    </row>
    <row r="311" spans="5:7" x14ac:dyDescent="0.35">
      <c r="E311" t="s">
        <v>3803</v>
      </c>
      <c r="F311" t="s">
        <v>4045</v>
      </c>
      <c r="G311" t="s">
        <v>1573</v>
      </c>
    </row>
    <row r="312" spans="5:7" x14ac:dyDescent="0.35">
      <c r="E312" t="s">
        <v>3803</v>
      </c>
      <c r="F312" t="s">
        <v>4046</v>
      </c>
      <c r="G312" t="s">
        <v>1573</v>
      </c>
    </row>
    <row r="313" spans="5:7" x14ac:dyDescent="0.35">
      <c r="E313" t="s">
        <v>3803</v>
      </c>
      <c r="F313" t="s">
        <v>4047</v>
      </c>
      <c r="G313" t="s">
        <v>1573</v>
      </c>
    </row>
    <row r="314" spans="5:7" x14ac:dyDescent="0.35">
      <c r="E314" t="s">
        <v>3803</v>
      </c>
      <c r="F314" t="s">
        <v>4048</v>
      </c>
      <c r="G314" t="s">
        <v>1573</v>
      </c>
    </row>
    <row r="315" spans="5:7" x14ac:dyDescent="0.35">
      <c r="E315" t="s">
        <v>3803</v>
      </c>
      <c r="F315" t="s">
        <v>679</v>
      </c>
      <c r="G315" t="s">
        <v>1573</v>
      </c>
    </row>
    <row r="316" spans="5:7" x14ac:dyDescent="0.35">
      <c r="E316" t="s">
        <v>3803</v>
      </c>
      <c r="F316" t="s">
        <v>4049</v>
      </c>
      <c r="G316" t="s">
        <v>1573</v>
      </c>
    </row>
    <row r="317" spans="5:7" x14ac:dyDescent="0.35">
      <c r="E317" t="s">
        <v>3803</v>
      </c>
      <c r="F317" t="s">
        <v>4050</v>
      </c>
      <c r="G317" t="s">
        <v>1573</v>
      </c>
    </row>
    <row r="318" spans="5:7" x14ac:dyDescent="0.35">
      <c r="E318" t="s">
        <v>3803</v>
      </c>
      <c r="F318" t="s">
        <v>4051</v>
      </c>
      <c r="G318" t="s">
        <v>1573</v>
      </c>
    </row>
    <row r="319" spans="5:7" x14ac:dyDescent="0.35">
      <c r="E319" t="s">
        <v>3803</v>
      </c>
      <c r="F319" t="s">
        <v>4052</v>
      </c>
      <c r="G319" t="s">
        <v>1573</v>
      </c>
    </row>
    <row r="320" spans="5:7" x14ac:dyDescent="0.35">
      <c r="E320" t="s">
        <v>3803</v>
      </c>
      <c r="F320" t="s">
        <v>4053</v>
      </c>
      <c r="G320" t="s">
        <v>1573</v>
      </c>
    </row>
    <row r="321" spans="5:7" x14ac:dyDescent="0.35">
      <c r="E321" t="s">
        <v>3803</v>
      </c>
      <c r="F321" t="s">
        <v>4054</v>
      </c>
      <c r="G321" t="s">
        <v>1573</v>
      </c>
    </row>
    <row r="322" spans="5:7" x14ac:dyDescent="0.35">
      <c r="E322" t="s">
        <v>3803</v>
      </c>
      <c r="F322" t="s">
        <v>4055</v>
      </c>
      <c r="G322" t="s">
        <v>1573</v>
      </c>
    </row>
    <row r="323" spans="5:7" x14ac:dyDescent="0.35">
      <c r="E323" t="s">
        <v>3803</v>
      </c>
      <c r="F323" t="s">
        <v>4056</v>
      </c>
      <c r="G323" t="s">
        <v>1573</v>
      </c>
    </row>
    <row r="324" spans="5:7" x14ac:dyDescent="0.35">
      <c r="E324" t="s">
        <v>3803</v>
      </c>
      <c r="F324" t="s">
        <v>4057</v>
      </c>
      <c r="G324" t="s">
        <v>1573</v>
      </c>
    </row>
    <row r="325" spans="5:7" x14ac:dyDescent="0.35">
      <c r="E325" t="s">
        <v>3803</v>
      </c>
      <c r="F325" t="s">
        <v>4058</v>
      </c>
      <c r="G325" t="s">
        <v>1573</v>
      </c>
    </row>
    <row r="326" spans="5:7" x14ac:dyDescent="0.35">
      <c r="E326" t="s">
        <v>3803</v>
      </c>
      <c r="F326" t="s">
        <v>4059</v>
      </c>
      <c r="G326" t="s">
        <v>1573</v>
      </c>
    </row>
    <row r="327" spans="5:7" x14ac:dyDescent="0.35">
      <c r="E327" t="s">
        <v>3803</v>
      </c>
      <c r="F327" t="s">
        <v>4060</v>
      </c>
      <c r="G327" t="s">
        <v>1573</v>
      </c>
    </row>
    <row r="328" spans="5:7" x14ac:dyDescent="0.35">
      <c r="E328" t="s">
        <v>3803</v>
      </c>
      <c r="F328" t="s">
        <v>4061</v>
      </c>
      <c r="G328" t="s">
        <v>1573</v>
      </c>
    </row>
    <row r="329" spans="5:7" x14ac:dyDescent="0.35">
      <c r="E329" t="s">
        <v>3803</v>
      </c>
      <c r="F329" t="s">
        <v>4062</v>
      </c>
      <c r="G329" t="s">
        <v>1573</v>
      </c>
    </row>
    <row r="330" spans="5:7" x14ac:dyDescent="0.35">
      <c r="E330" t="s">
        <v>3803</v>
      </c>
      <c r="F330" t="s">
        <v>4063</v>
      </c>
      <c r="G330" t="s">
        <v>1573</v>
      </c>
    </row>
    <row r="331" spans="5:7" x14ac:dyDescent="0.35">
      <c r="E331" t="s">
        <v>3803</v>
      </c>
      <c r="F331" t="s">
        <v>4064</v>
      </c>
      <c r="G331" t="s">
        <v>1573</v>
      </c>
    </row>
    <row r="332" spans="5:7" x14ac:dyDescent="0.35">
      <c r="E332" t="s">
        <v>3803</v>
      </c>
      <c r="F332" t="s">
        <v>4065</v>
      </c>
      <c r="G332" t="s">
        <v>1573</v>
      </c>
    </row>
    <row r="333" spans="5:7" x14ac:dyDescent="0.35">
      <c r="E333" t="s">
        <v>3803</v>
      </c>
      <c r="F333" t="s">
        <v>4066</v>
      </c>
      <c r="G333" t="s">
        <v>1573</v>
      </c>
    </row>
    <row r="334" spans="5:7" x14ac:dyDescent="0.35">
      <c r="E334" t="s">
        <v>3803</v>
      </c>
      <c r="F334" t="s">
        <v>4067</v>
      </c>
      <c r="G334" t="s">
        <v>1573</v>
      </c>
    </row>
    <row r="335" spans="5:7" x14ac:dyDescent="0.35">
      <c r="E335" t="s">
        <v>3803</v>
      </c>
      <c r="F335" t="s">
        <v>4068</v>
      </c>
      <c r="G335" t="s">
        <v>1573</v>
      </c>
    </row>
    <row r="336" spans="5:7" x14ac:dyDescent="0.35">
      <c r="E336" t="s">
        <v>3803</v>
      </c>
      <c r="F336" t="s">
        <v>4069</v>
      </c>
      <c r="G336" t="s">
        <v>1573</v>
      </c>
    </row>
    <row r="337" spans="5:7" x14ac:dyDescent="0.35">
      <c r="E337" t="s">
        <v>3803</v>
      </c>
      <c r="F337" t="s">
        <v>4070</v>
      </c>
      <c r="G337" t="s">
        <v>1573</v>
      </c>
    </row>
    <row r="338" spans="5:7" x14ac:dyDescent="0.35">
      <c r="E338" t="s">
        <v>3803</v>
      </c>
      <c r="F338" t="s">
        <v>4071</v>
      </c>
      <c r="G338" t="s">
        <v>1573</v>
      </c>
    </row>
    <row r="339" spans="5:7" x14ac:dyDescent="0.35">
      <c r="E339" t="s">
        <v>3803</v>
      </c>
      <c r="F339" t="s">
        <v>4072</v>
      </c>
      <c r="G339" t="s">
        <v>1573</v>
      </c>
    </row>
    <row r="340" spans="5:7" x14ac:dyDescent="0.35">
      <c r="E340" t="s">
        <v>3803</v>
      </c>
      <c r="F340" t="s">
        <v>4073</v>
      </c>
      <c r="G340" t="s">
        <v>1573</v>
      </c>
    </row>
    <row r="341" spans="5:7" x14ac:dyDescent="0.35">
      <c r="E341" t="s">
        <v>3803</v>
      </c>
      <c r="F341" t="s">
        <v>4074</v>
      </c>
      <c r="G341" t="s">
        <v>1573</v>
      </c>
    </row>
    <row r="342" spans="5:7" x14ac:dyDescent="0.35">
      <c r="E342" t="s">
        <v>3803</v>
      </c>
      <c r="F342" t="s">
        <v>4075</v>
      </c>
      <c r="G342" t="s">
        <v>1573</v>
      </c>
    </row>
    <row r="343" spans="5:7" x14ac:dyDescent="0.35">
      <c r="E343" t="s">
        <v>3803</v>
      </c>
      <c r="F343" t="s">
        <v>869</v>
      </c>
      <c r="G343" t="s">
        <v>1573</v>
      </c>
    </row>
    <row r="344" spans="5:7" x14ac:dyDescent="0.35">
      <c r="E344" t="s">
        <v>3803</v>
      </c>
      <c r="F344" t="s">
        <v>4076</v>
      </c>
      <c r="G344" t="s">
        <v>1573</v>
      </c>
    </row>
    <row r="345" spans="5:7" x14ac:dyDescent="0.35">
      <c r="E345" t="s">
        <v>3803</v>
      </c>
      <c r="F345" t="s">
        <v>4077</v>
      </c>
      <c r="G345" t="s">
        <v>1573</v>
      </c>
    </row>
    <row r="346" spans="5:7" x14ac:dyDescent="0.35">
      <c r="E346" t="s">
        <v>3803</v>
      </c>
      <c r="F346" t="s">
        <v>4078</v>
      </c>
      <c r="G346" t="s">
        <v>1573</v>
      </c>
    </row>
    <row r="347" spans="5:7" x14ac:dyDescent="0.35">
      <c r="E347" t="s">
        <v>3803</v>
      </c>
      <c r="F347" t="s">
        <v>4079</v>
      </c>
      <c r="G347" t="s">
        <v>1573</v>
      </c>
    </row>
    <row r="348" spans="5:7" x14ac:dyDescent="0.35">
      <c r="E348" t="s">
        <v>3803</v>
      </c>
      <c r="F348" t="s">
        <v>4080</v>
      </c>
      <c r="G348" t="s">
        <v>1573</v>
      </c>
    </row>
    <row r="349" spans="5:7" x14ac:dyDescent="0.35">
      <c r="E349" t="s">
        <v>3803</v>
      </c>
      <c r="F349" t="s">
        <v>4081</v>
      </c>
      <c r="G349" t="s">
        <v>1573</v>
      </c>
    </row>
    <row r="350" spans="5:7" x14ac:dyDescent="0.35">
      <c r="E350" t="s">
        <v>3803</v>
      </c>
      <c r="F350" t="s">
        <v>4082</v>
      </c>
      <c r="G350" t="s">
        <v>1573</v>
      </c>
    </row>
    <row r="351" spans="5:7" x14ac:dyDescent="0.35">
      <c r="E351" t="s">
        <v>3803</v>
      </c>
      <c r="F351" t="s">
        <v>4083</v>
      </c>
      <c r="G351" t="s">
        <v>1573</v>
      </c>
    </row>
    <row r="352" spans="5:7" x14ac:dyDescent="0.35">
      <c r="E352" t="s">
        <v>3803</v>
      </c>
      <c r="F352" t="s">
        <v>4084</v>
      </c>
      <c r="G352" t="s">
        <v>1573</v>
      </c>
    </row>
    <row r="353" spans="5:7" x14ac:dyDescent="0.35">
      <c r="E353" t="s">
        <v>3803</v>
      </c>
      <c r="F353" t="s">
        <v>4085</v>
      </c>
      <c r="G353" t="s">
        <v>1573</v>
      </c>
    </row>
    <row r="354" spans="5:7" x14ac:dyDescent="0.35">
      <c r="E354" t="s">
        <v>3803</v>
      </c>
      <c r="F354" t="s">
        <v>4086</v>
      </c>
      <c r="G354" t="s">
        <v>1573</v>
      </c>
    </row>
    <row r="355" spans="5:7" x14ac:dyDescent="0.35">
      <c r="E355" t="s">
        <v>3803</v>
      </c>
      <c r="F355" t="s">
        <v>4087</v>
      </c>
      <c r="G355" t="s">
        <v>1573</v>
      </c>
    </row>
    <row r="356" spans="5:7" x14ac:dyDescent="0.35">
      <c r="E356" t="s">
        <v>3803</v>
      </c>
      <c r="F356" t="s">
        <v>4088</v>
      </c>
      <c r="G356" t="s">
        <v>1573</v>
      </c>
    </row>
    <row r="357" spans="5:7" x14ac:dyDescent="0.35">
      <c r="E357" t="s">
        <v>3803</v>
      </c>
      <c r="F357" t="s">
        <v>4089</v>
      </c>
      <c r="G357" t="s">
        <v>1573</v>
      </c>
    </row>
    <row r="358" spans="5:7" x14ac:dyDescent="0.35">
      <c r="E358" t="s">
        <v>3803</v>
      </c>
      <c r="F358" t="s">
        <v>4090</v>
      </c>
      <c r="G358" t="s">
        <v>1573</v>
      </c>
    </row>
    <row r="359" spans="5:7" x14ac:dyDescent="0.35">
      <c r="E359" t="s">
        <v>3803</v>
      </c>
      <c r="F359" t="s">
        <v>4091</v>
      </c>
      <c r="G359" t="s">
        <v>1573</v>
      </c>
    </row>
    <row r="360" spans="5:7" x14ac:dyDescent="0.35">
      <c r="E360" t="s">
        <v>3803</v>
      </c>
      <c r="F360" t="s">
        <v>4092</v>
      </c>
      <c r="G360" t="s">
        <v>1573</v>
      </c>
    </row>
    <row r="361" spans="5:7" x14ac:dyDescent="0.35">
      <c r="E361" t="s">
        <v>3803</v>
      </c>
      <c r="F361" t="s">
        <v>4093</v>
      </c>
      <c r="G361" t="s">
        <v>1573</v>
      </c>
    </row>
    <row r="362" spans="5:7" x14ac:dyDescent="0.35">
      <c r="E362" t="s">
        <v>3803</v>
      </c>
      <c r="F362" t="s">
        <v>4094</v>
      </c>
      <c r="G362" t="s">
        <v>1573</v>
      </c>
    </row>
    <row r="363" spans="5:7" x14ac:dyDescent="0.35">
      <c r="E363" t="s">
        <v>3803</v>
      </c>
      <c r="F363" t="s">
        <v>4095</v>
      </c>
      <c r="G363" t="s">
        <v>1573</v>
      </c>
    </row>
    <row r="364" spans="5:7" x14ac:dyDescent="0.35">
      <c r="E364" t="s">
        <v>3803</v>
      </c>
      <c r="F364" t="s">
        <v>4096</v>
      </c>
      <c r="G364" t="s">
        <v>1573</v>
      </c>
    </row>
    <row r="365" spans="5:7" x14ac:dyDescent="0.35">
      <c r="E365" t="s">
        <v>3803</v>
      </c>
      <c r="F365" t="s">
        <v>4097</v>
      </c>
      <c r="G365" t="s">
        <v>1573</v>
      </c>
    </row>
    <row r="366" spans="5:7" x14ac:dyDescent="0.35">
      <c r="E366" t="s">
        <v>3803</v>
      </c>
      <c r="F366" t="s">
        <v>4098</v>
      </c>
      <c r="G366" t="s">
        <v>1573</v>
      </c>
    </row>
    <row r="367" spans="5:7" x14ac:dyDescent="0.35">
      <c r="E367" t="s">
        <v>3803</v>
      </c>
      <c r="F367" t="s">
        <v>4099</v>
      </c>
      <c r="G367" t="s">
        <v>1573</v>
      </c>
    </row>
    <row r="368" spans="5:7" x14ac:dyDescent="0.35">
      <c r="E368" t="s">
        <v>3803</v>
      </c>
      <c r="F368" t="s">
        <v>4100</v>
      </c>
      <c r="G368" t="s">
        <v>1573</v>
      </c>
    </row>
    <row r="369" spans="5:7" x14ac:dyDescent="0.35">
      <c r="E369" t="s">
        <v>3803</v>
      </c>
      <c r="F369" t="s">
        <v>4101</v>
      </c>
      <c r="G369" t="s">
        <v>1573</v>
      </c>
    </row>
    <row r="370" spans="5:7" x14ac:dyDescent="0.35">
      <c r="E370" t="s">
        <v>3803</v>
      </c>
      <c r="F370" t="s">
        <v>4102</v>
      </c>
      <c r="G370" t="s">
        <v>1573</v>
      </c>
    </row>
    <row r="371" spans="5:7" x14ac:dyDescent="0.35">
      <c r="E371" t="s">
        <v>3803</v>
      </c>
      <c r="F371" t="s">
        <v>4103</v>
      </c>
      <c r="G371" t="s">
        <v>1573</v>
      </c>
    </row>
    <row r="372" spans="5:7" x14ac:dyDescent="0.35">
      <c r="E372" t="s">
        <v>3803</v>
      </c>
      <c r="F372" t="s">
        <v>4104</v>
      </c>
      <c r="G372" t="s">
        <v>1573</v>
      </c>
    </row>
    <row r="373" spans="5:7" x14ac:dyDescent="0.35">
      <c r="E373" t="s">
        <v>3803</v>
      </c>
      <c r="F373" t="s">
        <v>4105</v>
      </c>
      <c r="G373" t="s">
        <v>1573</v>
      </c>
    </row>
    <row r="374" spans="5:7" x14ac:dyDescent="0.35">
      <c r="E374" t="s">
        <v>3803</v>
      </c>
      <c r="F374" t="s">
        <v>4106</v>
      </c>
      <c r="G374" t="s">
        <v>1573</v>
      </c>
    </row>
    <row r="375" spans="5:7" x14ac:dyDescent="0.35">
      <c r="E375" t="s">
        <v>3803</v>
      </c>
      <c r="F375" t="s">
        <v>4107</v>
      </c>
      <c r="G375" t="s">
        <v>1573</v>
      </c>
    </row>
    <row r="376" spans="5:7" x14ac:dyDescent="0.35">
      <c r="E376" t="s">
        <v>3803</v>
      </c>
      <c r="F376" t="s">
        <v>4108</v>
      </c>
      <c r="G376" t="s">
        <v>1573</v>
      </c>
    </row>
    <row r="377" spans="5:7" x14ac:dyDescent="0.35">
      <c r="E377" t="s">
        <v>3803</v>
      </c>
      <c r="F377" t="s">
        <v>4109</v>
      </c>
      <c r="G377" t="s">
        <v>1573</v>
      </c>
    </row>
    <row r="378" spans="5:7" x14ac:dyDescent="0.35">
      <c r="E378" t="s">
        <v>3803</v>
      </c>
      <c r="F378" t="s">
        <v>4110</v>
      </c>
      <c r="G378" t="s">
        <v>1573</v>
      </c>
    </row>
    <row r="379" spans="5:7" x14ac:dyDescent="0.35">
      <c r="E379" t="s">
        <v>3803</v>
      </c>
      <c r="F379" t="s">
        <v>4111</v>
      </c>
      <c r="G379" t="s">
        <v>1573</v>
      </c>
    </row>
    <row r="380" spans="5:7" x14ac:dyDescent="0.35">
      <c r="E380" t="s">
        <v>3803</v>
      </c>
      <c r="F380" t="s">
        <v>4112</v>
      </c>
      <c r="G380" t="s">
        <v>1573</v>
      </c>
    </row>
    <row r="381" spans="5:7" x14ac:dyDescent="0.35">
      <c r="E381" t="s">
        <v>3803</v>
      </c>
      <c r="F381" t="s">
        <v>4113</v>
      </c>
      <c r="G381" t="s">
        <v>1573</v>
      </c>
    </row>
    <row r="382" spans="5:7" x14ac:dyDescent="0.35">
      <c r="E382" t="s">
        <v>3803</v>
      </c>
      <c r="F382" t="s">
        <v>4114</v>
      </c>
      <c r="G382" t="s">
        <v>1573</v>
      </c>
    </row>
    <row r="383" spans="5:7" x14ac:dyDescent="0.35">
      <c r="E383" t="s">
        <v>3803</v>
      </c>
      <c r="F383" t="s">
        <v>4115</v>
      </c>
      <c r="G383" t="s">
        <v>1573</v>
      </c>
    </row>
    <row r="384" spans="5:7" x14ac:dyDescent="0.35">
      <c r="E384" t="s">
        <v>3803</v>
      </c>
      <c r="F384" t="s">
        <v>4116</v>
      </c>
      <c r="G384" t="s">
        <v>1573</v>
      </c>
    </row>
    <row r="385" spans="5:7" x14ac:dyDescent="0.35">
      <c r="E385" t="s">
        <v>3803</v>
      </c>
      <c r="F385" t="s">
        <v>4117</v>
      </c>
      <c r="G385" t="s">
        <v>1573</v>
      </c>
    </row>
    <row r="386" spans="5:7" x14ac:dyDescent="0.35">
      <c r="E386" t="s">
        <v>3803</v>
      </c>
      <c r="F386" t="s">
        <v>4118</v>
      </c>
      <c r="G386" t="s">
        <v>1573</v>
      </c>
    </row>
    <row r="387" spans="5:7" x14ac:dyDescent="0.35">
      <c r="E387" t="s">
        <v>3803</v>
      </c>
      <c r="F387" t="s">
        <v>4119</v>
      </c>
      <c r="G387" t="s">
        <v>1573</v>
      </c>
    </row>
    <row r="388" spans="5:7" x14ac:dyDescent="0.35">
      <c r="E388" t="s">
        <v>3803</v>
      </c>
      <c r="F388" t="s">
        <v>2543</v>
      </c>
      <c r="G388" t="s">
        <v>1573</v>
      </c>
    </row>
    <row r="389" spans="5:7" x14ac:dyDescent="0.35">
      <c r="E389" t="s">
        <v>3803</v>
      </c>
      <c r="F389" t="s">
        <v>2546</v>
      </c>
      <c r="G389" t="s">
        <v>1573</v>
      </c>
    </row>
    <row r="390" spans="5:7" x14ac:dyDescent="0.35">
      <c r="E390" t="s">
        <v>3803</v>
      </c>
      <c r="F390" t="s">
        <v>2548</v>
      </c>
      <c r="G390" t="s">
        <v>1573</v>
      </c>
    </row>
    <row r="391" spans="5:7" x14ac:dyDescent="0.35">
      <c r="E391" t="s">
        <v>3803</v>
      </c>
      <c r="F391" t="s">
        <v>1006</v>
      </c>
      <c r="G391" t="s">
        <v>1573</v>
      </c>
    </row>
    <row r="392" spans="5:7" x14ac:dyDescent="0.35">
      <c r="E392" t="s">
        <v>3803</v>
      </c>
      <c r="F392" t="s">
        <v>4120</v>
      </c>
      <c r="G392" t="s">
        <v>1573</v>
      </c>
    </row>
    <row r="393" spans="5:7" x14ac:dyDescent="0.35">
      <c r="E393" t="s">
        <v>3803</v>
      </c>
      <c r="F393" t="s">
        <v>4121</v>
      </c>
      <c r="G393" t="s">
        <v>1573</v>
      </c>
    </row>
    <row r="394" spans="5:7" x14ac:dyDescent="0.35">
      <c r="E394" t="s">
        <v>3803</v>
      </c>
      <c r="F394" t="s">
        <v>4122</v>
      </c>
      <c r="G394" t="s">
        <v>1573</v>
      </c>
    </row>
    <row r="395" spans="5:7" x14ac:dyDescent="0.35">
      <c r="E395" t="s">
        <v>3803</v>
      </c>
      <c r="F395" t="s">
        <v>4123</v>
      </c>
      <c r="G395" t="s">
        <v>1573</v>
      </c>
    </row>
    <row r="396" spans="5:7" x14ac:dyDescent="0.35">
      <c r="E396" t="s">
        <v>3803</v>
      </c>
      <c r="F396" t="s">
        <v>4124</v>
      </c>
      <c r="G396" t="s">
        <v>1573</v>
      </c>
    </row>
    <row r="397" spans="5:7" x14ac:dyDescent="0.35">
      <c r="E397" t="s">
        <v>3803</v>
      </c>
      <c r="F397" t="s">
        <v>4125</v>
      </c>
      <c r="G397" t="s">
        <v>1573</v>
      </c>
    </row>
    <row r="398" spans="5:7" x14ac:dyDescent="0.35">
      <c r="E398" t="s">
        <v>3803</v>
      </c>
      <c r="F398" t="s">
        <v>4126</v>
      </c>
      <c r="G398" t="s">
        <v>1573</v>
      </c>
    </row>
    <row r="399" spans="5:7" x14ac:dyDescent="0.35">
      <c r="E399" t="s">
        <v>3803</v>
      </c>
      <c r="F399" t="s">
        <v>4127</v>
      </c>
      <c r="G399" t="s">
        <v>1573</v>
      </c>
    </row>
    <row r="400" spans="5:7" x14ac:dyDescent="0.35">
      <c r="E400" t="s">
        <v>3803</v>
      </c>
      <c r="F400" t="s">
        <v>4128</v>
      </c>
      <c r="G400" t="s">
        <v>1573</v>
      </c>
    </row>
    <row r="401" spans="5:7" x14ac:dyDescent="0.35">
      <c r="E401" t="s">
        <v>3803</v>
      </c>
      <c r="F401" t="s">
        <v>4129</v>
      </c>
      <c r="G401" t="s">
        <v>1573</v>
      </c>
    </row>
    <row r="402" spans="5:7" x14ac:dyDescent="0.35">
      <c r="E402" t="s">
        <v>3803</v>
      </c>
      <c r="F402" t="s">
        <v>4130</v>
      </c>
      <c r="G402" t="s">
        <v>1573</v>
      </c>
    </row>
    <row r="403" spans="5:7" x14ac:dyDescent="0.35">
      <c r="E403" t="s">
        <v>3803</v>
      </c>
      <c r="F403" t="s">
        <v>4131</v>
      </c>
      <c r="G403" t="s">
        <v>1573</v>
      </c>
    </row>
    <row r="404" spans="5:7" x14ac:dyDescent="0.35">
      <c r="E404" t="s">
        <v>3803</v>
      </c>
      <c r="F404" t="s">
        <v>4132</v>
      </c>
      <c r="G404" t="s">
        <v>1573</v>
      </c>
    </row>
    <row r="405" spans="5:7" x14ac:dyDescent="0.35">
      <c r="E405" t="s">
        <v>3803</v>
      </c>
      <c r="F405" t="s">
        <v>4133</v>
      </c>
      <c r="G405" t="s">
        <v>1573</v>
      </c>
    </row>
    <row r="406" spans="5:7" x14ac:dyDescent="0.35">
      <c r="E406" t="s">
        <v>3803</v>
      </c>
      <c r="F406" t="s">
        <v>4134</v>
      </c>
      <c r="G406" t="s">
        <v>1573</v>
      </c>
    </row>
    <row r="407" spans="5:7" x14ac:dyDescent="0.35">
      <c r="E407" t="s">
        <v>3803</v>
      </c>
      <c r="F407" t="s">
        <v>4135</v>
      </c>
      <c r="G407" t="s">
        <v>1573</v>
      </c>
    </row>
    <row r="408" spans="5:7" x14ac:dyDescent="0.35">
      <c r="E408" t="s">
        <v>3803</v>
      </c>
      <c r="F408" t="s">
        <v>4136</v>
      </c>
      <c r="G408" t="s">
        <v>1573</v>
      </c>
    </row>
    <row r="409" spans="5:7" x14ac:dyDescent="0.35">
      <c r="E409" t="s">
        <v>3803</v>
      </c>
      <c r="F409" t="s">
        <v>4137</v>
      </c>
      <c r="G409" t="s">
        <v>1573</v>
      </c>
    </row>
    <row r="410" spans="5:7" x14ac:dyDescent="0.35">
      <c r="E410" t="s">
        <v>3803</v>
      </c>
      <c r="F410" t="s">
        <v>4138</v>
      </c>
      <c r="G410" t="s">
        <v>1573</v>
      </c>
    </row>
    <row r="411" spans="5:7" x14ac:dyDescent="0.35">
      <c r="E411" t="s">
        <v>3803</v>
      </c>
      <c r="F411" t="s">
        <v>4139</v>
      </c>
      <c r="G411" t="s">
        <v>1573</v>
      </c>
    </row>
    <row r="412" spans="5:7" x14ac:dyDescent="0.35">
      <c r="E412" t="s">
        <v>3803</v>
      </c>
      <c r="F412" t="s">
        <v>4140</v>
      </c>
      <c r="G412" t="s">
        <v>1573</v>
      </c>
    </row>
    <row r="413" spans="5:7" x14ac:dyDescent="0.35">
      <c r="E413" t="s">
        <v>3803</v>
      </c>
      <c r="F413" t="s">
        <v>4141</v>
      </c>
      <c r="G413" t="s">
        <v>1573</v>
      </c>
    </row>
    <row r="414" spans="5:7" x14ac:dyDescent="0.35">
      <c r="E414" t="s">
        <v>3803</v>
      </c>
      <c r="F414" t="s">
        <v>1112</v>
      </c>
      <c r="G414" t="s">
        <v>1573</v>
      </c>
    </row>
    <row r="415" spans="5:7" x14ac:dyDescent="0.35">
      <c r="E415" t="s">
        <v>3803</v>
      </c>
      <c r="F415" t="s">
        <v>4142</v>
      </c>
      <c r="G415" t="s">
        <v>1573</v>
      </c>
    </row>
    <row r="416" spans="5:7" x14ac:dyDescent="0.35">
      <c r="E416" t="s">
        <v>3803</v>
      </c>
      <c r="F416" t="s">
        <v>4143</v>
      </c>
      <c r="G416" t="s">
        <v>1573</v>
      </c>
    </row>
    <row r="417" spans="5:7" x14ac:dyDescent="0.35">
      <c r="E417" t="s">
        <v>3803</v>
      </c>
      <c r="F417" t="s">
        <v>4144</v>
      </c>
      <c r="G417" t="s">
        <v>1573</v>
      </c>
    </row>
    <row r="418" spans="5:7" x14ac:dyDescent="0.35">
      <c r="E418" t="s">
        <v>3803</v>
      </c>
      <c r="F418" t="s">
        <v>4145</v>
      </c>
      <c r="G418" t="s">
        <v>1573</v>
      </c>
    </row>
    <row r="419" spans="5:7" x14ac:dyDescent="0.35">
      <c r="E419" t="s">
        <v>3803</v>
      </c>
      <c r="F419" t="s">
        <v>4146</v>
      </c>
      <c r="G419" t="s">
        <v>1573</v>
      </c>
    </row>
    <row r="420" spans="5:7" x14ac:dyDescent="0.35">
      <c r="E420" t="s">
        <v>3803</v>
      </c>
      <c r="F420" t="s">
        <v>4147</v>
      </c>
      <c r="G420" t="s">
        <v>1573</v>
      </c>
    </row>
    <row r="421" spans="5:7" x14ac:dyDescent="0.35">
      <c r="E421" t="s">
        <v>3803</v>
      </c>
      <c r="F421" t="s">
        <v>4148</v>
      </c>
      <c r="G421" t="s">
        <v>1573</v>
      </c>
    </row>
    <row r="422" spans="5:7" x14ac:dyDescent="0.35">
      <c r="E422" t="s">
        <v>3803</v>
      </c>
      <c r="F422" t="s">
        <v>1228</v>
      </c>
      <c r="G422" t="s">
        <v>1573</v>
      </c>
    </row>
    <row r="423" spans="5:7" x14ac:dyDescent="0.35">
      <c r="E423" t="s">
        <v>3803</v>
      </c>
      <c r="F423" t="s">
        <v>4149</v>
      </c>
      <c r="G423" t="s">
        <v>1573</v>
      </c>
    </row>
    <row r="424" spans="5:7" x14ac:dyDescent="0.35">
      <c r="E424" t="s">
        <v>3803</v>
      </c>
      <c r="F424" t="s">
        <v>2551</v>
      </c>
      <c r="G424" t="s">
        <v>1573</v>
      </c>
    </row>
    <row r="425" spans="5:7" x14ac:dyDescent="0.35">
      <c r="E425" t="s">
        <v>3803</v>
      </c>
      <c r="F425" t="s">
        <v>2554</v>
      </c>
      <c r="G425" t="s">
        <v>1573</v>
      </c>
    </row>
    <row r="426" spans="5:7" x14ac:dyDescent="0.35">
      <c r="E426" t="s">
        <v>3803</v>
      </c>
      <c r="F426" t="s">
        <v>4150</v>
      </c>
      <c r="G426" t="s">
        <v>1573</v>
      </c>
    </row>
    <row r="427" spans="5:7" x14ac:dyDescent="0.35">
      <c r="E427" t="s">
        <v>3803</v>
      </c>
      <c r="F427" t="s">
        <v>4151</v>
      </c>
      <c r="G427" t="s">
        <v>1573</v>
      </c>
    </row>
    <row r="428" spans="5:7" x14ac:dyDescent="0.35">
      <c r="E428" t="s">
        <v>3803</v>
      </c>
      <c r="F428" t="s">
        <v>1359</v>
      </c>
      <c r="G428" t="s">
        <v>1573</v>
      </c>
    </row>
    <row r="429" spans="5:7" x14ac:dyDescent="0.35">
      <c r="E429" t="s">
        <v>3803</v>
      </c>
      <c r="F429" t="s">
        <v>4152</v>
      </c>
      <c r="G429" t="s">
        <v>1573</v>
      </c>
    </row>
    <row r="430" spans="5:7" x14ac:dyDescent="0.35">
      <c r="E430" t="s">
        <v>3803</v>
      </c>
      <c r="F430" t="s">
        <v>4153</v>
      </c>
      <c r="G430" t="s">
        <v>1573</v>
      </c>
    </row>
    <row r="431" spans="5:7" x14ac:dyDescent="0.35">
      <c r="E431" t="s">
        <v>3803</v>
      </c>
      <c r="F431" t="s">
        <v>4154</v>
      </c>
      <c r="G431" t="s">
        <v>1573</v>
      </c>
    </row>
    <row r="432" spans="5:7" x14ac:dyDescent="0.35">
      <c r="E432" t="s">
        <v>3803</v>
      </c>
      <c r="F432" t="s">
        <v>4155</v>
      </c>
      <c r="G432" t="s">
        <v>1573</v>
      </c>
    </row>
    <row r="433" spans="5:7" x14ac:dyDescent="0.35">
      <c r="E433" t="s">
        <v>3803</v>
      </c>
      <c r="F433" t="s">
        <v>2557</v>
      </c>
      <c r="G433" t="s">
        <v>1573</v>
      </c>
    </row>
    <row r="434" spans="5:7" x14ac:dyDescent="0.35">
      <c r="E434" t="s">
        <v>3803</v>
      </c>
      <c r="F434" t="s">
        <v>2560</v>
      </c>
      <c r="G434" t="s">
        <v>1573</v>
      </c>
    </row>
    <row r="435" spans="5:7" x14ac:dyDescent="0.35">
      <c r="E435" t="s">
        <v>3803</v>
      </c>
      <c r="F435" t="s">
        <v>2442</v>
      </c>
      <c r="G435" t="s">
        <v>1578</v>
      </c>
    </row>
    <row r="436" spans="5:7" x14ac:dyDescent="0.35">
      <c r="E436" t="s">
        <v>3803</v>
      </c>
      <c r="F436" t="s">
        <v>211</v>
      </c>
      <c r="G436" t="s">
        <v>1578</v>
      </c>
    </row>
    <row r="437" spans="5:7" x14ac:dyDescent="0.35">
      <c r="E437" t="s">
        <v>3803</v>
      </c>
      <c r="F437" t="s">
        <v>4156</v>
      </c>
      <c r="G437" t="s">
        <v>1578</v>
      </c>
    </row>
    <row r="438" spans="5:7" x14ac:dyDescent="0.35">
      <c r="E438" t="s">
        <v>3803</v>
      </c>
      <c r="F438" t="s">
        <v>4157</v>
      </c>
      <c r="G438" t="s">
        <v>1578</v>
      </c>
    </row>
    <row r="439" spans="5:7" x14ac:dyDescent="0.35">
      <c r="E439" t="s">
        <v>3803</v>
      </c>
      <c r="F439" t="s">
        <v>4158</v>
      </c>
      <c r="G439" t="s">
        <v>1578</v>
      </c>
    </row>
    <row r="440" spans="5:7" x14ac:dyDescent="0.35">
      <c r="E440" t="s">
        <v>3803</v>
      </c>
      <c r="F440" t="s">
        <v>4159</v>
      </c>
      <c r="G440" t="s">
        <v>1578</v>
      </c>
    </row>
    <row r="441" spans="5:7" x14ac:dyDescent="0.35">
      <c r="E441" t="s">
        <v>3803</v>
      </c>
      <c r="F441" t="s">
        <v>2445</v>
      </c>
      <c r="G441" t="s">
        <v>1578</v>
      </c>
    </row>
    <row r="442" spans="5:7" x14ac:dyDescent="0.35">
      <c r="E442" t="s">
        <v>3803</v>
      </c>
      <c r="F442" t="s">
        <v>2448</v>
      </c>
      <c r="G442" t="s">
        <v>1578</v>
      </c>
    </row>
    <row r="443" spans="5:7" x14ac:dyDescent="0.35">
      <c r="E443" t="s">
        <v>3803</v>
      </c>
      <c r="F443" t="s">
        <v>2451</v>
      </c>
      <c r="G443" t="s">
        <v>1578</v>
      </c>
    </row>
    <row r="444" spans="5:7" x14ac:dyDescent="0.35">
      <c r="E444" t="s">
        <v>3803</v>
      </c>
      <c r="F444" t="s">
        <v>2568</v>
      </c>
      <c r="G444" t="s">
        <v>1578</v>
      </c>
    </row>
    <row r="445" spans="5:7" x14ac:dyDescent="0.35">
      <c r="E445" t="s">
        <v>3803</v>
      </c>
      <c r="F445" t="s">
        <v>243</v>
      </c>
      <c r="G445" t="s">
        <v>1578</v>
      </c>
    </row>
    <row r="446" spans="5:7" x14ac:dyDescent="0.35">
      <c r="E446" t="s">
        <v>3803</v>
      </c>
      <c r="F446" t="s">
        <v>4160</v>
      </c>
      <c r="G446" t="s">
        <v>1578</v>
      </c>
    </row>
    <row r="447" spans="5:7" x14ac:dyDescent="0.35">
      <c r="E447" t="s">
        <v>3803</v>
      </c>
      <c r="F447" t="s">
        <v>4161</v>
      </c>
      <c r="G447" t="s">
        <v>1578</v>
      </c>
    </row>
    <row r="448" spans="5:7" x14ac:dyDescent="0.35">
      <c r="E448" t="s">
        <v>3803</v>
      </c>
      <c r="F448" t="s">
        <v>4162</v>
      </c>
      <c r="G448" t="s">
        <v>1578</v>
      </c>
    </row>
    <row r="449" spans="5:7" x14ac:dyDescent="0.35">
      <c r="E449" t="s">
        <v>3803</v>
      </c>
      <c r="F449" t="s">
        <v>4163</v>
      </c>
      <c r="G449" t="s">
        <v>1578</v>
      </c>
    </row>
    <row r="450" spans="5:7" x14ac:dyDescent="0.35">
      <c r="E450" t="s">
        <v>3803</v>
      </c>
      <c r="F450" t="s">
        <v>2570</v>
      </c>
      <c r="G450" t="s">
        <v>1578</v>
      </c>
    </row>
    <row r="451" spans="5:7" x14ac:dyDescent="0.35">
      <c r="E451" t="s">
        <v>3803</v>
      </c>
      <c r="F451" t="s">
        <v>2573</v>
      </c>
      <c r="G451" t="s">
        <v>1578</v>
      </c>
    </row>
    <row r="452" spans="5:7" x14ac:dyDescent="0.35">
      <c r="E452" t="s">
        <v>3803</v>
      </c>
      <c r="F452" t="s">
        <v>303</v>
      </c>
      <c r="G452" t="s">
        <v>1578</v>
      </c>
    </row>
    <row r="453" spans="5:7" x14ac:dyDescent="0.35">
      <c r="E453" t="s">
        <v>3803</v>
      </c>
      <c r="F453" t="s">
        <v>4164</v>
      </c>
      <c r="G453" t="s">
        <v>1578</v>
      </c>
    </row>
    <row r="454" spans="5:7" x14ac:dyDescent="0.35">
      <c r="E454" t="s">
        <v>3803</v>
      </c>
      <c r="F454" t="s">
        <v>4165</v>
      </c>
      <c r="G454" t="s">
        <v>1578</v>
      </c>
    </row>
    <row r="455" spans="5:7" x14ac:dyDescent="0.35">
      <c r="E455" t="s">
        <v>3803</v>
      </c>
      <c r="F455" t="s">
        <v>4166</v>
      </c>
      <c r="G455" t="s">
        <v>1578</v>
      </c>
    </row>
    <row r="456" spans="5:7" x14ac:dyDescent="0.35">
      <c r="E456" t="s">
        <v>3803</v>
      </c>
      <c r="F456" t="s">
        <v>4167</v>
      </c>
      <c r="G456" t="s">
        <v>1578</v>
      </c>
    </row>
    <row r="457" spans="5:7" x14ac:dyDescent="0.35">
      <c r="E457" t="s">
        <v>3803</v>
      </c>
      <c r="F457" t="s">
        <v>4168</v>
      </c>
      <c r="G457" t="s">
        <v>1578</v>
      </c>
    </row>
    <row r="458" spans="5:7" x14ac:dyDescent="0.35">
      <c r="E458" t="s">
        <v>3803</v>
      </c>
      <c r="F458" t="s">
        <v>2576</v>
      </c>
      <c r="G458" t="s">
        <v>1578</v>
      </c>
    </row>
    <row r="459" spans="5:7" x14ac:dyDescent="0.35">
      <c r="E459" t="s">
        <v>3803</v>
      </c>
      <c r="F459" t="s">
        <v>342</v>
      </c>
      <c r="G459" t="s">
        <v>1578</v>
      </c>
    </row>
    <row r="460" spans="5:7" x14ac:dyDescent="0.35">
      <c r="E460" t="s">
        <v>3803</v>
      </c>
      <c r="F460" t="s">
        <v>4169</v>
      </c>
      <c r="G460" t="s">
        <v>1578</v>
      </c>
    </row>
    <row r="461" spans="5:7" x14ac:dyDescent="0.35">
      <c r="E461" t="s">
        <v>3803</v>
      </c>
      <c r="F461" t="s">
        <v>4170</v>
      </c>
      <c r="G461" t="s">
        <v>1578</v>
      </c>
    </row>
    <row r="462" spans="5:7" x14ac:dyDescent="0.35">
      <c r="E462" t="s">
        <v>3803</v>
      </c>
      <c r="F462" t="s">
        <v>4171</v>
      </c>
      <c r="G462" t="s">
        <v>1578</v>
      </c>
    </row>
    <row r="463" spans="5:7" x14ac:dyDescent="0.35">
      <c r="E463" t="s">
        <v>3803</v>
      </c>
      <c r="F463" t="s">
        <v>4172</v>
      </c>
      <c r="G463" t="s">
        <v>1578</v>
      </c>
    </row>
    <row r="464" spans="5:7" x14ac:dyDescent="0.35">
      <c r="E464" t="s">
        <v>3803</v>
      </c>
      <c r="F464" t="s">
        <v>4173</v>
      </c>
      <c r="G464" t="s">
        <v>1578</v>
      </c>
    </row>
    <row r="465" spans="5:7" x14ac:dyDescent="0.35">
      <c r="E465" t="s">
        <v>3803</v>
      </c>
      <c r="F465" t="s">
        <v>4174</v>
      </c>
      <c r="G465" t="s">
        <v>1578</v>
      </c>
    </row>
    <row r="466" spans="5:7" x14ac:dyDescent="0.35">
      <c r="E466" t="s">
        <v>3803</v>
      </c>
      <c r="F466" t="s">
        <v>4175</v>
      </c>
      <c r="G466" t="s">
        <v>1578</v>
      </c>
    </row>
    <row r="467" spans="5:7" x14ac:dyDescent="0.35">
      <c r="E467" t="s">
        <v>3803</v>
      </c>
      <c r="F467" t="s">
        <v>4176</v>
      </c>
      <c r="G467" t="s">
        <v>1578</v>
      </c>
    </row>
    <row r="468" spans="5:7" x14ac:dyDescent="0.35">
      <c r="E468" t="s">
        <v>3803</v>
      </c>
      <c r="F468" t="s">
        <v>4177</v>
      </c>
      <c r="G468" t="s">
        <v>1578</v>
      </c>
    </row>
    <row r="469" spans="5:7" x14ac:dyDescent="0.35">
      <c r="E469" t="s">
        <v>3803</v>
      </c>
      <c r="F469" t="s">
        <v>4178</v>
      </c>
      <c r="G469" t="s">
        <v>1578</v>
      </c>
    </row>
    <row r="470" spans="5:7" x14ac:dyDescent="0.35">
      <c r="E470" t="s">
        <v>3803</v>
      </c>
      <c r="F470" t="s">
        <v>4179</v>
      </c>
      <c r="G470" t="s">
        <v>1578</v>
      </c>
    </row>
    <row r="471" spans="5:7" x14ac:dyDescent="0.35">
      <c r="E471" t="s">
        <v>3803</v>
      </c>
      <c r="F471" t="s">
        <v>4180</v>
      </c>
      <c r="G471" t="s">
        <v>1578</v>
      </c>
    </row>
    <row r="472" spans="5:7" x14ac:dyDescent="0.35">
      <c r="E472" t="s">
        <v>3803</v>
      </c>
      <c r="F472" t="s">
        <v>2579</v>
      </c>
      <c r="G472" t="s">
        <v>1578</v>
      </c>
    </row>
    <row r="473" spans="5:7" x14ac:dyDescent="0.35">
      <c r="E473" t="s">
        <v>3803</v>
      </c>
      <c r="F473" t="s">
        <v>2582</v>
      </c>
      <c r="G473" t="s">
        <v>1578</v>
      </c>
    </row>
    <row r="474" spans="5:7" x14ac:dyDescent="0.35">
      <c r="E474" t="s">
        <v>3803</v>
      </c>
      <c r="F474" t="s">
        <v>393</v>
      </c>
      <c r="G474" t="s">
        <v>1578</v>
      </c>
    </row>
    <row r="475" spans="5:7" x14ac:dyDescent="0.35">
      <c r="E475" t="s">
        <v>3803</v>
      </c>
      <c r="F475" t="s">
        <v>4181</v>
      </c>
      <c r="G475" t="s">
        <v>1578</v>
      </c>
    </row>
    <row r="476" spans="5:7" x14ac:dyDescent="0.35">
      <c r="E476" t="s">
        <v>3803</v>
      </c>
      <c r="F476" t="s">
        <v>4182</v>
      </c>
      <c r="G476" t="s">
        <v>1578</v>
      </c>
    </row>
    <row r="477" spans="5:7" x14ac:dyDescent="0.35">
      <c r="E477" t="s">
        <v>3803</v>
      </c>
      <c r="F477" t="s">
        <v>4183</v>
      </c>
      <c r="G477" t="s">
        <v>1578</v>
      </c>
    </row>
    <row r="478" spans="5:7" x14ac:dyDescent="0.35">
      <c r="E478" t="s">
        <v>3803</v>
      </c>
      <c r="F478" t="s">
        <v>4184</v>
      </c>
      <c r="G478" t="s">
        <v>1578</v>
      </c>
    </row>
    <row r="479" spans="5:7" x14ac:dyDescent="0.35">
      <c r="E479" t="s">
        <v>3803</v>
      </c>
      <c r="F479" t="s">
        <v>4185</v>
      </c>
      <c r="G479" t="s">
        <v>1578</v>
      </c>
    </row>
    <row r="480" spans="5:7" x14ac:dyDescent="0.35">
      <c r="E480" t="s">
        <v>3803</v>
      </c>
      <c r="F480" t="s">
        <v>4186</v>
      </c>
      <c r="G480" t="s">
        <v>1578</v>
      </c>
    </row>
    <row r="481" spans="5:7" x14ac:dyDescent="0.35">
      <c r="E481" t="s">
        <v>3803</v>
      </c>
      <c r="F481" t="s">
        <v>4187</v>
      </c>
      <c r="G481" t="s">
        <v>1578</v>
      </c>
    </row>
    <row r="482" spans="5:7" x14ac:dyDescent="0.35">
      <c r="E482" t="s">
        <v>3803</v>
      </c>
      <c r="F482" t="s">
        <v>4188</v>
      </c>
      <c r="G482" t="s">
        <v>1578</v>
      </c>
    </row>
    <row r="483" spans="5:7" x14ac:dyDescent="0.35">
      <c r="E483" t="s">
        <v>3803</v>
      </c>
      <c r="F483" t="s">
        <v>4189</v>
      </c>
      <c r="G483" t="s">
        <v>1578</v>
      </c>
    </row>
    <row r="484" spans="5:7" x14ac:dyDescent="0.35">
      <c r="E484" t="s">
        <v>3803</v>
      </c>
      <c r="F484" t="s">
        <v>4190</v>
      </c>
      <c r="G484" t="s">
        <v>1578</v>
      </c>
    </row>
    <row r="485" spans="5:7" x14ac:dyDescent="0.35">
      <c r="E485" t="s">
        <v>3803</v>
      </c>
      <c r="F485" t="s">
        <v>4191</v>
      </c>
      <c r="G485" t="s">
        <v>1578</v>
      </c>
    </row>
    <row r="486" spans="5:7" x14ac:dyDescent="0.35">
      <c r="E486" t="s">
        <v>3803</v>
      </c>
      <c r="F486" t="s">
        <v>4192</v>
      </c>
      <c r="G486" t="s">
        <v>1578</v>
      </c>
    </row>
    <row r="487" spans="5:7" x14ac:dyDescent="0.35">
      <c r="E487" t="s">
        <v>3803</v>
      </c>
      <c r="F487" t="s">
        <v>4193</v>
      </c>
      <c r="G487" t="s">
        <v>1578</v>
      </c>
    </row>
    <row r="488" spans="5:7" x14ac:dyDescent="0.35">
      <c r="E488" t="s">
        <v>3803</v>
      </c>
      <c r="F488" t="s">
        <v>2584</v>
      </c>
      <c r="G488" t="s">
        <v>1578</v>
      </c>
    </row>
    <row r="489" spans="5:7" x14ac:dyDescent="0.35">
      <c r="E489" t="s">
        <v>3803</v>
      </c>
      <c r="F489" t="s">
        <v>435</v>
      </c>
      <c r="G489" t="s">
        <v>1578</v>
      </c>
    </row>
    <row r="490" spans="5:7" x14ac:dyDescent="0.35">
      <c r="E490" t="s">
        <v>3803</v>
      </c>
      <c r="F490" t="s">
        <v>4194</v>
      </c>
      <c r="G490" t="s">
        <v>1578</v>
      </c>
    </row>
    <row r="491" spans="5:7" x14ac:dyDescent="0.35">
      <c r="E491" t="s">
        <v>3803</v>
      </c>
      <c r="F491" t="s">
        <v>4195</v>
      </c>
      <c r="G491" t="s">
        <v>1578</v>
      </c>
    </row>
    <row r="492" spans="5:7" x14ac:dyDescent="0.35">
      <c r="E492" t="s">
        <v>3803</v>
      </c>
      <c r="F492" t="s">
        <v>4196</v>
      </c>
      <c r="G492" t="s">
        <v>1578</v>
      </c>
    </row>
    <row r="493" spans="5:7" x14ac:dyDescent="0.35">
      <c r="E493" t="s">
        <v>3803</v>
      </c>
      <c r="F493" t="s">
        <v>4197</v>
      </c>
      <c r="G493" t="s">
        <v>1578</v>
      </c>
    </row>
    <row r="494" spans="5:7" x14ac:dyDescent="0.35">
      <c r="E494" t="s">
        <v>3803</v>
      </c>
      <c r="F494" t="s">
        <v>4198</v>
      </c>
      <c r="G494" t="s">
        <v>1578</v>
      </c>
    </row>
    <row r="495" spans="5:7" x14ac:dyDescent="0.35">
      <c r="E495" t="s">
        <v>3803</v>
      </c>
      <c r="F495" t="s">
        <v>2587</v>
      </c>
      <c r="G495" t="s">
        <v>1578</v>
      </c>
    </row>
    <row r="496" spans="5:7" x14ac:dyDescent="0.35">
      <c r="E496" t="s">
        <v>3803</v>
      </c>
      <c r="F496" t="s">
        <v>459</v>
      </c>
      <c r="G496" t="s">
        <v>1578</v>
      </c>
    </row>
    <row r="497" spans="5:7" x14ac:dyDescent="0.35">
      <c r="E497" t="s">
        <v>3803</v>
      </c>
      <c r="F497" t="s">
        <v>4199</v>
      </c>
      <c r="G497" t="s">
        <v>1578</v>
      </c>
    </row>
    <row r="498" spans="5:7" x14ac:dyDescent="0.35">
      <c r="E498" t="s">
        <v>3803</v>
      </c>
      <c r="F498" t="s">
        <v>4200</v>
      </c>
      <c r="G498" t="s">
        <v>1578</v>
      </c>
    </row>
    <row r="499" spans="5:7" x14ac:dyDescent="0.35">
      <c r="E499" t="s">
        <v>3803</v>
      </c>
      <c r="F499" t="s">
        <v>4201</v>
      </c>
      <c r="G499" t="s">
        <v>1578</v>
      </c>
    </row>
    <row r="500" spans="5:7" x14ac:dyDescent="0.35">
      <c r="E500" t="s">
        <v>3803</v>
      </c>
      <c r="F500" t="s">
        <v>2590</v>
      </c>
      <c r="G500" t="s">
        <v>1578</v>
      </c>
    </row>
    <row r="501" spans="5:7" x14ac:dyDescent="0.35">
      <c r="E501" t="s">
        <v>3803</v>
      </c>
      <c r="F501" t="s">
        <v>2593</v>
      </c>
      <c r="G501" t="s">
        <v>1578</v>
      </c>
    </row>
    <row r="502" spans="5:7" x14ac:dyDescent="0.35">
      <c r="E502" t="s">
        <v>3803</v>
      </c>
      <c r="F502" t="s">
        <v>539</v>
      </c>
      <c r="G502" t="s">
        <v>1578</v>
      </c>
    </row>
    <row r="503" spans="5:7" x14ac:dyDescent="0.35">
      <c r="E503" t="s">
        <v>3803</v>
      </c>
      <c r="F503" t="s">
        <v>4202</v>
      </c>
      <c r="G503" t="s">
        <v>1578</v>
      </c>
    </row>
    <row r="504" spans="5:7" x14ac:dyDescent="0.35">
      <c r="E504" t="s">
        <v>3803</v>
      </c>
      <c r="F504" t="s">
        <v>4203</v>
      </c>
      <c r="G504" t="s">
        <v>1578</v>
      </c>
    </row>
    <row r="505" spans="5:7" x14ac:dyDescent="0.35">
      <c r="E505" t="s">
        <v>3803</v>
      </c>
      <c r="F505" t="s">
        <v>4204</v>
      </c>
      <c r="G505" t="s">
        <v>1578</v>
      </c>
    </row>
    <row r="506" spans="5:7" x14ac:dyDescent="0.35">
      <c r="E506" t="s">
        <v>3803</v>
      </c>
      <c r="F506" t="s">
        <v>2595</v>
      </c>
      <c r="G506" t="s">
        <v>1578</v>
      </c>
    </row>
    <row r="507" spans="5:7" x14ac:dyDescent="0.35">
      <c r="E507" t="s">
        <v>3803</v>
      </c>
      <c r="F507" t="s">
        <v>676</v>
      </c>
      <c r="G507" t="s">
        <v>1578</v>
      </c>
    </row>
    <row r="508" spans="5:7" x14ac:dyDescent="0.35">
      <c r="E508" t="s">
        <v>3803</v>
      </c>
      <c r="F508" t="s">
        <v>4205</v>
      </c>
      <c r="G508" t="s">
        <v>1578</v>
      </c>
    </row>
    <row r="509" spans="5:7" x14ac:dyDescent="0.35">
      <c r="E509" t="s">
        <v>3803</v>
      </c>
      <c r="F509" t="s">
        <v>4206</v>
      </c>
      <c r="G509" t="s">
        <v>1578</v>
      </c>
    </row>
    <row r="510" spans="5:7" x14ac:dyDescent="0.35">
      <c r="E510" t="s">
        <v>3803</v>
      </c>
      <c r="F510" t="s">
        <v>2598</v>
      </c>
      <c r="G510" t="s">
        <v>1578</v>
      </c>
    </row>
    <row r="511" spans="5:7" x14ac:dyDescent="0.35">
      <c r="E511" t="s">
        <v>3803</v>
      </c>
      <c r="F511" t="s">
        <v>872</v>
      </c>
      <c r="G511" t="s">
        <v>1578</v>
      </c>
    </row>
    <row r="512" spans="5:7" x14ac:dyDescent="0.35">
      <c r="E512" t="s">
        <v>3803</v>
      </c>
      <c r="F512" t="s">
        <v>4207</v>
      </c>
      <c r="G512" t="s">
        <v>1578</v>
      </c>
    </row>
    <row r="513" spans="5:7" x14ac:dyDescent="0.35">
      <c r="E513" t="s">
        <v>3803</v>
      </c>
      <c r="F513" t="s">
        <v>4208</v>
      </c>
      <c r="G513" t="s">
        <v>1578</v>
      </c>
    </row>
    <row r="514" spans="5:7" x14ac:dyDescent="0.35">
      <c r="E514" t="s">
        <v>3803</v>
      </c>
      <c r="F514" t="s">
        <v>2601</v>
      </c>
      <c r="G514" t="s">
        <v>1578</v>
      </c>
    </row>
    <row r="515" spans="5:7" x14ac:dyDescent="0.35">
      <c r="E515" t="s">
        <v>3803</v>
      </c>
      <c r="F515" t="s">
        <v>990</v>
      </c>
      <c r="G515" t="s">
        <v>1578</v>
      </c>
    </row>
    <row r="516" spans="5:7" x14ac:dyDescent="0.35">
      <c r="E516" t="s">
        <v>3803</v>
      </c>
      <c r="F516" t="s">
        <v>4209</v>
      </c>
      <c r="G516" t="s">
        <v>1578</v>
      </c>
    </row>
    <row r="517" spans="5:7" x14ac:dyDescent="0.35">
      <c r="E517" t="s">
        <v>3803</v>
      </c>
      <c r="F517" t="s">
        <v>4210</v>
      </c>
      <c r="G517" t="s">
        <v>1578</v>
      </c>
    </row>
    <row r="518" spans="5:7" x14ac:dyDescent="0.35">
      <c r="E518" t="s">
        <v>3803</v>
      </c>
      <c r="F518" t="s">
        <v>4211</v>
      </c>
      <c r="G518" t="s">
        <v>1578</v>
      </c>
    </row>
    <row r="519" spans="5:7" x14ac:dyDescent="0.35">
      <c r="E519" t="s">
        <v>3803</v>
      </c>
      <c r="F519" t="s">
        <v>4212</v>
      </c>
      <c r="G519" t="s">
        <v>1578</v>
      </c>
    </row>
    <row r="520" spans="5:7" x14ac:dyDescent="0.35">
      <c r="E520" t="s">
        <v>3803</v>
      </c>
      <c r="F520" t="s">
        <v>4213</v>
      </c>
      <c r="G520" t="s">
        <v>1578</v>
      </c>
    </row>
    <row r="521" spans="5:7" x14ac:dyDescent="0.35">
      <c r="E521" t="s">
        <v>3803</v>
      </c>
      <c r="F521" t="s">
        <v>4214</v>
      </c>
      <c r="G521" t="s">
        <v>1578</v>
      </c>
    </row>
    <row r="522" spans="5:7" x14ac:dyDescent="0.35">
      <c r="E522" t="s">
        <v>3803</v>
      </c>
      <c r="F522" t="s">
        <v>4215</v>
      </c>
      <c r="G522" t="s">
        <v>1578</v>
      </c>
    </row>
    <row r="523" spans="5:7" x14ac:dyDescent="0.35">
      <c r="E523" t="s">
        <v>3803</v>
      </c>
      <c r="F523" t="s">
        <v>4216</v>
      </c>
      <c r="G523" t="s">
        <v>1578</v>
      </c>
    </row>
    <row r="524" spans="5:7" x14ac:dyDescent="0.35">
      <c r="E524" t="s">
        <v>3803</v>
      </c>
      <c r="F524" t="s">
        <v>4217</v>
      </c>
      <c r="G524" t="s">
        <v>1578</v>
      </c>
    </row>
    <row r="525" spans="5:7" x14ac:dyDescent="0.35">
      <c r="E525" t="s">
        <v>3803</v>
      </c>
      <c r="F525" t="s">
        <v>4218</v>
      </c>
      <c r="G525" t="s">
        <v>1578</v>
      </c>
    </row>
    <row r="526" spans="5:7" x14ac:dyDescent="0.35">
      <c r="E526" t="s">
        <v>3803</v>
      </c>
      <c r="F526" t="s">
        <v>4219</v>
      </c>
      <c r="G526" t="s">
        <v>1578</v>
      </c>
    </row>
    <row r="527" spans="5:7" x14ac:dyDescent="0.35">
      <c r="E527" t="s">
        <v>3803</v>
      </c>
      <c r="F527" t="s">
        <v>4220</v>
      </c>
      <c r="G527" t="s">
        <v>1578</v>
      </c>
    </row>
    <row r="528" spans="5:7" x14ac:dyDescent="0.35">
      <c r="E528" t="s">
        <v>3803</v>
      </c>
      <c r="F528" t="s">
        <v>4221</v>
      </c>
      <c r="G528" t="s">
        <v>1578</v>
      </c>
    </row>
    <row r="529" spans="5:7" x14ac:dyDescent="0.35">
      <c r="E529" t="s">
        <v>3803</v>
      </c>
      <c r="F529" t="s">
        <v>4222</v>
      </c>
      <c r="G529" t="s">
        <v>1578</v>
      </c>
    </row>
    <row r="530" spans="5:7" x14ac:dyDescent="0.35">
      <c r="E530" t="s">
        <v>3803</v>
      </c>
      <c r="F530" t="s">
        <v>4223</v>
      </c>
      <c r="G530" t="s">
        <v>1578</v>
      </c>
    </row>
    <row r="531" spans="5:7" x14ac:dyDescent="0.35">
      <c r="E531" t="s">
        <v>3803</v>
      </c>
      <c r="F531" t="s">
        <v>4224</v>
      </c>
      <c r="G531" t="s">
        <v>1578</v>
      </c>
    </row>
    <row r="532" spans="5:7" x14ac:dyDescent="0.35">
      <c r="E532" t="s">
        <v>3803</v>
      </c>
      <c r="F532" t="s">
        <v>4225</v>
      </c>
      <c r="G532" t="s">
        <v>1578</v>
      </c>
    </row>
    <row r="533" spans="5:7" x14ac:dyDescent="0.35">
      <c r="E533" t="s">
        <v>3803</v>
      </c>
      <c r="F533" t="s">
        <v>4226</v>
      </c>
      <c r="G533" t="s">
        <v>1578</v>
      </c>
    </row>
    <row r="534" spans="5:7" x14ac:dyDescent="0.35">
      <c r="E534" t="s">
        <v>3803</v>
      </c>
      <c r="F534" t="s">
        <v>4227</v>
      </c>
      <c r="G534" t="s">
        <v>1578</v>
      </c>
    </row>
    <row r="535" spans="5:7" x14ac:dyDescent="0.35">
      <c r="E535" t="s">
        <v>3803</v>
      </c>
      <c r="F535" t="s">
        <v>4228</v>
      </c>
      <c r="G535" t="s">
        <v>1578</v>
      </c>
    </row>
    <row r="536" spans="5:7" x14ac:dyDescent="0.35">
      <c r="E536" t="s">
        <v>3803</v>
      </c>
      <c r="F536" t="s">
        <v>4229</v>
      </c>
      <c r="G536" t="s">
        <v>1578</v>
      </c>
    </row>
    <row r="537" spans="5:7" x14ac:dyDescent="0.35">
      <c r="E537" t="s">
        <v>3803</v>
      </c>
      <c r="F537" t="s">
        <v>4230</v>
      </c>
      <c r="G537" t="s">
        <v>1578</v>
      </c>
    </row>
    <row r="538" spans="5:7" x14ac:dyDescent="0.35">
      <c r="E538" t="s">
        <v>3803</v>
      </c>
      <c r="F538" t="s">
        <v>4231</v>
      </c>
      <c r="G538" t="s">
        <v>1578</v>
      </c>
    </row>
    <row r="539" spans="5:7" x14ac:dyDescent="0.35">
      <c r="E539" t="s">
        <v>3803</v>
      </c>
      <c r="F539" t="s">
        <v>4232</v>
      </c>
      <c r="G539" t="s">
        <v>1578</v>
      </c>
    </row>
    <row r="540" spans="5:7" x14ac:dyDescent="0.35">
      <c r="E540" t="s">
        <v>3803</v>
      </c>
      <c r="F540" t="s">
        <v>4233</v>
      </c>
      <c r="G540" t="s">
        <v>1578</v>
      </c>
    </row>
    <row r="541" spans="5:7" x14ac:dyDescent="0.35">
      <c r="E541" t="s">
        <v>3803</v>
      </c>
      <c r="F541" t="s">
        <v>4234</v>
      </c>
      <c r="G541" t="s">
        <v>1578</v>
      </c>
    </row>
    <row r="542" spans="5:7" x14ac:dyDescent="0.35">
      <c r="E542" t="s">
        <v>3803</v>
      </c>
      <c r="F542" t="s">
        <v>4235</v>
      </c>
      <c r="G542" t="s">
        <v>1578</v>
      </c>
    </row>
    <row r="543" spans="5:7" x14ac:dyDescent="0.35">
      <c r="E543" t="s">
        <v>3803</v>
      </c>
      <c r="F543" t="s">
        <v>4236</v>
      </c>
      <c r="G543" t="s">
        <v>1578</v>
      </c>
    </row>
    <row r="544" spans="5:7" x14ac:dyDescent="0.35">
      <c r="E544" t="s">
        <v>3803</v>
      </c>
      <c r="F544" t="s">
        <v>4237</v>
      </c>
      <c r="G544" t="s">
        <v>1578</v>
      </c>
    </row>
    <row r="545" spans="5:7" x14ac:dyDescent="0.35">
      <c r="E545" t="s">
        <v>3803</v>
      </c>
      <c r="F545" t="s">
        <v>4238</v>
      </c>
      <c r="G545" t="s">
        <v>1578</v>
      </c>
    </row>
    <row r="546" spans="5:7" x14ac:dyDescent="0.35">
      <c r="E546" t="s">
        <v>3803</v>
      </c>
      <c r="F546" t="s">
        <v>1118</v>
      </c>
      <c r="G546" t="s">
        <v>1578</v>
      </c>
    </row>
    <row r="547" spans="5:7" x14ac:dyDescent="0.35">
      <c r="E547" t="s">
        <v>3803</v>
      </c>
      <c r="F547" t="s">
        <v>4239</v>
      </c>
      <c r="G547" t="s">
        <v>1578</v>
      </c>
    </row>
    <row r="548" spans="5:7" x14ac:dyDescent="0.35">
      <c r="E548" t="s">
        <v>3803</v>
      </c>
      <c r="F548" t="s">
        <v>4240</v>
      </c>
      <c r="G548" t="s">
        <v>1578</v>
      </c>
    </row>
    <row r="549" spans="5:7" x14ac:dyDescent="0.35">
      <c r="E549" t="s">
        <v>3803</v>
      </c>
      <c r="F549" t="s">
        <v>4241</v>
      </c>
      <c r="G549" t="s">
        <v>1578</v>
      </c>
    </row>
    <row r="550" spans="5:7" x14ac:dyDescent="0.35">
      <c r="E550" t="s">
        <v>3803</v>
      </c>
      <c r="F550" t="s">
        <v>4242</v>
      </c>
      <c r="G550" t="s">
        <v>1578</v>
      </c>
    </row>
    <row r="551" spans="5:7" x14ac:dyDescent="0.35">
      <c r="E551" t="s">
        <v>3803</v>
      </c>
      <c r="F551" t="s">
        <v>4243</v>
      </c>
      <c r="G551" t="s">
        <v>1578</v>
      </c>
    </row>
    <row r="552" spans="5:7" x14ac:dyDescent="0.35">
      <c r="E552" t="s">
        <v>3803</v>
      </c>
      <c r="F552" t="s">
        <v>4244</v>
      </c>
      <c r="G552" t="s">
        <v>1578</v>
      </c>
    </row>
    <row r="553" spans="5:7" x14ac:dyDescent="0.35">
      <c r="E553" t="s">
        <v>3803</v>
      </c>
      <c r="F553" t="s">
        <v>4245</v>
      </c>
      <c r="G553" t="s">
        <v>1578</v>
      </c>
    </row>
    <row r="554" spans="5:7" x14ac:dyDescent="0.35">
      <c r="E554" t="s">
        <v>3803</v>
      </c>
      <c r="F554" t="s">
        <v>4246</v>
      </c>
      <c r="G554" t="s">
        <v>1578</v>
      </c>
    </row>
    <row r="555" spans="5:7" x14ac:dyDescent="0.35">
      <c r="E555" t="s">
        <v>3803</v>
      </c>
      <c r="F555" t="s">
        <v>4247</v>
      </c>
      <c r="G555" t="s">
        <v>1578</v>
      </c>
    </row>
    <row r="556" spans="5:7" x14ac:dyDescent="0.35">
      <c r="E556" t="s">
        <v>3803</v>
      </c>
      <c r="F556" t="s">
        <v>4248</v>
      </c>
      <c r="G556" t="s">
        <v>1578</v>
      </c>
    </row>
    <row r="557" spans="5:7" x14ac:dyDescent="0.35">
      <c r="E557" t="s">
        <v>3803</v>
      </c>
      <c r="F557" t="s">
        <v>4249</v>
      </c>
      <c r="G557" t="s">
        <v>1578</v>
      </c>
    </row>
    <row r="558" spans="5:7" x14ac:dyDescent="0.35">
      <c r="E558" t="s">
        <v>3803</v>
      </c>
      <c r="F558" t="s">
        <v>4250</v>
      </c>
      <c r="G558" t="s">
        <v>1578</v>
      </c>
    </row>
    <row r="559" spans="5:7" x14ac:dyDescent="0.35">
      <c r="E559" t="s">
        <v>3803</v>
      </c>
      <c r="F559" t="s">
        <v>4251</v>
      </c>
      <c r="G559" t="s">
        <v>1578</v>
      </c>
    </row>
    <row r="560" spans="5:7" x14ac:dyDescent="0.35">
      <c r="E560" t="s">
        <v>3803</v>
      </c>
      <c r="F560" t="s">
        <v>4252</v>
      </c>
      <c r="G560" t="s">
        <v>1578</v>
      </c>
    </row>
    <row r="561" spans="5:7" x14ac:dyDescent="0.35">
      <c r="E561" t="s">
        <v>3803</v>
      </c>
      <c r="F561" t="s">
        <v>4253</v>
      </c>
      <c r="G561" t="s">
        <v>1578</v>
      </c>
    </row>
    <row r="562" spans="5:7" x14ac:dyDescent="0.35">
      <c r="E562" t="s">
        <v>3803</v>
      </c>
      <c r="F562" t="s">
        <v>4254</v>
      </c>
      <c r="G562" t="s">
        <v>1578</v>
      </c>
    </row>
    <row r="563" spans="5:7" x14ac:dyDescent="0.35">
      <c r="E563" t="s">
        <v>3803</v>
      </c>
      <c r="F563" t="s">
        <v>4255</v>
      </c>
      <c r="G563" t="s">
        <v>1578</v>
      </c>
    </row>
    <row r="564" spans="5:7" x14ac:dyDescent="0.35">
      <c r="E564" t="s">
        <v>3803</v>
      </c>
      <c r="F564" t="s">
        <v>4256</v>
      </c>
      <c r="G564" t="s">
        <v>1578</v>
      </c>
    </row>
    <row r="565" spans="5:7" x14ac:dyDescent="0.35">
      <c r="E565" t="s">
        <v>3803</v>
      </c>
      <c r="F565" t="s">
        <v>4257</v>
      </c>
      <c r="G565" t="s">
        <v>1578</v>
      </c>
    </row>
    <row r="566" spans="5:7" x14ac:dyDescent="0.35">
      <c r="E566" t="s">
        <v>3803</v>
      </c>
      <c r="F566" t="s">
        <v>4258</v>
      </c>
      <c r="G566" t="s">
        <v>1578</v>
      </c>
    </row>
    <row r="567" spans="5:7" x14ac:dyDescent="0.35">
      <c r="E567" t="s">
        <v>3803</v>
      </c>
      <c r="F567" t="s">
        <v>4259</v>
      </c>
      <c r="G567" t="s">
        <v>1578</v>
      </c>
    </row>
    <row r="568" spans="5:7" x14ac:dyDescent="0.35">
      <c r="E568" t="s">
        <v>3803</v>
      </c>
      <c r="F568" t="s">
        <v>4260</v>
      </c>
      <c r="G568" t="s">
        <v>1578</v>
      </c>
    </row>
    <row r="569" spans="5:7" x14ac:dyDescent="0.35">
      <c r="E569" t="s">
        <v>3803</v>
      </c>
      <c r="F569" t="s">
        <v>4261</v>
      </c>
      <c r="G569" t="s">
        <v>1578</v>
      </c>
    </row>
    <row r="570" spans="5:7" x14ac:dyDescent="0.35">
      <c r="E570" t="s">
        <v>3803</v>
      </c>
      <c r="F570" t="s">
        <v>4262</v>
      </c>
      <c r="G570" t="s">
        <v>1578</v>
      </c>
    </row>
    <row r="571" spans="5:7" x14ac:dyDescent="0.35">
      <c r="E571" t="s">
        <v>3803</v>
      </c>
      <c r="F571" t="s">
        <v>4263</v>
      </c>
      <c r="G571" t="s">
        <v>1578</v>
      </c>
    </row>
    <row r="572" spans="5:7" x14ac:dyDescent="0.35">
      <c r="E572" t="s">
        <v>3803</v>
      </c>
      <c r="F572" t="s">
        <v>1231</v>
      </c>
      <c r="G572" t="s">
        <v>1578</v>
      </c>
    </row>
    <row r="573" spans="5:7" x14ac:dyDescent="0.35">
      <c r="E573" t="s">
        <v>3803</v>
      </c>
      <c r="F573" t="s">
        <v>4264</v>
      </c>
      <c r="G573" t="s">
        <v>1578</v>
      </c>
    </row>
    <row r="574" spans="5:7" x14ac:dyDescent="0.35">
      <c r="E574" t="s">
        <v>3803</v>
      </c>
      <c r="F574" t="s">
        <v>4265</v>
      </c>
      <c r="G574" t="s">
        <v>1578</v>
      </c>
    </row>
    <row r="575" spans="5:7" x14ac:dyDescent="0.35">
      <c r="E575" t="s">
        <v>3803</v>
      </c>
      <c r="F575" t="s">
        <v>4266</v>
      </c>
      <c r="G575" t="s">
        <v>1578</v>
      </c>
    </row>
    <row r="576" spans="5:7" x14ac:dyDescent="0.35">
      <c r="E576" t="s">
        <v>3803</v>
      </c>
      <c r="F576" t="s">
        <v>4267</v>
      </c>
      <c r="G576" t="s">
        <v>1578</v>
      </c>
    </row>
    <row r="577" spans="5:7" x14ac:dyDescent="0.35">
      <c r="E577" t="s">
        <v>3803</v>
      </c>
      <c r="F577" t="s">
        <v>4268</v>
      </c>
      <c r="G577" t="s">
        <v>1578</v>
      </c>
    </row>
    <row r="578" spans="5:7" x14ac:dyDescent="0.35">
      <c r="E578" t="s">
        <v>3803</v>
      </c>
      <c r="F578" t="s">
        <v>4269</v>
      </c>
      <c r="G578" t="s">
        <v>1578</v>
      </c>
    </row>
    <row r="579" spans="5:7" x14ac:dyDescent="0.35">
      <c r="E579" t="s">
        <v>3803</v>
      </c>
      <c r="F579" t="s">
        <v>4270</v>
      </c>
      <c r="G579" t="s">
        <v>1578</v>
      </c>
    </row>
    <row r="580" spans="5:7" x14ac:dyDescent="0.35">
      <c r="E580" t="s">
        <v>3803</v>
      </c>
      <c r="F580" t="s">
        <v>4271</v>
      </c>
      <c r="G580" t="s">
        <v>1578</v>
      </c>
    </row>
    <row r="581" spans="5:7" x14ac:dyDescent="0.35">
      <c r="E581" t="s">
        <v>3803</v>
      </c>
      <c r="F581" t="s">
        <v>4272</v>
      </c>
      <c r="G581" t="s">
        <v>1578</v>
      </c>
    </row>
    <row r="582" spans="5:7" x14ac:dyDescent="0.35">
      <c r="E582" t="s">
        <v>3803</v>
      </c>
      <c r="F582" t="s">
        <v>4273</v>
      </c>
      <c r="G582" t="s">
        <v>1578</v>
      </c>
    </row>
    <row r="583" spans="5:7" x14ac:dyDescent="0.35">
      <c r="E583" t="s">
        <v>3803</v>
      </c>
      <c r="F583" t="s">
        <v>4274</v>
      </c>
      <c r="G583" t="s">
        <v>1578</v>
      </c>
    </row>
    <row r="584" spans="5:7" x14ac:dyDescent="0.35">
      <c r="E584" t="s">
        <v>3803</v>
      </c>
      <c r="F584" t="s">
        <v>4275</v>
      </c>
      <c r="G584" t="s">
        <v>1578</v>
      </c>
    </row>
    <row r="585" spans="5:7" x14ac:dyDescent="0.35">
      <c r="E585" t="s">
        <v>3803</v>
      </c>
      <c r="F585" t="s">
        <v>4276</v>
      </c>
      <c r="G585" t="s">
        <v>1578</v>
      </c>
    </row>
    <row r="586" spans="5:7" x14ac:dyDescent="0.35">
      <c r="E586" t="s">
        <v>3803</v>
      </c>
      <c r="F586" t="s">
        <v>4277</v>
      </c>
      <c r="G586" t="s">
        <v>1578</v>
      </c>
    </row>
    <row r="587" spans="5:7" x14ac:dyDescent="0.35">
      <c r="E587" t="s">
        <v>3803</v>
      </c>
      <c r="F587" t="s">
        <v>4278</v>
      </c>
      <c r="G587" t="s">
        <v>1578</v>
      </c>
    </row>
    <row r="588" spans="5:7" x14ac:dyDescent="0.35">
      <c r="E588" t="s">
        <v>3803</v>
      </c>
      <c r="F588" t="s">
        <v>4279</v>
      </c>
      <c r="G588" t="s">
        <v>1578</v>
      </c>
    </row>
    <row r="589" spans="5:7" x14ac:dyDescent="0.35">
      <c r="E589" t="s">
        <v>3803</v>
      </c>
      <c r="F589" t="s">
        <v>4280</v>
      </c>
      <c r="G589" t="s">
        <v>1578</v>
      </c>
    </row>
    <row r="590" spans="5:7" x14ac:dyDescent="0.35">
      <c r="E590" t="s">
        <v>3803</v>
      </c>
      <c r="F590" t="s">
        <v>4281</v>
      </c>
      <c r="G590" t="s">
        <v>1578</v>
      </c>
    </row>
    <row r="591" spans="5:7" x14ac:dyDescent="0.35">
      <c r="E591" t="s">
        <v>3803</v>
      </c>
      <c r="F591" t="s">
        <v>4282</v>
      </c>
      <c r="G591" t="s">
        <v>1578</v>
      </c>
    </row>
    <row r="592" spans="5:7" x14ac:dyDescent="0.35">
      <c r="E592" t="s">
        <v>3803</v>
      </c>
      <c r="F592" t="s">
        <v>4283</v>
      </c>
      <c r="G592" t="s">
        <v>1578</v>
      </c>
    </row>
    <row r="593" spans="5:7" x14ac:dyDescent="0.35">
      <c r="E593" t="s">
        <v>3803</v>
      </c>
      <c r="F593" t="s">
        <v>4284</v>
      </c>
      <c r="G593" t="s">
        <v>1578</v>
      </c>
    </row>
    <row r="594" spans="5:7" x14ac:dyDescent="0.35">
      <c r="E594" t="s">
        <v>3803</v>
      </c>
      <c r="F594" t="s">
        <v>4285</v>
      </c>
      <c r="G594" t="s">
        <v>1578</v>
      </c>
    </row>
    <row r="595" spans="5:7" x14ac:dyDescent="0.35">
      <c r="E595" t="s">
        <v>3803</v>
      </c>
      <c r="F595" t="s">
        <v>4286</v>
      </c>
      <c r="G595" t="s">
        <v>1578</v>
      </c>
    </row>
    <row r="596" spans="5:7" x14ac:dyDescent="0.35">
      <c r="E596" t="s">
        <v>3803</v>
      </c>
      <c r="F596" t="s">
        <v>4287</v>
      </c>
      <c r="G596" t="s">
        <v>1578</v>
      </c>
    </row>
    <row r="597" spans="5:7" x14ac:dyDescent="0.35">
      <c r="E597" t="s">
        <v>3803</v>
      </c>
      <c r="F597" t="s">
        <v>4288</v>
      </c>
      <c r="G597" t="s">
        <v>1578</v>
      </c>
    </row>
    <row r="598" spans="5:7" x14ac:dyDescent="0.35">
      <c r="E598" t="s">
        <v>3803</v>
      </c>
      <c r="F598" t="s">
        <v>4289</v>
      </c>
      <c r="G598" t="s">
        <v>1578</v>
      </c>
    </row>
    <row r="599" spans="5:7" x14ac:dyDescent="0.35">
      <c r="E599" t="s">
        <v>3803</v>
      </c>
      <c r="F599" t="s">
        <v>4290</v>
      </c>
      <c r="G599" t="s">
        <v>1578</v>
      </c>
    </row>
    <row r="600" spans="5:7" x14ac:dyDescent="0.35">
      <c r="E600" t="s">
        <v>3803</v>
      </c>
      <c r="F600" t="s">
        <v>4291</v>
      </c>
      <c r="G600" t="s">
        <v>1578</v>
      </c>
    </row>
    <row r="601" spans="5:7" x14ac:dyDescent="0.35">
      <c r="E601" t="s">
        <v>3803</v>
      </c>
      <c r="F601" t="s">
        <v>4292</v>
      </c>
      <c r="G601" t="s">
        <v>1578</v>
      </c>
    </row>
    <row r="602" spans="5:7" x14ac:dyDescent="0.35">
      <c r="E602" t="s">
        <v>3803</v>
      </c>
      <c r="F602" t="s">
        <v>4293</v>
      </c>
      <c r="G602" t="s">
        <v>1578</v>
      </c>
    </row>
    <row r="603" spans="5:7" x14ac:dyDescent="0.35">
      <c r="E603" t="s">
        <v>3803</v>
      </c>
      <c r="F603" t="s">
        <v>4294</v>
      </c>
      <c r="G603" t="s">
        <v>1578</v>
      </c>
    </row>
    <row r="604" spans="5:7" x14ac:dyDescent="0.35">
      <c r="E604" t="s">
        <v>3803</v>
      </c>
      <c r="F604" t="s">
        <v>4295</v>
      </c>
      <c r="G604" t="s">
        <v>1578</v>
      </c>
    </row>
    <row r="605" spans="5:7" x14ac:dyDescent="0.35">
      <c r="E605" t="s">
        <v>3803</v>
      </c>
      <c r="F605" t="s">
        <v>4296</v>
      </c>
      <c r="G605" t="s">
        <v>1578</v>
      </c>
    </row>
    <row r="606" spans="5:7" x14ac:dyDescent="0.35">
      <c r="E606" t="s">
        <v>3803</v>
      </c>
      <c r="F606" t="s">
        <v>4297</v>
      </c>
      <c r="G606" t="s">
        <v>1578</v>
      </c>
    </row>
    <row r="607" spans="5:7" x14ac:dyDescent="0.35">
      <c r="E607" t="s">
        <v>3803</v>
      </c>
      <c r="F607" t="s">
        <v>4298</v>
      </c>
      <c r="G607" t="s">
        <v>1578</v>
      </c>
    </row>
    <row r="608" spans="5:7" x14ac:dyDescent="0.35">
      <c r="E608" t="s">
        <v>3803</v>
      </c>
      <c r="F608" t="s">
        <v>4299</v>
      </c>
      <c r="G608" t="s">
        <v>1578</v>
      </c>
    </row>
    <row r="609" spans="5:7" x14ac:dyDescent="0.35">
      <c r="E609" t="s">
        <v>3803</v>
      </c>
      <c r="F609" t="s">
        <v>4300</v>
      </c>
      <c r="G609" t="s">
        <v>1578</v>
      </c>
    </row>
    <row r="610" spans="5:7" x14ac:dyDescent="0.35">
      <c r="E610" t="s">
        <v>3803</v>
      </c>
      <c r="F610" t="s">
        <v>4301</v>
      </c>
      <c r="G610" t="s">
        <v>1578</v>
      </c>
    </row>
    <row r="611" spans="5:7" x14ac:dyDescent="0.35">
      <c r="E611" t="s">
        <v>3803</v>
      </c>
      <c r="F611" t="s">
        <v>4302</v>
      </c>
      <c r="G611" t="s">
        <v>1578</v>
      </c>
    </row>
    <row r="612" spans="5:7" x14ac:dyDescent="0.35">
      <c r="E612" t="s">
        <v>3803</v>
      </c>
      <c r="F612" t="s">
        <v>4303</v>
      </c>
      <c r="G612" t="s">
        <v>1578</v>
      </c>
    </row>
    <row r="613" spans="5:7" x14ac:dyDescent="0.35">
      <c r="E613" t="s">
        <v>3803</v>
      </c>
      <c r="F613" t="s">
        <v>4304</v>
      </c>
      <c r="G613" t="s">
        <v>1578</v>
      </c>
    </row>
    <row r="614" spans="5:7" x14ac:dyDescent="0.35">
      <c r="E614" t="s">
        <v>3803</v>
      </c>
      <c r="F614" t="s">
        <v>1362</v>
      </c>
      <c r="G614" t="s">
        <v>1578</v>
      </c>
    </row>
    <row r="615" spans="5:7" x14ac:dyDescent="0.35">
      <c r="E615" t="s">
        <v>3803</v>
      </c>
      <c r="F615" t="s">
        <v>4305</v>
      </c>
      <c r="G615" t="s">
        <v>1578</v>
      </c>
    </row>
    <row r="616" spans="5:7" x14ac:dyDescent="0.35">
      <c r="E616" t="s">
        <v>3803</v>
      </c>
      <c r="F616" t="s">
        <v>4306</v>
      </c>
      <c r="G616" t="s">
        <v>1578</v>
      </c>
    </row>
    <row r="617" spans="5:7" x14ac:dyDescent="0.35">
      <c r="E617" t="s">
        <v>3803</v>
      </c>
      <c r="F617" t="s">
        <v>4307</v>
      </c>
      <c r="G617" t="s">
        <v>1578</v>
      </c>
    </row>
    <row r="618" spans="5:7" x14ac:dyDescent="0.35">
      <c r="E618" t="s">
        <v>3803</v>
      </c>
      <c r="F618" t="s">
        <v>4308</v>
      </c>
      <c r="G618" t="s">
        <v>1578</v>
      </c>
    </row>
    <row r="619" spans="5:7" x14ac:dyDescent="0.35">
      <c r="E619" t="s">
        <v>3803</v>
      </c>
      <c r="F619" t="s">
        <v>4309</v>
      </c>
      <c r="G619" t="s">
        <v>1578</v>
      </c>
    </row>
    <row r="620" spans="5:7" x14ac:dyDescent="0.35">
      <c r="E620" t="s">
        <v>3803</v>
      </c>
      <c r="F620" t="s">
        <v>4310</v>
      </c>
      <c r="G620" t="s">
        <v>1578</v>
      </c>
    </row>
    <row r="621" spans="5:7" x14ac:dyDescent="0.35">
      <c r="E621" t="s">
        <v>3803</v>
      </c>
      <c r="F621" t="s">
        <v>4311</v>
      </c>
      <c r="G621" t="s">
        <v>1578</v>
      </c>
    </row>
    <row r="622" spans="5:7" x14ac:dyDescent="0.35">
      <c r="E622" t="s">
        <v>3803</v>
      </c>
      <c r="F622" t="s">
        <v>4312</v>
      </c>
      <c r="G622" t="s">
        <v>1578</v>
      </c>
    </row>
    <row r="623" spans="5:7" x14ac:dyDescent="0.35">
      <c r="E623" t="s">
        <v>3803</v>
      </c>
      <c r="F623" t="s">
        <v>4313</v>
      </c>
      <c r="G623" t="s">
        <v>1578</v>
      </c>
    </row>
    <row r="624" spans="5:7" x14ac:dyDescent="0.35">
      <c r="E624" t="s">
        <v>3803</v>
      </c>
      <c r="F624" t="s">
        <v>4314</v>
      </c>
      <c r="G624" t="s">
        <v>1578</v>
      </c>
    </row>
    <row r="625" spans="5:7" x14ac:dyDescent="0.35">
      <c r="E625" t="s">
        <v>3803</v>
      </c>
      <c r="F625" t="s">
        <v>4315</v>
      </c>
      <c r="G625" t="s">
        <v>1578</v>
      </c>
    </row>
    <row r="626" spans="5:7" x14ac:dyDescent="0.35">
      <c r="E626" t="s">
        <v>3803</v>
      </c>
      <c r="F626" t="s">
        <v>2454</v>
      </c>
      <c r="G626" t="s">
        <v>4316</v>
      </c>
    </row>
    <row r="627" spans="5:7" x14ac:dyDescent="0.35">
      <c r="E627" t="s">
        <v>3803</v>
      </c>
      <c r="F627" t="s">
        <v>2457</v>
      </c>
      <c r="G627" t="s">
        <v>4316</v>
      </c>
    </row>
    <row r="628" spans="5:7" x14ac:dyDescent="0.35">
      <c r="E628" t="s">
        <v>3803</v>
      </c>
      <c r="F628" t="s">
        <v>215</v>
      </c>
      <c r="G628" t="s">
        <v>4316</v>
      </c>
    </row>
    <row r="629" spans="5:7" x14ac:dyDescent="0.35">
      <c r="E629" t="s">
        <v>3803</v>
      </c>
      <c r="F629" t="s">
        <v>2613</v>
      </c>
      <c r="G629" t="s">
        <v>4316</v>
      </c>
    </row>
    <row r="630" spans="5:7" x14ac:dyDescent="0.35">
      <c r="E630" t="s">
        <v>3803</v>
      </c>
      <c r="F630" t="s">
        <v>2616</v>
      </c>
      <c r="G630" t="s">
        <v>4316</v>
      </c>
    </row>
    <row r="631" spans="5:7" x14ac:dyDescent="0.35">
      <c r="E631" t="s">
        <v>3803</v>
      </c>
      <c r="F631" t="s">
        <v>246</v>
      </c>
      <c r="G631" t="s">
        <v>4316</v>
      </c>
    </row>
    <row r="632" spans="5:7" x14ac:dyDescent="0.35">
      <c r="E632" t="s">
        <v>3803</v>
      </c>
      <c r="F632" t="s">
        <v>2618</v>
      </c>
      <c r="G632" t="s">
        <v>4316</v>
      </c>
    </row>
    <row r="633" spans="5:7" x14ac:dyDescent="0.35">
      <c r="E633" t="s">
        <v>3803</v>
      </c>
      <c r="F633" t="s">
        <v>2621</v>
      </c>
      <c r="G633" t="s">
        <v>4316</v>
      </c>
    </row>
    <row r="634" spans="5:7" x14ac:dyDescent="0.35">
      <c r="E634" t="s">
        <v>3803</v>
      </c>
      <c r="F634" t="s">
        <v>306</v>
      </c>
      <c r="G634" t="s">
        <v>4316</v>
      </c>
    </row>
    <row r="635" spans="5:7" x14ac:dyDescent="0.35">
      <c r="E635" t="s">
        <v>3803</v>
      </c>
      <c r="F635" t="s">
        <v>2623</v>
      </c>
      <c r="G635" t="s">
        <v>4316</v>
      </c>
    </row>
    <row r="636" spans="5:7" x14ac:dyDescent="0.35">
      <c r="E636" t="s">
        <v>3803</v>
      </c>
      <c r="F636" t="s">
        <v>345</v>
      </c>
      <c r="G636" t="s">
        <v>4316</v>
      </c>
    </row>
    <row r="637" spans="5:7" x14ac:dyDescent="0.35">
      <c r="E637" t="s">
        <v>3803</v>
      </c>
      <c r="F637" t="s">
        <v>4317</v>
      </c>
      <c r="G637" t="s">
        <v>4316</v>
      </c>
    </row>
    <row r="638" spans="5:7" x14ac:dyDescent="0.35">
      <c r="E638" t="s">
        <v>3803</v>
      </c>
      <c r="F638" t="s">
        <v>4318</v>
      </c>
      <c r="G638" t="s">
        <v>4316</v>
      </c>
    </row>
    <row r="639" spans="5:7" x14ac:dyDescent="0.35">
      <c r="E639" t="s">
        <v>3803</v>
      </c>
      <c r="F639" t="s">
        <v>4319</v>
      </c>
      <c r="G639" t="s">
        <v>4316</v>
      </c>
    </row>
    <row r="640" spans="5:7" x14ac:dyDescent="0.35">
      <c r="E640" t="s">
        <v>3803</v>
      </c>
      <c r="F640" t="s">
        <v>4320</v>
      </c>
      <c r="G640" t="s">
        <v>4316</v>
      </c>
    </row>
    <row r="641" spans="5:7" x14ac:dyDescent="0.35">
      <c r="E641" t="s">
        <v>3803</v>
      </c>
      <c r="F641" t="s">
        <v>4321</v>
      </c>
      <c r="G641" t="s">
        <v>4316</v>
      </c>
    </row>
    <row r="642" spans="5:7" x14ac:dyDescent="0.35">
      <c r="E642" t="s">
        <v>3803</v>
      </c>
      <c r="F642" t="s">
        <v>4322</v>
      </c>
      <c r="G642" t="s">
        <v>4316</v>
      </c>
    </row>
    <row r="643" spans="5:7" x14ac:dyDescent="0.35">
      <c r="E643" t="s">
        <v>3803</v>
      </c>
      <c r="F643" t="s">
        <v>4323</v>
      </c>
      <c r="G643" t="s">
        <v>4316</v>
      </c>
    </row>
    <row r="644" spans="5:7" x14ac:dyDescent="0.35">
      <c r="E644" t="s">
        <v>3803</v>
      </c>
      <c r="F644" t="s">
        <v>4324</v>
      </c>
      <c r="G644" t="s">
        <v>4316</v>
      </c>
    </row>
    <row r="645" spans="5:7" x14ac:dyDescent="0.35">
      <c r="E645" t="s">
        <v>3803</v>
      </c>
      <c r="F645" t="s">
        <v>2626</v>
      </c>
      <c r="G645" t="s">
        <v>1583</v>
      </c>
    </row>
    <row r="646" spans="5:7" x14ac:dyDescent="0.35">
      <c r="E646" t="s">
        <v>3803</v>
      </c>
      <c r="F646" t="s">
        <v>2629</v>
      </c>
      <c r="G646" t="s">
        <v>1583</v>
      </c>
    </row>
    <row r="647" spans="5:7" x14ac:dyDescent="0.35">
      <c r="E647" t="s">
        <v>3803</v>
      </c>
      <c r="F647" t="s">
        <v>2631</v>
      </c>
      <c r="G647" t="s">
        <v>1583</v>
      </c>
    </row>
    <row r="648" spans="5:7" x14ac:dyDescent="0.35">
      <c r="E648" t="s">
        <v>3803</v>
      </c>
      <c r="F648" t="s">
        <v>2633</v>
      </c>
      <c r="G648" t="s">
        <v>1583</v>
      </c>
    </row>
    <row r="649" spans="5:7" x14ac:dyDescent="0.35">
      <c r="E649" t="s">
        <v>3803</v>
      </c>
      <c r="F649" t="s">
        <v>2636</v>
      </c>
      <c r="G649" t="s">
        <v>1583</v>
      </c>
    </row>
    <row r="650" spans="5:7" x14ac:dyDescent="0.35">
      <c r="E650" t="s">
        <v>3803</v>
      </c>
      <c r="F650" t="s">
        <v>2638</v>
      </c>
      <c r="G650" t="s">
        <v>1583</v>
      </c>
    </row>
    <row r="651" spans="5:7" x14ac:dyDescent="0.35">
      <c r="E651" t="s">
        <v>3803</v>
      </c>
      <c r="F651" t="s">
        <v>2640</v>
      </c>
      <c r="G651" t="s">
        <v>1583</v>
      </c>
    </row>
    <row r="652" spans="5:7" x14ac:dyDescent="0.35">
      <c r="E652" t="s">
        <v>3803</v>
      </c>
      <c r="F652" t="s">
        <v>2642</v>
      </c>
      <c r="G652" t="s">
        <v>1583</v>
      </c>
    </row>
    <row r="653" spans="5:7" x14ac:dyDescent="0.35">
      <c r="E653" t="s">
        <v>3803</v>
      </c>
      <c r="F653" t="s">
        <v>2644</v>
      </c>
      <c r="G653" t="s">
        <v>1583</v>
      </c>
    </row>
    <row r="654" spans="5:7" x14ac:dyDescent="0.35">
      <c r="E654" t="s">
        <v>3803</v>
      </c>
      <c r="F654" t="s">
        <v>967</v>
      </c>
      <c r="G654" t="s">
        <v>1583</v>
      </c>
    </row>
    <row r="655" spans="5:7" x14ac:dyDescent="0.35">
      <c r="E655" t="s">
        <v>3803</v>
      </c>
      <c r="F655" t="s">
        <v>4325</v>
      </c>
      <c r="G655" t="s">
        <v>1583</v>
      </c>
    </row>
    <row r="656" spans="5:7" x14ac:dyDescent="0.35">
      <c r="E656" t="s">
        <v>3803</v>
      </c>
      <c r="F656" t="s">
        <v>4326</v>
      </c>
      <c r="G656" t="s">
        <v>1583</v>
      </c>
    </row>
    <row r="657" spans="5:7" x14ac:dyDescent="0.35">
      <c r="E657" t="s">
        <v>3803</v>
      </c>
      <c r="F657" t="s">
        <v>4327</v>
      </c>
      <c r="G657" t="s">
        <v>1583</v>
      </c>
    </row>
    <row r="658" spans="5:7" x14ac:dyDescent="0.35">
      <c r="E658" t="s">
        <v>3803</v>
      </c>
      <c r="F658" t="s">
        <v>4328</v>
      </c>
      <c r="G658" t="s">
        <v>1583</v>
      </c>
    </row>
    <row r="659" spans="5:7" x14ac:dyDescent="0.35">
      <c r="E659" t="s">
        <v>3803</v>
      </c>
      <c r="F659" t="s">
        <v>4329</v>
      </c>
      <c r="G659" t="s">
        <v>1583</v>
      </c>
    </row>
    <row r="660" spans="5:7" x14ac:dyDescent="0.35">
      <c r="E660" t="s">
        <v>3803</v>
      </c>
      <c r="F660" t="s">
        <v>4330</v>
      </c>
      <c r="G660" t="s">
        <v>1583</v>
      </c>
    </row>
    <row r="661" spans="5:7" x14ac:dyDescent="0.35">
      <c r="E661" t="s">
        <v>3803</v>
      </c>
      <c r="F661" t="s">
        <v>4331</v>
      </c>
      <c r="G661" t="s">
        <v>1583</v>
      </c>
    </row>
    <row r="662" spans="5:7" x14ac:dyDescent="0.35">
      <c r="E662" t="s">
        <v>3803</v>
      </c>
      <c r="F662" t="s">
        <v>4332</v>
      </c>
      <c r="G662" t="s">
        <v>1583</v>
      </c>
    </row>
    <row r="663" spans="5:7" x14ac:dyDescent="0.35">
      <c r="E663" t="s">
        <v>3803</v>
      </c>
      <c r="F663" t="s">
        <v>4333</v>
      </c>
      <c r="G663" t="s">
        <v>1583</v>
      </c>
    </row>
    <row r="664" spans="5:7" x14ac:dyDescent="0.35">
      <c r="E664" t="s">
        <v>3803</v>
      </c>
      <c r="F664" t="s">
        <v>4334</v>
      </c>
      <c r="G664" t="s">
        <v>1583</v>
      </c>
    </row>
    <row r="665" spans="5:7" x14ac:dyDescent="0.35">
      <c r="E665" t="s">
        <v>3803</v>
      </c>
      <c r="F665" t="s">
        <v>4335</v>
      </c>
      <c r="G665" t="s">
        <v>1583</v>
      </c>
    </row>
    <row r="666" spans="5:7" x14ac:dyDescent="0.35">
      <c r="E666" t="s">
        <v>3803</v>
      </c>
      <c r="F666" t="s">
        <v>4336</v>
      </c>
      <c r="G666" t="s">
        <v>1583</v>
      </c>
    </row>
    <row r="667" spans="5:7" x14ac:dyDescent="0.35">
      <c r="E667" t="s">
        <v>3803</v>
      </c>
      <c r="F667" t="s">
        <v>4337</v>
      </c>
      <c r="G667" t="s">
        <v>1583</v>
      </c>
    </row>
    <row r="668" spans="5:7" x14ac:dyDescent="0.35">
      <c r="E668" t="s">
        <v>3803</v>
      </c>
      <c r="F668" t="s">
        <v>1030</v>
      </c>
      <c r="G668" t="s">
        <v>1583</v>
      </c>
    </row>
    <row r="669" spans="5:7" x14ac:dyDescent="0.35">
      <c r="E669" t="s">
        <v>3803</v>
      </c>
      <c r="F669" t="s">
        <v>4338</v>
      </c>
      <c r="G669" t="s">
        <v>1583</v>
      </c>
    </row>
    <row r="670" spans="5:7" x14ac:dyDescent="0.35">
      <c r="E670" t="s">
        <v>3803</v>
      </c>
      <c r="F670" t="s">
        <v>4339</v>
      </c>
      <c r="G670" t="s">
        <v>1583</v>
      </c>
    </row>
    <row r="671" spans="5:7" x14ac:dyDescent="0.35">
      <c r="E671" t="s">
        <v>3803</v>
      </c>
      <c r="F671" t="s">
        <v>4340</v>
      </c>
      <c r="G671" t="s">
        <v>1583</v>
      </c>
    </row>
    <row r="672" spans="5:7" x14ac:dyDescent="0.35">
      <c r="E672" t="s">
        <v>3803</v>
      </c>
      <c r="F672" t="s">
        <v>4341</v>
      </c>
      <c r="G672" t="s">
        <v>1583</v>
      </c>
    </row>
    <row r="673" spans="5:7" x14ac:dyDescent="0.35">
      <c r="E673" t="s">
        <v>3803</v>
      </c>
      <c r="F673" t="s">
        <v>4342</v>
      </c>
      <c r="G673" t="s">
        <v>1583</v>
      </c>
    </row>
    <row r="674" spans="5:7" x14ac:dyDescent="0.35">
      <c r="E674" t="s">
        <v>3803</v>
      </c>
      <c r="F674" t="s">
        <v>4343</v>
      </c>
      <c r="G674" t="s">
        <v>1583</v>
      </c>
    </row>
    <row r="675" spans="5:7" x14ac:dyDescent="0.35">
      <c r="E675" t="s">
        <v>3803</v>
      </c>
      <c r="F675" t="s">
        <v>4344</v>
      </c>
      <c r="G675" t="s">
        <v>1583</v>
      </c>
    </row>
    <row r="676" spans="5:7" x14ac:dyDescent="0.35">
      <c r="E676" t="s">
        <v>3803</v>
      </c>
      <c r="F676" t="s">
        <v>4345</v>
      </c>
      <c r="G676" t="s">
        <v>1583</v>
      </c>
    </row>
    <row r="677" spans="5:7" x14ac:dyDescent="0.35">
      <c r="E677" t="s">
        <v>3803</v>
      </c>
      <c r="F677" t="s">
        <v>4346</v>
      </c>
      <c r="G677" t="s">
        <v>1583</v>
      </c>
    </row>
    <row r="678" spans="5:7" x14ac:dyDescent="0.35">
      <c r="E678" t="s">
        <v>3803</v>
      </c>
      <c r="F678" t="s">
        <v>4347</v>
      </c>
      <c r="G678" t="s">
        <v>1583</v>
      </c>
    </row>
    <row r="679" spans="5:7" x14ac:dyDescent="0.35">
      <c r="E679" t="s">
        <v>3803</v>
      </c>
      <c r="F679" t="s">
        <v>4348</v>
      </c>
      <c r="G679" t="s">
        <v>1583</v>
      </c>
    </row>
    <row r="680" spans="5:7" x14ac:dyDescent="0.35">
      <c r="E680" t="s">
        <v>3803</v>
      </c>
      <c r="F680" t="s">
        <v>4349</v>
      </c>
      <c r="G680" t="s">
        <v>1583</v>
      </c>
    </row>
    <row r="681" spans="5:7" x14ac:dyDescent="0.35">
      <c r="E681" t="s">
        <v>3803</v>
      </c>
      <c r="F681" t="s">
        <v>4350</v>
      </c>
      <c r="G681" t="s">
        <v>1583</v>
      </c>
    </row>
    <row r="682" spans="5:7" x14ac:dyDescent="0.35">
      <c r="E682" t="s">
        <v>3803</v>
      </c>
      <c r="F682" t="s">
        <v>4351</v>
      </c>
      <c r="G682" t="s">
        <v>1583</v>
      </c>
    </row>
    <row r="683" spans="5:7" x14ac:dyDescent="0.35">
      <c r="E683" t="s">
        <v>3803</v>
      </c>
      <c r="F683" t="s">
        <v>4352</v>
      </c>
      <c r="G683" t="s">
        <v>1583</v>
      </c>
    </row>
    <row r="684" spans="5:7" x14ac:dyDescent="0.35">
      <c r="E684" t="s">
        <v>3803</v>
      </c>
      <c r="F684" t="s">
        <v>4353</v>
      </c>
      <c r="G684" t="s">
        <v>1583</v>
      </c>
    </row>
    <row r="685" spans="5:7" x14ac:dyDescent="0.35">
      <c r="E685" t="s">
        <v>3803</v>
      </c>
      <c r="F685" t="s">
        <v>4354</v>
      </c>
      <c r="G685" t="s">
        <v>1583</v>
      </c>
    </row>
    <row r="686" spans="5:7" x14ac:dyDescent="0.35">
      <c r="E686" t="s">
        <v>3803</v>
      </c>
      <c r="F686" t="s">
        <v>4355</v>
      </c>
      <c r="G686" t="s">
        <v>1583</v>
      </c>
    </row>
    <row r="687" spans="5:7" x14ac:dyDescent="0.35">
      <c r="E687" t="s">
        <v>3803</v>
      </c>
      <c r="F687" t="s">
        <v>4356</v>
      </c>
      <c r="G687" t="s">
        <v>1583</v>
      </c>
    </row>
    <row r="688" spans="5:7" x14ac:dyDescent="0.35">
      <c r="E688" t="s">
        <v>3803</v>
      </c>
      <c r="F688" t="s">
        <v>4357</v>
      </c>
      <c r="G688" t="s">
        <v>1583</v>
      </c>
    </row>
    <row r="689" spans="5:7" x14ac:dyDescent="0.35">
      <c r="E689" t="s">
        <v>3803</v>
      </c>
      <c r="F689" t="s">
        <v>4358</v>
      </c>
      <c r="G689" t="s">
        <v>1583</v>
      </c>
    </row>
    <row r="690" spans="5:7" x14ac:dyDescent="0.35">
      <c r="E690" t="s">
        <v>3803</v>
      </c>
      <c r="F690" t="s">
        <v>4359</v>
      </c>
      <c r="G690" t="s">
        <v>1583</v>
      </c>
    </row>
    <row r="691" spans="5:7" x14ac:dyDescent="0.35">
      <c r="E691" t="s">
        <v>3803</v>
      </c>
      <c r="F691" t="s">
        <v>4360</v>
      </c>
      <c r="G691" t="s">
        <v>1583</v>
      </c>
    </row>
    <row r="692" spans="5:7" x14ac:dyDescent="0.35">
      <c r="E692" t="s">
        <v>3803</v>
      </c>
      <c r="F692" t="s">
        <v>4361</v>
      </c>
      <c r="G692" t="s">
        <v>1583</v>
      </c>
    </row>
    <row r="693" spans="5:7" x14ac:dyDescent="0.35">
      <c r="E693" t="s">
        <v>3803</v>
      </c>
      <c r="F693" t="s">
        <v>4362</v>
      </c>
      <c r="G693" t="s">
        <v>1583</v>
      </c>
    </row>
    <row r="694" spans="5:7" x14ac:dyDescent="0.35">
      <c r="E694" t="s">
        <v>3803</v>
      </c>
      <c r="F694" t="s">
        <v>4363</v>
      </c>
      <c r="G694" t="s">
        <v>1583</v>
      </c>
    </row>
    <row r="695" spans="5:7" x14ac:dyDescent="0.35">
      <c r="E695" t="s">
        <v>3803</v>
      </c>
      <c r="F695" t="s">
        <v>1121</v>
      </c>
      <c r="G695" t="s">
        <v>1583</v>
      </c>
    </row>
    <row r="696" spans="5:7" x14ac:dyDescent="0.35">
      <c r="E696" t="s">
        <v>3803</v>
      </c>
      <c r="F696" t="s">
        <v>4364</v>
      </c>
      <c r="G696" t="s">
        <v>1583</v>
      </c>
    </row>
    <row r="697" spans="5:7" x14ac:dyDescent="0.35">
      <c r="E697" t="s">
        <v>3803</v>
      </c>
      <c r="F697" t="s">
        <v>4365</v>
      </c>
      <c r="G697" t="s">
        <v>1583</v>
      </c>
    </row>
    <row r="698" spans="5:7" x14ac:dyDescent="0.35">
      <c r="E698" t="s">
        <v>3803</v>
      </c>
      <c r="F698" t="s">
        <v>4366</v>
      </c>
      <c r="G698" t="s">
        <v>1583</v>
      </c>
    </row>
    <row r="699" spans="5:7" x14ac:dyDescent="0.35">
      <c r="E699" t="s">
        <v>3803</v>
      </c>
      <c r="F699" t="s">
        <v>4367</v>
      </c>
      <c r="G699" t="s">
        <v>1583</v>
      </c>
    </row>
    <row r="700" spans="5:7" x14ac:dyDescent="0.35">
      <c r="E700" t="s">
        <v>3803</v>
      </c>
      <c r="F700" t="s">
        <v>4368</v>
      </c>
      <c r="G700" t="s">
        <v>1583</v>
      </c>
    </row>
    <row r="701" spans="5:7" x14ac:dyDescent="0.35">
      <c r="E701" t="s">
        <v>3803</v>
      </c>
      <c r="F701" t="s">
        <v>4369</v>
      </c>
      <c r="G701" t="s">
        <v>1583</v>
      </c>
    </row>
    <row r="702" spans="5:7" x14ac:dyDescent="0.35">
      <c r="E702" t="s">
        <v>3803</v>
      </c>
      <c r="F702" t="s">
        <v>4370</v>
      </c>
      <c r="G702" t="s">
        <v>1583</v>
      </c>
    </row>
    <row r="703" spans="5:7" x14ac:dyDescent="0.35">
      <c r="E703" t="s">
        <v>3803</v>
      </c>
      <c r="F703" t="s">
        <v>4371</v>
      </c>
      <c r="G703" t="s">
        <v>1583</v>
      </c>
    </row>
    <row r="704" spans="5:7" x14ac:dyDescent="0.35">
      <c r="E704" t="s">
        <v>3803</v>
      </c>
      <c r="F704" t="s">
        <v>4372</v>
      </c>
      <c r="G704" t="s">
        <v>1583</v>
      </c>
    </row>
    <row r="705" spans="5:7" x14ac:dyDescent="0.35">
      <c r="E705" t="s">
        <v>3803</v>
      </c>
      <c r="F705" t="s">
        <v>4373</v>
      </c>
      <c r="G705" t="s">
        <v>1583</v>
      </c>
    </row>
    <row r="706" spans="5:7" x14ac:dyDescent="0.35">
      <c r="E706" t="s">
        <v>3803</v>
      </c>
      <c r="F706" t="s">
        <v>4374</v>
      </c>
      <c r="G706" t="s">
        <v>1583</v>
      </c>
    </row>
    <row r="707" spans="5:7" x14ac:dyDescent="0.35">
      <c r="E707" t="s">
        <v>3803</v>
      </c>
      <c r="F707" t="s">
        <v>4375</v>
      </c>
      <c r="G707" t="s">
        <v>1583</v>
      </c>
    </row>
    <row r="708" spans="5:7" x14ac:dyDescent="0.35">
      <c r="E708" t="s">
        <v>3803</v>
      </c>
      <c r="F708" t="s">
        <v>4376</v>
      </c>
      <c r="G708" t="s">
        <v>1583</v>
      </c>
    </row>
    <row r="709" spans="5:7" x14ac:dyDescent="0.35">
      <c r="E709" t="s">
        <v>3803</v>
      </c>
      <c r="F709" t="s">
        <v>4377</v>
      </c>
      <c r="G709" t="s">
        <v>1583</v>
      </c>
    </row>
    <row r="710" spans="5:7" x14ac:dyDescent="0.35">
      <c r="E710" t="s">
        <v>3803</v>
      </c>
      <c r="F710" t="s">
        <v>4378</v>
      </c>
      <c r="G710" t="s">
        <v>1583</v>
      </c>
    </row>
    <row r="711" spans="5:7" x14ac:dyDescent="0.35">
      <c r="E711" t="s">
        <v>3803</v>
      </c>
      <c r="F711" t="s">
        <v>4379</v>
      </c>
      <c r="G711" t="s">
        <v>1583</v>
      </c>
    </row>
    <row r="712" spans="5:7" x14ac:dyDescent="0.35">
      <c r="E712" t="s">
        <v>3803</v>
      </c>
      <c r="F712" t="s">
        <v>4380</v>
      </c>
      <c r="G712" t="s">
        <v>1583</v>
      </c>
    </row>
    <row r="713" spans="5:7" x14ac:dyDescent="0.35">
      <c r="E713" t="s">
        <v>3803</v>
      </c>
      <c r="F713" t="s">
        <v>4381</v>
      </c>
      <c r="G713" t="s">
        <v>1583</v>
      </c>
    </row>
    <row r="714" spans="5:7" x14ac:dyDescent="0.35">
      <c r="E714" t="s">
        <v>3803</v>
      </c>
      <c r="F714" t="s">
        <v>4382</v>
      </c>
      <c r="G714" t="s">
        <v>1583</v>
      </c>
    </row>
    <row r="715" spans="5:7" x14ac:dyDescent="0.35">
      <c r="E715" t="s">
        <v>3803</v>
      </c>
      <c r="F715" t="s">
        <v>4383</v>
      </c>
      <c r="G715" t="s">
        <v>1583</v>
      </c>
    </row>
    <row r="716" spans="5:7" x14ac:dyDescent="0.35">
      <c r="E716" t="s">
        <v>3803</v>
      </c>
      <c r="F716" t="s">
        <v>4384</v>
      </c>
      <c r="G716" t="s">
        <v>1583</v>
      </c>
    </row>
    <row r="717" spans="5:7" x14ac:dyDescent="0.35">
      <c r="E717" t="s">
        <v>3803</v>
      </c>
      <c r="F717" t="s">
        <v>4385</v>
      </c>
      <c r="G717" t="s">
        <v>1583</v>
      </c>
    </row>
    <row r="718" spans="5:7" x14ac:dyDescent="0.35">
      <c r="E718" t="s">
        <v>3803</v>
      </c>
      <c r="F718" t="s">
        <v>4386</v>
      </c>
      <c r="G718" t="s">
        <v>1583</v>
      </c>
    </row>
    <row r="719" spans="5:7" x14ac:dyDescent="0.35">
      <c r="E719" t="s">
        <v>3803</v>
      </c>
      <c r="F719" t="s">
        <v>4387</v>
      </c>
      <c r="G719" t="s">
        <v>1583</v>
      </c>
    </row>
    <row r="720" spans="5:7" x14ac:dyDescent="0.35">
      <c r="E720" t="s">
        <v>3803</v>
      </c>
      <c r="F720" t="s">
        <v>4388</v>
      </c>
      <c r="G720" t="s">
        <v>1583</v>
      </c>
    </row>
    <row r="721" spans="5:7" x14ac:dyDescent="0.35">
      <c r="E721" t="s">
        <v>3803</v>
      </c>
      <c r="F721" t="s">
        <v>4389</v>
      </c>
      <c r="G721" t="s">
        <v>1583</v>
      </c>
    </row>
    <row r="722" spans="5:7" x14ac:dyDescent="0.35">
      <c r="E722" t="s">
        <v>3803</v>
      </c>
      <c r="F722" t="s">
        <v>4390</v>
      </c>
      <c r="G722" t="s">
        <v>1583</v>
      </c>
    </row>
    <row r="723" spans="5:7" x14ac:dyDescent="0.35">
      <c r="E723" t="s">
        <v>3803</v>
      </c>
      <c r="F723" t="s">
        <v>4391</v>
      </c>
      <c r="G723" t="s">
        <v>1583</v>
      </c>
    </row>
    <row r="724" spans="5:7" x14ac:dyDescent="0.35">
      <c r="E724" t="s">
        <v>3803</v>
      </c>
      <c r="F724" t="s">
        <v>4392</v>
      </c>
      <c r="G724" t="s">
        <v>1583</v>
      </c>
    </row>
    <row r="725" spans="5:7" x14ac:dyDescent="0.35">
      <c r="E725" t="s">
        <v>3803</v>
      </c>
      <c r="F725" t="s">
        <v>4393</v>
      </c>
      <c r="G725" t="s">
        <v>1583</v>
      </c>
    </row>
    <row r="726" spans="5:7" x14ac:dyDescent="0.35">
      <c r="E726" t="s">
        <v>3803</v>
      </c>
      <c r="F726" t="s">
        <v>4394</v>
      </c>
      <c r="G726" t="s">
        <v>1583</v>
      </c>
    </row>
    <row r="727" spans="5:7" x14ac:dyDescent="0.35">
      <c r="E727" t="s">
        <v>3803</v>
      </c>
      <c r="F727" t="s">
        <v>4395</v>
      </c>
      <c r="G727" t="s">
        <v>1583</v>
      </c>
    </row>
    <row r="728" spans="5:7" x14ac:dyDescent="0.35">
      <c r="E728" t="s">
        <v>3803</v>
      </c>
      <c r="F728" t="s">
        <v>4396</v>
      </c>
      <c r="G728" t="s">
        <v>1583</v>
      </c>
    </row>
    <row r="729" spans="5:7" x14ac:dyDescent="0.35">
      <c r="E729" t="s">
        <v>3803</v>
      </c>
      <c r="F729" t="s">
        <v>4397</v>
      </c>
      <c r="G729" t="s">
        <v>1583</v>
      </c>
    </row>
    <row r="730" spans="5:7" x14ac:dyDescent="0.35">
      <c r="E730" t="s">
        <v>3803</v>
      </c>
      <c r="F730" t="s">
        <v>4398</v>
      </c>
      <c r="G730" t="s">
        <v>1583</v>
      </c>
    </row>
    <row r="731" spans="5:7" x14ac:dyDescent="0.35">
      <c r="E731" t="s">
        <v>3803</v>
      </c>
      <c r="F731" t="s">
        <v>4399</v>
      </c>
      <c r="G731" t="s">
        <v>1583</v>
      </c>
    </row>
    <row r="732" spans="5:7" x14ac:dyDescent="0.35">
      <c r="E732" t="s">
        <v>3803</v>
      </c>
      <c r="F732" t="s">
        <v>4400</v>
      </c>
      <c r="G732" t="s">
        <v>1583</v>
      </c>
    </row>
    <row r="733" spans="5:7" x14ac:dyDescent="0.35">
      <c r="E733" t="s">
        <v>3803</v>
      </c>
      <c r="F733" t="s">
        <v>1234</v>
      </c>
      <c r="G733" t="s">
        <v>1583</v>
      </c>
    </row>
    <row r="734" spans="5:7" x14ac:dyDescent="0.35">
      <c r="E734" t="s">
        <v>3803</v>
      </c>
      <c r="F734" t="s">
        <v>4401</v>
      </c>
      <c r="G734" t="s">
        <v>1583</v>
      </c>
    </row>
    <row r="735" spans="5:7" x14ac:dyDescent="0.35">
      <c r="E735" t="s">
        <v>3803</v>
      </c>
      <c r="F735" t="s">
        <v>4402</v>
      </c>
      <c r="G735" t="s">
        <v>1583</v>
      </c>
    </row>
    <row r="736" spans="5:7" x14ac:dyDescent="0.35">
      <c r="E736" t="s">
        <v>3803</v>
      </c>
      <c r="F736" t="s">
        <v>4403</v>
      </c>
      <c r="G736" t="s">
        <v>1583</v>
      </c>
    </row>
    <row r="737" spans="5:7" x14ac:dyDescent="0.35">
      <c r="E737" t="s">
        <v>3803</v>
      </c>
      <c r="F737" t="s">
        <v>4404</v>
      </c>
      <c r="G737" t="s">
        <v>1583</v>
      </c>
    </row>
    <row r="738" spans="5:7" x14ac:dyDescent="0.35">
      <c r="E738" t="s">
        <v>3803</v>
      </c>
      <c r="F738" t="s">
        <v>4405</v>
      </c>
      <c r="G738" t="s">
        <v>1583</v>
      </c>
    </row>
    <row r="739" spans="5:7" x14ac:dyDescent="0.35">
      <c r="E739" t="s">
        <v>3803</v>
      </c>
      <c r="F739" t="s">
        <v>4406</v>
      </c>
      <c r="G739" t="s">
        <v>1583</v>
      </c>
    </row>
    <row r="740" spans="5:7" x14ac:dyDescent="0.35">
      <c r="E740" t="s">
        <v>3803</v>
      </c>
      <c r="F740" t="s">
        <v>4407</v>
      </c>
      <c r="G740" t="s">
        <v>1583</v>
      </c>
    </row>
    <row r="741" spans="5:7" x14ac:dyDescent="0.35">
      <c r="E741" t="s">
        <v>3803</v>
      </c>
      <c r="F741" t="s">
        <v>4408</v>
      </c>
      <c r="G741" t="s">
        <v>1583</v>
      </c>
    </row>
    <row r="742" spans="5:7" x14ac:dyDescent="0.35">
      <c r="E742" t="s">
        <v>3803</v>
      </c>
      <c r="F742" t="s">
        <v>4409</v>
      </c>
      <c r="G742" t="s">
        <v>1583</v>
      </c>
    </row>
    <row r="743" spans="5:7" x14ac:dyDescent="0.35">
      <c r="E743" t="s">
        <v>3803</v>
      </c>
      <c r="F743" t="s">
        <v>4410</v>
      </c>
      <c r="G743" t="s">
        <v>1583</v>
      </c>
    </row>
    <row r="744" spans="5:7" x14ac:dyDescent="0.35">
      <c r="E744" t="s">
        <v>3803</v>
      </c>
      <c r="F744" t="s">
        <v>4411</v>
      </c>
      <c r="G744" t="s">
        <v>1583</v>
      </c>
    </row>
    <row r="745" spans="5:7" x14ac:dyDescent="0.35">
      <c r="E745" t="s">
        <v>3803</v>
      </c>
      <c r="F745" t="s">
        <v>4412</v>
      </c>
      <c r="G745" t="s">
        <v>1583</v>
      </c>
    </row>
    <row r="746" spans="5:7" x14ac:dyDescent="0.35">
      <c r="E746" t="s">
        <v>3803</v>
      </c>
      <c r="F746" t="s">
        <v>4413</v>
      </c>
      <c r="G746" t="s">
        <v>1583</v>
      </c>
    </row>
    <row r="747" spans="5:7" x14ac:dyDescent="0.35">
      <c r="E747" t="s">
        <v>3803</v>
      </c>
      <c r="F747" t="s">
        <v>4414</v>
      </c>
      <c r="G747" t="s">
        <v>1583</v>
      </c>
    </row>
    <row r="748" spans="5:7" x14ac:dyDescent="0.35">
      <c r="E748" t="s">
        <v>3803</v>
      </c>
      <c r="F748" t="s">
        <v>4415</v>
      </c>
      <c r="G748" t="s">
        <v>1583</v>
      </c>
    </row>
    <row r="749" spans="5:7" x14ac:dyDescent="0.35">
      <c r="E749" t="s">
        <v>3803</v>
      </c>
      <c r="F749" t="s">
        <v>4416</v>
      </c>
      <c r="G749" t="s">
        <v>1583</v>
      </c>
    </row>
    <row r="750" spans="5:7" x14ac:dyDescent="0.35">
      <c r="E750" t="s">
        <v>3803</v>
      </c>
      <c r="F750" t="s">
        <v>4417</v>
      </c>
      <c r="G750" t="s">
        <v>1583</v>
      </c>
    </row>
    <row r="751" spans="5:7" x14ac:dyDescent="0.35">
      <c r="E751" t="s">
        <v>3803</v>
      </c>
      <c r="F751" t="s">
        <v>4418</v>
      </c>
      <c r="G751" t="s">
        <v>1583</v>
      </c>
    </row>
    <row r="752" spans="5:7" x14ac:dyDescent="0.35">
      <c r="E752" t="s">
        <v>3803</v>
      </c>
      <c r="F752" t="s">
        <v>4419</v>
      </c>
      <c r="G752" t="s">
        <v>1583</v>
      </c>
    </row>
    <row r="753" spans="5:7" x14ac:dyDescent="0.35">
      <c r="E753" t="s">
        <v>3803</v>
      </c>
      <c r="F753" t="s">
        <v>4420</v>
      </c>
      <c r="G753" t="s">
        <v>1583</v>
      </c>
    </row>
    <row r="754" spans="5:7" x14ac:dyDescent="0.35">
      <c r="E754" t="s">
        <v>3803</v>
      </c>
      <c r="F754" t="s">
        <v>4421</v>
      </c>
      <c r="G754" t="s">
        <v>1583</v>
      </c>
    </row>
    <row r="755" spans="5:7" x14ac:dyDescent="0.35">
      <c r="E755" t="s">
        <v>3803</v>
      </c>
      <c r="F755" t="s">
        <v>4422</v>
      </c>
      <c r="G755" t="s">
        <v>1583</v>
      </c>
    </row>
    <row r="756" spans="5:7" x14ac:dyDescent="0.35">
      <c r="E756" t="s">
        <v>3803</v>
      </c>
      <c r="F756" t="s">
        <v>4423</v>
      </c>
      <c r="G756" t="s">
        <v>1583</v>
      </c>
    </row>
    <row r="757" spans="5:7" x14ac:dyDescent="0.35">
      <c r="E757" t="s">
        <v>3803</v>
      </c>
      <c r="F757" t="s">
        <v>4424</v>
      </c>
      <c r="G757" t="s">
        <v>1583</v>
      </c>
    </row>
    <row r="758" spans="5:7" x14ac:dyDescent="0.35">
      <c r="E758" t="s">
        <v>3803</v>
      </c>
      <c r="F758" t="s">
        <v>4425</v>
      </c>
      <c r="G758" t="s">
        <v>1583</v>
      </c>
    </row>
    <row r="759" spans="5:7" x14ac:dyDescent="0.35">
      <c r="E759" t="s">
        <v>3803</v>
      </c>
      <c r="F759" t="s">
        <v>4426</v>
      </c>
      <c r="G759" t="s">
        <v>1583</v>
      </c>
    </row>
    <row r="760" spans="5:7" x14ac:dyDescent="0.35">
      <c r="E760" t="s">
        <v>3803</v>
      </c>
      <c r="F760" t="s">
        <v>4427</v>
      </c>
      <c r="G760" t="s">
        <v>1583</v>
      </c>
    </row>
    <row r="761" spans="5:7" x14ac:dyDescent="0.35">
      <c r="E761" t="s">
        <v>3803</v>
      </c>
      <c r="F761" t="s">
        <v>4428</v>
      </c>
      <c r="G761" t="s">
        <v>1583</v>
      </c>
    </row>
    <row r="762" spans="5:7" x14ac:dyDescent="0.35">
      <c r="E762" t="s">
        <v>3803</v>
      </c>
      <c r="F762" t="s">
        <v>4429</v>
      </c>
      <c r="G762" t="s">
        <v>1583</v>
      </c>
    </row>
    <row r="763" spans="5:7" x14ac:dyDescent="0.35">
      <c r="E763" t="s">
        <v>3803</v>
      </c>
      <c r="F763" t="s">
        <v>4430</v>
      </c>
      <c r="G763" t="s">
        <v>1583</v>
      </c>
    </row>
    <row r="764" spans="5:7" x14ac:dyDescent="0.35">
      <c r="E764" t="s">
        <v>3803</v>
      </c>
      <c r="F764" t="s">
        <v>4431</v>
      </c>
      <c r="G764" t="s">
        <v>1583</v>
      </c>
    </row>
    <row r="765" spans="5:7" x14ac:dyDescent="0.35">
      <c r="E765" t="s">
        <v>3803</v>
      </c>
      <c r="F765" t="s">
        <v>4432</v>
      </c>
      <c r="G765" t="s">
        <v>1583</v>
      </c>
    </row>
    <row r="766" spans="5:7" x14ac:dyDescent="0.35">
      <c r="E766" t="s">
        <v>3803</v>
      </c>
      <c r="F766" t="s">
        <v>4433</v>
      </c>
      <c r="G766" t="s">
        <v>1583</v>
      </c>
    </row>
    <row r="767" spans="5:7" x14ac:dyDescent="0.35">
      <c r="E767" t="s">
        <v>3803</v>
      </c>
      <c r="F767" t="s">
        <v>4434</v>
      </c>
      <c r="G767" t="s">
        <v>1583</v>
      </c>
    </row>
    <row r="768" spans="5:7" x14ac:dyDescent="0.35">
      <c r="E768" t="s">
        <v>3803</v>
      </c>
      <c r="F768" t="s">
        <v>4435</v>
      </c>
      <c r="G768" t="s">
        <v>1583</v>
      </c>
    </row>
    <row r="769" spans="5:7" x14ac:dyDescent="0.35">
      <c r="E769" t="s">
        <v>3803</v>
      </c>
      <c r="F769" t="s">
        <v>4436</v>
      </c>
      <c r="G769" t="s">
        <v>1583</v>
      </c>
    </row>
    <row r="770" spans="5:7" x14ac:dyDescent="0.35">
      <c r="E770" t="s">
        <v>3803</v>
      </c>
      <c r="F770" t="s">
        <v>4437</v>
      </c>
      <c r="G770" t="s">
        <v>1583</v>
      </c>
    </row>
    <row r="771" spans="5:7" x14ac:dyDescent="0.35">
      <c r="E771" t="s">
        <v>3803</v>
      </c>
      <c r="F771" t="s">
        <v>4438</v>
      </c>
      <c r="G771" t="s">
        <v>1583</v>
      </c>
    </row>
    <row r="772" spans="5:7" x14ac:dyDescent="0.35">
      <c r="E772" t="s">
        <v>3803</v>
      </c>
      <c r="F772" t="s">
        <v>4439</v>
      </c>
      <c r="G772" t="s">
        <v>1583</v>
      </c>
    </row>
    <row r="773" spans="5:7" x14ac:dyDescent="0.35">
      <c r="E773" t="s">
        <v>3803</v>
      </c>
      <c r="F773" t="s">
        <v>4440</v>
      </c>
      <c r="G773" t="s">
        <v>1583</v>
      </c>
    </row>
    <row r="774" spans="5:7" x14ac:dyDescent="0.35">
      <c r="E774" t="s">
        <v>3803</v>
      </c>
      <c r="F774" t="s">
        <v>4441</v>
      </c>
      <c r="G774" t="s">
        <v>1583</v>
      </c>
    </row>
    <row r="775" spans="5:7" x14ac:dyDescent="0.35">
      <c r="E775" t="s">
        <v>3803</v>
      </c>
      <c r="F775" t="s">
        <v>4442</v>
      </c>
      <c r="G775" t="s">
        <v>1583</v>
      </c>
    </row>
    <row r="776" spans="5:7" x14ac:dyDescent="0.35">
      <c r="E776" t="s">
        <v>3803</v>
      </c>
      <c r="F776" t="s">
        <v>4443</v>
      </c>
      <c r="G776" t="s">
        <v>1583</v>
      </c>
    </row>
    <row r="777" spans="5:7" x14ac:dyDescent="0.35">
      <c r="E777" t="s">
        <v>3803</v>
      </c>
      <c r="F777" t="s">
        <v>4444</v>
      </c>
      <c r="G777" t="s">
        <v>1583</v>
      </c>
    </row>
    <row r="778" spans="5:7" x14ac:dyDescent="0.35">
      <c r="E778" t="s">
        <v>3803</v>
      </c>
      <c r="F778" t="s">
        <v>4445</v>
      </c>
      <c r="G778" t="s">
        <v>1583</v>
      </c>
    </row>
    <row r="779" spans="5:7" x14ac:dyDescent="0.35">
      <c r="E779" t="s">
        <v>3803</v>
      </c>
      <c r="F779" t="s">
        <v>4446</v>
      </c>
      <c r="G779" t="s">
        <v>1583</v>
      </c>
    </row>
    <row r="780" spans="5:7" x14ac:dyDescent="0.35">
      <c r="E780" t="s">
        <v>3803</v>
      </c>
      <c r="F780" t="s">
        <v>4447</v>
      </c>
      <c r="G780" t="s">
        <v>1583</v>
      </c>
    </row>
    <row r="781" spans="5:7" x14ac:dyDescent="0.35">
      <c r="E781" t="s">
        <v>3803</v>
      </c>
      <c r="F781" t="s">
        <v>4448</v>
      </c>
      <c r="G781" t="s">
        <v>1583</v>
      </c>
    </row>
    <row r="782" spans="5:7" x14ac:dyDescent="0.35">
      <c r="E782" t="s">
        <v>3803</v>
      </c>
      <c r="F782" t="s">
        <v>4449</v>
      </c>
      <c r="G782" t="s">
        <v>1583</v>
      </c>
    </row>
    <row r="783" spans="5:7" x14ac:dyDescent="0.35">
      <c r="E783" t="s">
        <v>3803</v>
      </c>
      <c r="F783" t="s">
        <v>4450</v>
      </c>
      <c r="G783" t="s">
        <v>1583</v>
      </c>
    </row>
    <row r="784" spans="5:7" x14ac:dyDescent="0.35">
      <c r="E784" t="s">
        <v>3803</v>
      </c>
      <c r="F784" t="s">
        <v>4451</v>
      </c>
      <c r="G784" t="s">
        <v>1583</v>
      </c>
    </row>
    <row r="785" spans="5:7" x14ac:dyDescent="0.35">
      <c r="E785" t="s">
        <v>3803</v>
      </c>
      <c r="F785" t="s">
        <v>4452</v>
      </c>
      <c r="G785" t="s">
        <v>1583</v>
      </c>
    </row>
    <row r="786" spans="5:7" x14ac:dyDescent="0.35">
      <c r="E786" t="s">
        <v>3803</v>
      </c>
      <c r="F786" t="s">
        <v>4453</v>
      </c>
      <c r="G786" t="s">
        <v>1583</v>
      </c>
    </row>
    <row r="787" spans="5:7" x14ac:dyDescent="0.35">
      <c r="E787" t="s">
        <v>3803</v>
      </c>
      <c r="F787" t="s">
        <v>4454</v>
      </c>
      <c r="G787" t="s">
        <v>1583</v>
      </c>
    </row>
    <row r="788" spans="5:7" x14ac:dyDescent="0.35">
      <c r="E788" t="s">
        <v>3803</v>
      </c>
      <c r="F788" t="s">
        <v>4455</v>
      </c>
      <c r="G788" t="s">
        <v>1583</v>
      </c>
    </row>
    <row r="789" spans="5:7" x14ac:dyDescent="0.35">
      <c r="E789" t="s">
        <v>3803</v>
      </c>
      <c r="F789" t="s">
        <v>1365</v>
      </c>
      <c r="G789" t="s">
        <v>1583</v>
      </c>
    </row>
    <row r="790" spans="5:7" x14ac:dyDescent="0.35">
      <c r="E790" t="s">
        <v>3803</v>
      </c>
      <c r="F790" t="s">
        <v>4456</v>
      </c>
      <c r="G790" t="s">
        <v>1583</v>
      </c>
    </row>
    <row r="791" spans="5:7" x14ac:dyDescent="0.35">
      <c r="E791" t="s">
        <v>3803</v>
      </c>
      <c r="F791" t="s">
        <v>4457</v>
      </c>
      <c r="G791" t="s">
        <v>1583</v>
      </c>
    </row>
    <row r="792" spans="5:7" x14ac:dyDescent="0.35">
      <c r="E792" t="s">
        <v>3803</v>
      </c>
      <c r="F792" t="s">
        <v>4458</v>
      </c>
      <c r="G792" t="s">
        <v>1583</v>
      </c>
    </row>
    <row r="793" spans="5:7" x14ac:dyDescent="0.35">
      <c r="E793" t="s">
        <v>3803</v>
      </c>
      <c r="F793" t="s">
        <v>4459</v>
      </c>
      <c r="G793" t="s">
        <v>1583</v>
      </c>
    </row>
    <row r="794" spans="5:7" x14ac:dyDescent="0.35">
      <c r="E794" t="s">
        <v>3803</v>
      </c>
      <c r="F794" t="s">
        <v>4460</v>
      </c>
      <c r="G794" t="s">
        <v>1583</v>
      </c>
    </row>
    <row r="795" spans="5:7" x14ac:dyDescent="0.35">
      <c r="E795" t="s">
        <v>3803</v>
      </c>
      <c r="F795" t="s">
        <v>4461</v>
      </c>
      <c r="G795" t="s">
        <v>1583</v>
      </c>
    </row>
    <row r="796" spans="5:7" x14ac:dyDescent="0.35">
      <c r="E796" t="s">
        <v>3803</v>
      </c>
      <c r="F796" t="s">
        <v>4462</v>
      </c>
      <c r="G796" t="s">
        <v>1583</v>
      </c>
    </row>
    <row r="797" spans="5:7" x14ac:dyDescent="0.35">
      <c r="E797" t="s">
        <v>3803</v>
      </c>
      <c r="F797" t="s">
        <v>4463</v>
      </c>
      <c r="G797" t="s">
        <v>1583</v>
      </c>
    </row>
    <row r="798" spans="5:7" x14ac:dyDescent="0.35">
      <c r="E798" t="s">
        <v>3803</v>
      </c>
      <c r="F798" t="s">
        <v>4464</v>
      </c>
      <c r="G798" t="s">
        <v>1583</v>
      </c>
    </row>
    <row r="799" spans="5:7" x14ac:dyDescent="0.35">
      <c r="E799" t="s">
        <v>3803</v>
      </c>
      <c r="F799" t="s">
        <v>4465</v>
      </c>
      <c r="G799" t="s">
        <v>1583</v>
      </c>
    </row>
    <row r="800" spans="5:7" x14ac:dyDescent="0.35">
      <c r="E800" t="s">
        <v>3803</v>
      </c>
      <c r="F800" t="s">
        <v>4466</v>
      </c>
      <c r="G800" t="s">
        <v>1583</v>
      </c>
    </row>
    <row r="801" spans="5:7" x14ac:dyDescent="0.35">
      <c r="E801" t="s">
        <v>3803</v>
      </c>
      <c r="F801" t="s">
        <v>4467</v>
      </c>
      <c r="G801" t="s">
        <v>1583</v>
      </c>
    </row>
    <row r="802" spans="5:7" x14ac:dyDescent="0.35">
      <c r="E802" t="s">
        <v>3803</v>
      </c>
      <c r="F802" t="s">
        <v>4468</v>
      </c>
      <c r="G802" t="s">
        <v>1583</v>
      </c>
    </row>
    <row r="803" spans="5:7" x14ac:dyDescent="0.35">
      <c r="E803" t="s">
        <v>3803</v>
      </c>
      <c r="F803" t="s">
        <v>4469</v>
      </c>
      <c r="G803" t="s">
        <v>1583</v>
      </c>
    </row>
    <row r="804" spans="5:7" x14ac:dyDescent="0.35">
      <c r="E804" t="s">
        <v>3803</v>
      </c>
      <c r="F804" t="s">
        <v>2647</v>
      </c>
      <c r="G804" t="s">
        <v>2335</v>
      </c>
    </row>
    <row r="805" spans="5:7" x14ac:dyDescent="0.35">
      <c r="E805" t="s">
        <v>3803</v>
      </c>
      <c r="F805" t="s">
        <v>2650</v>
      </c>
      <c r="G805" t="s">
        <v>2335</v>
      </c>
    </row>
    <row r="806" spans="5:7" x14ac:dyDescent="0.35">
      <c r="E806" t="s">
        <v>3803</v>
      </c>
      <c r="F806" t="s">
        <v>2653</v>
      </c>
      <c r="G806" t="s">
        <v>2335</v>
      </c>
    </row>
    <row r="807" spans="5:7" x14ac:dyDescent="0.35">
      <c r="E807" t="s">
        <v>3803</v>
      </c>
      <c r="F807" t="s">
        <v>309</v>
      </c>
      <c r="G807" t="s">
        <v>2335</v>
      </c>
    </row>
    <row r="808" spans="5:7" x14ac:dyDescent="0.35">
      <c r="E808" t="s">
        <v>3803</v>
      </c>
      <c r="F808" t="s">
        <v>4470</v>
      </c>
      <c r="G808" t="s">
        <v>2335</v>
      </c>
    </row>
    <row r="809" spans="5:7" x14ac:dyDescent="0.35">
      <c r="E809" t="s">
        <v>3803</v>
      </c>
      <c r="F809" t="s">
        <v>4471</v>
      </c>
      <c r="G809" t="s">
        <v>2335</v>
      </c>
    </row>
    <row r="810" spans="5:7" x14ac:dyDescent="0.35">
      <c r="E810" t="s">
        <v>3803</v>
      </c>
      <c r="F810" t="s">
        <v>4472</v>
      </c>
      <c r="G810" t="s">
        <v>2335</v>
      </c>
    </row>
    <row r="811" spans="5:7" x14ac:dyDescent="0.35">
      <c r="E811" t="s">
        <v>3803</v>
      </c>
      <c r="F811" t="s">
        <v>2656</v>
      </c>
      <c r="G811" t="s">
        <v>2335</v>
      </c>
    </row>
    <row r="812" spans="5:7" x14ac:dyDescent="0.35">
      <c r="E812" t="s">
        <v>3803</v>
      </c>
      <c r="F812" t="s">
        <v>2659</v>
      </c>
      <c r="G812" t="s">
        <v>2335</v>
      </c>
    </row>
    <row r="813" spans="5:7" x14ac:dyDescent="0.35">
      <c r="E813" t="s">
        <v>3803</v>
      </c>
      <c r="F813" t="s">
        <v>2662</v>
      </c>
      <c r="G813" t="s">
        <v>2335</v>
      </c>
    </row>
    <row r="814" spans="5:7" x14ac:dyDescent="0.35">
      <c r="E814" t="s">
        <v>3803</v>
      </c>
      <c r="F814" t="s">
        <v>2665</v>
      </c>
      <c r="G814" t="s">
        <v>2335</v>
      </c>
    </row>
    <row r="815" spans="5:7" x14ac:dyDescent="0.35">
      <c r="E815" t="s">
        <v>3803</v>
      </c>
      <c r="F815" t="s">
        <v>2668</v>
      </c>
      <c r="G815" t="s">
        <v>2335</v>
      </c>
    </row>
    <row r="816" spans="5:7" x14ac:dyDescent="0.35">
      <c r="E816" t="s">
        <v>3803</v>
      </c>
      <c r="F816" t="s">
        <v>2671</v>
      </c>
      <c r="G816" t="s">
        <v>2335</v>
      </c>
    </row>
    <row r="817" spans="5:7" x14ac:dyDescent="0.35">
      <c r="E817" t="s">
        <v>3803</v>
      </c>
      <c r="F817" t="s">
        <v>501</v>
      </c>
      <c r="G817" t="s">
        <v>2335</v>
      </c>
    </row>
    <row r="818" spans="5:7" x14ac:dyDescent="0.35">
      <c r="E818" t="s">
        <v>3803</v>
      </c>
      <c r="F818" t="s">
        <v>4473</v>
      </c>
      <c r="G818" t="s">
        <v>2335</v>
      </c>
    </row>
    <row r="819" spans="5:7" x14ac:dyDescent="0.35">
      <c r="E819" t="s">
        <v>3803</v>
      </c>
      <c r="F819" t="s">
        <v>4474</v>
      </c>
      <c r="G819" t="s">
        <v>2335</v>
      </c>
    </row>
    <row r="820" spans="5:7" x14ac:dyDescent="0.35">
      <c r="E820" t="s">
        <v>3803</v>
      </c>
      <c r="F820" t="s">
        <v>4475</v>
      </c>
      <c r="G820" t="s">
        <v>2335</v>
      </c>
    </row>
    <row r="821" spans="5:7" x14ac:dyDescent="0.35">
      <c r="E821" t="s">
        <v>3803</v>
      </c>
      <c r="F821" t="s">
        <v>4476</v>
      </c>
      <c r="G821" t="s">
        <v>2335</v>
      </c>
    </row>
    <row r="822" spans="5:7" x14ac:dyDescent="0.35">
      <c r="E822" t="s">
        <v>3803</v>
      </c>
      <c r="F822" t="s">
        <v>4477</v>
      </c>
      <c r="G822" t="s">
        <v>2335</v>
      </c>
    </row>
    <row r="823" spans="5:7" x14ac:dyDescent="0.35">
      <c r="E823" t="s">
        <v>3803</v>
      </c>
      <c r="F823" t="s">
        <v>4478</v>
      </c>
      <c r="G823" t="s">
        <v>2335</v>
      </c>
    </row>
    <row r="824" spans="5:7" x14ac:dyDescent="0.35">
      <c r="E824" t="s">
        <v>3803</v>
      </c>
      <c r="F824" t="s">
        <v>4479</v>
      </c>
      <c r="G824" t="s">
        <v>2335</v>
      </c>
    </row>
    <row r="825" spans="5:7" x14ac:dyDescent="0.35">
      <c r="E825" t="s">
        <v>3803</v>
      </c>
      <c r="F825" t="s">
        <v>4480</v>
      </c>
      <c r="G825" t="s">
        <v>2335</v>
      </c>
    </row>
    <row r="826" spans="5:7" x14ac:dyDescent="0.35">
      <c r="E826" t="s">
        <v>3803</v>
      </c>
      <c r="F826" t="s">
        <v>4481</v>
      </c>
      <c r="G826" t="s">
        <v>2335</v>
      </c>
    </row>
    <row r="827" spans="5:7" x14ac:dyDescent="0.35">
      <c r="E827" t="s">
        <v>3803</v>
      </c>
      <c r="F827" t="s">
        <v>2674</v>
      </c>
      <c r="G827" t="s">
        <v>2335</v>
      </c>
    </row>
    <row r="828" spans="5:7" x14ac:dyDescent="0.35">
      <c r="E828" t="s">
        <v>3803</v>
      </c>
      <c r="F828" t="s">
        <v>545</v>
      </c>
      <c r="G828" t="s">
        <v>2335</v>
      </c>
    </row>
    <row r="829" spans="5:7" x14ac:dyDescent="0.35">
      <c r="E829" t="s">
        <v>3803</v>
      </c>
      <c r="F829" t="s">
        <v>4482</v>
      </c>
      <c r="G829" t="s">
        <v>2335</v>
      </c>
    </row>
    <row r="830" spans="5:7" x14ac:dyDescent="0.35">
      <c r="E830" t="s">
        <v>3803</v>
      </c>
      <c r="F830" t="s">
        <v>4483</v>
      </c>
      <c r="G830" t="s">
        <v>2335</v>
      </c>
    </row>
    <row r="831" spans="5:7" x14ac:dyDescent="0.35">
      <c r="E831" t="s">
        <v>3803</v>
      </c>
      <c r="F831" t="s">
        <v>4484</v>
      </c>
      <c r="G831" t="s">
        <v>2335</v>
      </c>
    </row>
    <row r="832" spans="5:7" x14ac:dyDescent="0.35">
      <c r="E832" t="s">
        <v>3803</v>
      </c>
      <c r="F832" t="s">
        <v>4485</v>
      </c>
      <c r="G832" t="s">
        <v>2335</v>
      </c>
    </row>
    <row r="833" spans="5:7" x14ac:dyDescent="0.35">
      <c r="E833" t="s">
        <v>3803</v>
      </c>
      <c r="F833" t="s">
        <v>4486</v>
      </c>
      <c r="G833" t="s">
        <v>2335</v>
      </c>
    </row>
    <row r="834" spans="5:7" x14ac:dyDescent="0.35">
      <c r="E834" t="s">
        <v>3803</v>
      </c>
      <c r="F834" t="s">
        <v>4487</v>
      </c>
      <c r="G834" t="s">
        <v>2335</v>
      </c>
    </row>
    <row r="835" spans="5:7" x14ac:dyDescent="0.35">
      <c r="E835" t="s">
        <v>3803</v>
      </c>
      <c r="F835" t="s">
        <v>4488</v>
      </c>
      <c r="G835" t="s">
        <v>2335</v>
      </c>
    </row>
    <row r="836" spans="5:7" x14ac:dyDescent="0.35">
      <c r="E836" t="s">
        <v>3803</v>
      </c>
      <c r="F836" t="s">
        <v>4489</v>
      </c>
      <c r="G836" t="s">
        <v>2335</v>
      </c>
    </row>
    <row r="837" spans="5:7" x14ac:dyDescent="0.35">
      <c r="E837" t="s">
        <v>3803</v>
      </c>
      <c r="F837" t="s">
        <v>4490</v>
      </c>
      <c r="G837" t="s">
        <v>2335</v>
      </c>
    </row>
    <row r="838" spans="5:7" x14ac:dyDescent="0.35">
      <c r="E838" t="s">
        <v>3803</v>
      </c>
      <c r="F838" t="s">
        <v>4491</v>
      </c>
      <c r="G838" t="s">
        <v>2335</v>
      </c>
    </row>
    <row r="839" spans="5:7" x14ac:dyDescent="0.35">
      <c r="E839" t="s">
        <v>3803</v>
      </c>
      <c r="F839" t="s">
        <v>4492</v>
      </c>
      <c r="G839" t="s">
        <v>2335</v>
      </c>
    </row>
    <row r="840" spans="5:7" x14ac:dyDescent="0.35">
      <c r="E840" t="s">
        <v>3803</v>
      </c>
      <c r="F840" t="s">
        <v>4493</v>
      </c>
      <c r="G840" t="s">
        <v>2335</v>
      </c>
    </row>
    <row r="841" spans="5:7" x14ac:dyDescent="0.35">
      <c r="E841" t="s">
        <v>3803</v>
      </c>
      <c r="F841" t="s">
        <v>4494</v>
      </c>
      <c r="G841" t="s">
        <v>2335</v>
      </c>
    </row>
    <row r="842" spans="5:7" x14ac:dyDescent="0.35">
      <c r="E842" t="s">
        <v>3803</v>
      </c>
      <c r="F842" t="s">
        <v>4495</v>
      </c>
      <c r="G842" t="s">
        <v>2335</v>
      </c>
    </row>
    <row r="843" spans="5:7" x14ac:dyDescent="0.35">
      <c r="E843" t="s">
        <v>3803</v>
      </c>
      <c r="F843" t="s">
        <v>685</v>
      </c>
      <c r="G843" t="s">
        <v>2335</v>
      </c>
    </row>
    <row r="844" spans="5:7" x14ac:dyDescent="0.35">
      <c r="E844" t="s">
        <v>3803</v>
      </c>
      <c r="F844" t="s">
        <v>2677</v>
      </c>
      <c r="G844" t="s">
        <v>2335</v>
      </c>
    </row>
    <row r="845" spans="5:7" x14ac:dyDescent="0.35">
      <c r="E845" t="s">
        <v>3803</v>
      </c>
      <c r="F845" t="s">
        <v>4496</v>
      </c>
      <c r="G845" t="s">
        <v>2335</v>
      </c>
    </row>
    <row r="846" spans="5:7" x14ac:dyDescent="0.35">
      <c r="E846" t="s">
        <v>3803</v>
      </c>
      <c r="F846" t="s">
        <v>4497</v>
      </c>
      <c r="G846" t="s">
        <v>2335</v>
      </c>
    </row>
    <row r="847" spans="5:7" x14ac:dyDescent="0.35">
      <c r="E847" t="s">
        <v>3803</v>
      </c>
      <c r="F847" t="s">
        <v>4498</v>
      </c>
      <c r="G847" t="s">
        <v>2335</v>
      </c>
    </row>
    <row r="848" spans="5:7" x14ac:dyDescent="0.35">
      <c r="E848" t="s">
        <v>3803</v>
      </c>
      <c r="F848" t="s">
        <v>4499</v>
      </c>
      <c r="G848" t="s">
        <v>2335</v>
      </c>
    </row>
    <row r="849" spans="5:7" x14ac:dyDescent="0.35">
      <c r="E849" t="s">
        <v>3803</v>
      </c>
      <c r="F849" t="s">
        <v>4500</v>
      </c>
      <c r="G849" t="s">
        <v>2335</v>
      </c>
    </row>
    <row r="850" spans="5:7" x14ac:dyDescent="0.35">
      <c r="E850" t="s">
        <v>3803</v>
      </c>
      <c r="F850" t="s">
        <v>4501</v>
      </c>
      <c r="G850" t="s">
        <v>2335</v>
      </c>
    </row>
    <row r="851" spans="5:7" x14ac:dyDescent="0.35">
      <c r="E851" t="s">
        <v>3803</v>
      </c>
      <c r="F851" t="s">
        <v>4502</v>
      </c>
      <c r="G851" t="s">
        <v>2335</v>
      </c>
    </row>
    <row r="852" spans="5:7" x14ac:dyDescent="0.35">
      <c r="E852" t="s">
        <v>3803</v>
      </c>
      <c r="F852" t="s">
        <v>4503</v>
      </c>
      <c r="G852" t="s">
        <v>2335</v>
      </c>
    </row>
    <row r="853" spans="5:7" x14ac:dyDescent="0.35">
      <c r="E853" t="s">
        <v>3803</v>
      </c>
      <c r="F853" t="s">
        <v>4504</v>
      </c>
      <c r="G853" t="s">
        <v>2335</v>
      </c>
    </row>
    <row r="854" spans="5:7" x14ac:dyDescent="0.35">
      <c r="E854" t="s">
        <v>3803</v>
      </c>
      <c r="F854" t="s">
        <v>4505</v>
      </c>
      <c r="G854" t="s">
        <v>2335</v>
      </c>
    </row>
    <row r="855" spans="5:7" x14ac:dyDescent="0.35">
      <c r="E855" t="s">
        <v>3803</v>
      </c>
      <c r="F855" t="s">
        <v>4506</v>
      </c>
      <c r="G855" t="s">
        <v>2335</v>
      </c>
    </row>
    <row r="856" spans="5:7" x14ac:dyDescent="0.35">
      <c r="E856" t="s">
        <v>3803</v>
      </c>
      <c r="F856" t="s">
        <v>4507</v>
      </c>
      <c r="G856" t="s">
        <v>2335</v>
      </c>
    </row>
    <row r="857" spans="5:7" x14ac:dyDescent="0.35">
      <c r="E857" t="s">
        <v>3803</v>
      </c>
      <c r="F857" t="s">
        <v>881</v>
      </c>
      <c r="G857" t="s">
        <v>2335</v>
      </c>
    </row>
    <row r="858" spans="5:7" x14ac:dyDescent="0.35">
      <c r="E858" t="s">
        <v>3803</v>
      </c>
      <c r="F858" t="s">
        <v>4508</v>
      </c>
      <c r="G858" t="s">
        <v>2335</v>
      </c>
    </row>
    <row r="859" spans="5:7" x14ac:dyDescent="0.35">
      <c r="E859" t="s">
        <v>3803</v>
      </c>
      <c r="F859" t="s">
        <v>4509</v>
      </c>
      <c r="G859" t="s">
        <v>2335</v>
      </c>
    </row>
    <row r="860" spans="5:7" x14ac:dyDescent="0.35">
      <c r="E860" t="s">
        <v>3803</v>
      </c>
      <c r="F860" t="s">
        <v>4510</v>
      </c>
      <c r="G860" t="s">
        <v>2335</v>
      </c>
    </row>
    <row r="861" spans="5:7" x14ac:dyDescent="0.35">
      <c r="E861" t="s">
        <v>3803</v>
      </c>
      <c r="F861" t="s">
        <v>4511</v>
      </c>
      <c r="G861" t="s">
        <v>2335</v>
      </c>
    </row>
    <row r="862" spans="5:7" x14ac:dyDescent="0.35">
      <c r="E862" t="s">
        <v>3803</v>
      </c>
      <c r="F862" t="s">
        <v>4512</v>
      </c>
      <c r="G862" t="s">
        <v>2335</v>
      </c>
    </row>
    <row r="863" spans="5:7" x14ac:dyDescent="0.35">
      <c r="E863" t="s">
        <v>3803</v>
      </c>
      <c r="F863" t="s">
        <v>4513</v>
      </c>
      <c r="G863" t="s">
        <v>2335</v>
      </c>
    </row>
    <row r="864" spans="5:7" x14ac:dyDescent="0.35">
      <c r="E864" t="s">
        <v>3803</v>
      </c>
      <c r="F864" t="s">
        <v>4514</v>
      </c>
      <c r="G864" t="s">
        <v>2335</v>
      </c>
    </row>
    <row r="865" spans="5:7" x14ac:dyDescent="0.35">
      <c r="E865" t="s">
        <v>3803</v>
      </c>
      <c r="F865" t="s">
        <v>4515</v>
      </c>
      <c r="G865" t="s">
        <v>2335</v>
      </c>
    </row>
    <row r="866" spans="5:7" x14ac:dyDescent="0.35">
      <c r="E866" t="s">
        <v>3803</v>
      </c>
      <c r="F866" t="s">
        <v>4516</v>
      </c>
      <c r="G866" t="s">
        <v>2335</v>
      </c>
    </row>
    <row r="867" spans="5:7" x14ac:dyDescent="0.35">
      <c r="E867" t="s">
        <v>3803</v>
      </c>
      <c r="F867" t="s">
        <v>4517</v>
      </c>
      <c r="G867" t="s">
        <v>2335</v>
      </c>
    </row>
    <row r="868" spans="5:7" x14ac:dyDescent="0.35">
      <c r="E868" t="s">
        <v>3803</v>
      </c>
      <c r="F868" t="s">
        <v>4518</v>
      </c>
      <c r="G868" t="s">
        <v>2335</v>
      </c>
    </row>
    <row r="869" spans="5:7" x14ac:dyDescent="0.35">
      <c r="E869" t="s">
        <v>3803</v>
      </c>
      <c r="F869" t="s">
        <v>4519</v>
      </c>
      <c r="G869" t="s">
        <v>2335</v>
      </c>
    </row>
    <row r="870" spans="5:7" x14ac:dyDescent="0.35">
      <c r="E870" t="s">
        <v>3803</v>
      </c>
      <c r="F870" t="s">
        <v>4520</v>
      </c>
      <c r="G870" t="s">
        <v>2335</v>
      </c>
    </row>
    <row r="871" spans="5:7" x14ac:dyDescent="0.35">
      <c r="E871" t="s">
        <v>3803</v>
      </c>
      <c r="F871" t="s">
        <v>4521</v>
      </c>
      <c r="G871" t="s">
        <v>2335</v>
      </c>
    </row>
    <row r="872" spans="5:7" x14ac:dyDescent="0.35">
      <c r="E872" t="s">
        <v>3803</v>
      </c>
      <c r="F872" t="s">
        <v>4522</v>
      </c>
      <c r="G872" t="s">
        <v>2335</v>
      </c>
    </row>
    <row r="873" spans="5:7" x14ac:dyDescent="0.35">
      <c r="E873" t="s">
        <v>3803</v>
      </c>
      <c r="F873" t="s">
        <v>4523</v>
      </c>
      <c r="G873" t="s">
        <v>2335</v>
      </c>
    </row>
    <row r="874" spans="5:7" x14ac:dyDescent="0.35">
      <c r="E874" t="s">
        <v>3803</v>
      </c>
      <c r="F874" t="s">
        <v>4524</v>
      </c>
      <c r="G874" t="s">
        <v>2335</v>
      </c>
    </row>
    <row r="875" spans="5:7" x14ac:dyDescent="0.35">
      <c r="E875" t="s">
        <v>3803</v>
      </c>
      <c r="F875" t="s">
        <v>4525</v>
      </c>
      <c r="G875" t="s">
        <v>2335</v>
      </c>
    </row>
    <row r="876" spans="5:7" x14ac:dyDescent="0.35">
      <c r="E876" t="s">
        <v>3803</v>
      </c>
      <c r="F876" t="s">
        <v>4526</v>
      </c>
      <c r="G876" t="s">
        <v>2335</v>
      </c>
    </row>
    <row r="877" spans="5:7" x14ac:dyDescent="0.35">
      <c r="E877" t="s">
        <v>3803</v>
      </c>
      <c r="F877" t="s">
        <v>4527</v>
      </c>
      <c r="G877" t="s">
        <v>2335</v>
      </c>
    </row>
    <row r="878" spans="5:7" x14ac:dyDescent="0.35">
      <c r="E878" t="s">
        <v>3803</v>
      </c>
      <c r="F878" t="s">
        <v>4528</v>
      </c>
      <c r="G878" t="s">
        <v>2335</v>
      </c>
    </row>
    <row r="879" spans="5:7" x14ac:dyDescent="0.35">
      <c r="E879" t="s">
        <v>3803</v>
      </c>
      <c r="F879" t="s">
        <v>4529</v>
      </c>
      <c r="G879" t="s">
        <v>2335</v>
      </c>
    </row>
    <row r="880" spans="5:7" x14ac:dyDescent="0.35">
      <c r="E880" t="s">
        <v>3803</v>
      </c>
      <c r="F880" t="s">
        <v>4530</v>
      </c>
      <c r="G880" t="s">
        <v>2335</v>
      </c>
    </row>
    <row r="881" spans="5:7" x14ac:dyDescent="0.35">
      <c r="E881" t="s">
        <v>3803</v>
      </c>
      <c r="F881" t="s">
        <v>4531</v>
      </c>
      <c r="G881" t="s">
        <v>2335</v>
      </c>
    </row>
    <row r="882" spans="5:7" x14ac:dyDescent="0.35">
      <c r="E882" t="s">
        <v>3803</v>
      </c>
      <c r="F882" t="s">
        <v>4532</v>
      </c>
      <c r="G882" t="s">
        <v>2335</v>
      </c>
    </row>
    <row r="883" spans="5:7" x14ac:dyDescent="0.35">
      <c r="E883" t="s">
        <v>3803</v>
      </c>
      <c r="F883" t="s">
        <v>4533</v>
      </c>
      <c r="G883" t="s">
        <v>2335</v>
      </c>
    </row>
    <row r="884" spans="5:7" x14ac:dyDescent="0.35">
      <c r="E884" t="s">
        <v>3803</v>
      </c>
      <c r="F884" t="s">
        <v>4534</v>
      </c>
      <c r="G884" t="s">
        <v>2335</v>
      </c>
    </row>
    <row r="885" spans="5:7" x14ac:dyDescent="0.35">
      <c r="E885" t="s">
        <v>3803</v>
      </c>
      <c r="F885" t="s">
        <v>4535</v>
      </c>
      <c r="G885" t="s">
        <v>2335</v>
      </c>
    </row>
    <row r="886" spans="5:7" x14ac:dyDescent="0.35">
      <c r="E886" t="s">
        <v>3803</v>
      </c>
      <c r="F886" t="s">
        <v>4536</v>
      </c>
      <c r="G886" t="s">
        <v>2335</v>
      </c>
    </row>
    <row r="887" spans="5:7" x14ac:dyDescent="0.35">
      <c r="E887" t="s">
        <v>3803</v>
      </c>
      <c r="F887" t="s">
        <v>4537</v>
      </c>
      <c r="G887" t="s">
        <v>2335</v>
      </c>
    </row>
    <row r="888" spans="5:7" x14ac:dyDescent="0.35">
      <c r="E888" t="s">
        <v>3803</v>
      </c>
      <c r="F888" t="s">
        <v>1036</v>
      </c>
      <c r="G888" t="s">
        <v>2335</v>
      </c>
    </row>
    <row r="889" spans="5:7" x14ac:dyDescent="0.35">
      <c r="E889" t="s">
        <v>3803</v>
      </c>
      <c r="F889" t="s">
        <v>4538</v>
      </c>
      <c r="G889" t="s">
        <v>2335</v>
      </c>
    </row>
    <row r="890" spans="5:7" x14ac:dyDescent="0.35">
      <c r="E890" t="s">
        <v>3803</v>
      </c>
      <c r="F890" t="s">
        <v>4539</v>
      </c>
      <c r="G890" t="s">
        <v>2335</v>
      </c>
    </row>
    <row r="891" spans="5:7" x14ac:dyDescent="0.35">
      <c r="E891" t="s">
        <v>3803</v>
      </c>
      <c r="F891" t="s">
        <v>4540</v>
      </c>
      <c r="G891" t="s">
        <v>2335</v>
      </c>
    </row>
    <row r="892" spans="5:7" x14ac:dyDescent="0.35">
      <c r="E892" t="s">
        <v>3803</v>
      </c>
      <c r="F892" t="s">
        <v>4541</v>
      </c>
      <c r="G892" t="s">
        <v>2335</v>
      </c>
    </row>
    <row r="893" spans="5:7" x14ac:dyDescent="0.35">
      <c r="E893" t="s">
        <v>3803</v>
      </c>
      <c r="F893" t="s">
        <v>4542</v>
      </c>
      <c r="G893" t="s">
        <v>2335</v>
      </c>
    </row>
    <row r="894" spans="5:7" x14ac:dyDescent="0.35">
      <c r="E894" t="s">
        <v>3803</v>
      </c>
      <c r="F894" t="s">
        <v>4543</v>
      </c>
      <c r="G894" t="s">
        <v>2335</v>
      </c>
    </row>
    <row r="895" spans="5:7" x14ac:dyDescent="0.35">
      <c r="E895" t="s">
        <v>3803</v>
      </c>
      <c r="F895" t="s">
        <v>4544</v>
      </c>
      <c r="G895" t="s">
        <v>2335</v>
      </c>
    </row>
    <row r="896" spans="5:7" x14ac:dyDescent="0.35">
      <c r="E896" t="s">
        <v>3803</v>
      </c>
      <c r="F896" t="s">
        <v>4545</v>
      </c>
      <c r="G896" t="s">
        <v>2335</v>
      </c>
    </row>
    <row r="897" spans="5:7" x14ac:dyDescent="0.35">
      <c r="E897" t="s">
        <v>3803</v>
      </c>
      <c r="F897" t="s">
        <v>4546</v>
      </c>
      <c r="G897" t="s">
        <v>2335</v>
      </c>
    </row>
    <row r="898" spans="5:7" x14ac:dyDescent="0.35">
      <c r="E898" t="s">
        <v>3803</v>
      </c>
      <c r="F898" t="s">
        <v>4547</v>
      </c>
      <c r="G898" t="s">
        <v>2335</v>
      </c>
    </row>
    <row r="899" spans="5:7" x14ac:dyDescent="0.35">
      <c r="E899" t="s">
        <v>3803</v>
      </c>
      <c r="F899" t="s">
        <v>4548</v>
      </c>
      <c r="G899" t="s">
        <v>2335</v>
      </c>
    </row>
    <row r="900" spans="5:7" x14ac:dyDescent="0.35">
      <c r="E900" t="s">
        <v>3803</v>
      </c>
      <c r="F900" t="s">
        <v>4549</v>
      </c>
      <c r="G900" t="s">
        <v>2335</v>
      </c>
    </row>
    <row r="901" spans="5:7" x14ac:dyDescent="0.35">
      <c r="E901" t="s">
        <v>3803</v>
      </c>
      <c r="F901" t="s">
        <v>4550</v>
      </c>
      <c r="G901" t="s">
        <v>2335</v>
      </c>
    </row>
    <row r="902" spans="5:7" x14ac:dyDescent="0.35">
      <c r="E902" t="s">
        <v>3803</v>
      </c>
      <c r="F902" t="s">
        <v>2680</v>
      </c>
      <c r="G902" t="s">
        <v>2335</v>
      </c>
    </row>
    <row r="903" spans="5:7" x14ac:dyDescent="0.35">
      <c r="E903" t="s">
        <v>3803</v>
      </c>
      <c r="F903" t="s">
        <v>4551</v>
      </c>
      <c r="G903" t="s">
        <v>2335</v>
      </c>
    </row>
    <row r="904" spans="5:7" x14ac:dyDescent="0.35">
      <c r="E904" t="s">
        <v>3803</v>
      </c>
      <c r="F904" t="s">
        <v>4552</v>
      </c>
      <c r="G904" t="s">
        <v>2335</v>
      </c>
    </row>
    <row r="905" spans="5:7" x14ac:dyDescent="0.35">
      <c r="E905" t="s">
        <v>3803</v>
      </c>
      <c r="F905" t="s">
        <v>4553</v>
      </c>
      <c r="G905" t="s">
        <v>2335</v>
      </c>
    </row>
    <row r="906" spans="5:7" x14ac:dyDescent="0.35">
      <c r="E906" t="s">
        <v>3803</v>
      </c>
      <c r="F906" t="s">
        <v>4554</v>
      </c>
      <c r="G906" t="s">
        <v>2335</v>
      </c>
    </row>
    <row r="907" spans="5:7" x14ac:dyDescent="0.35">
      <c r="E907" t="s">
        <v>3803</v>
      </c>
      <c r="F907" t="s">
        <v>4555</v>
      </c>
      <c r="G907" t="s">
        <v>2335</v>
      </c>
    </row>
    <row r="908" spans="5:7" x14ac:dyDescent="0.35">
      <c r="E908" t="s">
        <v>3803</v>
      </c>
      <c r="F908" t="s">
        <v>4556</v>
      </c>
      <c r="G908" t="s">
        <v>2335</v>
      </c>
    </row>
    <row r="909" spans="5:7" x14ac:dyDescent="0.35">
      <c r="E909" t="s">
        <v>3803</v>
      </c>
      <c r="F909" t="s">
        <v>4557</v>
      </c>
      <c r="G909" t="s">
        <v>2335</v>
      </c>
    </row>
    <row r="910" spans="5:7" x14ac:dyDescent="0.35">
      <c r="E910" t="s">
        <v>3803</v>
      </c>
      <c r="F910" t="s">
        <v>4558</v>
      </c>
      <c r="G910" t="s">
        <v>2335</v>
      </c>
    </row>
    <row r="911" spans="5:7" x14ac:dyDescent="0.35">
      <c r="E911" t="s">
        <v>3803</v>
      </c>
      <c r="F911" t="s">
        <v>4559</v>
      </c>
      <c r="G911" t="s">
        <v>2335</v>
      </c>
    </row>
    <row r="912" spans="5:7" x14ac:dyDescent="0.35">
      <c r="E912" t="s">
        <v>3803</v>
      </c>
      <c r="F912" t="s">
        <v>4560</v>
      </c>
      <c r="G912" t="s">
        <v>2335</v>
      </c>
    </row>
    <row r="913" spans="5:7" x14ac:dyDescent="0.35">
      <c r="E913" t="s">
        <v>3803</v>
      </c>
      <c r="F913" t="s">
        <v>4561</v>
      </c>
      <c r="G913" t="s">
        <v>2335</v>
      </c>
    </row>
    <row r="914" spans="5:7" x14ac:dyDescent="0.35">
      <c r="E914" t="s">
        <v>3803</v>
      </c>
      <c r="F914" t="s">
        <v>4562</v>
      </c>
      <c r="G914" t="s">
        <v>2335</v>
      </c>
    </row>
    <row r="915" spans="5:7" x14ac:dyDescent="0.35">
      <c r="E915" t="s">
        <v>3803</v>
      </c>
      <c r="F915" t="s">
        <v>4563</v>
      </c>
      <c r="G915" t="s">
        <v>2335</v>
      </c>
    </row>
    <row r="916" spans="5:7" x14ac:dyDescent="0.35">
      <c r="E916" t="s">
        <v>3803</v>
      </c>
      <c r="F916" t="s">
        <v>4564</v>
      </c>
      <c r="G916" t="s">
        <v>2335</v>
      </c>
    </row>
    <row r="917" spans="5:7" x14ac:dyDescent="0.35">
      <c r="E917" t="s">
        <v>3803</v>
      </c>
      <c r="F917" t="s">
        <v>4565</v>
      </c>
      <c r="G917" t="s">
        <v>2335</v>
      </c>
    </row>
    <row r="918" spans="5:7" x14ac:dyDescent="0.35">
      <c r="E918" t="s">
        <v>3803</v>
      </c>
      <c r="F918" t="s">
        <v>4566</v>
      </c>
      <c r="G918" t="s">
        <v>2335</v>
      </c>
    </row>
    <row r="919" spans="5:7" x14ac:dyDescent="0.35">
      <c r="E919" t="s">
        <v>3803</v>
      </c>
      <c r="F919" t="s">
        <v>1124</v>
      </c>
      <c r="G919" t="s">
        <v>2335</v>
      </c>
    </row>
    <row r="920" spans="5:7" x14ac:dyDescent="0.35">
      <c r="E920" t="s">
        <v>3803</v>
      </c>
      <c r="F920" t="s">
        <v>4567</v>
      </c>
      <c r="G920" t="s">
        <v>2335</v>
      </c>
    </row>
    <row r="921" spans="5:7" x14ac:dyDescent="0.35">
      <c r="E921" t="s">
        <v>3803</v>
      </c>
      <c r="F921" t="s">
        <v>4568</v>
      </c>
      <c r="G921" t="s">
        <v>2335</v>
      </c>
    </row>
    <row r="922" spans="5:7" x14ac:dyDescent="0.35">
      <c r="E922" t="s">
        <v>3803</v>
      </c>
      <c r="F922" t="s">
        <v>4569</v>
      </c>
      <c r="G922" t="s">
        <v>2335</v>
      </c>
    </row>
    <row r="923" spans="5:7" x14ac:dyDescent="0.35">
      <c r="E923" t="s">
        <v>3803</v>
      </c>
      <c r="F923" t="s">
        <v>4570</v>
      </c>
      <c r="G923" t="s">
        <v>2335</v>
      </c>
    </row>
    <row r="924" spans="5:7" x14ac:dyDescent="0.35">
      <c r="E924" t="s">
        <v>3803</v>
      </c>
      <c r="F924" t="s">
        <v>4571</v>
      </c>
      <c r="G924" t="s">
        <v>2335</v>
      </c>
    </row>
    <row r="925" spans="5:7" x14ac:dyDescent="0.35">
      <c r="E925" t="s">
        <v>3803</v>
      </c>
      <c r="F925" t="s">
        <v>4572</v>
      </c>
      <c r="G925" t="s">
        <v>2335</v>
      </c>
    </row>
    <row r="926" spans="5:7" x14ac:dyDescent="0.35">
      <c r="E926" t="s">
        <v>3803</v>
      </c>
      <c r="F926" t="s">
        <v>4573</v>
      </c>
      <c r="G926" t="s">
        <v>2335</v>
      </c>
    </row>
    <row r="927" spans="5:7" x14ac:dyDescent="0.35">
      <c r="E927" t="s">
        <v>3803</v>
      </c>
      <c r="F927" t="s">
        <v>4574</v>
      </c>
      <c r="G927" t="s">
        <v>2335</v>
      </c>
    </row>
    <row r="928" spans="5:7" x14ac:dyDescent="0.35">
      <c r="E928" t="s">
        <v>3803</v>
      </c>
      <c r="F928" t="s">
        <v>4575</v>
      </c>
      <c r="G928" t="s">
        <v>2335</v>
      </c>
    </row>
    <row r="929" spans="5:7" x14ac:dyDescent="0.35">
      <c r="E929" t="s">
        <v>3803</v>
      </c>
      <c r="F929" t="s">
        <v>4576</v>
      </c>
      <c r="G929" t="s">
        <v>2335</v>
      </c>
    </row>
    <row r="930" spans="5:7" x14ac:dyDescent="0.35">
      <c r="E930" t="s">
        <v>3803</v>
      </c>
      <c r="F930" t="s">
        <v>4577</v>
      </c>
      <c r="G930" t="s">
        <v>2335</v>
      </c>
    </row>
    <row r="931" spans="5:7" x14ac:dyDescent="0.35">
      <c r="E931" t="s">
        <v>3803</v>
      </c>
      <c r="F931" t="s">
        <v>4578</v>
      </c>
      <c r="G931" t="s">
        <v>2335</v>
      </c>
    </row>
    <row r="932" spans="5:7" x14ac:dyDescent="0.35">
      <c r="E932" t="s">
        <v>3803</v>
      </c>
      <c r="F932" t="s">
        <v>4579</v>
      </c>
      <c r="G932" t="s">
        <v>2335</v>
      </c>
    </row>
    <row r="933" spans="5:7" x14ac:dyDescent="0.35">
      <c r="E933" t="s">
        <v>3803</v>
      </c>
      <c r="F933" t="s">
        <v>4580</v>
      </c>
      <c r="G933" t="s">
        <v>2335</v>
      </c>
    </row>
    <row r="934" spans="5:7" x14ac:dyDescent="0.35">
      <c r="E934" t="s">
        <v>3803</v>
      </c>
      <c r="F934" t="s">
        <v>4581</v>
      </c>
      <c r="G934" t="s">
        <v>2335</v>
      </c>
    </row>
    <row r="935" spans="5:7" x14ac:dyDescent="0.35">
      <c r="E935" t="s">
        <v>3803</v>
      </c>
      <c r="F935" t="s">
        <v>4582</v>
      </c>
      <c r="G935" t="s">
        <v>2335</v>
      </c>
    </row>
    <row r="936" spans="5:7" x14ac:dyDescent="0.35">
      <c r="E936" t="s">
        <v>3803</v>
      </c>
      <c r="F936" t="s">
        <v>4583</v>
      </c>
      <c r="G936" t="s">
        <v>2335</v>
      </c>
    </row>
    <row r="937" spans="5:7" x14ac:dyDescent="0.35">
      <c r="E937" t="s">
        <v>3803</v>
      </c>
      <c r="F937" t="s">
        <v>4584</v>
      </c>
      <c r="G937" t="s">
        <v>2335</v>
      </c>
    </row>
    <row r="938" spans="5:7" x14ac:dyDescent="0.35">
      <c r="E938" t="s">
        <v>3803</v>
      </c>
      <c r="F938" t="s">
        <v>4585</v>
      </c>
      <c r="G938" t="s">
        <v>2335</v>
      </c>
    </row>
    <row r="939" spans="5:7" x14ac:dyDescent="0.35">
      <c r="E939" t="s">
        <v>3803</v>
      </c>
      <c r="F939" t="s">
        <v>4586</v>
      </c>
      <c r="G939" t="s">
        <v>2335</v>
      </c>
    </row>
    <row r="940" spans="5:7" x14ac:dyDescent="0.35">
      <c r="E940" t="s">
        <v>3803</v>
      </c>
      <c r="F940" t="s">
        <v>4587</v>
      </c>
      <c r="G940" t="s">
        <v>2335</v>
      </c>
    </row>
    <row r="941" spans="5:7" x14ac:dyDescent="0.35">
      <c r="E941" t="s">
        <v>3803</v>
      </c>
      <c r="F941" t="s">
        <v>4588</v>
      </c>
      <c r="G941" t="s">
        <v>2335</v>
      </c>
    </row>
    <row r="942" spans="5:7" x14ac:dyDescent="0.35">
      <c r="E942" t="s">
        <v>3803</v>
      </c>
      <c r="F942" t="s">
        <v>4589</v>
      </c>
      <c r="G942" t="s">
        <v>2335</v>
      </c>
    </row>
    <row r="943" spans="5:7" x14ac:dyDescent="0.35">
      <c r="E943" t="s">
        <v>3803</v>
      </c>
      <c r="F943" t="s">
        <v>4590</v>
      </c>
      <c r="G943" t="s">
        <v>2335</v>
      </c>
    </row>
    <row r="944" spans="5:7" x14ac:dyDescent="0.35">
      <c r="E944" t="s">
        <v>3803</v>
      </c>
      <c r="F944" t="s">
        <v>4591</v>
      </c>
      <c r="G944" t="s">
        <v>2335</v>
      </c>
    </row>
    <row r="945" spans="5:7" x14ac:dyDescent="0.35">
      <c r="E945" t="s">
        <v>3803</v>
      </c>
      <c r="F945" t="s">
        <v>4592</v>
      </c>
      <c r="G945" t="s">
        <v>2335</v>
      </c>
    </row>
    <row r="946" spans="5:7" x14ac:dyDescent="0.35">
      <c r="E946" t="s">
        <v>3803</v>
      </c>
      <c r="F946" t="s">
        <v>4593</v>
      </c>
      <c r="G946" t="s">
        <v>2335</v>
      </c>
    </row>
    <row r="947" spans="5:7" x14ac:dyDescent="0.35">
      <c r="E947" t="s">
        <v>3803</v>
      </c>
      <c r="F947" t="s">
        <v>4594</v>
      </c>
      <c r="G947" t="s">
        <v>2335</v>
      </c>
    </row>
    <row r="948" spans="5:7" x14ac:dyDescent="0.35">
      <c r="E948" t="s">
        <v>3803</v>
      </c>
      <c r="F948" t="s">
        <v>4595</v>
      </c>
      <c r="G948" t="s">
        <v>2335</v>
      </c>
    </row>
    <row r="949" spans="5:7" x14ac:dyDescent="0.35">
      <c r="E949" t="s">
        <v>3803</v>
      </c>
      <c r="F949" t="s">
        <v>4596</v>
      </c>
      <c r="G949" t="s">
        <v>2335</v>
      </c>
    </row>
    <row r="950" spans="5:7" x14ac:dyDescent="0.35">
      <c r="E950" t="s">
        <v>3803</v>
      </c>
      <c r="F950" t="s">
        <v>4597</v>
      </c>
      <c r="G950" t="s">
        <v>2335</v>
      </c>
    </row>
    <row r="951" spans="5:7" x14ac:dyDescent="0.35">
      <c r="E951" t="s">
        <v>3803</v>
      </c>
      <c r="F951" t="s">
        <v>4598</v>
      </c>
      <c r="G951" t="s">
        <v>2335</v>
      </c>
    </row>
    <row r="952" spans="5:7" x14ac:dyDescent="0.35">
      <c r="E952" t="s">
        <v>3803</v>
      </c>
      <c r="F952" t="s">
        <v>4599</v>
      </c>
      <c r="G952" t="s">
        <v>2335</v>
      </c>
    </row>
    <row r="953" spans="5:7" x14ac:dyDescent="0.35">
      <c r="E953" t="s">
        <v>3803</v>
      </c>
      <c r="F953" t="s">
        <v>4600</v>
      </c>
      <c r="G953" t="s">
        <v>2335</v>
      </c>
    </row>
    <row r="954" spans="5:7" x14ac:dyDescent="0.35">
      <c r="E954" t="s">
        <v>3803</v>
      </c>
      <c r="F954" t="s">
        <v>4601</v>
      </c>
      <c r="G954" t="s">
        <v>2335</v>
      </c>
    </row>
    <row r="955" spans="5:7" x14ac:dyDescent="0.35">
      <c r="E955" t="s">
        <v>3803</v>
      </c>
      <c r="F955" t="s">
        <v>4602</v>
      </c>
      <c r="G955" t="s">
        <v>2335</v>
      </c>
    </row>
    <row r="956" spans="5:7" x14ac:dyDescent="0.35">
      <c r="E956" t="s">
        <v>3803</v>
      </c>
      <c r="F956" t="s">
        <v>4603</v>
      </c>
      <c r="G956" t="s">
        <v>2335</v>
      </c>
    </row>
    <row r="957" spans="5:7" x14ac:dyDescent="0.35">
      <c r="E957" t="s">
        <v>3803</v>
      </c>
      <c r="F957" t="s">
        <v>4604</v>
      </c>
      <c r="G957" t="s">
        <v>2335</v>
      </c>
    </row>
    <row r="958" spans="5:7" x14ac:dyDescent="0.35">
      <c r="E958" t="s">
        <v>3803</v>
      </c>
      <c r="F958" t="s">
        <v>4605</v>
      </c>
      <c r="G958" t="s">
        <v>2335</v>
      </c>
    </row>
    <row r="959" spans="5:7" x14ac:dyDescent="0.35">
      <c r="E959" t="s">
        <v>3803</v>
      </c>
      <c r="F959" t="s">
        <v>4606</v>
      </c>
      <c r="G959" t="s">
        <v>2335</v>
      </c>
    </row>
    <row r="960" spans="5:7" x14ac:dyDescent="0.35">
      <c r="E960" t="s">
        <v>3803</v>
      </c>
      <c r="F960" t="s">
        <v>1240</v>
      </c>
      <c r="G960" t="s">
        <v>2335</v>
      </c>
    </row>
    <row r="961" spans="5:7" x14ac:dyDescent="0.35">
      <c r="E961" t="s">
        <v>3803</v>
      </c>
      <c r="F961" t="s">
        <v>4607</v>
      </c>
      <c r="G961" t="s">
        <v>2335</v>
      </c>
    </row>
    <row r="962" spans="5:7" x14ac:dyDescent="0.35">
      <c r="E962" t="s">
        <v>3803</v>
      </c>
      <c r="F962" t="s">
        <v>4608</v>
      </c>
      <c r="G962" t="s">
        <v>2335</v>
      </c>
    </row>
    <row r="963" spans="5:7" x14ac:dyDescent="0.35">
      <c r="E963" t="s">
        <v>3803</v>
      </c>
      <c r="F963" t="s">
        <v>4609</v>
      </c>
      <c r="G963" t="s">
        <v>2335</v>
      </c>
    </row>
    <row r="964" spans="5:7" x14ac:dyDescent="0.35">
      <c r="E964" t="s">
        <v>3803</v>
      </c>
      <c r="F964" t="s">
        <v>4610</v>
      </c>
      <c r="G964" t="s">
        <v>2335</v>
      </c>
    </row>
    <row r="965" spans="5:7" x14ac:dyDescent="0.35">
      <c r="E965" t="s">
        <v>3803</v>
      </c>
      <c r="F965" t="s">
        <v>4611</v>
      </c>
      <c r="G965" t="s">
        <v>2335</v>
      </c>
    </row>
    <row r="966" spans="5:7" x14ac:dyDescent="0.35">
      <c r="E966" t="s">
        <v>3803</v>
      </c>
      <c r="F966" t="s">
        <v>4612</v>
      </c>
      <c r="G966" t="s">
        <v>2335</v>
      </c>
    </row>
    <row r="967" spans="5:7" x14ac:dyDescent="0.35">
      <c r="E967" t="s">
        <v>3803</v>
      </c>
      <c r="F967" t="s">
        <v>4613</v>
      </c>
      <c r="G967" t="s">
        <v>2335</v>
      </c>
    </row>
    <row r="968" spans="5:7" x14ac:dyDescent="0.35">
      <c r="E968" t="s">
        <v>3803</v>
      </c>
      <c r="F968" t="s">
        <v>4614</v>
      </c>
      <c r="G968" t="s">
        <v>2335</v>
      </c>
    </row>
    <row r="969" spans="5:7" x14ac:dyDescent="0.35">
      <c r="E969" t="s">
        <v>3803</v>
      </c>
      <c r="F969" t="s">
        <v>4615</v>
      </c>
      <c r="G969" t="s">
        <v>2335</v>
      </c>
    </row>
    <row r="970" spans="5:7" x14ac:dyDescent="0.35">
      <c r="E970" t="s">
        <v>3803</v>
      </c>
      <c r="F970" t="s">
        <v>4616</v>
      </c>
      <c r="G970" t="s">
        <v>2335</v>
      </c>
    </row>
    <row r="971" spans="5:7" x14ac:dyDescent="0.35">
      <c r="E971" t="s">
        <v>3803</v>
      </c>
      <c r="F971" t="s">
        <v>4617</v>
      </c>
      <c r="G971" t="s">
        <v>2335</v>
      </c>
    </row>
    <row r="972" spans="5:7" x14ac:dyDescent="0.35">
      <c r="E972" t="s">
        <v>3803</v>
      </c>
      <c r="F972" t="s">
        <v>4618</v>
      </c>
      <c r="G972" t="s">
        <v>2335</v>
      </c>
    </row>
    <row r="973" spans="5:7" x14ac:dyDescent="0.35">
      <c r="E973" t="s">
        <v>3803</v>
      </c>
      <c r="F973" t="s">
        <v>4619</v>
      </c>
      <c r="G973" t="s">
        <v>2335</v>
      </c>
    </row>
    <row r="974" spans="5:7" x14ac:dyDescent="0.35">
      <c r="E974" t="s">
        <v>3803</v>
      </c>
      <c r="F974" t="s">
        <v>4620</v>
      </c>
      <c r="G974" t="s">
        <v>2335</v>
      </c>
    </row>
    <row r="975" spans="5:7" x14ac:dyDescent="0.35">
      <c r="E975" t="s">
        <v>3803</v>
      </c>
      <c r="F975" t="s">
        <v>4621</v>
      </c>
      <c r="G975" t="s">
        <v>2335</v>
      </c>
    </row>
    <row r="976" spans="5:7" x14ac:dyDescent="0.35">
      <c r="E976" t="s">
        <v>3803</v>
      </c>
      <c r="F976" t="s">
        <v>4622</v>
      </c>
      <c r="G976" t="s">
        <v>2335</v>
      </c>
    </row>
    <row r="977" spans="5:7" x14ac:dyDescent="0.35">
      <c r="E977" t="s">
        <v>3803</v>
      </c>
      <c r="F977" t="s">
        <v>4623</v>
      </c>
      <c r="G977" t="s">
        <v>2335</v>
      </c>
    </row>
    <row r="978" spans="5:7" x14ac:dyDescent="0.35">
      <c r="E978" t="s">
        <v>3803</v>
      </c>
      <c r="F978" t="s">
        <v>4624</v>
      </c>
      <c r="G978" t="s">
        <v>2335</v>
      </c>
    </row>
    <row r="979" spans="5:7" x14ac:dyDescent="0.35">
      <c r="E979" t="s">
        <v>3803</v>
      </c>
      <c r="F979" t="s">
        <v>4625</v>
      </c>
      <c r="G979" t="s">
        <v>2335</v>
      </c>
    </row>
    <row r="980" spans="5:7" x14ac:dyDescent="0.35">
      <c r="E980" t="s">
        <v>3803</v>
      </c>
      <c r="F980" t="s">
        <v>4626</v>
      </c>
      <c r="G980" t="s">
        <v>2335</v>
      </c>
    </row>
    <row r="981" spans="5:7" x14ac:dyDescent="0.35">
      <c r="E981" t="s">
        <v>3803</v>
      </c>
      <c r="F981" t="s">
        <v>4627</v>
      </c>
      <c r="G981" t="s">
        <v>2335</v>
      </c>
    </row>
    <row r="982" spans="5:7" x14ac:dyDescent="0.35">
      <c r="E982" t="s">
        <v>3803</v>
      </c>
      <c r="F982" t="s">
        <v>4628</v>
      </c>
      <c r="G982" t="s">
        <v>2335</v>
      </c>
    </row>
    <row r="983" spans="5:7" x14ac:dyDescent="0.35">
      <c r="E983" t="s">
        <v>3803</v>
      </c>
      <c r="F983" t="s">
        <v>4629</v>
      </c>
      <c r="G983" t="s">
        <v>2335</v>
      </c>
    </row>
    <row r="984" spans="5:7" x14ac:dyDescent="0.35">
      <c r="E984" t="s">
        <v>3803</v>
      </c>
      <c r="F984" t="s">
        <v>4630</v>
      </c>
      <c r="G984" t="s">
        <v>2335</v>
      </c>
    </row>
    <row r="985" spans="5:7" x14ac:dyDescent="0.35">
      <c r="E985" t="s">
        <v>3803</v>
      </c>
      <c r="F985" t="s">
        <v>4631</v>
      </c>
      <c r="G985" t="s">
        <v>2335</v>
      </c>
    </row>
    <row r="986" spans="5:7" x14ac:dyDescent="0.35">
      <c r="E986" t="s">
        <v>3803</v>
      </c>
      <c r="F986" t="s">
        <v>4632</v>
      </c>
      <c r="G986" t="s">
        <v>2335</v>
      </c>
    </row>
    <row r="987" spans="5:7" x14ac:dyDescent="0.35">
      <c r="E987" t="s">
        <v>3803</v>
      </c>
      <c r="F987" t="s">
        <v>4633</v>
      </c>
      <c r="G987" t="s">
        <v>2335</v>
      </c>
    </row>
    <row r="988" spans="5:7" x14ac:dyDescent="0.35">
      <c r="E988" t="s">
        <v>3803</v>
      </c>
      <c r="F988" t="s">
        <v>4634</v>
      </c>
      <c r="G988" t="s">
        <v>2335</v>
      </c>
    </row>
    <row r="989" spans="5:7" x14ac:dyDescent="0.35">
      <c r="E989" t="s">
        <v>3803</v>
      </c>
      <c r="F989" t="s">
        <v>4635</v>
      </c>
      <c r="G989" t="s">
        <v>2335</v>
      </c>
    </row>
    <row r="990" spans="5:7" x14ac:dyDescent="0.35">
      <c r="E990" t="s">
        <v>3803</v>
      </c>
      <c r="F990" t="s">
        <v>4636</v>
      </c>
      <c r="G990" t="s">
        <v>2335</v>
      </c>
    </row>
    <row r="991" spans="5:7" x14ac:dyDescent="0.35">
      <c r="E991" t="s">
        <v>3803</v>
      </c>
      <c r="F991" t="s">
        <v>4637</v>
      </c>
      <c r="G991" t="s">
        <v>2335</v>
      </c>
    </row>
    <row r="992" spans="5:7" x14ac:dyDescent="0.35">
      <c r="E992" t="s">
        <v>3803</v>
      </c>
      <c r="F992" t="s">
        <v>2683</v>
      </c>
      <c r="G992" t="s">
        <v>2335</v>
      </c>
    </row>
    <row r="993" spans="5:7" x14ac:dyDescent="0.35">
      <c r="E993" t="s">
        <v>3803</v>
      </c>
      <c r="F993" t="s">
        <v>4638</v>
      </c>
      <c r="G993" t="s">
        <v>2335</v>
      </c>
    </row>
    <row r="994" spans="5:7" x14ac:dyDescent="0.35">
      <c r="E994" t="s">
        <v>3803</v>
      </c>
      <c r="F994" t="s">
        <v>4639</v>
      </c>
      <c r="G994" t="s">
        <v>2335</v>
      </c>
    </row>
    <row r="995" spans="5:7" x14ac:dyDescent="0.35">
      <c r="E995" t="s">
        <v>3803</v>
      </c>
      <c r="F995" t="s">
        <v>4640</v>
      </c>
      <c r="G995" t="s">
        <v>2335</v>
      </c>
    </row>
    <row r="996" spans="5:7" x14ac:dyDescent="0.35">
      <c r="E996" t="s">
        <v>3803</v>
      </c>
      <c r="F996" t="s">
        <v>4641</v>
      </c>
      <c r="G996" t="s">
        <v>2335</v>
      </c>
    </row>
    <row r="997" spans="5:7" x14ac:dyDescent="0.35">
      <c r="E997" t="s">
        <v>3803</v>
      </c>
      <c r="F997" t="s">
        <v>4642</v>
      </c>
      <c r="G997" t="s">
        <v>2335</v>
      </c>
    </row>
    <row r="998" spans="5:7" x14ac:dyDescent="0.35">
      <c r="E998" t="s">
        <v>3803</v>
      </c>
      <c r="F998" t="s">
        <v>4643</v>
      </c>
      <c r="G998" t="s">
        <v>2335</v>
      </c>
    </row>
    <row r="999" spans="5:7" x14ac:dyDescent="0.35">
      <c r="E999" t="s">
        <v>3803</v>
      </c>
      <c r="F999" t="s">
        <v>4644</v>
      </c>
      <c r="G999" t="s">
        <v>2335</v>
      </c>
    </row>
    <row r="1000" spans="5:7" x14ac:dyDescent="0.35">
      <c r="E1000" t="s">
        <v>3803</v>
      </c>
      <c r="F1000" t="s">
        <v>4645</v>
      </c>
      <c r="G1000" t="s">
        <v>2335</v>
      </c>
    </row>
    <row r="1001" spans="5:7" x14ac:dyDescent="0.35">
      <c r="E1001" t="s">
        <v>3803</v>
      </c>
      <c r="F1001" t="s">
        <v>4646</v>
      </c>
      <c r="G1001" t="s">
        <v>2335</v>
      </c>
    </row>
    <row r="1002" spans="5:7" x14ac:dyDescent="0.35">
      <c r="E1002" t="s">
        <v>3803</v>
      </c>
      <c r="F1002" t="s">
        <v>4647</v>
      </c>
      <c r="G1002" t="s">
        <v>2335</v>
      </c>
    </row>
    <row r="1003" spans="5:7" x14ac:dyDescent="0.35">
      <c r="E1003" t="s">
        <v>3803</v>
      </c>
      <c r="F1003" t="s">
        <v>4648</v>
      </c>
      <c r="G1003" t="s">
        <v>2335</v>
      </c>
    </row>
    <row r="1004" spans="5:7" x14ac:dyDescent="0.35">
      <c r="E1004" t="s">
        <v>3803</v>
      </c>
      <c r="F1004" t="s">
        <v>4649</v>
      </c>
      <c r="G1004" t="s">
        <v>2335</v>
      </c>
    </row>
    <row r="1005" spans="5:7" x14ac:dyDescent="0.35">
      <c r="E1005" t="s">
        <v>3803</v>
      </c>
      <c r="F1005" t="s">
        <v>4650</v>
      </c>
      <c r="G1005" t="s">
        <v>2335</v>
      </c>
    </row>
    <row r="1006" spans="5:7" x14ac:dyDescent="0.35">
      <c r="E1006" t="s">
        <v>3803</v>
      </c>
      <c r="F1006" t="s">
        <v>4651</v>
      </c>
      <c r="G1006" t="s">
        <v>2335</v>
      </c>
    </row>
    <row r="1007" spans="5:7" x14ac:dyDescent="0.35">
      <c r="E1007" t="s">
        <v>3803</v>
      </c>
      <c r="F1007" t="s">
        <v>4652</v>
      </c>
      <c r="G1007" t="s">
        <v>2335</v>
      </c>
    </row>
    <row r="1008" spans="5:7" x14ac:dyDescent="0.35">
      <c r="E1008" t="s">
        <v>3803</v>
      </c>
      <c r="F1008" t="s">
        <v>4653</v>
      </c>
      <c r="G1008" t="s">
        <v>2335</v>
      </c>
    </row>
    <row r="1009" spans="5:7" x14ac:dyDescent="0.35">
      <c r="E1009" t="s">
        <v>3803</v>
      </c>
      <c r="F1009" t="s">
        <v>4654</v>
      </c>
      <c r="G1009" t="s">
        <v>2335</v>
      </c>
    </row>
    <row r="1010" spans="5:7" x14ac:dyDescent="0.35">
      <c r="E1010" t="s">
        <v>3803</v>
      </c>
      <c r="F1010" t="s">
        <v>4655</v>
      </c>
      <c r="G1010" t="s">
        <v>2335</v>
      </c>
    </row>
    <row r="1011" spans="5:7" x14ac:dyDescent="0.35">
      <c r="E1011" t="s">
        <v>3803</v>
      </c>
      <c r="F1011" t="s">
        <v>1344</v>
      </c>
      <c r="G1011" t="s">
        <v>2335</v>
      </c>
    </row>
    <row r="1012" spans="5:7" x14ac:dyDescent="0.35">
      <c r="E1012" t="s">
        <v>3803</v>
      </c>
      <c r="F1012" t="s">
        <v>4656</v>
      </c>
      <c r="G1012" t="s">
        <v>2335</v>
      </c>
    </row>
    <row r="1013" spans="5:7" x14ac:dyDescent="0.35">
      <c r="E1013" t="s">
        <v>3803</v>
      </c>
      <c r="F1013" t="s">
        <v>4657</v>
      </c>
      <c r="G1013" t="s">
        <v>2335</v>
      </c>
    </row>
    <row r="1014" spans="5:7" x14ac:dyDescent="0.35">
      <c r="E1014" t="s">
        <v>3803</v>
      </c>
      <c r="F1014" t="s">
        <v>4658</v>
      </c>
      <c r="G1014" t="s">
        <v>2335</v>
      </c>
    </row>
    <row r="1015" spans="5:7" x14ac:dyDescent="0.35">
      <c r="E1015" t="s">
        <v>3803</v>
      </c>
      <c r="F1015" t="s">
        <v>4659</v>
      </c>
      <c r="G1015" t="s">
        <v>2335</v>
      </c>
    </row>
    <row r="1016" spans="5:7" x14ac:dyDescent="0.35">
      <c r="E1016" t="s">
        <v>3803</v>
      </c>
      <c r="F1016" t="s">
        <v>4660</v>
      </c>
      <c r="G1016" t="s">
        <v>2335</v>
      </c>
    </row>
    <row r="1017" spans="5:7" x14ac:dyDescent="0.35">
      <c r="E1017" t="s">
        <v>3803</v>
      </c>
      <c r="F1017" t="s">
        <v>4661</v>
      </c>
      <c r="G1017" t="s">
        <v>2335</v>
      </c>
    </row>
    <row r="1018" spans="5:7" x14ac:dyDescent="0.35">
      <c r="E1018" t="s">
        <v>3803</v>
      </c>
      <c r="F1018" t="s">
        <v>4662</v>
      </c>
      <c r="G1018" t="s">
        <v>2335</v>
      </c>
    </row>
    <row r="1019" spans="5:7" x14ac:dyDescent="0.35">
      <c r="E1019" t="s">
        <v>3803</v>
      </c>
      <c r="F1019" t="s">
        <v>4663</v>
      </c>
      <c r="G1019" t="s">
        <v>2335</v>
      </c>
    </row>
    <row r="1020" spans="5:7" x14ac:dyDescent="0.35">
      <c r="E1020" t="s">
        <v>3803</v>
      </c>
      <c r="F1020" t="s">
        <v>4664</v>
      </c>
      <c r="G1020" t="s">
        <v>2335</v>
      </c>
    </row>
    <row r="1021" spans="5:7" x14ac:dyDescent="0.35">
      <c r="E1021" t="s">
        <v>3803</v>
      </c>
      <c r="F1021" t="s">
        <v>4665</v>
      </c>
      <c r="G1021" t="s">
        <v>2335</v>
      </c>
    </row>
    <row r="1022" spans="5:7" x14ac:dyDescent="0.35">
      <c r="E1022" t="s">
        <v>3803</v>
      </c>
      <c r="F1022" t="s">
        <v>4666</v>
      </c>
      <c r="G1022" t="s">
        <v>2335</v>
      </c>
    </row>
    <row r="1023" spans="5:7" x14ac:dyDescent="0.35">
      <c r="E1023" t="s">
        <v>3803</v>
      </c>
      <c r="F1023" t="s">
        <v>4667</v>
      </c>
      <c r="G1023" t="s">
        <v>2335</v>
      </c>
    </row>
    <row r="1024" spans="5:7" x14ac:dyDescent="0.35">
      <c r="E1024" t="s">
        <v>3803</v>
      </c>
      <c r="F1024" t="s">
        <v>4668</v>
      </c>
      <c r="G1024" t="s">
        <v>2335</v>
      </c>
    </row>
    <row r="1025" spans="5:7" x14ac:dyDescent="0.35">
      <c r="E1025" t="s">
        <v>3803</v>
      </c>
      <c r="F1025" t="s">
        <v>2686</v>
      </c>
      <c r="G1025" t="s">
        <v>4669</v>
      </c>
    </row>
    <row r="1026" spans="5:7" x14ac:dyDescent="0.35">
      <c r="E1026" t="s">
        <v>3803</v>
      </c>
      <c r="F1026" t="s">
        <v>290</v>
      </c>
      <c r="G1026" t="s">
        <v>4669</v>
      </c>
    </row>
    <row r="1027" spans="5:7" x14ac:dyDescent="0.35">
      <c r="E1027" t="s">
        <v>3803</v>
      </c>
      <c r="F1027" t="s">
        <v>4670</v>
      </c>
      <c r="G1027" t="s">
        <v>4669</v>
      </c>
    </row>
    <row r="1028" spans="5:7" x14ac:dyDescent="0.35">
      <c r="E1028" t="s">
        <v>3803</v>
      </c>
      <c r="F1028" t="s">
        <v>4671</v>
      </c>
      <c r="G1028" t="s">
        <v>1588</v>
      </c>
    </row>
    <row r="1029" spans="5:7" x14ac:dyDescent="0.35">
      <c r="E1029" t="s">
        <v>3803</v>
      </c>
      <c r="F1029" t="s">
        <v>2689</v>
      </c>
      <c r="G1029" t="s">
        <v>1588</v>
      </c>
    </row>
    <row r="1030" spans="5:7" x14ac:dyDescent="0.35">
      <c r="E1030" t="s">
        <v>3803</v>
      </c>
      <c r="F1030" t="s">
        <v>2692</v>
      </c>
      <c r="G1030" t="s">
        <v>1588</v>
      </c>
    </row>
    <row r="1031" spans="5:7" x14ac:dyDescent="0.35">
      <c r="E1031" t="s">
        <v>3803</v>
      </c>
      <c r="F1031" t="s">
        <v>2695</v>
      </c>
      <c r="G1031" t="s">
        <v>1588</v>
      </c>
    </row>
    <row r="1032" spans="5:7" x14ac:dyDescent="0.35">
      <c r="E1032" t="s">
        <v>3803</v>
      </c>
      <c r="F1032" t="s">
        <v>365</v>
      </c>
      <c r="G1032" t="s">
        <v>1588</v>
      </c>
    </row>
    <row r="1033" spans="5:7" x14ac:dyDescent="0.35">
      <c r="E1033" t="s">
        <v>3803</v>
      </c>
      <c r="F1033" t="s">
        <v>4672</v>
      </c>
      <c r="G1033" t="s">
        <v>1588</v>
      </c>
    </row>
    <row r="1034" spans="5:7" x14ac:dyDescent="0.35">
      <c r="E1034" t="s">
        <v>3803</v>
      </c>
      <c r="F1034" t="s">
        <v>2698</v>
      </c>
      <c r="G1034" t="s">
        <v>1588</v>
      </c>
    </row>
    <row r="1035" spans="5:7" x14ac:dyDescent="0.35">
      <c r="E1035" t="s">
        <v>3803</v>
      </c>
      <c r="F1035" t="s">
        <v>399</v>
      </c>
      <c r="G1035" t="s">
        <v>1588</v>
      </c>
    </row>
    <row r="1036" spans="5:7" x14ac:dyDescent="0.35">
      <c r="E1036" t="s">
        <v>3803</v>
      </c>
      <c r="F1036" t="s">
        <v>4673</v>
      </c>
      <c r="G1036" t="s">
        <v>1588</v>
      </c>
    </row>
    <row r="1037" spans="5:7" x14ac:dyDescent="0.35">
      <c r="E1037" t="s">
        <v>3803</v>
      </c>
      <c r="F1037" t="s">
        <v>4674</v>
      </c>
      <c r="G1037" t="s">
        <v>1588</v>
      </c>
    </row>
    <row r="1038" spans="5:7" x14ac:dyDescent="0.35">
      <c r="E1038" t="s">
        <v>3803</v>
      </c>
      <c r="F1038" t="s">
        <v>2701</v>
      </c>
      <c r="G1038" t="s">
        <v>1588</v>
      </c>
    </row>
    <row r="1039" spans="5:7" x14ac:dyDescent="0.35">
      <c r="E1039" t="s">
        <v>3803</v>
      </c>
      <c r="F1039" t="s">
        <v>438</v>
      </c>
      <c r="G1039" t="s">
        <v>1588</v>
      </c>
    </row>
    <row r="1040" spans="5:7" x14ac:dyDescent="0.35">
      <c r="E1040" t="s">
        <v>3803</v>
      </c>
      <c r="F1040" t="s">
        <v>4675</v>
      </c>
      <c r="G1040" t="s">
        <v>1588</v>
      </c>
    </row>
    <row r="1041" spans="5:7" x14ac:dyDescent="0.35">
      <c r="E1041" t="s">
        <v>3803</v>
      </c>
      <c r="F1041" t="s">
        <v>4676</v>
      </c>
      <c r="G1041" t="s">
        <v>1588</v>
      </c>
    </row>
    <row r="1042" spans="5:7" x14ac:dyDescent="0.35">
      <c r="E1042" t="s">
        <v>3803</v>
      </c>
      <c r="F1042" t="s">
        <v>4677</v>
      </c>
      <c r="G1042" t="s">
        <v>1588</v>
      </c>
    </row>
    <row r="1043" spans="5:7" x14ac:dyDescent="0.35">
      <c r="E1043" t="s">
        <v>3803</v>
      </c>
      <c r="F1043" t="s">
        <v>4678</v>
      </c>
      <c r="G1043" t="s">
        <v>1588</v>
      </c>
    </row>
    <row r="1044" spans="5:7" x14ac:dyDescent="0.35">
      <c r="E1044" t="s">
        <v>3803</v>
      </c>
      <c r="F1044" t="s">
        <v>4679</v>
      </c>
      <c r="G1044" t="s">
        <v>1588</v>
      </c>
    </row>
    <row r="1045" spans="5:7" x14ac:dyDescent="0.35">
      <c r="E1045" t="s">
        <v>3803</v>
      </c>
      <c r="F1045" t="s">
        <v>4680</v>
      </c>
      <c r="G1045" t="s">
        <v>1588</v>
      </c>
    </row>
    <row r="1046" spans="5:7" x14ac:dyDescent="0.35">
      <c r="E1046" t="s">
        <v>3803</v>
      </c>
      <c r="F1046" t="s">
        <v>4681</v>
      </c>
      <c r="G1046" t="s">
        <v>1588</v>
      </c>
    </row>
    <row r="1047" spans="5:7" x14ac:dyDescent="0.35">
      <c r="E1047" t="s">
        <v>3803</v>
      </c>
      <c r="F1047" t="s">
        <v>2704</v>
      </c>
      <c r="G1047" t="s">
        <v>1588</v>
      </c>
    </row>
    <row r="1048" spans="5:7" x14ac:dyDescent="0.35">
      <c r="E1048" t="s">
        <v>3803</v>
      </c>
      <c r="F1048" t="s">
        <v>2706</v>
      </c>
      <c r="G1048" t="s">
        <v>1588</v>
      </c>
    </row>
    <row r="1049" spans="5:7" x14ac:dyDescent="0.35">
      <c r="E1049" t="s">
        <v>3803</v>
      </c>
      <c r="F1049" t="s">
        <v>498</v>
      </c>
      <c r="G1049" t="s">
        <v>1588</v>
      </c>
    </row>
    <row r="1050" spans="5:7" x14ac:dyDescent="0.35">
      <c r="E1050" t="s">
        <v>3803</v>
      </c>
      <c r="F1050" t="s">
        <v>4682</v>
      </c>
      <c r="G1050" t="s">
        <v>1588</v>
      </c>
    </row>
    <row r="1051" spans="5:7" x14ac:dyDescent="0.35">
      <c r="E1051" t="s">
        <v>3803</v>
      </c>
      <c r="F1051" t="s">
        <v>4683</v>
      </c>
      <c r="G1051" t="s">
        <v>1588</v>
      </c>
    </row>
    <row r="1052" spans="5:7" x14ac:dyDescent="0.35">
      <c r="E1052" t="s">
        <v>3803</v>
      </c>
      <c r="F1052" t="s">
        <v>4684</v>
      </c>
      <c r="G1052" t="s">
        <v>1588</v>
      </c>
    </row>
    <row r="1053" spans="5:7" x14ac:dyDescent="0.35">
      <c r="E1053" t="s">
        <v>3803</v>
      </c>
      <c r="F1053" t="s">
        <v>4685</v>
      </c>
      <c r="G1053" t="s">
        <v>1588</v>
      </c>
    </row>
    <row r="1054" spans="5:7" x14ac:dyDescent="0.35">
      <c r="E1054" t="s">
        <v>3803</v>
      </c>
      <c r="F1054" t="s">
        <v>4686</v>
      </c>
      <c r="G1054" t="s">
        <v>1588</v>
      </c>
    </row>
    <row r="1055" spans="5:7" x14ac:dyDescent="0.35">
      <c r="E1055" t="s">
        <v>3803</v>
      </c>
      <c r="F1055" t="s">
        <v>4687</v>
      </c>
      <c r="G1055" t="s">
        <v>1588</v>
      </c>
    </row>
    <row r="1056" spans="5:7" x14ac:dyDescent="0.35">
      <c r="E1056" t="s">
        <v>3803</v>
      </c>
      <c r="F1056" t="s">
        <v>4688</v>
      </c>
      <c r="G1056" t="s">
        <v>1588</v>
      </c>
    </row>
    <row r="1057" spans="5:7" x14ac:dyDescent="0.35">
      <c r="E1057" t="s">
        <v>3803</v>
      </c>
      <c r="F1057" t="s">
        <v>4689</v>
      </c>
      <c r="G1057" t="s">
        <v>1588</v>
      </c>
    </row>
    <row r="1058" spans="5:7" x14ac:dyDescent="0.35">
      <c r="E1058" t="s">
        <v>3803</v>
      </c>
      <c r="F1058" t="s">
        <v>2709</v>
      </c>
      <c r="G1058" t="s">
        <v>1588</v>
      </c>
    </row>
    <row r="1059" spans="5:7" x14ac:dyDescent="0.35">
      <c r="E1059" t="s">
        <v>3803</v>
      </c>
      <c r="F1059" t="s">
        <v>542</v>
      </c>
      <c r="G1059" t="s">
        <v>1588</v>
      </c>
    </row>
    <row r="1060" spans="5:7" x14ac:dyDescent="0.35">
      <c r="E1060" t="s">
        <v>3803</v>
      </c>
      <c r="F1060" t="s">
        <v>4690</v>
      </c>
      <c r="G1060" t="s">
        <v>1588</v>
      </c>
    </row>
    <row r="1061" spans="5:7" x14ac:dyDescent="0.35">
      <c r="E1061" t="s">
        <v>3803</v>
      </c>
      <c r="F1061" t="s">
        <v>2712</v>
      </c>
      <c r="G1061" t="s">
        <v>1588</v>
      </c>
    </row>
    <row r="1062" spans="5:7" x14ac:dyDescent="0.35">
      <c r="E1062" t="s">
        <v>3803</v>
      </c>
      <c r="F1062" t="s">
        <v>682</v>
      </c>
      <c r="G1062" t="s">
        <v>1588</v>
      </c>
    </row>
    <row r="1063" spans="5:7" x14ac:dyDescent="0.35">
      <c r="E1063" t="s">
        <v>3803</v>
      </c>
      <c r="F1063" t="s">
        <v>4691</v>
      </c>
      <c r="G1063" t="s">
        <v>1588</v>
      </c>
    </row>
    <row r="1064" spans="5:7" x14ac:dyDescent="0.35">
      <c r="E1064" t="s">
        <v>3803</v>
      </c>
      <c r="F1064" t="s">
        <v>4692</v>
      </c>
      <c r="G1064" t="s">
        <v>1588</v>
      </c>
    </row>
    <row r="1065" spans="5:7" x14ac:dyDescent="0.35">
      <c r="E1065" t="s">
        <v>3803</v>
      </c>
      <c r="F1065" t="s">
        <v>4693</v>
      </c>
      <c r="G1065" t="s">
        <v>1588</v>
      </c>
    </row>
    <row r="1066" spans="5:7" x14ac:dyDescent="0.35">
      <c r="E1066" t="s">
        <v>3803</v>
      </c>
      <c r="F1066" t="s">
        <v>4694</v>
      </c>
      <c r="G1066" t="s">
        <v>1588</v>
      </c>
    </row>
    <row r="1067" spans="5:7" x14ac:dyDescent="0.35">
      <c r="E1067" t="s">
        <v>3803</v>
      </c>
      <c r="F1067" t="s">
        <v>4695</v>
      </c>
      <c r="G1067" t="s">
        <v>1588</v>
      </c>
    </row>
    <row r="1068" spans="5:7" x14ac:dyDescent="0.35">
      <c r="E1068" t="s">
        <v>3803</v>
      </c>
      <c r="F1068" t="s">
        <v>4696</v>
      </c>
      <c r="G1068" t="s">
        <v>1588</v>
      </c>
    </row>
    <row r="1069" spans="5:7" x14ac:dyDescent="0.35">
      <c r="E1069" t="s">
        <v>3803</v>
      </c>
      <c r="F1069" t="s">
        <v>4697</v>
      </c>
      <c r="G1069" t="s">
        <v>1588</v>
      </c>
    </row>
    <row r="1070" spans="5:7" x14ac:dyDescent="0.35">
      <c r="E1070" t="s">
        <v>3803</v>
      </c>
      <c r="F1070" t="s">
        <v>4698</v>
      </c>
      <c r="G1070" t="s">
        <v>1588</v>
      </c>
    </row>
    <row r="1071" spans="5:7" x14ac:dyDescent="0.35">
      <c r="E1071" t="s">
        <v>3803</v>
      </c>
      <c r="F1071" t="s">
        <v>4699</v>
      </c>
      <c r="G1071" t="s">
        <v>1588</v>
      </c>
    </row>
    <row r="1072" spans="5:7" x14ac:dyDescent="0.35">
      <c r="E1072" t="s">
        <v>3803</v>
      </c>
      <c r="F1072" t="s">
        <v>4700</v>
      </c>
      <c r="G1072" t="s">
        <v>1588</v>
      </c>
    </row>
    <row r="1073" spans="5:7" x14ac:dyDescent="0.35">
      <c r="E1073" t="s">
        <v>3803</v>
      </c>
      <c r="F1073" t="s">
        <v>4701</v>
      </c>
      <c r="G1073" t="s">
        <v>1588</v>
      </c>
    </row>
    <row r="1074" spans="5:7" x14ac:dyDescent="0.35">
      <c r="E1074" t="s">
        <v>3803</v>
      </c>
      <c r="F1074" t="s">
        <v>4702</v>
      </c>
      <c r="G1074" t="s">
        <v>1588</v>
      </c>
    </row>
    <row r="1075" spans="5:7" x14ac:dyDescent="0.35">
      <c r="E1075" t="s">
        <v>3803</v>
      </c>
      <c r="F1075" t="s">
        <v>878</v>
      </c>
      <c r="G1075" t="s">
        <v>1588</v>
      </c>
    </row>
    <row r="1076" spans="5:7" x14ac:dyDescent="0.35">
      <c r="E1076" t="s">
        <v>3803</v>
      </c>
      <c r="F1076" t="s">
        <v>4703</v>
      </c>
      <c r="G1076" t="s">
        <v>1588</v>
      </c>
    </row>
    <row r="1077" spans="5:7" x14ac:dyDescent="0.35">
      <c r="E1077" t="s">
        <v>3803</v>
      </c>
      <c r="F1077" t="s">
        <v>4704</v>
      </c>
      <c r="G1077" t="s">
        <v>1588</v>
      </c>
    </row>
    <row r="1078" spans="5:7" x14ac:dyDescent="0.35">
      <c r="E1078" t="s">
        <v>3803</v>
      </c>
      <c r="F1078" t="s">
        <v>4705</v>
      </c>
      <c r="G1078" t="s">
        <v>1588</v>
      </c>
    </row>
    <row r="1079" spans="5:7" x14ac:dyDescent="0.35">
      <c r="E1079" t="s">
        <v>3803</v>
      </c>
      <c r="F1079" t="s">
        <v>4706</v>
      </c>
      <c r="G1079" t="s">
        <v>1588</v>
      </c>
    </row>
    <row r="1080" spans="5:7" x14ac:dyDescent="0.35">
      <c r="E1080" t="s">
        <v>3803</v>
      </c>
      <c r="F1080" t="s">
        <v>4707</v>
      </c>
      <c r="G1080" t="s">
        <v>1588</v>
      </c>
    </row>
    <row r="1081" spans="5:7" x14ac:dyDescent="0.35">
      <c r="E1081" t="s">
        <v>3803</v>
      </c>
      <c r="F1081" t="s">
        <v>4708</v>
      </c>
      <c r="G1081" t="s">
        <v>1588</v>
      </c>
    </row>
    <row r="1082" spans="5:7" x14ac:dyDescent="0.35">
      <c r="E1082" t="s">
        <v>3803</v>
      </c>
      <c r="F1082" t="s">
        <v>4709</v>
      </c>
      <c r="G1082" t="s">
        <v>1588</v>
      </c>
    </row>
    <row r="1083" spans="5:7" x14ac:dyDescent="0.35">
      <c r="E1083" t="s">
        <v>3803</v>
      </c>
      <c r="F1083" t="s">
        <v>4710</v>
      </c>
      <c r="G1083" t="s">
        <v>1588</v>
      </c>
    </row>
    <row r="1084" spans="5:7" x14ac:dyDescent="0.35">
      <c r="E1084" t="s">
        <v>3803</v>
      </c>
      <c r="F1084" t="s">
        <v>4711</v>
      </c>
      <c r="G1084" t="s">
        <v>1588</v>
      </c>
    </row>
    <row r="1085" spans="5:7" x14ac:dyDescent="0.35">
      <c r="E1085" t="s">
        <v>3803</v>
      </c>
      <c r="F1085" t="s">
        <v>4712</v>
      </c>
      <c r="G1085" t="s">
        <v>1588</v>
      </c>
    </row>
    <row r="1086" spans="5:7" x14ac:dyDescent="0.35">
      <c r="E1086" t="s">
        <v>3803</v>
      </c>
      <c r="F1086" t="s">
        <v>4713</v>
      </c>
      <c r="G1086" t="s">
        <v>1588</v>
      </c>
    </row>
    <row r="1087" spans="5:7" x14ac:dyDescent="0.35">
      <c r="E1087" t="s">
        <v>3803</v>
      </c>
      <c r="F1087" t="s">
        <v>4714</v>
      </c>
      <c r="G1087" t="s">
        <v>1588</v>
      </c>
    </row>
    <row r="1088" spans="5:7" x14ac:dyDescent="0.35">
      <c r="E1088" t="s">
        <v>3803</v>
      </c>
      <c r="F1088" t="s">
        <v>4715</v>
      </c>
      <c r="G1088" t="s">
        <v>1588</v>
      </c>
    </row>
    <row r="1089" spans="5:7" x14ac:dyDescent="0.35">
      <c r="E1089" t="s">
        <v>3803</v>
      </c>
      <c r="F1089" t="s">
        <v>4716</v>
      </c>
      <c r="G1089" t="s">
        <v>1588</v>
      </c>
    </row>
    <row r="1090" spans="5:7" x14ac:dyDescent="0.35">
      <c r="E1090" t="s">
        <v>3803</v>
      </c>
      <c r="F1090" t="s">
        <v>4717</v>
      </c>
      <c r="G1090" t="s">
        <v>1588</v>
      </c>
    </row>
    <row r="1091" spans="5:7" x14ac:dyDescent="0.35">
      <c r="E1091" t="s">
        <v>3803</v>
      </c>
      <c r="F1091" t="s">
        <v>4718</v>
      </c>
      <c r="G1091" t="s">
        <v>1588</v>
      </c>
    </row>
    <row r="1092" spans="5:7" x14ac:dyDescent="0.35">
      <c r="E1092" t="s">
        <v>3803</v>
      </c>
      <c r="F1092" t="s">
        <v>4719</v>
      </c>
      <c r="G1092" t="s">
        <v>1588</v>
      </c>
    </row>
    <row r="1093" spans="5:7" x14ac:dyDescent="0.35">
      <c r="E1093" t="s">
        <v>3803</v>
      </c>
      <c r="F1093" t="s">
        <v>4720</v>
      </c>
      <c r="G1093" t="s">
        <v>1588</v>
      </c>
    </row>
    <row r="1094" spans="5:7" x14ac:dyDescent="0.35">
      <c r="E1094" t="s">
        <v>3803</v>
      </c>
      <c r="F1094" t="s">
        <v>4721</v>
      </c>
      <c r="G1094" t="s">
        <v>1588</v>
      </c>
    </row>
    <row r="1095" spans="5:7" x14ac:dyDescent="0.35">
      <c r="E1095" t="s">
        <v>3803</v>
      </c>
      <c r="F1095" t="s">
        <v>4722</v>
      </c>
      <c r="G1095" t="s">
        <v>1588</v>
      </c>
    </row>
    <row r="1096" spans="5:7" x14ac:dyDescent="0.35">
      <c r="E1096" t="s">
        <v>3803</v>
      </c>
      <c r="F1096" t="s">
        <v>4723</v>
      </c>
      <c r="G1096" t="s">
        <v>1588</v>
      </c>
    </row>
    <row r="1097" spans="5:7" x14ac:dyDescent="0.35">
      <c r="E1097" t="s">
        <v>3803</v>
      </c>
      <c r="F1097" t="s">
        <v>4724</v>
      </c>
      <c r="G1097" t="s">
        <v>1588</v>
      </c>
    </row>
    <row r="1098" spans="5:7" x14ac:dyDescent="0.35">
      <c r="E1098" t="s">
        <v>3803</v>
      </c>
      <c r="F1098" t="s">
        <v>4725</v>
      </c>
      <c r="G1098" t="s">
        <v>1588</v>
      </c>
    </row>
    <row r="1099" spans="5:7" x14ac:dyDescent="0.35">
      <c r="E1099" t="s">
        <v>3803</v>
      </c>
      <c r="F1099" t="s">
        <v>4726</v>
      </c>
      <c r="G1099" t="s">
        <v>1588</v>
      </c>
    </row>
    <row r="1100" spans="5:7" x14ac:dyDescent="0.35">
      <c r="E1100" t="s">
        <v>3803</v>
      </c>
      <c r="F1100" t="s">
        <v>4727</v>
      </c>
      <c r="G1100" t="s">
        <v>1588</v>
      </c>
    </row>
    <row r="1101" spans="5:7" x14ac:dyDescent="0.35">
      <c r="E1101" t="s">
        <v>3803</v>
      </c>
      <c r="F1101" t="s">
        <v>4728</v>
      </c>
      <c r="G1101" t="s">
        <v>1588</v>
      </c>
    </row>
    <row r="1102" spans="5:7" x14ac:dyDescent="0.35">
      <c r="E1102" t="s">
        <v>3803</v>
      </c>
      <c r="F1102" t="s">
        <v>4729</v>
      </c>
      <c r="G1102" t="s">
        <v>1588</v>
      </c>
    </row>
    <row r="1103" spans="5:7" x14ac:dyDescent="0.35">
      <c r="E1103" t="s">
        <v>3803</v>
      </c>
      <c r="F1103" t="s">
        <v>4730</v>
      </c>
      <c r="G1103" t="s">
        <v>1588</v>
      </c>
    </row>
    <row r="1104" spans="5:7" x14ac:dyDescent="0.35">
      <c r="E1104" t="s">
        <v>3803</v>
      </c>
      <c r="F1104" t="s">
        <v>4731</v>
      </c>
      <c r="G1104" t="s">
        <v>1588</v>
      </c>
    </row>
    <row r="1105" spans="5:7" x14ac:dyDescent="0.35">
      <c r="E1105" t="s">
        <v>3803</v>
      </c>
      <c r="F1105" t="s">
        <v>4732</v>
      </c>
      <c r="G1105" t="s">
        <v>1588</v>
      </c>
    </row>
    <row r="1106" spans="5:7" x14ac:dyDescent="0.35">
      <c r="E1106" t="s">
        <v>3803</v>
      </c>
      <c r="F1106" t="s">
        <v>4733</v>
      </c>
      <c r="G1106" t="s">
        <v>1588</v>
      </c>
    </row>
    <row r="1107" spans="5:7" x14ac:dyDescent="0.35">
      <c r="E1107" t="s">
        <v>3803</v>
      </c>
      <c r="F1107" t="s">
        <v>4734</v>
      </c>
      <c r="G1107" t="s">
        <v>1588</v>
      </c>
    </row>
    <row r="1108" spans="5:7" x14ac:dyDescent="0.35">
      <c r="E1108" t="s">
        <v>3803</v>
      </c>
      <c r="F1108" t="s">
        <v>4735</v>
      </c>
      <c r="G1108" t="s">
        <v>1588</v>
      </c>
    </row>
    <row r="1109" spans="5:7" x14ac:dyDescent="0.35">
      <c r="E1109" t="s">
        <v>3803</v>
      </c>
      <c r="F1109" t="s">
        <v>4736</v>
      </c>
      <c r="G1109" t="s">
        <v>1588</v>
      </c>
    </row>
    <row r="1110" spans="5:7" x14ac:dyDescent="0.35">
      <c r="E1110" t="s">
        <v>3803</v>
      </c>
      <c r="F1110" t="s">
        <v>4737</v>
      </c>
      <c r="G1110" t="s">
        <v>1588</v>
      </c>
    </row>
    <row r="1111" spans="5:7" x14ac:dyDescent="0.35">
      <c r="E1111" t="s">
        <v>3803</v>
      </c>
      <c r="F1111" t="s">
        <v>4738</v>
      </c>
      <c r="G1111" t="s">
        <v>1588</v>
      </c>
    </row>
    <row r="1112" spans="5:7" x14ac:dyDescent="0.35">
      <c r="E1112" t="s">
        <v>3803</v>
      </c>
      <c r="F1112" t="s">
        <v>4739</v>
      </c>
      <c r="G1112" t="s">
        <v>1588</v>
      </c>
    </row>
    <row r="1113" spans="5:7" x14ac:dyDescent="0.35">
      <c r="E1113" t="s">
        <v>3803</v>
      </c>
      <c r="F1113" t="s">
        <v>4740</v>
      </c>
      <c r="G1113" t="s">
        <v>1588</v>
      </c>
    </row>
    <row r="1114" spans="5:7" x14ac:dyDescent="0.35">
      <c r="E1114" t="s">
        <v>3803</v>
      </c>
      <c r="F1114" t="s">
        <v>4741</v>
      </c>
      <c r="G1114" t="s">
        <v>1588</v>
      </c>
    </row>
    <row r="1115" spans="5:7" x14ac:dyDescent="0.35">
      <c r="E1115" t="s">
        <v>3803</v>
      </c>
      <c r="F1115" t="s">
        <v>4742</v>
      </c>
      <c r="G1115" t="s">
        <v>1588</v>
      </c>
    </row>
    <row r="1116" spans="5:7" x14ac:dyDescent="0.35">
      <c r="E1116" t="s">
        <v>3803</v>
      </c>
      <c r="F1116" t="s">
        <v>4743</v>
      </c>
      <c r="G1116" t="s">
        <v>1588</v>
      </c>
    </row>
    <row r="1117" spans="5:7" x14ac:dyDescent="0.35">
      <c r="E1117" t="s">
        <v>3803</v>
      </c>
      <c r="F1117" t="s">
        <v>4744</v>
      </c>
      <c r="G1117" t="s">
        <v>1588</v>
      </c>
    </row>
    <row r="1118" spans="5:7" x14ac:dyDescent="0.35">
      <c r="E1118" t="s">
        <v>3803</v>
      </c>
      <c r="F1118" t="s">
        <v>4745</v>
      </c>
      <c r="G1118" t="s">
        <v>1588</v>
      </c>
    </row>
    <row r="1119" spans="5:7" x14ac:dyDescent="0.35">
      <c r="E1119" t="s">
        <v>3803</v>
      </c>
      <c r="F1119" t="s">
        <v>4746</v>
      </c>
      <c r="G1119" t="s">
        <v>1588</v>
      </c>
    </row>
    <row r="1120" spans="5:7" x14ac:dyDescent="0.35">
      <c r="E1120" t="s">
        <v>3803</v>
      </c>
      <c r="F1120" t="s">
        <v>4747</v>
      </c>
      <c r="G1120" t="s">
        <v>1588</v>
      </c>
    </row>
    <row r="1121" spans="5:7" x14ac:dyDescent="0.35">
      <c r="E1121" t="s">
        <v>3803</v>
      </c>
      <c r="F1121" t="s">
        <v>4748</v>
      </c>
      <c r="G1121" t="s">
        <v>1588</v>
      </c>
    </row>
    <row r="1122" spans="5:7" x14ac:dyDescent="0.35">
      <c r="E1122" t="s">
        <v>3803</v>
      </c>
      <c r="F1122" t="s">
        <v>4749</v>
      </c>
      <c r="G1122" t="s">
        <v>1588</v>
      </c>
    </row>
    <row r="1123" spans="5:7" x14ac:dyDescent="0.35">
      <c r="E1123" t="s">
        <v>3803</v>
      </c>
      <c r="F1123" t="s">
        <v>4750</v>
      </c>
      <c r="G1123" t="s">
        <v>1588</v>
      </c>
    </row>
    <row r="1124" spans="5:7" x14ac:dyDescent="0.35">
      <c r="E1124" t="s">
        <v>3803</v>
      </c>
      <c r="F1124" t="s">
        <v>4751</v>
      </c>
      <c r="G1124" t="s">
        <v>1588</v>
      </c>
    </row>
    <row r="1125" spans="5:7" x14ac:dyDescent="0.35">
      <c r="E1125" t="s">
        <v>3803</v>
      </c>
      <c r="F1125" t="s">
        <v>4752</v>
      </c>
      <c r="G1125" t="s">
        <v>1588</v>
      </c>
    </row>
    <row r="1126" spans="5:7" x14ac:dyDescent="0.35">
      <c r="E1126" t="s">
        <v>3803</v>
      </c>
      <c r="F1126" t="s">
        <v>4753</v>
      </c>
      <c r="G1126" t="s">
        <v>1588</v>
      </c>
    </row>
    <row r="1127" spans="5:7" x14ac:dyDescent="0.35">
      <c r="E1127" t="s">
        <v>3803</v>
      </c>
      <c r="F1127" t="s">
        <v>4754</v>
      </c>
      <c r="G1127" t="s">
        <v>1588</v>
      </c>
    </row>
    <row r="1128" spans="5:7" x14ac:dyDescent="0.35">
      <c r="E1128" t="s">
        <v>3803</v>
      </c>
      <c r="F1128" t="s">
        <v>4755</v>
      </c>
      <c r="G1128" t="s">
        <v>1588</v>
      </c>
    </row>
    <row r="1129" spans="5:7" x14ac:dyDescent="0.35">
      <c r="E1129" t="s">
        <v>3803</v>
      </c>
      <c r="F1129" t="s">
        <v>4756</v>
      </c>
      <c r="G1129" t="s">
        <v>1588</v>
      </c>
    </row>
    <row r="1130" spans="5:7" x14ac:dyDescent="0.35">
      <c r="E1130" t="s">
        <v>3803</v>
      </c>
      <c r="F1130" t="s">
        <v>4757</v>
      </c>
      <c r="G1130" t="s">
        <v>1588</v>
      </c>
    </row>
    <row r="1131" spans="5:7" x14ac:dyDescent="0.35">
      <c r="E1131" t="s">
        <v>3803</v>
      </c>
      <c r="F1131" t="s">
        <v>4758</v>
      </c>
      <c r="G1131" t="s">
        <v>1588</v>
      </c>
    </row>
    <row r="1132" spans="5:7" x14ac:dyDescent="0.35">
      <c r="E1132" t="s">
        <v>3803</v>
      </c>
      <c r="F1132" t="s">
        <v>4759</v>
      </c>
      <c r="G1132" t="s">
        <v>1588</v>
      </c>
    </row>
    <row r="1133" spans="5:7" x14ac:dyDescent="0.35">
      <c r="E1133" t="s">
        <v>3803</v>
      </c>
      <c r="F1133" t="s">
        <v>4760</v>
      </c>
      <c r="G1133" t="s">
        <v>1588</v>
      </c>
    </row>
    <row r="1134" spans="5:7" x14ac:dyDescent="0.35">
      <c r="E1134" t="s">
        <v>3803</v>
      </c>
      <c r="F1134" t="s">
        <v>4761</v>
      </c>
      <c r="G1134" t="s">
        <v>1588</v>
      </c>
    </row>
    <row r="1135" spans="5:7" x14ac:dyDescent="0.35">
      <c r="E1135" t="s">
        <v>3803</v>
      </c>
      <c r="F1135" t="s">
        <v>4762</v>
      </c>
      <c r="G1135" t="s">
        <v>1588</v>
      </c>
    </row>
    <row r="1136" spans="5:7" x14ac:dyDescent="0.35">
      <c r="E1136" t="s">
        <v>3803</v>
      </c>
      <c r="F1136" t="s">
        <v>4763</v>
      </c>
      <c r="G1136" t="s">
        <v>1588</v>
      </c>
    </row>
    <row r="1137" spans="5:7" x14ac:dyDescent="0.35">
      <c r="E1137" t="s">
        <v>3803</v>
      </c>
      <c r="F1137" t="s">
        <v>4764</v>
      </c>
      <c r="G1137" t="s">
        <v>1588</v>
      </c>
    </row>
    <row r="1138" spans="5:7" x14ac:dyDescent="0.35">
      <c r="E1138" t="s">
        <v>3803</v>
      </c>
      <c r="F1138" t="s">
        <v>4765</v>
      </c>
      <c r="G1138" t="s">
        <v>1588</v>
      </c>
    </row>
    <row r="1139" spans="5:7" x14ac:dyDescent="0.35">
      <c r="E1139" t="s">
        <v>3803</v>
      </c>
      <c r="F1139" t="s">
        <v>1033</v>
      </c>
      <c r="G1139" t="s">
        <v>1588</v>
      </c>
    </row>
    <row r="1140" spans="5:7" x14ac:dyDescent="0.35">
      <c r="E1140" t="s">
        <v>3803</v>
      </c>
      <c r="F1140" t="s">
        <v>4766</v>
      </c>
      <c r="G1140" t="s">
        <v>1588</v>
      </c>
    </row>
    <row r="1141" spans="5:7" x14ac:dyDescent="0.35">
      <c r="E1141" t="s">
        <v>3803</v>
      </c>
      <c r="F1141" t="s">
        <v>2715</v>
      </c>
      <c r="G1141" t="s">
        <v>1588</v>
      </c>
    </row>
    <row r="1142" spans="5:7" x14ac:dyDescent="0.35">
      <c r="E1142" t="s">
        <v>3803</v>
      </c>
      <c r="F1142" t="s">
        <v>2718</v>
      </c>
      <c r="G1142" t="s">
        <v>1588</v>
      </c>
    </row>
    <row r="1143" spans="5:7" x14ac:dyDescent="0.35">
      <c r="E1143" t="s">
        <v>3803</v>
      </c>
      <c r="F1143" t="s">
        <v>4767</v>
      </c>
      <c r="G1143" t="s">
        <v>1588</v>
      </c>
    </row>
    <row r="1144" spans="5:7" x14ac:dyDescent="0.35">
      <c r="E1144" t="s">
        <v>3803</v>
      </c>
      <c r="F1144" t="s">
        <v>4768</v>
      </c>
      <c r="G1144" t="s">
        <v>1588</v>
      </c>
    </row>
    <row r="1145" spans="5:7" x14ac:dyDescent="0.35">
      <c r="E1145" t="s">
        <v>3803</v>
      </c>
      <c r="F1145" t="s">
        <v>4769</v>
      </c>
      <c r="G1145" t="s">
        <v>1588</v>
      </c>
    </row>
    <row r="1146" spans="5:7" x14ac:dyDescent="0.35">
      <c r="E1146" t="s">
        <v>3803</v>
      </c>
      <c r="F1146" t="s">
        <v>4770</v>
      </c>
      <c r="G1146" t="s">
        <v>1588</v>
      </c>
    </row>
    <row r="1147" spans="5:7" x14ac:dyDescent="0.35">
      <c r="E1147" t="s">
        <v>3803</v>
      </c>
      <c r="F1147" t="s">
        <v>4771</v>
      </c>
      <c r="G1147" t="s">
        <v>1588</v>
      </c>
    </row>
    <row r="1148" spans="5:7" x14ac:dyDescent="0.35">
      <c r="E1148" t="s">
        <v>3803</v>
      </c>
      <c r="F1148" t="s">
        <v>4772</v>
      </c>
      <c r="G1148" t="s">
        <v>1588</v>
      </c>
    </row>
    <row r="1149" spans="5:7" x14ac:dyDescent="0.35">
      <c r="E1149" t="s">
        <v>3803</v>
      </c>
      <c r="F1149" t="s">
        <v>4773</v>
      </c>
      <c r="G1149" t="s">
        <v>1588</v>
      </c>
    </row>
    <row r="1150" spans="5:7" x14ac:dyDescent="0.35">
      <c r="E1150" t="s">
        <v>3803</v>
      </c>
      <c r="F1150" t="s">
        <v>4774</v>
      </c>
      <c r="G1150" t="s">
        <v>1588</v>
      </c>
    </row>
    <row r="1151" spans="5:7" x14ac:dyDescent="0.35">
      <c r="E1151" t="s">
        <v>3803</v>
      </c>
      <c r="F1151" t="s">
        <v>4775</v>
      </c>
      <c r="G1151" t="s">
        <v>1588</v>
      </c>
    </row>
    <row r="1152" spans="5:7" x14ac:dyDescent="0.35">
      <c r="E1152" t="s">
        <v>3803</v>
      </c>
      <c r="F1152" t="s">
        <v>4776</v>
      </c>
      <c r="G1152" t="s">
        <v>1588</v>
      </c>
    </row>
    <row r="1153" spans="5:7" x14ac:dyDescent="0.35">
      <c r="E1153" t="s">
        <v>3803</v>
      </c>
      <c r="F1153" t="s">
        <v>1115</v>
      </c>
      <c r="G1153" t="s">
        <v>1588</v>
      </c>
    </row>
    <row r="1154" spans="5:7" x14ac:dyDescent="0.35">
      <c r="E1154" t="s">
        <v>3803</v>
      </c>
      <c r="F1154" t="s">
        <v>4777</v>
      </c>
      <c r="G1154" t="s">
        <v>1588</v>
      </c>
    </row>
    <row r="1155" spans="5:7" x14ac:dyDescent="0.35">
      <c r="E1155" t="s">
        <v>3803</v>
      </c>
      <c r="F1155" t="s">
        <v>4778</v>
      </c>
      <c r="G1155" t="s">
        <v>1588</v>
      </c>
    </row>
    <row r="1156" spans="5:7" x14ac:dyDescent="0.35">
      <c r="E1156" t="s">
        <v>3803</v>
      </c>
      <c r="F1156" t="s">
        <v>4779</v>
      </c>
      <c r="G1156" t="s">
        <v>1588</v>
      </c>
    </row>
    <row r="1157" spans="5:7" x14ac:dyDescent="0.35">
      <c r="E1157" t="s">
        <v>3803</v>
      </c>
      <c r="F1157" t="s">
        <v>4780</v>
      </c>
      <c r="G1157" t="s">
        <v>1588</v>
      </c>
    </row>
    <row r="1158" spans="5:7" x14ac:dyDescent="0.35">
      <c r="E1158" t="s">
        <v>3803</v>
      </c>
      <c r="F1158" t="s">
        <v>4781</v>
      </c>
      <c r="G1158" t="s">
        <v>1588</v>
      </c>
    </row>
    <row r="1159" spans="5:7" x14ac:dyDescent="0.35">
      <c r="E1159" t="s">
        <v>3803</v>
      </c>
      <c r="F1159" t="s">
        <v>4782</v>
      </c>
      <c r="G1159" t="s">
        <v>1588</v>
      </c>
    </row>
    <row r="1160" spans="5:7" x14ac:dyDescent="0.35">
      <c r="E1160" t="s">
        <v>3803</v>
      </c>
      <c r="F1160" t="s">
        <v>4783</v>
      </c>
      <c r="G1160" t="s">
        <v>1588</v>
      </c>
    </row>
    <row r="1161" spans="5:7" x14ac:dyDescent="0.35">
      <c r="E1161" t="s">
        <v>3803</v>
      </c>
      <c r="F1161" t="s">
        <v>4784</v>
      </c>
      <c r="G1161" t="s">
        <v>1588</v>
      </c>
    </row>
    <row r="1162" spans="5:7" x14ac:dyDescent="0.35">
      <c r="E1162" t="s">
        <v>3803</v>
      </c>
      <c r="F1162" t="s">
        <v>4785</v>
      </c>
      <c r="G1162" t="s">
        <v>1588</v>
      </c>
    </row>
    <row r="1163" spans="5:7" x14ac:dyDescent="0.35">
      <c r="E1163" t="s">
        <v>3803</v>
      </c>
      <c r="F1163" t="s">
        <v>4786</v>
      </c>
      <c r="G1163" t="s">
        <v>1588</v>
      </c>
    </row>
    <row r="1164" spans="5:7" x14ac:dyDescent="0.35">
      <c r="E1164" t="s">
        <v>3803</v>
      </c>
      <c r="F1164" t="s">
        <v>4787</v>
      </c>
      <c r="G1164" t="s">
        <v>1588</v>
      </c>
    </row>
    <row r="1165" spans="5:7" x14ac:dyDescent="0.35">
      <c r="E1165" t="s">
        <v>3803</v>
      </c>
      <c r="F1165" t="s">
        <v>4788</v>
      </c>
      <c r="G1165" t="s">
        <v>1588</v>
      </c>
    </row>
    <row r="1166" spans="5:7" x14ac:dyDescent="0.35">
      <c r="E1166" t="s">
        <v>3803</v>
      </c>
      <c r="F1166" t="s">
        <v>4789</v>
      </c>
      <c r="G1166" t="s">
        <v>1588</v>
      </c>
    </row>
    <row r="1167" spans="5:7" x14ac:dyDescent="0.35">
      <c r="E1167" t="s">
        <v>3803</v>
      </c>
      <c r="F1167" t="s">
        <v>4790</v>
      </c>
      <c r="G1167" t="s">
        <v>1588</v>
      </c>
    </row>
    <row r="1168" spans="5:7" x14ac:dyDescent="0.35">
      <c r="E1168" t="s">
        <v>3803</v>
      </c>
      <c r="F1168" t="s">
        <v>4791</v>
      </c>
      <c r="G1168" t="s">
        <v>1588</v>
      </c>
    </row>
    <row r="1169" spans="5:7" x14ac:dyDescent="0.35">
      <c r="E1169" t="s">
        <v>3803</v>
      </c>
      <c r="F1169" t="s">
        <v>4792</v>
      </c>
      <c r="G1169" t="s">
        <v>1588</v>
      </c>
    </row>
    <row r="1170" spans="5:7" x14ac:dyDescent="0.35">
      <c r="E1170" t="s">
        <v>3803</v>
      </c>
      <c r="F1170" t="s">
        <v>4793</v>
      </c>
      <c r="G1170" t="s">
        <v>1588</v>
      </c>
    </row>
    <row r="1171" spans="5:7" x14ac:dyDescent="0.35">
      <c r="E1171" t="s">
        <v>3803</v>
      </c>
      <c r="F1171" t="s">
        <v>4794</v>
      </c>
      <c r="G1171" t="s">
        <v>1588</v>
      </c>
    </row>
    <row r="1172" spans="5:7" x14ac:dyDescent="0.35">
      <c r="E1172" t="s">
        <v>3803</v>
      </c>
      <c r="F1172" t="s">
        <v>4795</v>
      </c>
      <c r="G1172" t="s">
        <v>1588</v>
      </c>
    </row>
    <row r="1173" spans="5:7" x14ac:dyDescent="0.35">
      <c r="E1173" t="s">
        <v>3803</v>
      </c>
      <c r="F1173" t="s">
        <v>4796</v>
      </c>
      <c r="G1173" t="s">
        <v>1588</v>
      </c>
    </row>
    <row r="1174" spans="5:7" x14ac:dyDescent="0.35">
      <c r="E1174" t="s">
        <v>3803</v>
      </c>
      <c r="F1174" t="s">
        <v>4797</v>
      </c>
      <c r="G1174" t="s">
        <v>1588</v>
      </c>
    </row>
    <row r="1175" spans="5:7" x14ac:dyDescent="0.35">
      <c r="E1175" t="s">
        <v>3803</v>
      </c>
      <c r="F1175" t="s">
        <v>4798</v>
      </c>
      <c r="G1175" t="s">
        <v>1588</v>
      </c>
    </row>
    <row r="1176" spans="5:7" x14ac:dyDescent="0.35">
      <c r="E1176" t="s">
        <v>3803</v>
      </c>
      <c r="F1176" t="s">
        <v>4799</v>
      </c>
      <c r="G1176" t="s">
        <v>1588</v>
      </c>
    </row>
    <row r="1177" spans="5:7" x14ac:dyDescent="0.35">
      <c r="E1177" t="s">
        <v>3803</v>
      </c>
      <c r="F1177" t="s">
        <v>4800</v>
      </c>
      <c r="G1177" t="s">
        <v>1588</v>
      </c>
    </row>
    <row r="1178" spans="5:7" x14ac:dyDescent="0.35">
      <c r="E1178" t="s">
        <v>3803</v>
      </c>
      <c r="F1178" t="s">
        <v>4801</v>
      </c>
      <c r="G1178" t="s">
        <v>1588</v>
      </c>
    </row>
    <row r="1179" spans="5:7" x14ac:dyDescent="0.35">
      <c r="E1179" t="s">
        <v>3803</v>
      </c>
      <c r="F1179" t="s">
        <v>1237</v>
      </c>
      <c r="G1179" t="s">
        <v>1588</v>
      </c>
    </row>
    <row r="1180" spans="5:7" x14ac:dyDescent="0.35">
      <c r="E1180" t="s">
        <v>3803</v>
      </c>
      <c r="F1180" t="s">
        <v>4802</v>
      </c>
      <c r="G1180" t="s">
        <v>1588</v>
      </c>
    </row>
    <row r="1181" spans="5:7" x14ac:dyDescent="0.35">
      <c r="E1181" t="s">
        <v>3803</v>
      </c>
      <c r="F1181" t="s">
        <v>4803</v>
      </c>
      <c r="G1181" t="s">
        <v>1588</v>
      </c>
    </row>
    <row r="1182" spans="5:7" x14ac:dyDescent="0.35">
      <c r="E1182" t="s">
        <v>3803</v>
      </c>
      <c r="F1182" t="s">
        <v>4804</v>
      </c>
      <c r="G1182" t="s">
        <v>1588</v>
      </c>
    </row>
    <row r="1183" spans="5:7" x14ac:dyDescent="0.35">
      <c r="E1183" t="s">
        <v>3803</v>
      </c>
      <c r="F1183" t="s">
        <v>4805</v>
      </c>
      <c r="G1183" t="s">
        <v>1588</v>
      </c>
    </row>
    <row r="1184" spans="5:7" x14ac:dyDescent="0.35">
      <c r="E1184" t="s">
        <v>3803</v>
      </c>
      <c r="F1184" t="s">
        <v>4806</v>
      </c>
      <c r="G1184" t="s">
        <v>1588</v>
      </c>
    </row>
    <row r="1185" spans="5:7" x14ac:dyDescent="0.35">
      <c r="E1185" t="s">
        <v>3803</v>
      </c>
      <c r="F1185" t="s">
        <v>4807</v>
      </c>
      <c r="G1185" t="s">
        <v>1588</v>
      </c>
    </row>
    <row r="1186" spans="5:7" x14ac:dyDescent="0.35">
      <c r="E1186" t="s">
        <v>3803</v>
      </c>
      <c r="F1186" t="s">
        <v>4808</v>
      </c>
      <c r="G1186" t="s">
        <v>1588</v>
      </c>
    </row>
    <row r="1187" spans="5:7" x14ac:dyDescent="0.35">
      <c r="E1187" t="s">
        <v>3803</v>
      </c>
      <c r="F1187" t="s">
        <v>4809</v>
      </c>
      <c r="G1187" t="s">
        <v>1588</v>
      </c>
    </row>
    <row r="1188" spans="5:7" x14ac:dyDescent="0.35">
      <c r="E1188" t="s">
        <v>3803</v>
      </c>
      <c r="F1188" t="s">
        <v>4810</v>
      </c>
      <c r="G1188" t="s">
        <v>1588</v>
      </c>
    </row>
    <row r="1189" spans="5:7" x14ac:dyDescent="0.35">
      <c r="E1189" t="s">
        <v>3803</v>
      </c>
      <c r="F1189" t="s">
        <v>4811</v>
      </c>
      <c r="G1189" t="s">
        <v>1588</v>
      </c>
    </row>
    <row r="1190" spans="5:7" x14ac:dyDescent="0.35">
      <c r="E1190" t="s">
        <v>3803</v>
      </c>
      <c r="F1190" t="s">
        <v>4812</v>
      </c>
      <c r="G1190" t="s">
        <v>1588</v>
      </c>
    </row>
    <row r="1191" spans="5:7" x14ac:dyDescent="0.35">
      <c r="E1191" t="s">
        <v>3803</v>
      </c>
      <c r="F1191" t="s">
        <v>4813</v>
      </c>
      <c r="G1191" t="s">
        <v>1588</v>
      </c>
    </row>
    <row r="1192" spans="5:7" x14ac:dyDescent="0.35">
      <c r="E1192" t="s">
        <v>3803</v>
      </c>
      <c r="F1192" t="s">
        <v>4814</v>
      </c>
      <c r="G1192" t="s">
        <v>1588</v>
      </c>
    </row>
    <row r="1193" spans="5:7" x14ac:dyDescent="0.35">
      <c r="E1193" t="s">
        <v>3803</v>
      </c>
      <c r="F1193" t="s">
        <v>4815</v>
      </c>
      <c r="G1193" t="s">
        <v>1588</v>
      </c>
    </row>
    <row r="1194" spans="5:7" x14ac:dyDescent="0.35">
      <c r="E1194" t="s">
        <v>3803</v>
      </c>
      <c r="F1194" t="s">
        <v>4816</v>
      </c>
      <c r="G1194" t="s">
        <v>1588</v>
      </c>
    </row>
    <row r="1195" spans="5:7" x14ac:dyDescent="0.35">
      <c r="E1195" t="s">
        <v>3803</v>
      </c>
      <c r="F1195" t="s">
        <v>4817</v>
      </c>
      <c r="G1195" t="s">
        <v>1588</v>
      </c>
    </row>
    <row r="1196" spans="5:7" x14ac:dyDescent="0.35">
      <c r="E1196" t="s">
        <v>3803</v>
      </c>
      <c r="F1196" t="s">
        <v>4818</v>
      </c>
      <c r="G1196" t="s">
        <v>1588</v>
      </c>
    </row>
    <row r="1197" spans="5:7" x14ac:dyDescent="0.35">
      <c r="E1197" t="s">
        <v>3803</v>
      </c>
      <c r="F1197" t="s">
        <v>4819</v>
      </c>
      <c r="G1197" t="s">
        <v>1588</v>
      </c>
    </row>
    <row r="1198" spans="5:7" x14ac:dyDescent="0.35">
      <c r="E1198" t="s">
        <v>3803</v>
      </c>
      <c r="F1198" t="s">
        <v>4820</v>
      </c>
      <c r="G1198" t="s">
        <v>1588</v>
      </c>
    </row>
    <row r="1199" spans="5:7" x14ac:dyDescent="0.35">
      <c r="E1199" t="s">
        <v>3803</v>
      </c>
      <c r="F1199" t="s">
        <v>4821</v>
      </c>
      <c r="G1199" t="s">
        <v>1588</v>
      </c>
    </row>
    <row r="1200" spans="5:7" x14ac:dyDescent="0.35">
      <c r="E1200" t="s">
        <v>3803</v>
      </c>
      <c r="F1200" t="s">
        <v>4822</v>
      </c>
      <c r="G1200" t="s">
        <v>1588</v>
      </c>
    </row>
    <row r="1201" spans="5:7" x14ac:dyDescent="0.35">
      <c r="E1201" t="s">
        <v>3803</v>
      </c>
      <c r="F1201" t="s">
        <v>4823</v>
      </c>
      <c r="G1201" t="s">
        <v>1588</v>
      </c>
    </row>
    <row r="1202" spans="5:7" x14ac:dyDescent="0.35">
      <c r="E1202" t="s">
        <v>3803</v>
      </c>
      <c r="F1202" t="s">
        <v>4824</v>
      </c>
      <c r="G1202" t="s">
        <v>1588</v>
      </c>
    </row>
    <row r="1203" spans="5:7" x14ac:dyDescent="0.35">
      <c r="E1203" t="s">
        <v>3803</v>
      </c>
      <c r="F1203" t="s">
        <v>4825</v>
      </c>
      <c r="G1203" t="s">
        <v>1588</v>
      </c>
    </row>
    <row r="1204" spans="5:7" x14ac:dyDescent="0.35">
      <c r="E1204" t="s">
        <v>3803</v>
      </c>
      <c r="F1204" t="s">
        <v>4826</v>
      </c>
      <c r="G1204" t="s">
        <v>1588</v>
      </c>
    </row>
    <row r="1205" spans="5:7" x14ac:dyDescent="0.35">
      <c r="E1205" t="s">
        <v>3803</v>
      </c>
      <c r="F1205" t="s">
        <v>4827</v>
      </c>
      <c r="G1205" t="s">
        <v>1588</v>
      </c>
    </row>
    <row r="1206" spans="5:7" x14ac:dyDescent="0.35">
      <c r="E1206" t="s">
        <v>3803</v>
      </c>
      <c r="F1206" t="s">
        <v>4828</v>
      </c>
      <c r="G1206" t="s">
        <v>1588</v>
      </c>
    </row>
    <row r="1207" spans="5:7" x14ac:dyDescent="0.35">
      <c r="E1207" t="s">
        <v>3803</v>
      </c>
      <c r="F1207" t="s">
        <v>4829</v>
      </c>
      <c r="G1207" t="s">
        <v>1588</v>
      </c>
    </row>
    <row r="1208" spans="5:7" x14ac:dyDescent="0.35">
      <c r="E1208" t="s">
        <v>3803</v>
      </c>
      <c r="F1208" t="s">
        <v>4830</v>
      </c>
      <c r="G1208" t="s">
        <v>1588</v>
      </c>
    </row>
    <row r="1209" spans="5:7" x14ac:dyDescent="0.35">
      <c r="E1209" t="s">
        <v>3803</v>
      </c>
      <c r="F1209" t="s">
        <v>4831</v>
      </c>
      <c r="G1209" t="s">
        <v>1588</v>
      </c>
    </row>
    <row r="1210" spans="5:7" x14ac:dyDescent="0.35">
      <c r="E1210" t="s">
        <v>3803</v>
      </c>
      <c r="F1210" t="s">
        <v>4832</v>
      </c>
      <c r="G1210" t="s">
        <v>1588</v>
      </c>
    </row>
    <row r="1211" spans="5:7" x14ac:dyDescent="0.35">
      <c r="E1211" t="s">
        <v>3803</v>
      </c>
      <c r="F1211" t="s">
        <v>4833</v>
      </c>
      <c r="G1211" t="s">
        <v>1588</v>
      </c>
    </row>
    <row r="1212" spans="5:7" x14ac:dyDescent="0.35">
      <c r="E1212" t="s">
        <v>3803</v>
      </c>
      <c r="F1212" t="s">
        <v>4834</v>
      </c>
      <c r="G1212" t="s">
        <v>1588</v>
      </c>
    </row>
    <row r="1213" spans="5:7" x14ac:dyDescent="0.35">
      <c r="E1213" t="s">
        <v>3803</v>
      </c>
      <c r="F1213" t="s">
        <v>4835</v>
      </c>
      <c r="G1213" t="s">
        <v>1588</v>
      </c>
    </row>
    <row r="1214" spans="5:7" x14ac:dyDescent="0.35">
      <c r="E1214" t="s">
        <v>3803</v>
      </c>
      <c r="F1214" t="s">
        <v>4836</v>
      </c>
      <c r="G1214" t="s">
        <v>1588</v>
      </c>
    </row>
    <row r="1215" spans="5:7" x14ac:dyDescent="0.35">
      <c r="E1215" t="s">
        <v>3803</v>
      </c>
      <c r="F1215" t="s">
        <v>4837</v>
      </c>
      <c r="G1215" t="s">
        <v>1588</v>
      </c>
    </row>
    <row r="1216" spans="5:7" x14ac:dyDescent="0.35">
      <c r="E1216" t="s">
        <v>3803</v>
      </c>
      <c r="F1216" t="s">
        <v>4838</v>
      </c>
      <c r="G1216" t="s">
        <v>1588</v>
      </c>
    </row>
    <row r="1217" spans="5:7" x14ac:dyDescent="0.35">
      <c r="E1217" t="s">
        <v>3803</v>
      </c>
      <c r="F1217" t="s">
        <v>4839</v>
      </c>
      <c r="G1217" t="s">
        <v>1588</v>
      </c>
    </row>
    <row r="1218" spans="5:7" x14ac:dyDescent="0.35">
      <c r="E1218" t="s">
        <v>3803</v>
      </c>
      <c r="F1218" t="s">
        <v>4840</v>
      </c>
      <c r="G1218" t="s">
        <v>1588</v>
      </c>
    </row>
    <row r="1219" spans="5:7" x14ac:dyDescent="0.35">
      <c r="E1219" t="s">
        <v>3803</v>
      </c>
      <c r="F1219" t="s">
        <v>4841</v>
      </c>
      <c r="G1219" t="s">
        <v>1588</v>
      </c>
    </row>
    <row r="1220" spans="5:7" x14ac:dyDescent="0.35">
      <c r="E1220" t="s">
        <v>3803</v>
      </c>
      <c r="F1220" t="s">
        <v>4842</v>
      </c>
      <c r="G1220" t="s">
        <v>1588</v>
      </c>
    </row>
    <row r="1221" spans="5:7" x14ac:dyDescent="0.35">
      <c r="E1221" t="s">
        <v>3803</v>
      </c>
      <c r="F1221" t="s">
        <v>1353</v>
      </c>
      <c r="G1221" t="s">
        <v>1588</v>
      </c>
    </row>
    <row r="1222" spans="5:7" x14ac:dyDescent="0.35">
      <c r="E1222" t="s">
        <v>3803</v>
      </c>
      <c r="F1222" t="s">
        <v>4843</v>
      </c>
      <c r="G1222" t="s">
        <v>1588</v>
      </c>
    </row>
    <row r="1223" spans="5:7" x14ac:dyDescent="0.35">
      <c r="E1223" t="s">
        <v>3803</v>
      </c>
      <c r="F1223" t="s">
        <v>4844</v>
      </c>
      <c r="G1223" t="s">
        <v>1588</v>
      </c>
    </row>
    <row r="1224" spans="5:7" x14ac:dyDescent="0.35">
      <c r="E1224" t="s">
        <v>3803</v>
      </c>
      <c r="F1224" t="s">
        <v>4845</v>
      </c>
      <c r="G1224" t="s">
        <v>1588</v>
      </c>
    </row>
    <row r="1225" spans="5:7" x14ac:dyDescent="0.35">
      <c r="E1225" t="s">
        <v>3803</v>
      </c>
      <c r="F1225" t="s">
        <v>4846</v>
      </c>
      <c r="G1225" t="s">
        <v>1588</v>
      </c>
    </row>
    <row r="1226" spans="5:7" x14ac:dyDescent="0.35">
      <c r="E1226" t="s">
        <v>3803</v>
      </c>
      <c r="F1226" t="s">
        <v>4847</v>
      </c>
      <c r="G1226" t="s">
        <v>1588</v>
      </c>
    </row>
    <row r="1227" spans="5:7" x14ac:dyDescent="0.35">
      <c r="E1227" t="s">
        <v>3803</v>
      </c>
      <c r="F1227" t="s">
        <v>4848</v>
      </c>
      <c r="G1227" t="s">
        <v>1588</v>
      </c>
    </row>
    <row r="1228" spans="5:7" x14ac:dyDescent="0.35">
      <c r="E1228" t="s">
        <v>3803</v>
      </c>
      <c r="F1228" t="s">
        <v>4849</v>
      </c>
      <c r="G1228" t="s">
        <v>1588</v>
      </c>
    </row>
    <row r="1229" spans="5:7" x14ac:dyDescent="0.35">
      <c r="E1229" t="s">
        <v>3803</v>
      </c>
      <c r="F1229" t="s">
        <v>4850</v>
      </c>
      <c r="G1229" t="s">
        <v>1588</v>
      </c>
    </row>
    <row r="1230" spans="5:7" x14ac:dyDescent="0.35">
      <c r="E1230" t="s">
        <v>3803</v>
      </c>
      <c r="F1230" t="s">
        <v>4851</v>
      </c>
      <c r="G1230" t="s">
        <v>1588</v>
      </c>
    </row>
    <row r="1231" spans="5:7" x14ac:dyDescent="0.35">
      <c r="E1231" t="s">
        <v>3803</v>
      </c>
      <c r="F1231" t="s">
        <v>4852</v>
      </c>
      <c r="G1231" t="s">
        <v>1588</v>
      </c>
    </row>
    <row r="1232" spans="5:7" x14ac:dyDescent="0.35">
      <c r="E1232" t="s">
        <v>3803</v>
      </c>
      <c r="F1232" t="s">
        <v>4853</v>
      </c>
      <c r="G1232" t="s">
        <v>1588</v>
      </c>
    </row>
    <row r="1233" spans="5:7" x14ac:dyDescent="0.35">
      <c r="E1233" t="s">
        <v>3803</v>
      </c>
      <c r="F1233" t="s">
        <v>4854</v>
      </c>
      <c r="G1233" t="s">
        <v>1588</v>
      </c>
    </row>
    <row r="1234" spans="5:7" x14ac:dyDescent="0.35">
      <c r="E1234" t="s">
        <v>3803</v>
      </c>
      <c r="F1234" t="s">
        <v>4855</v>
      </c>
      <c r="G1234" t="s">
        <v>1588</v>
      </c>
    </row>
    <row r="1235" spans="5:7" x14ac:dyDescent="0.35">
      <c r="E1235" t="s">
        <v>3803</v>
      </c>
      <c r="F1235" t="s">
        <v>2721</v>
      </c>
      <c r="G1235" t="s">
        <v>1593</v>
      </c>
    </row>
    <row r="1236" spans="5:7" x14ac:dyDescent="0.35">
      <c r="E1236" t="s">
        <v>3803</v>
      </c>
      <c r="F1236" t="s">
        <v>312</v>
      </c>
      <c r="G1236" t="s">
        <v>1593</v>
      </c>
    </row>
    <row r="1237" spans="5:7" x14ac:dyDescent="0.35">
      <c r="E1237" t="s">
        <v>3803</v>
      </c>
      <c r="F1237" t="s">
        <v>4856</v>
      </c>
      <c r="G1237" t="s">
        <v>1593</v>
      </c>
    </row>
    <row r="1238" spans="5:7" x14ac:dyDescent="0.35">
      <c r="E1238" t="s">
        <v>3803</v>
      </c>
      <c r="F1238" t="s">
        <v>4857</v>
      </c>
      <c r="G1238" t="s">
        <v>1593</v>
      </c>
    </row>
    <row r="1239" spans="5:7" x14ac:dyDescent="0.35">
      <c r="E1239" t="s">
        <v>3803</v>
      </c>
      <c r="F1239" t="s">
        <v>4858</v>
      </c>
      <c r="G1239" t="s">
        <v>1593</v>
      </c>
    </row>
    <row r="1240" spans="5:7" x14ac:dyDescent="0.35">
      <c r="E1240" t="s">
        <v>3803</v>
      </c>
      <c r="F1240" t="s">
        <v>4859</v>
      </c>
      <c r="G1240" t="s">
        <v>1593</v>
      </c>
    </row>
    <row r="1241" spans="5:7" x14ac:dyDescent="0.35">
      <c r="E1241" t="s">
        <v>3803</v>
      </c>
      <c r="F1241" t="s">
        <v>4860</v>
      </c>
      <c r="G1241" t="s">
        <v>1593</v>
      </c>
    </row>
    <row r="1242" spans="5:7" x14ac:dyDescent="0.35">
      <c r="E1242" t="s">
        <v>3803</v>
      </c>
      <c r="F1242" t="s">
        <v>4861</v>
      </c>
      <c r="G1242" t="s">
        <v>1593</v>
      </c>
    </row>
    <row r="1243" spans="5:7" x14ac:dyDescent="0.35">
      <c r="E1243" t="s">
        <v>3803</v>
      </c>
      <c r="F1243" t="s">
        <v>4862</v>
      </c>
      <c r="G1243" t="s">
        <v>1593</v>
      </c>
    </row>
    <row r="1244" spans="5:7" x14ac:dyDescent="0.35">
      <c r="E1244" t="s">
        <v>3803</v>
      </c>
      <c r="F1244" t="s">
        <v>4863</v>
      </c>
      <c r="G1244" t="s">
        <v>1593</v>
      </c>
    </row>
    <row r="1245" spans="5:7" x14ac:dyDescent="0.35">
      <c r="E1245" t="s">
        <v>3803</v>
      </c>
      <c r="F1245" t="s">
        <v>4864</v>
      </c>
      <c r="G1245" t="s">
        <v>1593</v>
      </c>
    </row>
    <row r="1246" spans="5:7" x14ac:dyDescent="0.35">
      <c r="E1246" t="s">
        <v>3803</v>
      </c>
      <c r="F1246" t="s">
        <v>4865</v>
      </c>
      <c r="G1246" t="s">
        <v>1593</v>
      </c>
    </row>
    <row r="1247" spans="5:7" x14ac:dyDescent="0.35">
      <c r="E1247" t="s">
        <v>3803</v>
      </c>
      <c r="F1247" t="s">
        <v>4866</v>
      </c>
      <c r="G1247" t="s">
        <v>1593</v>
      </c>
    </row>
    <row r="1248" spans="5:7" x14ac:dyDescent="0.35">
      <c r="E1248" t="s">
        <v>3803</v>
      </c>
      <c r="F1248" t="s">
        <v>4867</v>
      </c>
      <c r="G1248" t="s">
        <v>1593</v>
      </c>
    </row>
    <row r="1249" spans="5:7" x14ac:dyDescent="0.35">
      <c r="E1249" t="s">
        <v>3803</v>
      </c>
      <c r="F1249" t="s">
        <v>4868</v>
      </c>
      <c r="G1249" t="s">
        <v>1593</v>
      </c>
    </row>
    <row r="1250" spans="5:7" x14ac:dyDescent="0.35">
      <c r="E1250" t="s">
        <v>3803</v>
      </c>
      <c r="F1250" t="s">
        <v>4869</v>
      </c>
      <c r="G1250" t="s">
        <v>1593</v>
      </c>
    </row>
    <row r="1251" spans="5:7" x14ac:dyDescent="0.35">
      <c r="E1251" t="s">
        <v>3803</v>
      </c>
      <c r="F1251" t="s">
        <v>4870</v>
      </c>
      <c r="G1251" t="s">
        <v>1593</v>
      </c>
    </row>
    <row r="1252" spans="5:7" x14ac:dyDescent="0.35">
      <c r="E1252" t="s">
        <v>3803</v>
      </c>
      <c r="F1252" t="s">
        <v>4871</v>
      </c>
      <c r="G1252" t="s">
        <v>1593</v>
      </c>
    </row>
    <row r="1253" spans="5:7" x14ac:dyDescent="0.35">
      <c r="E1253" t="s">
        <v>3803</v>
      </c>
      <c r="F1253" t="s">
        <v>4872</v>
      </c>
      <c r="G1253" t="s">
        <v>1593</v>
      </c>
    </row>
    <row r="1254" spans="5:7" x14ac:dyDescent="0.35">
      <c r="E1254" t="s">
        <v>3803</v>
      </c>
      <c r="F1254" t="s">
        <v>4873</v>
      </c>
      <c r="G1254" t="s">
        <v>1593</v>
      </c>
    </row>
    <row r="1255" spans="5:7" x14ac:dyDescent="0.35">
      <c r="E1255" t="s">
        <v>3803</v>
      </c>
      <c r="F1255" t="s">
        <v>4874</v>
      </c>
      <c r="G1255" t="s">
        <v>1593</v>
      </c>
    </row>
    <row r="1256" spans="5:7" x14ac:dyDescent="0.35">
      <c r="E1256" t="s">
        <v>3803</v>
      </c>
      <c r="F1256" t="s">
        <v>4875</v>
      </c>
      <c r="G1256" t="s">
        <v>1593</v>
      </c>
    </row>
    <row r="1257" spans="5:7" x14ac:dyDescent="0.35">
      <c r="E1257" t="s">
        <v>3803</v>
      </c>
      <c r="F1257" t="s">
        <v>4876</v>
      </c>
      <c r="G1257" t="s">
        <v>1593</v>
      </c>
    </row>
    <row r="1258" spans="5:7" x14ac:dyDescent="0.35">
      <c r="E1258" t="s">
        <v>3803</v>
      </c>
      <c r="F1258" t="s">
        <v>349</v>
      </c>
      <c r="G1258" t="s">
        <v>1593</v>
      </c>
    </row>
    <row r="1259" spans="5:7" x14ac:dyDescent="0.35">
      <c r="E1259" t="s">
        <v>3803</v>
      </c>
      <c r="F1259" t="s">
        <v>4877</v>
      </c>
      <c r="G1259" t="s">
        <v>1593</v>
      </c>
    </row>
    <row r="1260" spans="5:7" x14ac:dyDescent="0.35">
      <c r="E1260" t="s">
        <v>3803</v>
      </c>
      <c r="F1260" t="s">
        <v>4878</v>
      </c>
      <c r="G1260" t="s">
        <v>1593</v>
      </c>
    </row>
    <row r="1261" spans="5:7" x14ac:dyDescent="0.35">
      <c r="E1261" t="s">
        <v>3803</v>
      </c>
      <c r="F1261" t="s">
        <v>4879</v>
      </c>
      <c r="G1261" t="s">
        <v>1593</v>
      </c>
    </row>
    <row r="1262" spans="5:7" x14ac:dyDescent="0.35">
      <c r="E1262" t="s">
        <v>3803</v>
      </c>
      <c r="F1262" t="s">
        <v>4880</v>
      </c>
      <c r="G1262" t="s">
        <v>1593</v>
      </c>
    </row>
    <row r="1263" spans="5:7" x14ac:dyDescent="0.35">
      <c r="E1263" t="s">
        <v>3803</v>
      </c>
      <c r="F1263" t="s">
        <v>4881</v>
      </c>
      <c r="G1263" t="s">
        <v>1593</v>
      </c>
    </row>
    <row r="1264" spans="5:7" x14ac:dyDescent="0.35">
      <c r="E1264" t="s">
        <v>3803</v>
      </c>
      <c r="F1264" t="s">
        <v>4882</v>
      </c>
      <c r="G1264" t="s">
        <v>1593</v>
      </c>
    </row>
    <row r="1265" spans="5:7" x14ac:dyDescent="0.35">
      <c r="E1265" t="s">
        <v>3803</v>
      </c>
      <c r="F1265" t="s">
        <v>4883</v>
      </c>
      <c r="G1265" t="s">
        <v>1593</v>
      </c>
    </row>
    <row r="1266" spans="5:7" x14ac:dyDescent="0.35">
      <c r="E1266" t="s">
        <v>3803</v>
      </c>
      <c r="F1266" t="s">
        <v>4884</v>
      </c>
      <c r="G1266" t="s">
        <v>1593</v>
      </c>
    </row>
    <row r="1267" spans="5:7" x14ac:dyDescent="0.35">
      <c r="E1267" t="s">
        <v>3803</v>
      </c>
      <c r="F1267" t="s">
        <v>4885</v>
      </c>
      <c r="G1267" t="s">
        <v>1593</v>
      </c>
    </row>
    <row r="1268" spans="5:7" x14ac:dyDescent="0.35">
      <c r="E1268" t="s">
        <v>3803</v>
      </c>
      <c r="F1268" t="s">
        <v>4886</v>
      </c>
      <c r="G1268" t="s">
        <v>1593</v>
      </c>
    </row>
    <row r="1269" spans="5:7" x14ac:dyDescent="0.35">
      <c r="E1269" t="s">
        <v>3803</v>
      </c>
      <c r="F1269" t="s">
        <v>2724</v>
      </c>
      <c r="G1269" t="s">
        <v>1593</v>
      </c>
    </row>
    <row r="1270" spans="5:7" x14ac:dyDescent="0.35">
      <c r="E1270" t="s">
        <v>3803</v>
      </c>
      <c r="F1270" t="s">
        <v>4887</v>
      </c>
      <c r="G1270" t="s">
        <v>1593</v>
      </c>
    </row>
    <row r="1271" spans="5:7" x14ac:dyDescent="0.35">
      <c r="E1271" t="s">
        <v>3803</v>
      </c>
      <c r="F1271" t="s">
        <v>4888</v>
      </c>
      <c r="G1271" t="s">
        <v>1593</v>
      </c>
    </row>
    <row r="1272" spans="5:7" x14ac:dyDescent="0.35">
      <c r="E1272" t="s">
        <v>3803</v>
      </c>
      <c r="F1272" t="s">
        <v>4889</v>
      </c>
      <c r="G1272" t="s">
        <v>1593</v>
      </c>
    </row>
    <row r="1273" spans="5:7" x14ac:dyDescent="0.35">
      <c r="E1273" t="s">
        <v>3803</v>
      </c>
      <c r="F1273" t="s">
        <v>4890</v>
      </c>
      <c r="G1273" t="s">
        <v>1593</v>
      </c>
    </row>
    <row r="1274" spans="5:7" x14ac:dyDescent="0.35">
      <c r="E1274" t="s">
        <v>3803</v>
      </c>
      <c r="F1274" t="s">
        <v>4891</v>
      </c>
      <c r="G1274" t="s">
        <v>1593</v>
      </c>
    </row>
    <row r="1275" spans="5:7" x14ac:dyDescent="0.35">
      <c r="E1275" t="s">
        <v>3803</v>
      </c>
      <c r="F1275" t="s">
        <v>4892</v>
      </c>
      <c r="G1275" t="s">
        <v>1593</v>
      </c>
    </row>
    <row r="1276" spans="5:7" x14ac:dyDescent="0.35">
      <c r="E1276" t="s">
        <v>3803</v>
      </c>
      <c r="F1276" t="s">
        <v>4893</v>
      </c>
      <c r="G1276" t="s">
        <v>1593</v>
      </c>
    </row>
    <row r="1277" spans="5:7" x14ac:dyDescent="0.35">
      <c r="E1277" t="s">
        <v>3803</v>
      </c>
      <c r="F1277" t="s">
        <v>4894</v>
      </c>
      <c r="G1277" t="s">
        <v>1593</v>
      </c>
    </row>
    <row r="1278" spans="5:7" x14ac:dyDescent="0.35">
      <c r="E1278" t="s">
        <v>3803</v>
      </c>
      <c r="F1278" t="s">
        <v>4895</v>
      </c>
      <c r="G1278" t="s">
        <v>1593</v>
      </c>
    </row>
    <row r="1279" spans="5:7" x14ac:dyDescent="0.35">
      <c r="E1279" t="s">
        <v>3803</v>
      </c>
      <c r="F1279" t="s">
        <v>4896</v>
      </c>
      <c r="G1279" t="s">
        <v>1593</v>
      </c>
    </row>
    <row r="1280" spans="5:7" x14ac:dyDescent="0.35">
      <c r="E1280" t="s">
        <v>3803</v>
      </c>
      <c r="F1280" t="s">
        <v>4897</v>
      </c>
      <c r="G1280" t="s">
        <v>1593</v>
      </c>
    </row>
    <row r="1281" spans="5:7" x14ac:dyDescent="0.35">
      <c r="E1281" t="s">
        <v>3803</v>
      </c>
      <c r="F1281" t="s">
        <v>4898</v>
      </c>
      <c r="G1281" t="s">
        <v>1593</v>
      </c>
    </row>
    <row r="1282" spans="5:7" x14ac:dyDescent="0.35">
      <c r="E1282" t="s">
        <v>3803</v>
      </c>
      <c r="F1282" t="s">
        <v>4899</v>
      </c>
      <c r="G1282" t="s">
        <v>1593</v>
      </c>
    </row>
    <row r="1283" spans="5:7" x14ac:dyDescent="0.35">
      <c r="E1283" t="s">
        <v>3803</v>
      </c>
      <c r="F1283" t="s">
        <v>4900</v>
      </c>
      <c r="G1283" t="s">
        <v>1593</v>
      </c>
    </row>
    <row r="1284" spans="5:7" x14ac:dyDescent="0.35">
      <c r="E1284" t="s">
        <v>3803</v>
      </c>
      <c r="F1284" t="s">
        <v>4901</v>
      </c>
      <c r="G1284" t="s">
        <v>1593</v>
      </c>
    </row>
    <row r="1285" spans="5:7" x14ac:dyDescent="0.35">
      <c r="E1285" t="s">
        <v>3803</v>
      </c>
      <c r="F1285" t="s">
        <v>4902</v>
      </c>
      <c r="G1285" t="s">
        <v>1593</v>
      </c>
    </row>
    <row r="1286" spans="5:7" x14ac:dyDescent="0.35">
      <c r="E1286" t="s">
        <v>3803</v>
      </c>
      <c r="F1286" t="s">
        <v>4903</v>
      </c>
      <c r="G1286" t="s">
        <v>1593</v>
      </c>
    </row>
    <row r="1287" spans="5:7" x14ac:dyDescent="0.35">
      <c r="E1287" t="s">
        <v>3803</v>
      </c>
      <c r="F1287" t="s">
        <v>4904</v>
      </c>
      <c r="G1287" t="s">
        <v>1593</v>
      </c>
    </row>
    <row r="1288" spans="5:7" x14ac:dyDescent="0.35">
      <c r="E1288" t="s">
        <v>3803</v>
      </c>
      <c r="F1288" t="s">
        <v>4905</v>
      </c>
      <c r="G1288" t="s">
        <v>1593</v>
      </c>
    </row>
    <row r="1289" spans="5:7" x14ac:dyDescent="0.35">
      <c r="E1289" t="s">
        <v>3803</v>
      </c>
      <c r="F1289" t="s">
        <v>4906</v>
      </c>
      <c r="G1289" t="s">
        <v>1593</v>
      </c>
    </row>
    <row r="1290" spans="5:7" x14ac:dyDescent="0.35">
      <c r="E1290" t="s">
        <v>3803</v>
      </c>
      <c r="F1290" t="s">
        <v>4907</v>
      </c>
      <c r="G1290" t="s">
        <v>1593</v>
      </c>
    </row>
    <row r="1291" spans="5:7" x14ac:dyDescent="0.35">
      <c r="E1291" t="s">
        <v>3803</v>
      </c>
      <c r="F1291" t="s">
        <v>4908</v>
      </c>
      <c r="G1291" t="s">
        <v>1593</v>
      </c>
    </row>
    <row r="1292" spans="5:7" x14ac:dyDescent="0.35">
      <c r="E1292" t="s">
        <v>3803</v>
      </c>
      <c r="F1292" t="s">
        <v>4909</v>
      </c>
      <c r="G1292" t="s">
        <v>1593</v>
      </c>
    </row>
    <row r="1293" spans="5:7" x14ac:dyDescent="0.35">
      <c r="E1293" t="s">
        <v>3803</v>
      </c>
      <c r="F1293" t="s">
        <v>4910</v>
      </c>
      <c r="G1293" t="s">
        <v>1593</v>
      </c>
    </row>
    <row r="1294" spans="5:7" x14ac:dyDescent="0.35">
      <c r="E1294" t="s">
        <v>3803</v>
      </c>
      <c r="F1294" t="s">
        <v>4911</v>
      </c>
      <c r="G1294" t="s">
        <v>1593</v>
      </c>
    </row>
    <row r="1295" spans="5:7" x14ac:dyDescent="0.35">
      <c r="E1295" t="s">
        <v>3803</v>
      </c>
      <c r="F1295" t="s">
        <v>4912</v>
      </c>
      <c r="G1295" t="s">
        <v>1593</v>
      </c>
    </row>
    <row r="1296" spans="5:7" x14ac:dyDescent="0.35">
      <c r="E1296" t="s">
        <v>3803</v>
      </c>
      <c r="F1296" t="s">
        <v>4913</v>
      </c>
      <c r="G1296" t="s">
        <v>1593</v>
      </c>
    </row>
    <row r="1297" spans="5:7" x14ac:dyDescent="0.35">
      <c r="E1297" t="s">
        <v>3803</v>
      </c>
      <c r="F1297" t="s">
        <v>4914</v>
      </c>
      <c r="G1297" t="s">
        <v>1593</v>
      </c>
    </row>
    <row r="1298" spans="5:7" x14ac:dyDescent="0.35">
      <c r="E1298" t="s">
        <v>3803</v>
      </c>
      <c r="F1298" t="s">
        <v>4915</v>
      </c>
      <c r="G1298" t="s">
        <v>1593</v>
      </c>
    </row>
    <row r="1299" spans="5:7" x14ac:dyDescent="0.35">
      <c r="E1299" t="s">
        <v>3803</v>
      </c>
      <c r="F1299" t="s">
        <v>4916</v>
      </c>
      <c r="G1299" t="s">
        <v>1593</v>
      </c>
    </row>
    <row r="1300" spans="5:7" x14ac:dyDescent="0.35">
      <c r="E1300" t="s">
        <v>3803</v>
      </c>
      <c r="F1300" t="s">
        <v>4917</v>
      </c>
      <c r="G1300" t="s">
        <v>1593</v>
      </c>
    </row>
    <row r="1301" spans="5:7" x14ac:dyDescent="0.35">
      <c r="E1301" t="s">
        <v>3803</v>
      </c>
      <c r="F1301" t="s">
        <v>4918</v>
      </c>
      <c r="G1301" t="s">
        <v>1593</v>
      </c>
    </row>
    <row r="1302" spans="5:7" x14ac:dyDescent="0.35">
      <c r="E1302" t="s">
        <v>3803</v>
      </c>
      <c r="F1302" t="s">
        <v>402</v>
      </c>
      <c r="G1302" t="s">
        <v>1593</v>
      </c>
    </row>
    <row r="1303" spans="5:7" x14ac:dyDescent="0.35">
      <c r="E1303" t="s">
        <v>3803</v>
      </c>
      <c r="F1303" t="s">
        <v>4919</v>
      </c>
      <c r="G1303" t="s">
        <v>1593</v>
      </c>
    </row>
    <row r="1304" spans="5:7" x14ac:dyDescent="0.35">
      <c r="E1304" t="s">
        <v>3803</v>
      </c>
      <c r="F1304" t="s">
        <v>4920</v>
      </c>
      <c r="G1304" t="s">
        <v>1593</v>
      </c>
    </row>
    <row r="1305" spans="5:7" x14ac:dyDescent="0.35">
      <c r="E1305" t="s">
        <v>3803</v>
      </c>
      <c r="F1305" t="s">
        <v>4921</v>
      </c>
      <c r="G1305" t="s">
        <v>1593</v>
      </c>
    </row>
    <row r="1306" spans="5:7" x14ac:dyDescent="0.35">
      <c r="E1306" t="s">
        <v>3803</v>
      </c>
      <c r="F1306" t="s">
        <v>4922</v>
      </c>
      <c r="G1306" t="s">
        <v>1593</v>
      </c>
    </row>
    <row r="1307" spans="5:7" x14ac:dyDescent="0.35">
      <c r="E1307" t="s">
        <v>3803</v>
      </c>
      <c r="F1307" t="s">
        <v>4923</v>
      </c>
      <c r="G1307" t="s">
        <v>1593</v>
      </c>
    </row>
    <row r="1308" spans="5:7" x14ac:dyDescent="0.35">
      <c r="E1308" t="s">
        <v>3803</v>
      </c>
      <c r="F1308" t="s">
        <v>4924</v>
      </c>
      <c r="G1308" t="s">
        <v>1593</v>
      </c>
    </row>
    <row r="1309" spans="5:7" x14ac:dyDescent="0.35">
      <c r="E1309" t="s">
        <v>3803</v>
      </c>
      <c r="F1309" t="s">
        <v>4925</v>
      </c>
      <c r="G1309" t="s">
        <v>1593</v>
      </c>
    </row>
    <row r="1310" spans="5:7" x14ac:dyDescent="0.35">
      <c r="E1310" t="s">
        <v>3803</v>
      </c>
      <c r="F1310" t="s">
        <v>2727</v>
      </c>
      <c r="G1310" t="s">
        <v>1593</v>
      </c>
    </row>
    <row r="1311" spans="5:7" x14ac:dyDescent="0.35">
      <c r="E1311" t="s">
        <v>3803</v>
      </c>
      <c r="F1311" t="s">
        <v>2730</v>
      </c>
      <c r="G1311" t="s">
        <v>1593</v>
      </c>
    </row>
    <row r="1312" spans="5:7" x14ac:dyDescent="0.35">
      <c r="E1312" t="s">
        <v>3803</v>
      </c>
      <c r="F1312" t="s">
        <v>441</v>
      </c>
      <c r="G1312" t="s">
        <v>1593</v>
      </c>
    </row>
    <row r="1313" spans="5:7" x14ac:dyDescent="0.35">
      <c r="E1313" t="s">
        <v>3803</v>
      </c>
      <c r="F1313" t="s">
        <v>4926</v>
      </c>
      <c r="G1313" t="s">
        <v>1593</v>
      </c>
    </row>
    <row r="1314" spans="5:7" x14ac:dyDescent="0.35">
      <c r="E1314" t="s">
        <v>3803</v>
      </c>
      <c r="F1314" t="s">
        <v>4927</v>
      </c>
      <c r="G1314" t="s">
        <v>1593</v>
      </c>
    </row>
    <row r="1315" spans="5:7" x14ac:dyDescent="0.35">
      <c r="E1315" t="s">
        <v>3803</v>
      </c>
      <c r="F1315" t="s">
        <v>4928</v>
      </c>
      <c r="G1315" t="s">
        <v>1593</v>
      </c>
    </row>
    <row r="1316" spans="5:7" x14ac:dyDescent="0.35">
      <c r="E1316" t="s">
        <v>3803</v>
      </c>
      <c r="F1316" t="s">
        <v>4929</v>
      </c>
      <c r="G1316" t="s">
        <v>1593</v>
      </c>
    </row>
    <row r="1317" spans="5:7" x14ac:dyDescent="0.35">
      <c r="E1317" t="s">
        <v>3803</v>
      </c>
      <c r="F1317" t="s">
        <v>4930</v>
      </c>
      <c r="G1317" t="s">
        <v>1593</v>
      </c>
    </row>
    <row r="1318" spans="5:7" x14ac:dyDescent="0.35">
      <c r="E1318" t="s">
        <v>3803</v>
      </c>
      <c r="F1318" t="s">
        <v>4931</v>
      </c>
      <c r="G1318" t="s">
        <v>1593</v>
      </c>
    </row>
    <row r="1319" spans="5:7" x14ac:dyDescent="0.35">
      <c r="E1319" t="s">
        <v>3803</v>
      </c>
      <c r="F1319" t="s">
        <v>4932</v>
      </c>
      <c r="G1319" t="s">
        <v>1593</v>
      </c>
    </row>
    <row r="1320" spans="5:7" x14ac:dyDescent="0.35">
      <c r="E1320" t="s">
        <v>3803</v>
      </c>
      <c r="F1320" t="s">
        <v>4933</v>
      </c>
      <c r="G1320" t="s">
        <v>1593</v>
      </c>
    </row>
    <row r="1321" spans="5:7" x14ac:dyDescent="0.35">
      <c r="E1321" t="s">
        <v>3803</v>
      </c>
      <c r="F1321" t="s">
        <v>4934</v>
      </c>
      <c r="G1321" t="s">
        <v>1593</v>
      </c>
    </row>
    <row r="1322" spans="5:7" x14ac:dyDescent="0.35">
      <c r="E1322" t="s">
        <v>3803</v>
      </c>
      <c r="F1322" t="s">
        <v>4935</v>
      </c>
      <c r="G1322" t="s">
        <v>1593</v>
      </c>
    </row>
    <row r="1323" spans="5:7" x14ac:dyDescent="0.35">
      <c r="E1323" t="s">
        <v>3803</v>
      </c>
      <c r="F1323" t="s">
        <v>4936</v>
      </c>
      <c r="G1323" t="s">
        <v>1593</v>
      </c>
    </row>
    <row r="1324" spans="5:7" x14ac:dyDescent="0.35">
      <c r="E1324" t="s">
        <v>3803</v>
      </c>
      <c r="F1324" t="s">
        <v>4937</v>
      </c>
      <c r="G1324" t="s">
        <v>1593</v>
      </c>
    </row>
    <row r="1325" spans="5:7" x14ac:dyDescent="0.35">
      <c r="E1325" t="s">
        <v>3803</v>
      </c>
      <c r="F1325" t="s">
        <v>4938</v>
      </c>
      <c r="G1325" t="s">
        <v>1593</v>
      </c>
    </row>
    <row r="1326" spans="5:7" x14ac:dyDescent="0.35">
      <c r="E1326" t="s">
        <v>3803</v>
      </c>
      <c r="F1326" t="s">
        <v>4939</v>
      </c>
      <c r="G1326" t="s">
        <v>1593</v>
      </c>
    </row>
    <row r="1327" spans="5:7" x14ac:dyDescent="0.35">
      <c r="E1327" t="s">
        <v>3803</v>
      </c>
      <c r="F1327" t="s">
        <v>4940</v>
      </c>
      <c r="G1327" t="s">
        <v>1593</v>
      </c>
    </row>
    <row r="1328" spans="5:7" x14ac:dyDescent="0.35">
      <c r="E1328" t="s">
        <v>3803</v>
      </c>
      <c r="F1328" t="s">
        <v>4941</v>
      </c>
      <c r="G1328" t="s">
        <v>1593</v>
      </c>
    </row>
    <row r="1329" spans="5:7" x14ac:dyDescent="0.35">
      <c r="E1329" t="s">
        <v>3803</v>
      </c>
      <c r="F1329" t="s">
        <v>4942</v>
      </c>
      <c r="G1329" t="s">
        <v>1593</v>
      </c>
    </row>
    <row r="1330" spans="5:7" x14ac:dyDescent="0.35">
      <c r="E1330" t="s">
        <v>3803</v>
      </c>
      <c r="F1330" t="s">
        <v>4943</v>
      </c>
      <c r="G1330" t="s">
        <v>1593</v>
      </c>
    </row>
    <row r="1331" spans="5:7" x14ac:dyDescent="0.35">
      <c r="E1331" t="s">
        <v>3803</v>
      </c>
      <c r="F1331" t="s">
        <v>4944</v>
      </c>
      <c r="G1331" t="s">
        <v>1593</v>
      </c>
    </row>
    <row r="1332" spans="5:7" x14ac:dyDescent="0.35">
      <c r="E1332" t="s">
        <v>3803</v>
      </c>
      <c r="F1332" t="s">
        <v>4945</v>
      </c>
      <c r="G1332" t="s">
        <v>1593</v>
      </c>
    </row>
    <row r="1333" spans="5:7" x14ac:dyDescent="0.35">
      <c r="E1333" t="s">
        <v>3803</v>
      </c>
      <c r="F1333" t="s">
        <v>462</v>
      </c>
      <c r="G1333" t="s">
        <v>1593</v>
      </c>
    </row>
    <row r="1334" spans="5:7" x14ac:dyDescent="0.35">
      <c r="E1334" t="s">
        <v>3803</v>
      </c>
      <c r="F1334" t="s">
        <v>4946</v>
      </c>
      <c r="G1334" t="s">
        <v>1593</v>
      </c>
    </row>
    <row r="1335" spans="5:7" x14ac:dyDescent="0.35">
      <c r="E1335" t="s">
        <v>3803</v>
      </c>
      <c r="F1335" t="s">
        <v>2733</v>
      </c>
      <c r="G1335" t="s">
        <v>1593</v>
      </c>
    </row>
    <row r="1336" spans="5:7" x14ac:dyDescent="0.35">
      <c r="E1336" t="s">
        <v>3803</v>
      </c>
      <c r="F1336" t="s">
        <v>2736</v>
      </c>
      <c r="G1336" t="s">
        <v>1593</v>
      </c>
    </row>
    <row r="1337" spans="5:7" x14ac:dyDescent="0.35">
      <c r="E1337" t="s">
        <v>3803</v>
      </c>
      <c r="F1337" t="s">
        <v>2739</v>
      </c>
      <c r="G1337" t="s">
        <v>1593</v>
      </c>
    </row>
    <row r="1338" spans="5:7" x14ac:dyDescent="0.35">
      <c r="E1338" t="s">
        <v>3803</v>
      </c>
      <c r="F1338" t="s">
        <v>504</v>
      </c>
      <c r="G1338" t="s">
        <v>1593</v>
      </c>
    </row>
    <row r="1339" spans="5:7" x14ac:dyDescent="0.35">
      <c r="E1339" t="s">
        <v>3803</v>
      </c>
      <c r="F1339" t="s">
        <v>4947</v>
      </c>
      <c r="G1339" t="s">
        <v>1593</v>
      </c>
    </row>
    <row r="1340" spans="5:7" x14ac:dyDescent="0.35">
      <c r="E1340" t="s">
        <v>3803</v>
      </c>
      <c r="F1340" t="s">
        <v>4948</v>
      </c>
      <c r="G1340" t="s">
        <v>1593</v>
      </c>
    </row>
    <row r="1341" spans="5:7" x14ac:dyDescent="0.35">
      <c r="E1341" t="s">
        <v>3803</v>
      </c>
      <c r="F1341" t="s">
        <v>4949</v>
      </c>
      <c r="G1341" t="s">
        <v>1593</v>
      </c>
    </row>
    <row r="1342" spans="5:7" x14ac:dyDescent="0.35">
      <c r="E1342" t="s">
        <v>3803</v>
      </c>
      <c r="F1342" t="s">
        <v>4950</v>
      </c>
      <c r="G1342" t="s">
        <v>1593</v>
      </c>
    </row>
    <row r="1343" spans="5:7" x14ac:dyDescent="0.35">
      <c r="E1343" t="s">
        <v>3803</v>
      </c>
      <c r="F1343" t="s">
        <v>4951</v>
      </c>
      <c r="G1343" t="s">
        <v>1593</v>
      </c>
    </row>
    <row r="1344" spans="5:7" x14ac:dyDescent="0.35">
      <c r="E1344" t="s">
        <v>3803</v>
      </c>
      <c r="F1344" t="s">
        <v>4952</v>
      </c>
      <c r="G1344" t="s">
        <v>1593</v>
      </c>
    </row>
    <row r="1345" spans="5:7" x14ac:dyDescent="0.35">
      <c r="E1345" t="s">
        <v>3803</v>
      </c>
      <c r="F1345" t="s">
        <v>4953</v>
      </c>
      <c r="G1345" t="s">
        <v>1593</v>
      </c>
    </row>
    <row r="1346" spans="5:7" x14ac:dyDescent="0.35">
      <c r="E1346" t="s">
        <v>3803</v>
      </c>
      <c r="F1346" t="s">
        <v>4954</v>
      </c>
      <c r="G1346" t="s">
        <v>1593</v>
      </c>
    </row>
    <row r="1347" spans="5:7" x14ac:dyDescent="0.35">
      <c r="E1347" t="s">
        <v>3803</v>
      </c>
      <c r="F1347" t="s">
        <v>4955</v>
      </c>
      <c r="G1347" t="s">
        <v>1593</v>
      </c>
    </row>
    <row r="1348" spans="5:7" x14ac:dyDescent="0.35">
      <c r="E1348" t="s">
        <v>3803</v>
      </c>
      <c r="F1348" t="s">
        <v>4956</v>
      </c>
      <c r="G1348" t="s">
        <v>1593</v>
      </c>
    </row>
    <row r="1349" spans="5:7" x14ac:dyDescent="0.35">
      <c r="E1349" t="s">
        <v>3803</v>
      </c>
      <c r="F1349" t="s">
        <v>4957</v>
      </c>
      <c r="G1349" t="s">
        <v>1593</v>
      </c>
    </row>
    <row r="1350" spans="5:7" x14ac:dyDescent="0.35">
      <c r="E1350" t="s">
        <v>3803</v>
      </c>
      <c r="F1350" t="s">
        <v>4958</v>
      </c>
      <c r="G1350" t="s">
        <v>1593</v>
      </c>
    </row>
    <row r="1351" spans="5:7" x14ac:dyDescent="0.35">
      <c r="E1351" t="s">
        <v>3803</v>
      </c>
      <c r="F1351" t="s">
        <v>4959</v>
      </c>
      <c r="G1351" t="s">
        <v>1593</v>
      </c>
    </row>
    <row r="1352" spans="5:7" x14ac:dyDescent="0.35">
      <c r="E1352" t="s">
        <v>3803</v>
      </c>
      <c r="F1352" t="s">
        <v>4960</v>
      </c>
      <c r="G1352" t="s">
        <v>1593</v>
      </c>
    </row>
    <row r="1353" spans="5:7" x14ac:dyDescent="0.35">
      <c r="E1353" t="s">
        <v>3803</v>
      </c>
      <c r="F1353" t="s">
        <v>4961</v>
      </c>
      <c r="G1353" t="s">
        <v>1593</v>
      </c>
    </row>
    <row r="1354" spans="5:7" x14ac:dyDescent="0.35">
      <c r="E1354" t="s">
        <v>3803</v>
      </c>
      <c r="F1354" t="s">
        <v>4962</v>
      </c>
      <c r="G1354" t="s">
        <v>1593</v>
      </c>
    </row>
    <row r="1355" spans="5:7" x14ac:dyDescent="0.35">
      <c r="E1355" t="s">
        <v>3803</v>
      </c>
      <c r="F1355" t="s">
        <v>4963</v>
      </c>
      <c r="G1355" t="s">
        <v>1593</v>
      </c>
    </row>
    <row r="1356" spans="5:7" x14ac:dyDescent="0.35">
      <c r="E1356" t="s">
        <v>3803</v>
      </c>
      <c r="F1356" t="s">
        <v>4964</v>
      </c>
      <c r="G1356" t="s">
        <v>1593</v>
      </c>
    </row>
    <row r="1357" spans="5:7" x14ac:dyDescent="0.35">
      <c r="E1357" t="s">
        <v>3803</v>
      </c>
      <c r="F1357" t="s">
        <v>4965</v>
      </c>
      <c r="G1357" t="s">
        <v>1593</v>
      </c>
    </row>
    <row r="1358" spans="5:7" x14ac:dyDescent="0.35">
      <c r="E1358" t="s">
        <v>3803</v>
      </c>
      <c r="F1358" t="s">
        <v>4966</v>
      </c>
      <c r="G1358" t="s">
        <v>1593</v>
      </c>
    </row>
    <row r="1359" spans="5:7" x14ac:dyDescent="0.35">
      <c r="E1359" t="s">
        <v>3803</v>
      </c>
      <c r="F1359" t="s">
        <v>4967</v>
      </c>
      <c r="G1359" t="s">
        <v>1593</v>
      </c>
    </row>
    <row r="1360" spans="5:7" x14ac:dyDescent="0.35">
      <c r="E1360" t="s">
        <v>3803</v>
      </c>
      <c r="F1360" t="s">
        <v>4968</v>
      </c>
      <c r="G1360" t="s">
        <v>1593</v>
      </c>
    </row>
    <row r="1361" spans="5:7" x14ac:dyDescent="0.35">
      <c r="E1361" t="s">
        <v>3803</v>
      </c>
      <c r="F1361" t="s">
        <v>4969</v>
      </c>
      <c r="G1361" t="s">
        <v>1593</v>
      </c>
    </row>
    <row r="1362" spans="5:7" x14ac:dyDescent="0.35">
      <c r="E1362" t="s">
        <v>3803</v>
      </c>
      <c r="F1362" t="s">
        <v>4970</v>
      </c>
      <c r="G1362" t="s">
        <v>1593</v>
      </c>
    </row>
    <row r="1363" spans="5:7" x14ac:dyDescent="0.35">
      <c r="E1363" t="s">
        <v>3803</v>
      </c>
      <c r="F1363" t="s">
        <v>548</v>
      </c>
      <c r="G1363" t="s">
        <v>1593</v>
      </c>
    </row>
    <row r="1364" spans="5:7" x14ac:dyDescent="0.35">
      <c r="E1364" t="s">
        <v>3803</v>
      </c>
      <c r="F1364" t="s">
        <v>4971</v>
      </c>
      <c r="G1364" t="s">
        <v>1593</v>
      </c>
    </row>
    <row r="1365" spans="5:7" x14ac:dyDescent="0.35">
      <c r="E1365" t="s">
        <v>3803</v>
      </c>
      <c r="F1365" t="s">
        <v>4972</v>
      </c>
      <c r="G1365" t="s">
        <v>1593</v>
      </c>
    </row>
    <row r="1366" spans="5:7" x14ac:dyDescent="0.35">
      <c r="E1366" t="s">
        <v>3803</v>
      </c>
      <c r="F1366" t="s">
        <v>2742</v>
      </c>
      <c r="G1366" t="s">
        <v>1593</v>
      </c>
    </row>
    <row r="1367" spans="5:7" x14ac:dyDescent="0.35">
      <c r="E1367" t="s">
        <v>3803</v>
      </c>
      <c r="F1367" t="s">
        <v>4973</v>
      </c>
      <c r="G1367" t="s">
        <v>1593</v>
      </c>
    </row>
    <row r="1368" spans="5:7" x14ac:dyDescent="0.35">
      <c r="E1368" t="s">
        <v>3803</v>
      </c>
      <c r="F1368" t="s">
        <v>4974</v>
      </c>
      <c r="G1368" t="s">
        <v>1593</v>
      </c>
    </row>
    <row r="1369" spans="5:7" x14ac:dyDescent="0.35">
      <c r="E1369" t="s">
        <v>3803</v>
      </c>
      <c r="F1369" t="s">
        <v>4975</v>
      </c>
      <c r="G1369" t="s">
        <v>1593</v>
      </c>
    </row>
    <row r="1370" spans="5:7" x14ac:dyDescent="0.35">
      <c r="E1370" t="s">
        <v>3803</v>
      </c>
      <c r="F1370" t="s">
        <v>4976</v>
      </c>
      <c r="G1370" t="s">
        <v>1593</v>
      </c>
    </row>
    <row r="1371" spans="5:7" x14ac:dyDescent="0.35">
      <c r="E1371" t="s">
        <v>3803</v>
      </c>
      <c r="F1371" t="s">
        <v>4977</v>
      </c>
      <c r="G1371" t="s">
        <v>1593</v>
      </c>
    </row>
    <row r="1372" spans="5:7" x14ac:dyDescent="0.35">
      <c r="E1372" t="s">
        <v>3803</v>
      </c>
      <c r="F1372" t="s">
        <v>4978</v>
      </c>
      <c r="G1372" t="s">
        <v>1593</v>
      </c>
    </row>
    <row r="1373" spans="5:7" x14ac:dyDescent="0.35">
      <c r="E1373" t="s">
        <v>3803</v>
      </c>
      <c r="F1373" t="s">
        <v>4979</v>
      </c>
      <c r="G1373" t="s">
        <v>1593</v>
      </c>
    </row>
    <row r="1374" spans="5:7" x14ac:dyDescent="0.35">
      <c r="E1374" t="s">
        <v>3803</v>
      </c>
      <c r="F1374" t="s">
        <v>4980</v>
      </c>
      <c r="G1374" t="s">
        <v>1593</v>
      </c>
    </row>
    <row r="1375" spans="5:7" x14ac:dyDescent="0.35">
      <c r="E1375" t="s">
        <v>3803</v>
      </c>
      <c r="F1375" t="s">
        <v>4981</v>
      </c>
      <c r="G1375" t="s">
        <v>1593</v>
      </c>
    </row>
    <row r="1376" spans="5:7" x14ac:dyDescent="0.35">
      <c r="E1376" t="s">
        <v>3803</v>
      </c>
      <c r="F1376" t="s">
        <v>4982</v>
      </c>
      <c r="G1376" t="s">
        <v>1593</v>
      </c>
    </row>
    <row r="1377" spans="5:7" x14ac:dyDescent="0.35">
      <c r="E1377" t="s">
        <v>3803</v>
      </c>
      <c r="F1377" t="s">
        <v>4983</v>
      </c>
      <c r="G1377" t="s">
        <v>1593</v>
      </c>
    </row>
    <row r="1378" spans="5:7" x14ac:dyDescent="0.35">
      <c r="E1378" t="s">
        <v>3803</v>
      </c>
      <c r="F1378" t="s">
        <v>4984</v>
      </c>
      <c r="G1378" t="s">
        <v>1593</v>
      </c>
    </row>
    <row r="1379" spans="5:7" x14ac:dyDescent="0.35">
      <c r="E1379" t="s">
        <v>3803</v>
      </c>
      <c r="F1379" t="s">
        <v>4985</v>
      </c>
      <c r="G1379" t="s">
        <v>1593</v>
      </c>
    </row>
    <row r="1380" spans="5:7" x14ac:dyDescent="0.35">
      <c r="E1380" t="s">
        <v>3803</v>
      </c>
      <c r="F1380" t="s">
        <v>4986</v>
      </c>
      <c r="G1380" t="s">
        <v>1593</v>
      </c>
    </row>
    <row r="1381" spans="5:7" x14ac:dyDescent="0.35">
      <c r="E1381" t="s">
        <v>3803</v>
      </c>
      <c r="F1381" t="s">
        <v>4987</v>
      </c>
      <c r="G1381" t="s">
        <v>1593</v>
      </c>
    </row>
    <row r="1382" spans="5:7" x14ac:dyDescent="0.35">
      <c r="E1382" t="s">
        <v>3803</v>
      </c>
      <c r="F1382" t="s">
        <v>4988</v>
      </c>
      <c r="G1382" t="s">
        <v>1593</v>
      </c>
    </row>
    <row r="1383" spans="5:7" x14ac:dyDescent="0.35">
      <c r="E1383" t="s">
        <v>3803</v>
      </c>
      <c r="F1383" t="s">
        <v>4989</v>
      </c>
      <c r="G1383" t="s">
        <v>1593</v>
      </c>
    </row>
    <row r="1384" spans="5:7" x14ac:dyDescent="0.35">
      <c r="E1384" t="s">
        <v>3803</v>
      </c>
      <c r="F1384" t="s">
        <v>4990</v>
      </c>
      <c r="G1384" t="s">
        <v>1593</v>
      </c>
    </row>
    <row r="1385" spans="5:7" x14ac:dyDescent="0.35">
      <c r="E1385" t="s">
        <v>3803</v>
      </c>
      <c r="F1385" t="s">
        <v>4991</v>
      </c>
      <c r="G1385" t="s">
        <v>1593</v>
      </c>
    </row>
    <row r="1386" spans="5:7" x14ac:dyDescent="0.35">
      <c r="E1386" t="s">
        <v>3803</v>
      </c>
      <c r="F1386" t="s">
        <v>4992</v>
      </c>
      <c r="G1386" t="s">
        <v>1593</v>
      </c>
    </row>
    <row r="1387" spans="5:7" x14ac:dyDescent="0.35">
      <c r="E1387" t="s">
        <v>3803</v>
      </c>
      <c r="F1387" t="s">
        <v>4993</v>
      </c>
      <c r="G1387" t="s">
        <v>1593</v>
      </c>
    </row>
    <row r="1388" spans="5:7" x14ac:dyDescent="0.35">
      <c r="E1388" t="s">
        <v>3803</v>
      </c>
      <c r="F1388" t="s">
        <v>4994</v>
      </c>
      <c r="G1388" t="s">
        <v>1593</v>
      </c>
    </row>
    <row r="1389" spans="5:7" x14ac:dyDescent="0.35">
      <c r="E1389" t="s">
        <v>3803</v>
      </c>
      <c r="F1389" t="s">
        <v>4995</v>
      </c>
      <c r="G1389" t="s">
        <v>1593</v>
      </c>
    </row>
    <row r="1390" spans="5:7" x14ac:dyDescent="0.35">
      <c r="E1390" t="s">
        <v>3803</v>
      </c>
      <c r="F1390" t="s">
        <v>4996</v>
      </c>
      <c r="G1390" t="s">
        <v>1593</v>
      </c>
    </row>
    <row r="1391" spans="5:7" x14ac:dyDescent="0.35">
      <c r="E1391" t="s">
        <v>3803</v>
      </c>
      <c r="F1391" t="s">
        <v>4997</v>
      </c>
      <c r="G1391" t="s">
        <v>1593</v>
      </c>
    </row>
    <row r="1392" spans="5:7" x14ac:dyDescent="0.35">
      <c r="E1392" t="s">
        <v>3803</v>
      </c>
      <c r="F1392" t="s">
        <v>673</v>
      </c>
      <c r="G1392" t="s">
        <v>1593</v>
      </c>
    </row>
    <row r="1393" spans="5:7" x14ac:dyDescent="0.35">
      <c r="E1393" t="s">
        <v>3803</v>
      </c>
      <c r="F1393" t="s">
        <v>4998</v>
      </c>
      <c r="G1393" t="s">
        <v>1593</v>
      </c>
    </row>
    <row r="1394" spans="5:7" x14ac:dyDescent="0.35">
      <c r="E1394" t="s">
        <v>3803</v>
      </c>
      <c r="F1394" t="s">
        <v>4999</v>
      </c>
      <c r="G1394" t="s">
        <v>1593</v>
      </c>
    </row>
    <row r="1395" spans="5:7" x14ac:dyDescent="0.35">
      <c r="E1395" t="s">
        <v>3803</v>
      </c>
      <c r="F1395" t="s">
        <v>5000</v>
      </c>
      <c r="G1395" t="s">
        <v>1593</v>
      </c>
    </row>
    <row r="1396" spans="5:7" x14ac:dyDescent="0.35">
      <c r="E1396" t="s">
        <v>3803</v>
      </c>
      <c r="F1396" t="s">
        <v>5001</v>
      </c>
      <c r="G1396" t="s">
        <v>1593</v>
      </c>
    </row>
    <row r="1397" spans="5:7" x14ac:dyDescent="0.35">
      <c r="E1397" t="s">
        <v>3803</v>
      </c>
      <c r="F1397" t="s">
        <v>5002</v>
      </c>
      <c r="G1397" t="s">
        <v>1593</v>
      </c>
    </row>
    <row r="1398" spans="5:7" x14ac:dyDescent="0.35">
      <c r="E1398" t="s">
        <v>3803</v>
      </c>
      <c r="F1398" t="s">
        <v>5003</v>
      </c>
      <c r="G1398" t="s">
        <v>1593</v>
      </c>
    </row>
    <row r="1399" spans="5:7" x14ac:dyDescent="0.35">
      <c r="E1399" t="s">
        <v>3803</v>
      </c>
      <c r="F1399" t="s">
        <v>2745</v>
      </c>
      <c r="G1399" t="s">
        <v>1593</v>
      </c>
    </row>
    <row r="1400" spans="5:7" x14ac:dyDescent="0.35">
      <c r="E1400" t="s">
        <v>3803</v>
      </c>
      <c r="F1400" t="s">
        <v>5004</v>
      </c>
      <c r="G1400" t="s">
        <v>1593</v>
      </c>
    </row>
    <row r="1401" spans="5:7" x14ac:dyDescent="0.35">
      <c r="E1401" t="s">
        <v>3803</v>
      </c>
      <c r="F1401" t="s">
        <v>5005</v>
      </c>
      <c r="G1401" t="s">
        <v>1593</v>
      </c>
    </row>
    <row r="1402" spans="5:7" x14ac:dyDescent="0.35">
      <c r="E1402" t="s">
        <v>3803</v>
      </c>
      <c r="F1402" t="s">
        <v>5006</v>
      </c>
      <c r="G1402" t="s">
        <v>1593</v>
      </c>
    </row>
    <row r="1403" spans="5:7" x14ac:dyDescent="0.35">
      <c r="E1403" t="s">
        <v>3803</v>
      </c>
      <c r="F1403" t="s">
        <v>5007</v>
      </c>
      <c r="G1403" t="s">
        <v>1593</v>
      </c>
    </row>
    <row r="1404" spans="5:7" x14ac:dyDescent="0.35">
      <c r="E1404" t="s">
        <v>3803</v>
      </c>
      <c r="F1404" t="s">
        <v>2747</v>
      </c>
      <c r="G1404" t="s">
        <v>1593</v>
      </c>
    </row>
    <row r="1405" spans="5:7" x14ac:dyDescent="0.35">
      <c r="E1405" t="s">
        <v>3803</v>
      </c>
      <c r="F1405" t="s">
        <v>884</v>
      </c>
      <c r="G1405" t="s">
        <v>1593</v>
      </c>
    </row>
    <row r="1406" spans="5:7" x14ac:dyDescent="0.35">
      <c r="E1406" t="s">
        <v>3803</v>
      </c>
      <c r="F1406" t="s">
        <v>5008</v>
      </c>
      <c r="G1406" t="s">
        <v>1593</v>
      </c>
    </row>
    <row r="1407" spans="5:7" x14ac:dyDescent="0.35">
      <c r="E1407" t="s">
        <v>3803</v>
      </c>
      <c r="F1407" t="s">
        <v>2750</v>
      </c>
      <c r="G1407" t="s">
        <v>1593</v>
      </c>
    </row>
    <row r="1408" spans="5:7" x14ac:dyDescent="0.35">
      <c r="E1408" t="s">
        <v>3803</v>
      </c>
      <c r="F1408" t="s">
        <v>947</v>
      </c>
      <c r="G1408" t="s">
        <v>1593</v>
      </c>
    </row>
    <row r="1409" spans="5:7" x14ac:dyDescent="0.35">
      <c r="E1409" t="s">
        <v>3803</v>
      </c>
      <c r="F1409" t="s">
        <v>5009</v>
      </c>
      <c r="G1409" t="s">
        <v>1593</v>
      </c>
    </row>
    <row r="1410" spans="5:7" x14ac:dyDescent="0.35">
      <c r="E1410" t="s">
        <v>3803</v>
      </c>
      <c r="F1410" t="s">
        <v>5010</v>
      </c>
      <c r="G1410" t="s">
        <v>1593</v>
      </c>
    </row>
    <row r="1411" spans="5:7" x14ac:dyDescent="0.35">
      <c r="E1411" t="s">
        <v>3803</v>
      </c>
      <c r="F1411" t="s">
        <v>5011</v>
      </c>
      <c r="G1411" t="s">
        <v>1593</v>
      </c>
    </row>
    <row r="1412" spans="5:7" x14ac:dyDescent="0.35">
      <c r="E1412" t="s">
        <v>3803</v>
      </c>
      <c r="F1412" t="s">
        <v>5012</v>
      </c>
      <c r="G1412" t="s">
        <v>1593</v>
      </c>
    </row>
    <row r="1413" spans="5:7" x14ac:dyDescent="0.35">
      <c r="E1413" t="s">
        <v>3803</v>
      </c>
      <c r="F1413" t="s">
        <v>5013</v>
      </c>
      <c r="G1413" t="s">
        <v>1593</v>
      </c>
    </row>
    <row r="1414" spans="5:7" x14ac:dyDescent="0.35">
      <c r="E1414" t="s">
        <v>3803</v>
      </c>
      <c r="F1414" t="s">
        <v>5014</v>
      </c>
      <c r="G1414" t="s">
        <v>1593</v>
      </c>
    </row>
    <row r="1415" spans="5:7" x14ac:dyDescent="0.35">
      <c r="E1415" t="s">
        <v>3803</v>
      </c>
      <c r="F1415" t="s">
        <v>5015</v>
      </c>
      <c r="G1415" t="s">
        <v>1593</v>
      </c>
    </row>
    <row r="1416" spans="5:7" x14ac:dyDescent="0.35">
      <c r="E1416" t="s">
        <v>3803</v>
      </c>
      <c r="F1416" t="s">
        <v>5016</v>
      </c>
      <c r="G1416" t="s">
        <v>1593</v>
      </c>
    </row>
    <row r="1417" spans="5:7" x14ac:dyDescent="0.35">
      <c r="E1417" t="s">
        <v>3803</v>
      </c>
      <c r="F1417" t="s">
        <v>5017</v>
      </c>
      <c r="G1417" t="s">
        <v>1593</v>
      </c>
    </row>
    <row r="1418" spans="5:7" x14ac:dyDescent="0.35">
      <c r="E1418" t="s">
        <v>3803</v>
      </c>
      <c r="F1418" t="s">
        <v>5018</v>
      </c>
      <c r="G1418" t="s">
        <v>1593</v>
      </c>
    </row>
    <row r="1419" spans="5:7" x14ac:dyDescent="0.35">
      <c r="E1419" t="s">
        <v>3803</v>
      </c>
      <c r="F1419" t="s">
        <v>5019</v>
      </c>
      <c r="G1419" t="s">
        <v>1593</v>
      </c>
    </row>
    <row r="1420" spans="5:7" x14ac:dyDescent="0.35">
      <c r="E1420" t="s">
        <v>3803</v>
      </c>
      <c r="F1420" t="s">
        <v>5020</v>
      </c>
      <c r="G1420" t="s">
        <v>1593</v>
      </c>
    </row>
    <row r="1421" spans="5:7" x14ac:dyDescent="0.35">
      <c r="E1421" t="s">
        <v>3803</v>
      </c>
      <c r="F1421" t="s">
        <v>5021</v>
      </c>
      <c r="G1421" t="s">
        <v>1593</v>
      </c>
    </row>
    <row r="1422" spans="5:7" x14ac:dyDescent="0.35">
      <c r="E1422" t="s">
        <v>3803</v>
      </c>
      <c r="F1422" t="s">
        <v>5022</v>
      </c>
      <c r="G1422" t="s">
        <v>1593</v>
      </c>
    </row>
    <row r="1423" spans="5:7" x14ac:dyDescent="0.35">
      <c r="E1423" t="s">
        <v>3803</v>
      </c>
      <c r="F1423" t="s">
        <v>5023</v>
      </c>
      <c r="G1423" t="s">
        <v>1593</v>
      </c>
    </row>
    <row r="1424" spans="5:7" x14ac:dyDescent="0.35">
      <c r="E1424" t="s">
        <v>3803</v>
      </c>
      <c r="F1424" t="s">
        <v>5024</v>
      </c>
      <c r="G1424" t="s">
        <v>1593</v>
      </c>
    </row>
    <row r="1425" spans="5:7" x14ac:dyDescent="0.35">
      <c r="E1425" t="s">
        <v>3803</v>
      </c>
      <c r="F1425" t="s">
        <v>5025</v>
      </c>
      <c r="G1425" t="s">
        <v>1593</v>
      </c>
    </row>
    <row r="1426" spans="5:7" x14ac:dyDescent="0.35">
      <c r="E1426" t="s">
        <v>3803</v>
      </c>
      <c r="F1426" t="s">
        <v>5026</v>
      </c>
      <c r="G1426" t="s">
        <v>1593</v>
      </c>
    </row>
    <row r="1427" spans="5:7" x14ac:dyDescent="0.35">
      <c r="E1427" t="s">
        <v>3803</v>
      </c>
      <c r="F1427" t="s">
        <v>5027</v>
      </c>
      <c r="G1427" t="s">
        <v>1593</v>
      </c>
    </row>
    <row r="1428" spans="5:7" x14ac:dyDescent="0.35">
      <c r="E1428" t="s">
        <v>3803</v>
      </c>
      <c r="F1428" t="s">
        <v>5028</v>
      </c>
      <c r="G1428" t="s">
        <v>1593</v>
      </c>
    </row>
    <row r="1429" spans="5:7" x14ac:dyDescent="0.35">
      <c r="E1429" t="s">
        <v>3803</v>
      </c>
      <c r="F1429" t="s">
        <v>1039</v>
      </c>
      <c r="G1429" t="s">
        <v>1593</v>
      </c>
    </row>
    <row r="1430" spans="5:7" x14ac:dyDescent="0.35">
      <c r="E1430" t="s">
        <v>3803</v>
      </c>
      <c r="F1430" t="s">
        <v>5029</v>
      </c>
      <c r="G1430" t="s">
        <v>1593</v>
      </c>
    </row>
    <row r="1431" spans="5:7" x14ac:dyDescent="0.35">
      <c r="E1431" t="s">
        <v>3803</v>
      </c>
      <c r="F1431" t="s">
        <v>5030</v>
      </c>
      <c r="G1431" t="s">
        <v>1593</v>
      </c>
    </row>
    <row r="1432" spans="5:7" x14ac:dyDescent="0.35">
      <c r="E1432" t="s">
        <v>3803</v>
      </c>
      <c r="F1432" t="s">
        <v>5031</v>
      </c>
      <c r="G1432" t="s">
        <v>1593</v>
      </c>
    </row>
    <row r="1433" spans="5:7" x14ac:dyDescent="0.35">
      <c r="E1433" t="s">
        <v>3803</v>
      </c>
      <c r="F1433" t="s">
        <v>5032</v>
      </c>
      <c r="G1433" t="s">
        <v>1593</v>
      </c>
    </row>
    <row r="1434" spans="5:7" x14ac:dyDescent="0.35">
      <c r="E1434" t="s">
        <v>3803</v>
      </c>
      <c r="F1434" t="s">
        <v>5033</v>
      </c>
      <c r="G1434" t="s">
        <v>1593</v>
      </c>
    </row>
    <row r="1435" spans="5:7" x14ac:dyDescent="0.35">
      <c r="E1435" t="s">
        <v>3803</v>
      </c>
      <c r="F1435" t="s">
        <v>5034</v>
      </c>
      <c r="G1435" t="s">
        <v>1593</v>
      </c>
    </row>
    <row r="1436" spans="5:7" x14ac:dyDescent="0.35">
      <c r="E1436" t="s">
        <v>3803</v>
      </c>
      <c r="F1436" t="s">
        <v>5035</v>
      </c>
      <c r="G1436" t="s">
        <v>1593</v>
      </c>
    </row>
    <row r="1437" spans="5:7" x14ac:dyDescent="0.35">
      <c r="E1437" t="s">
        <v>3803</v>
      </c>
      <c r="F1437" t="s">
        <v>5036</v>
      </c>
      <c r="G1437" t="s">
        <v>1593</v>
      </c>
    </row>
    <row r="1438" spans="5:7" x14ac:dyDescent="0.35">
      <c r="E1438" t="s">
        <v>3803</v>
      </c>
      <c r="F1438" t="s">
        <v>5037</v>
      </c>
      <c r="G1438" t="s">
        <v>1593</v>
      </c>
    </row>
    <row r="1439" spans="5:7" x14ac:dyDescent="0.35">
      <c r="E1439" t="s">
        <v>3803</v>
      </c>
      <c r="F1439" t="s">
        <v>5038</v>
      </c>
      <c r="G1439" t="s">
        <v>1593</v>
      </c>
    </row>
    <row r="1440" spans="5:7" x14ac:dyDescent="0.35">
      <c r="E1440" t="s">
        <v>3803</v>
      </c>
      <c r="F1440" t="s">
        <v>5039</v>
      </c>
      <c r="G1440" t="s">
        <v>1593</v>
      </c>
    </row>
    <row r="1441" spans="5:7" x14ac:dyDescent="0.35">
      <c r="E1441" t="s">
        <v>3803</v>
      </c>
      <c r="F1441" t="s">
        <v>5040</v>
      </c>
      <c r="G1441" t="s">
        <v>1593</v>
      </c>
    </row>
    <row r="1442" spans="5:7" x14ac:dyDescent="0.35">
      <c r="E1442" t="s">
        <v>3803</v>
      </c>
      <c r="F1442" t="s">
        <v>5041</v>
      </c>
      <c r="G1442" t="s">
        <v>1593</v>
      </c>
    </row>
    <row r="1443" spans="5:7" x14ac:dyDescent="0.35">
      <c r="E1443" t="s">
        <v>3803</v>
      </c>
      <c r="F1443" t="s">
        <v>5042</v>
      </c>
      <c r="G1443" t="s">
        <v>1593</v>
      </c>
    </row>
    <row r="1444" spans="5:7" x14ac:dyDescent="0.35">
      <c r="E1444" t="s">
        <v>3803</v>
      </c>
      <c r="F1444" t="s">
        <v>5043</v>
      </c>
      <c r="G1444" t="s">
        <v>1593</v>
      </c>
    </row>
    <row r="1445" spans="5:7" x14ac:dyDescent="0.35">
      <c r="E1445" t="s">
        <v>3803</v>
      </c>
      <c r="F1445" t="s">
        <v>5044</v>
      </c>
      <c r="G1445" t="s">
        <v>1593</v>
      </c>
    </row>
    <row r="1446" spans="5:7" x14ac:dyDescent="0.35">
      <c r="E1446" t="s">
        <v>3803</v>
      </c>
      <c r="F1446" t="s">
        <v>5045</v>
      </c>
      <c r="G1446" t="s">
        <v>1593</v>
      </c>
    </row>
    <row r="1447" spans="5:7" x14ac:dyDescent="0.35">
      <c r="E1447" t="s">
        <v>3803</v>
      </c>
      <c r="F1447" t="s">
        <v>5046</v>
      </c>
      <c r="G1447" t="s">
        <v>1593</v>
      </c>
    </row>
    <row r="1448" spans="5:7" x14ac:dyDescent="0.35">
      <c r="E1448" t="s">
        <v>3803</v>
      </c>
      <c r="F1448" t="s">
        <v>5047</v>
      </c>
      <c r="G1448" t="s">
        <v>1593</v>
      </c>
    </row>
    <row r="1449" spans="5:7" x14ac:dyDescent="0.35">
      <c r="E1449" t="s">
        <v>3803</v>
      </c>
      <c r="F1449" t="s">
        <v>5048</v>
      </c>
      <c r="G1449" t="s">
        <v>1593</v>
      </c>
    </row>
    <row r="1450" spans="5:7" x14ac:dyDescent="0.35">
      <c r="E1450" t="s">
        <v>3803</v>
      </c>
      <c r="F1450" t="s">
        <v>5049</v>
      </c>
      <c r="G1450" t="s">
        <v>1593</v>
      </c>
    </row>
    <row r="1451" spans="5:7" x14ac:dyDescent="0.35">
      <c r="E1451" t="s">
        <v>3803</v>
      </c>
      <c r="F1451" t="s">
        <v>5050</v>
      </c>
      <c r="G1451" t="s">
        <v>1593</v>
      </c>
    </row>
    <row r="1452" spans="5:7" x14ac:dyDescent="0.35">
      <c r="E1452" t="s">
        <v>3803</v>
      </c>
      <c r="F1452" t="s">
        <v>5051</v>
      </c>
      <c r="G1452" t="s">
        <v>1593</v>
      </c>
    </row>
    <row r="1453" spans="5:7" x14ac:dyDescent="0.35">
      <c r="E1453" t="s">
        <v>3803</v>
      </c>
      <c r="F1453" t="s">
        <v>5052</v>
      </c>
      <c r="G1453" t="s">
        <v>1593</v>
      </c>
    </row>
    <row r="1454" spans="5:7" x14ac:dyDescent="0.35">
      <c r="E1454" t="s">
        <v>3803</v>
      </c>
      <c r="F1454" t="s">
        <v>5053</v>
      </c>
      <c r="G1454" t="s">
        <v>1593</v>
      </c>
    </row>
    <row r="1455" spans="5:7" x14ac:dyDescent="0.35">
      <c r="E1455" t="s">
        <v>3803</v>
      </c>
      <c r="F1455" t="s">
        <v>5054</v>
      </c>
      <c r="G1455" t="s">
        <v>1593</v>
      </c>
    </row>
    <row r="1456" spans="5:7" x14ac:dyDescent="0.35">
      <c r="E1456" t="s">
        <v>3803</v>
      </c>
      <c r="F1456" t="s">
        <v>5055</v>
      </c>
      <c r="G1456" t="s">
        <v>1593</v>
      </c>
    </row>
    <row r="1457" spans="5:7" x14ac:dyDescent="0.35">
      <c r="E1457" t="s">
        <v>3803</v>
      </c>
      <c r="F1457" t="s">
        <v>5056</v>
      </c>
      <c r="G1457" t="s">
        <v>1593</v>
      </c>
    </row>
    <row r="1458" spans="5:7" x14ac:dyDescent="0.35">
      <c r="E1458" t="s">
        <v>3803</v>
      </c>
      <c r="F1458" t="s">
        <v>1127</v>
      </c>
      <c r="G1458" t="s">
        <v>1593</v>
      </c>
    </row>
    <row r="1459" spans="5:7" x14ac:dyDescent="0.35">
      <c r="E1459" t="s">
        <v>3803</v>
      </c>
      <c r="F1459" t="s">
        <v>5057</v>
      </c>
      <c r="G1459" t="s">
        <v>1593</v>
      </c>
    </row>
    <row r="1460" spans="5:7" x14ac:dyDescent="0.35">
      <c r="E1460" t="s">
        <v>3803</v>
      </c>
      <c r="F1460" t="s">
        <v>5058</v>
      </c>
      <c r="G1460" t="s">
        <v>1593</v>
      </c>
    </row>
    <row r="1461" spans="5:7" x14ac:dyDescent="0.35">
      <c r="E1461" t="s">
        <v>3803</v>
      </c>
      <c r="F1461" t="s">
        <v>5059</v>
      </c>
      <c r="G1461" t="s">
        <v>1593</v>
      </c>
    </row>
    <row r="1462" spans="5:7" x14ac:dyDescent="0.35">
      <c r="E1462" t="s">
        <v>3803</v>
      </c>
      <c r="F1462" t="s">
        <v>5060</v>
      </c>
      <c r="G1462" t="s">
        <v>1593</v>
      </c>
    </row>
    <row r="1463" spans="5:7" x14ac:dyDescent="0.35">
      <c r="E1463" t="s">
        <v>3803</v>
      </c>
      <c r="F1463" t="s">
        <v>5061</v>
      </c>
      <c r="G1463" t="s">
        <v>1593</v>
      </c>
    </row>
    <row r="1464" spans="5:7" x14ac:dyDescent="0.35">
      <c r="E1464" t="s">
        <v>3803</v>
      </c>
      <c r="F1464" t="s">
        <v>5062</v>
      </c>
      <c r="G1464" t="s">
        <v>1593</v>
      </c>
    </row>
    <row r="1465" spans="5:7" x14ac:dyDescent="0.35">
      <c r="E1465" t="s">
        <v>3803</v>
      </c>
      <c r="F1465" t="s">
        <v>5063</v>
      </c>
      <c r="G1465" t="s">
        <v>1593</v>
      </c>
    </row>
    <row r="1466" spans="5:7" x14ac:dyDescent="0.35">
      <c r="E1466" t="s">
        <v>3803</v>
      </c>
      <c r="F1466" t="s">
        <v>5064</v>
      </c>
      <c r="G1466" t="s">
        <v>1593</v>
      </c>
    </row>
    <row r="1467" spans="5:7" x14ac:dyDescent="0.35">
      <c r="E1467" t="s">
        <v>3803</v>
      </c>
      <c r="F1467" t="s">
        <v>5065</v>
      </c>
      <c r="G1467" t="s">
        <v>1593</v>
      </c>
    </row>
    <row r="1468" spans="5:7" x14ac:dyDescent="0.35">
      <c r="E1468" t="s">
        <v>3803</v>
      </c>
      <c r="F1468" t="s">
        <v>5066</v>
      </c>
      <c r="G1468" t="s">
        <v>1593</v>
      </c>
    </row>
    <row r="1469" spans="5:7" x14ac:dyDescent="0.35">
      <c r="E1469" t="s">
        <v>3803</v>
      </c>
      <c r="F1469" t="s">
        <v>5067</v>
      </c>
      <c r="G1469" t="s">
        <v>1593</v>
      </c>
    </row>
    <row r="1470" spans="5:7" x14ac:dyDescent="0.35">
      <c r="E1470" t="s">
        <v>3803</v>
      </c>
      <c r="F1470" t="s">
        <v>5068</v>
      </c>
      <c r="G1470" t="s">
        <v>1593</v>
      </c>
    </row>
    <row r="1471" spans="5:7" x14ac:dyDescent="0.35">
      <c r="E1471" t="s">
        <v>3803</v>
      </c>
      <c r="F1471" t="s">
        <v>5069</v>
      </c>
      <c r="G1471" t="s">
        <v>1593</v>
      </c>
    </row>
    <row r="1472" spans="5:7" x14ac:dyDescent="0.35">
      <c r="E1472" t="s">
        <v>3803</v>
      </c>
      <c r="F1472" t="s">
        <v>5070</v>
      </c>
      <c r="G1472" t="s">
        <v>1593</v>
      </c>
    </row>
    <row r="1473" spans="5:7" x14ac:dyDescent="0.35">
      <c r="E1473" t="s">
        <v>3803</v>
      </c>
      <c r="F1473" t="s">
        <v>5071</v>
      </c>
      <c r="G1473" t="s">
        <v>1593</v>
      </c>
    </row>
    <row r="1474" spans="5:7" x14ac:dyDescent="0.35">
      <c r="E1474" t="s">
        <v>3803</v>
      </c>
      <c r="F1474" t="s">
        <v>5072</v>
      </c>
      <c r="G1474" t="s">
        <v>1593</v>
      </c>
    </row>
    <row r="1475" spans="5:7" x14ac:dyDescent="0.35">
      <c r="E1475" t="s">
        <v>3803</v>
      </c>
      <c r="F1475" t="s">
        <v>5073</v>
      </c>
      <c r="G1475" t="s">
        <v>1593</v>
      </c>
    </row>
    <row r="1476" spans="5:7" x14ac:dyDescent="0.35">
      <c r="E1476" t="s">
        <v>3803</v>
      </c>
      <c r="F1476" t="s">
        <v>5074</v>
      </c>
      <c r="G1476" t="s">
        <v>1593</v>
      </c>
    </row>
    <row r="1477" spans="5:7" x14ac:dyDescent="0.35">
      <c r="E1477" t="s">
        <v>3803</v>
      </c>
      <c r="F1477" t="s">
        <v>5075</v>
      </c>
      <c r="G1477" t="s">
        <v>1593</v>
      </c>
    </row>
    <row r="1478" spans="5:7" x14ac:dyDescent="0.35">
      <c r="E1478" t="s">
        <v>3803</v>
      </c>
      <c r="F1478" t="s">
        <v>5076</v>
      </c>
      <c r="G1478" t="s">
        <v>1593</v>
      </c>
    </row>
    <row r="1479" spans="5:7" x14ac:dyDescent="0.35">
      <c r="E1479" t="s">
        <v>3803</v>
      </c>
      <c r="F1479" t="s">
        <v>5077</v>
      </c>
      <c r="G1479" t="s">
        <v>1593</v>
      </c>
    </row>
    <row r="1480" spans="5:7" x14ac:dyDescent="0.35">
      <c r="E1480" t="s">
        <v>3803</v>
      </c>
      <c r="F1480" t="s">
        <v>5078</v>
      </c>
      <c r="G1480" t="s">
        <v>1593</v>
      </c>
    </row>
    <row r="1481" spans="5:7" x14ac:dyDescent="0.35">
      <c r="E1481" t="s">
        <v>3803</v>
      </c>
      <c r="F1481" t="s">
        <v>5079</v>
      </c>
      <c r="G1481" t="s">
        <v>1593</v>
      </c>
    </row>
    <row r="1482" spans="5:7" x14ac:dyDescent="0.35">
      <c r="E1482" t="s">
        <v>3803</v>
      </c>
      <c r="F1482" t="s">
        <v>5080</v>
      </c>
      <c r="G1482" t="s">
        <v>1593</v>
      </c>
    </row>
    <row r="1483" spans="5:7" x14ac:dyDescent="0.35">
      <c r="E1483" t="s">
        <v>3803</v>
      </c>
      <c r="F1483" t="s">
        <v>5081</v>
      </c>
      <c r="G1483" t="s">
        <v>1593</v>
      </c>
    </row>
    <row r="1484" spans="5:7" x14ac:dyDescent="0.35">
      <c r="E1484" t="s">
        <v>3803</v>
      </c>
      <c r="F1484" t="s">
        <v>5082</v>
      </c>
      <c r="G1484" t="s">
        <v>1593</v>
      </c>
    </row>
    <row r="1485" spans="5:7" x14ac:dyDescent="0.35">
      <c r="E1485" t="s">
        <v>3803</v>
      </c>
      <c r="F1485" t="s">
        <v>5083</v>
      </c>
      <c r="G1485" t="s">
        <v>1593</v>
      </c>
    </row>
    <row r="1486" spans="5:7" x14ac:dyDescent="0.35">
      <c r="E1486" t="s">
        <v>3803</v>
      </c>
      <c r="F1486" t="s">
        <v>5084</v>
      </c>
      <c r="G1486" t="s">
        <v>1593</v>
      </c>
    </row>
    <row r="1487" spans="5:7" x14ac:dyDescent="0.35">
      <c r="E1487" t="s">
        <v>3803</v>
      </c>
      <c r="F1487" t="s">
        <v>5085</v>
      </c>
      <c r="G1487" t="s">
        <v>1593</v>
      </c>
    </row>
    <row r="1488" spans="5:7" x14ac:dyDescent="0.35">
      <c r="E1488" t="s">
        <v>3803</v>
      </c>
      <c r="F1488" t="s">
        <v>5086</v>
      </c>
      <c r="G1488" t="s">
        <v>1593</v>
      </c>
    </row>
    <row r="1489" spans="5:7" x14ac:dyDescent="0.35">
      <c r="E1489" t="s">
        <v>3803</v>
      </c>
      <c r="F1489" t="s">
        <v>5087</v>
      </c>
      <c r="G1489" t="s">
        <v>1593</v>
      </c>
    </row>
    <row r="1490" spans="5:7" x14ac:dyDescent="0.35">
      <c r="E1490" t="s">
        <v>3803</v>
      </c>
      <c r="F1490" t="s">
        <v>5088</v>
      </c>
      <c r="G1490" t="s">
        <v>1593</v>
      </c>
    </row>
    <row r="1491" spans="5:7" x14ac:dyDescent="0.35">
      <c r="E1491" t="s">
        <v>3803</v>
      </c>
      <c r="F1491" t="s">
        <v>5089</v>
      </c>
      <c r="G1491" t="s">
        <v>1593</v>
      </c>
    </row>
    <row r="1492" spans="5:7" x14ac:dyDescent="0.35">
      <c r="E1492" t="s">
        <v>3803</v>
      </c>
      <c r="F1492" t="s">
        <v>5090</v>
      </c>
      <c r="G1492" t="s">
        <v>1593</v>
      </c>
    </row>
    <row r="1493" spans="5:7" x14ac:dyDescent="0.35">
      <c r="E1493" t="s">
        <v>3803</v>
      </c>
      <c r="F1493" t="s">
        <v>5091</v>
      </c>
      <c r="G1493" t="s">
        <v>1593</v>
      </c>
    </row>
    <row r="1494" spans="5:7" x14ac:dyDescent="0.35">
      <c r="E1494" t="s">
        <v>3803</v>
      </c>
      <c r="F1494" t="s">
        <v>5092</v>
      </c>
      <c r="G1494" t="s">
        <v>1593</v>
      </c>
    </row>
    <row r="1495" spans="5:7" x14ac:dyDescent="0.35">
      <c r="E1495" t="s">
        <v>3803</v>
      </c>
      <c r="F1495" t="s">
        <v>5093</v>
      </c>
      <c r="G1495" t="s">
        <v>1593</v>
      </c>
    </row>
    <row r="1496" spans="5:7" x14ac:dyDescent="0.35">
      <c r="E1496" t="s">
        <v>3803</v>
      </c>
      <c r="F1496" t="s">
        <v>1243</v>
      </c>
      <c r="G1496" t="s">
        <v>1593</v>
      </c>
    </row>
    <row r="1497" spans="5:7" x14ac:dyDescent="0.35">
      <c r="E1497" t="s">
        <v>3803</v>
      </c>
      <c r="F1497" t="s">
        <v>5094</v>
      </c>
      <c r="G1497" t="s">
        <v>1593</v>
      </c>
    </row>
    <row r="1498" spans="5:7" x14ac:dyDescent="0.35">
      <c r="E1498" t="s">
        <v>3803</v>
      </c>
      <c r="F1498" t="s">
        <v>5095</v>
      </c>
      <c r="G1498" t="s">
        <v>1593</v>
      </c>
    </row>
    <row r="1499" spans="5:7" x14ac:dyDescent="0.35">
      <c r="E1499" t="s">
        <v>3803</v>
      </c>
      <c r="F1499" t="s">
        <v>5096</v>
      </c>
      <c r="G1499" t="s">
        <v>1593</v>
      </c>
    </row>
    <row r="1500" spans="5:7" x14ac:dyDescent="0.35">
      <c r="E1500" t="s">
        <v>3803</v>
      </c>
      <c r="F1500" t="s">
        <v>5097</v>
      </c>
      <c r="G1500" t="s">
        <v>1593</v>
      </c>
    </row>
    <row r="1501" spans="5:7" x14ac:dyDescent="0.35">
      <c r="E1501" t="s">
        <v>3803</v>
      </c>
      <c r="F1501" t="s">
        <v>5098</v>
      </c>
      <c r="G1501" t="s">
        <v>1593</v>
      </c>
    </row>
    <row r="1502" spans="5:7" x14ac:dyDescent="0.35">
      <c r="E1502" t="s">
        <v>3803</v>
      </c>
      <c r="F1502" t="s">
        <v>5099</v>
      </c>
      <c r="G1502" t="s">
        <v>1593</v>
      </c>
    </row>
    <row r="1503" spans="5:7" x14ac:dyDescent="0.35">
      <c r="E1503" t="s">
        <v>3803</v>
      </c>
      <c r="F1503" t="s">
        <v>5100</v>
      </c>
      <c r="G1503" t="s">
        <v>1593</v>
      </c>
    </row>
    <row r="1504" spans="5:7" x14ac:dyDescent="0.35">
      <c r="E1504" t="s">
        <v>3803</v>
      </c>
      <c r="F1504" t="s">
        <v>5101</v>
      </c>
      <c r="G1504" t="s">
        <v>1593</v>
      </c>
    </row>
    <row r="1505" spans="5:7" x14ac:dyDescent="0.35">
      <c r="E1505" t="s">
        <v>3803</v>
      </c>
      <c r="F1505" t="s">
        <v>5102</v>
      </c>
      <c r="G1505" t="s">
        <v>1593</v>
      </c>
    </row>
    <row r="1506" spans="5:7" x14ac:dyDescent="0.35">
      <c r="E1506" t="s">
        <v>3803</v>
      </c>
      <c r="F1506" t="s">
        <v>5103</v>
      </c>
      <c r="G1506" t="s">
        <v>1593</v>
      </c>
    </row>
    <row r="1507" spans="5:7" x14ac:dyDescent="0.35">
      <c r="E1507" t="s">
        <v>3803</v>
      </c>
      <c r="F1507" t="s">
        <v>5104</v>
      </c>
      <c r="G1507" t="s">
        <v>1593</v>
      </c>
    </row>
    <row r="1508" spans="5:7" x14ac:dyDescent="0.35">
      <c r="E1508" t="s">
        <v>3803</v>
      </c>
      <c r="F1508" t="s">
        <v>5105</v>
      </c>
      <c r="G1508" t="s">
        <v>1593</v>
      </c>
    </row>
    <row r="1509" spans="5:7" x14ac:dyDescent="0.35">
      <c r="E1509" t="s">
        <v>3803</v>
      </c>
      <c r="F1509" t="s">
        <v>5106</v>
      </c>
      <c r="G1509" t="s">
        <v>1593</v>
      </c>
    </row>
    <row r="1510" spans="5:7" x14ac:dyDescent="0.35">
      <c r="E1510" t="s">
        <v>3803</v>
      </c>
      <c r="F1510" t="s">
        <v>5107</v>
      </c>
      <c r="G1510" t="s">
        <v>1593</v>
      </c>
    </row>
    <row r="1511" spans="5:7" x14ac:dyDescent="0.35">
      <c r="E1511" t="s">
        <v>3803</v>
      </c>
      <c r="F1511" t="s">
        <v>5108</v>
      </c>
      <c r="G1511" t="s">
        <v>1593</v>
      </c>
    </row>
    <row r="1512" spans="5:7" x14ac:dyDescent="0.35">
      <c r="E1512" t="s">
        <v>3803</v>
      </c>
      <c r="F1512" t="s">
        <v>5109</v>
      </c>
      <c r="G1512" t="s">
        <v>1593</v>
      </c>
    </row>
    <row r="1513" spans="5:7" x14ac:dyDescent="0.35">
      <c r="E1513" t="s">
        <v>3803</v>
      </c>
      <c r="F1513" t="s">
        <v>5110</v>
      </c>
      <c r="G1513" t="s">
        <v>1593</v>
      </c>
    </row>
    <row r="1514" spans="5:7" x14ac:dyDescent="0.35">
      <c r="E1514" t="s">
        <v>3803</v>
      </c>
      <c r="F1514" t="s">
        <v>5111</v>
      </c>
      <c r="G1514" t="s">
        <v>1593</v>
      </c>
    </row>
    <row r="1515" spans="5:7" x14ac:dyDescent="0.35">
      <c r="E1515" t="s">
        <v>3803</v>
      </c>
      <c r="F1515" t="s">
        <v>5112</v>
      </c>
      <c r="G1515" t="s">
        <v>1593</v>
      </c>
    </row>
    <row r="1516" spans="5:7" x14ac:dyDescent="0.35">
      <c r="E1516" t="s">
        <v>3803</v>
      </c>
      <c r="F1516" t="s">
        <v>5113</v>
      </c>
      <c r="G1516" t="s">
        <v>1593</v>
      </c>
    </row>
    <row r="1517" spans="5:7" x14ac:dyDescent="0.35">
      <c r="E1517" t="s">
        <v>3803</v>
      </c>
      <c r="F1517" t="s">
        <v>5114</v>
      </c>
      <c r="G1517" t="s">
        <v>1593</v>
      </c>
    </row>
    <row r="1518" spans="5:7" x14ac:dyDescent="0.35">
      <c r="E1518" t="s">
        <v>3803</v>
      </c>
      <c r="F1518" t="s">
        <v>5115</v>
      </c>
      <c r="G1518" t="s">
        <v>1593</v>
      </c>
    </row>
    <row r="1519" spans="5:7" x14ac:dyDescent="0.35">
      <c r="E1519" t="s">
        <v>3803</v>
      </c>
      <c r="F1519" t="s">
        <v>5116</v>
      </c>
      <c r="G1519" t="s">
        <v>1593</v>
      </c>
    </row>
    <row r="1520" spans="5:7" x14ac:dyDescent="0.35">
      <c r="E1520" t="s">
        <v>3803</v>
      </c>
      <c r="F1520" t="s">
        <v>5117</v>
      </c>
      <c r="G1520" t="s">
        <v>1593</v>
      </c>
    </row>
    <row r="1521" spans="5:7" x14ac:dyDescent="0.35">
      <c r="E1521" t="s">
        <v>3803</v>
      </c>
      <c r="F1521" t="s">
        <v>5118</v>
      </c>
      <c r="G1521" t="s">
        <v>1593</v>
      </c>
    </row>
    <row r="1522" spans="5:7" x14ac:dyDescent="0.35">
      <c r="E1522" t="s">
        <v>3803</v>
      </c>
      <c r="F1522" t="s">
        <v>5119</v>
      </c>
      <c r="G1522" t="s">
        <v>1593</v>
      </c>
    </row>
    <row r="1523" spans="5:7" x14ac:dyDescent="0.35">
      <c r="E1523" t="s">
        <v>3803</v>
      </c>
      <c r="F1523" t="s">
        <v>5120</v>
      </c>
      <c r="G1523" t="s">
        <v>1593</v>
      </c>
    </row>
    <row r="1524" spans="5:7" x14ac:dyDescent="0.35">
      <c r="E1524" t="s">
        <v>3803</v>
      </c>
      <c r="F1524" t="s">
        <v>5121</v>
      </c>
      <c r="G1524" t="s">
        <v>1593</v>
      </c>
    </row>
    <row r="1525" spans="5:7" x14ac:dyDescent="0.35">
      <c r="E1525" t="s">
        <v>3803</v>
      </c>
      <c r="F1525" t="s">
        <v>5122</v>
      </c>
      <c r="G1525" t="s">
        <v>1593</v>
      </c>
    </row>
    <row r="1526" spans="5:7" x14ac:dyDescent="0.35">
      <c r="E1526" t="s">
        <v>3803</v>
      </c>
      <c r="F1526" t="s">
        <v>5123</v>
      </c>
      <c r="G1526" t="s">
        <v>1593</v>
      </c>
    </row>
    <row r="1527" spans="5:7" x14ac:dyDescent="0.35">
      <c r="E1527" t="s">
        <v>3803</v>
      </c>
      <c r="F1527" t="s">
        <v>5124</v>
      </c>
      <c r="G1527" t="s">
        <v>1593</v>
      </c>
    </row>
    <row r="1528" spans="5:7" x14ac:dyDescent="0.35">
      <c r="E1528" t="s">
        <v>3803</v>
      </c>
      <c r="F1528" t="s">
        <v>5125</v>
      </c>
      <c r="G1528" t="s">
        <v>1593</v>
      </c>
    </row>
    <row r="1529" spans="5:7" x14ac:dyDescent="0.35">
      <c r="E1529" t="s">
        <v>3803</v>
      </c>
      <c r="F1529" t="s">
        <v>5126</v>
      </c>
      <c r="G1529" t="s">
        <v>1593</v>
      </c>
    </row>
    <row r="1530" spans="5:7" x14ac:dyDescent="0.35">
      <c r="E1530" t="s">
        <v>3803</v>
      </c>
      <c r="F1530" t="s">
        <v>5127</v>
      </c>
      <c r="G1530" t="s">
        <v>1593</v>
      </c>
    </row>
    <row r="1531" spans="5:7" x14ac:dyDescent="0.35">
      <c r="E1531" t="s">
        <v>3803</v>
      </c>
      <c r="F1531" t="s">
        <v>5128</v>
      </c>
      <c r="G1531" t="s">
        <v>1593</v>
      </c>
    </row>
    <row r="1532" spans="5:7" x14ac:dyDescent="0.35">
      <c r="E1532" t="s">
        <v>3803</v>
      </c>
      <c r="F1532" t="s">
        <v>5129</v>
      </c>
      <c r="G1532" t="s">
        <v>1593</v>
      </c>
    </row>
    <row r="1533" spans="5:7" x14ac:dyDescent="0.35">
      <c r="E1533" t="s">
        <v>3803</v>
      </c>
      <c r="F1533" t="s">
        <v>5130</v>
      </c>
      <c r="G1533" t="s">
        <v>1593</v>
      </c>
    </row>
    <row r="1534" spans="5:7" x14ac:dyDescent="0.35">
      <c r="E1534" t="s">
        <v>3803</v>
      </c>
      <c r="F1534" t="s">
        <v>5131</v>
      </c>
      <c r="G1534" t="s">
        <v>1593</v>
      </c>
    </row>
    <row r="1535" spans="5:7" x14ac:dyDescent="0.35">
      <c r="E1535" t="s">
        <v>3803</v>
      </c>
      <c r="F1535" t="s">
        <v>5132</v>
      </c>
      <c r="G1535" t="s">
        <v>1593</v>
      </c>
    </row>
    <row r="1536" spans="5:7" x14ac:dyDescent="0.35">
      <c r="E1536" t="s">
        <v>3803</v>
      </c>
      <c r="F1536" t="s">
        <v>5133</v>
      </c>
      <c r="G1536" t="s">
        <v>1593</v>
      </c>
    </row>
    <row r="1537" spans="5:7" x14ac:dyDescent="0.35">
      <c r="E1537" t="s">
        <v>3803</v>
      </c>
      <c r="F1537" t="s">
        <v>5134</v>
      </c>
      <c r="G1537" t="s">
        <v>1593</v>
      </c>
    </row>
    <row r="1538" spans="5:7" x14ac:dyDescent="0.35">
      <c r="E1538" t="s">
        <v>3803</v>
      </c>
      <c r="F1538" t="s">
        <v>5135</v>
      </c>
      <c r="G1538" t="s">
        <v>1593</v>
      </c>
    </row>
    <row r="1539" spans="5:7" x14ac:dyDescent="0.35">
      <c r="E1539" t="s">
        <v>3803</v>
      </c>
      <c r="F1539" t="s">
        <v>5136</v>
      </c>
      <c r="G1539" t="s">
        <v>1593</v>
      </c>
    </row>
    <row r="1540" spans="5:7" x14ac:dyDescent="0.35">
      <c r="E1540" t="s">
        <v>3803</v>
      </c>
      <c r="F1540" t="s">
        <v>5137</v>
      </c>
      <c r="G1540" t="s">
        <v>1593</v>
      </c>
    </row>
    <row r="1541" spans="5:7" x14ac:dyDescent="0.35">
      <c r="E1541" t="s">
        <v>3803</v>
      </c>
      <c r="F1541" t="s">
        <v>5138</v>
      </c>
      <c r="G1541" t="s">
        <v>1593</v>
      </c>
    </row>
    <row r="1542" spans="5:7" x14ac:dyDescent="0.35">
      <c r="E1542" t="s">
        <v>3803</v>
      </c>
      <c r="F1542" t="s">
        <v>5139</v>
      </c>
      <c r="G1542" t="s">
        <v>1593</v>
      </c>
    </row>
    <row r="1543" spans="5:7" x14ac:dyDescent="0.35">
      <c r="E1543" t="s">
        <v>3803</v>
      </c>
      <c r="F1543" t="s">
        <v>5140</v>
      </c>
      <c r="G1543" t="s">
        <v>1593</v>
      </c>
    </row>
    <row r="1544" spans="5:7" x14ac:dyDescent="0.35">
      <c r="E1544" t="s">
        <v>3803</v>
      </c>
      <c r="F1544" t="s">
        <v>5141</v>
      </c>
      <c r="G1544" t="s">
        <v>1593</v>
      </c>
    </row>
    <row r="1545" spans="5:7" x14ac:dyDescent="0.35">
      <c r="E1545" t="s">
        <v>3803</v>
      </c>
      <c r="F1545" t="s">
        <v>5142</v>
      </c>
      <c r="G1545" t="s">
        <v>1593</v>
      </c>
    </row>
    <row r="1546" spans="5:7" x14ac:dyDescent="0.35">
      <c r="E1546" t="s">
        <v>3803</v>
      </c>
      <c r="F1546" t="s">
        <v>5143</v>
      </c>
      <c r="G1546" t="s">
        <v>1593</v>
      </c>
    </row>
    <row r="1547" spans="5:7" x14ac:dyDescent="0.35">
      <c r="E1547" t="s">
        <v>3803</v>
      </c>
      <c r="F1547" t="s">
        <v>5144</v>
      </c>
      <c r="G1547" t="s">
        <v>1593</v>
      </c>
    </row>
    <row r="1548" spans="5:7" x14ac:dyDescent="0.35">
      <c r="E1548" t="s">
        <v>3803</v>
      </c>
      <c r="F1548" t="s">
        <v>5145</v>
      </c>
      <c r="G1548" t="s">
        <v>1593</v>
      </c>
    </row>
    <row r="1549" spans="5:7" x14ac:dyDescent="0.35">
      <c r="E1549" t="s">
        <v>3803</v>
      </c>
      <c r="F1549" t="s">
        <v>5146</v>
      </c>
      <c r="G1549" t="s">
        <v>1593</v>
      </c>
    </row>
    <row r="1550" spans="5:7" x14ac:dyDescent="0.35">
      <c r="E1550" t="s">
        <v>3803</v>
      </c>
      <c r="F1550" t="s">
        <v>5147</v>
      </c>
      <c r="G1550" t="s">
        <v>1593</v>
      </c>
    </row>
    <row r="1551" spans="5:7" x14ac:dyDescent="0.35">
      <c r="E1551" t="s">
        <v>3803</v>
      </c>
      <c r="F1551" t="s">
        <v>5148</v>
      </c>
      <c r="G1551" t="s">
        <v>1593</v>
      </c>
    </row>
    <row r="1552" spans="5:7" x14ac:dyDescent="0.35">
      <c r="E1552" t="s">
        <v>3803</v>
      </c>
      <c r="F1552" t="s">
        <v>1368</v>
      </c>
      <c r="G1552" t="s">
        <v>1593</v>
      </c>
    </row>
    <row r="1553" spans="5:7" x14ac:dyDescent="0.35">
      <c r="E1553" t="s">
        <v>3803</v>
      </c>
      <c r="F1553" t="s">
        <v>5149</v>
      </c>
      <c r="G1553" t="s">
        <v>1593</v>
      </c>
    </row>
    <row r="1554" spans="5:7" x14ac:dyDescent="0.35">
      <c r="E1554" t="s">
        <v>3803</v>
      </c>
      <c r="F1554" t="s">
        <v>5150</v>
      </c>
      <c r="G1554" t="s">
        <v>1593</v>
      </c>
    </row>
    <row r="1555" spans="5:7" x14ac:dyDescent="0.35">
      <c r="E1555" t="s">
        <v>3803</v>
      </c>
      <c r="F1555" t="s">
        <v>5151</v>
      </c>
      <c r="G1555" t="s">
        <v>1593</v>
      </c>
    </row>
    <row r="1556" spans="5:7" x14ac:dyDescent="0.35">
      <c r="E1556" t="s">
        <v>3803</v>
      </c>
      <c r="F1556" t="s">
        <v>5152</v>
      </c>
      <c r="G1556" t="s">
        <v>1593</v>
      </c>
    </row>
    <row r="1557" spans="5:7" x14ac:dyDescent="0.35">
      <c r="E1557" t="s">
        <v>3803</v>
      </c>
      <c r="F1557" t="s">
        <v>5153</v>
      </c>
      <c r="G1557" t="s">
        <v>1593</v>
      </c>
    </row>
    <row r="1558" spans="5:7" x14ac:dyDescent="0.35">
      <c r="E1558" t="s">
        <v>3803</v>
      </c>
      <c r="F1558" t="s">
        <v>5154</v>
      </c>
      <c r="G1558" t="s">
        <v>1593</v>
      </c>
    </row>
    <row r="1559" spans="5:7" x14ac:dyDescent="0.35">
      <c r="E1559" t="s">
        <v>3803</v>
      </c>
      <c r="F1559" t="s">
        <v>5155</v>
      </c>
      <c r="G1559" t="s">
        <v>1593</v>
      </c>
    </row>
    <row r="1560" spans="5:7" x14ac:dyDescent="0.35">
      <c r="E1560" t="s">
        <v>3803</v>
      </c>
      <c r="F1560" t="s">
        <v>5156</v>
      </c>
      <c r="G1560" t="s">
        <v>1593</v>
      </c>
    </row>
    <row r="1561" spans="5:7" x14ac:dyDescent="0.35">
      <c r="E1561" t="s">
        <v>3803</v>
      </c>
      <c r="F1561" t="s">
        <v>5157</v>
      </c>
      <c r="G1561" t="s">
        <v>1593</v>
      </c>
    </row>
    <row r="1562" spans="5:7" x14ac:dyDescent="0.35">
      <c r="E1562" t="s">
        <v>3803</v>
      </c>
      <c r="F1562" t="s">
        <v>5158</v>
      </c>
      <c r="G1562" t="s">
        <v>1593</v>
      </c>
    </row>
    <row r="1563" spans="5:7" x14ac:dyDescent="0.35">
      <c r="E1563" t="s">
        <v>3803</v>
      </c>
      <c r="F1563" t="s">
        <v>5159</v>
      </c>
      <c r="G1563" t="s">
        <v>1593</v>
      </c>
    </row>
    <row r="1564" spans="5:7" x14ac:dyDescent="0.35">
      <c r="E1564" t="s">
        <v>3803</v>
      </c>
      <c r="F1564" t="s">
        <v>5160</v>
      </c>
      <c r="G1564" t="s">
        <v>1593</v>
      </c>
    </row>
    <row r="1565" spans="5:7" x14ac:dyDescent="0.35">
      <c r="E1565" t="s">
        <v>3803</v>
      </c>
      <c r="F1565" t="s">
        <v>5161</v>
      </c>
      <c r="G1565" t="s">
        <v>1593</v>
      </c>
    </row>
    <row r="1566" spans="5:7" x14ac:dyDescent="0.35">
      <c r="E1566" t="s">
        <v>3803</v>
      </c>
      <c r="F1566" t="s">
        <v>5162</v>
      </c>
      <c r="G1566" t="s">
        <v>1593</v>
      </c>
    </row>
    <row r="1567" spans="5:7" x14ac:dyDescent="0.35">
      <c r="E1567" t="s">
        <v>3803</v>
      </c>
      <c r="F1567" t="s">
        <v>2755</v>
      </c>
      <c r="G1567" t="s">
        <v>1598</v>
      </c>
    </row>
    <row r="1568" spans="5:7" x14ac:dyDescent="0.35">
      <c r="E1568" t="s">
        <v>3803</v>
      </c>
      <c r="F1568" t="s">
        <v>2758</v>
      </c>
      <c r="G1568" t="s">
        <v>1598</v>
      </c>
    </row>
    <row r="1569" spans="5:7" x14ac:dyDescent="0.35">
      <c r="E1569" t="s">
        <v>3803</v>
      </c>
      <c r="F1569" t="s">
        <v>2761</v>
      </c>
      <c r="G1569" t="s">
        <v>1598</v>
      </c>
    </row>
    <row r="1570" spans="5:7" x14ac:dyDescent="0.35">
      <c r="E1570" t="s">
        <v>3803</v>
      </c>
      <c r="F1570" t="s">
        <v>352</v>
      </c>
      <c r="G1570" t="s">
        <v>1598</v>
      </c>
    </row>
    <row r="1571" spans="5:7" x14ac:dyDescent="0.35">
      <c r="E1571" t="s">
        <v>3803</v>
      </c>
      <c r="F1571" t="s">
        <v>5163</v>
      </c>
      <c r="G1571" t="s">
        <v>1598</v>
      </c>
    </row>
    <row r="1572" spans="5:7" x14ac:dyDescent="0.35">
      <c r="E1572" t="s">
        <v>3803</v>
      </c>
      <c r="F1572" t="s">
        <v>5164</v>
      </c>
      <c r="G1572" t="s">
        <v>1598</v>
      </c>
    </row>
    <row r="1573" spans="5:7" x14ac:dyDescent="0.35">
      <c r="E1573" t="s">
        <v>3803</v>
      </c>
      <c r="F1573" t="s">
        <v>5165</v>
      </c>
      <c r="G1573" t="s">
        <v>1598</v>
      </c>
    </row>
    <row r="1574" spans="5:7" x14ac:dyDescent="0.35">
      <c r="E1574" t="s">
        <v>3803</v>
      </c>
      <c r="F1574" t="s">
        <v>5166</v>
      </c>
      <c r="G1574" t="s">
        <v>1598</v>
      </c>
    </row>
    <row r="1575" spans="5:7" x14ac:dyDescent="0.35">
      <c r="E1575" t="s">
        <v>3803</v>
      </c>
      <c r="F1575" t="s">
        <v>5167</v>
      </c>
      <c r="G1575" t="s">
        <v>1598</v>
      </c>
    </row>
    <row r="1576" spans="5:7" x14ac:dyDescent="0.35">
      <c r="E1576" t="s">
        <v>3803</v>
      </c>
      <c r="F1576" t="s">
        <v>2763</v>
      </c>
      <c r="G1576" t="s">
        <v>1598</v>
      </c>
    </row>
    <row r="1577" spans="5:7" x14ac:dyDescent="0.35">
      <c r="E1577" t="s">
        <v>3803</v>
      </c>
      <c r="F1577" t="s">
        <v>2766</v>
      </c>
      <c r="G1577" t="s">
        <v>1598</v>
      </c>
    </row>
    <row r="1578" spans="5:7" x14ac:dyDescent="0.35">
      <c r="E1578" t="s">
        <v>3803</v>
      </c>
      <c r="F1578" t="s">
        <v>2769</v>
      </c>
      <c r="G1578" t="s">
        <v>1598</v>
      </c>
    </row>
    <row r="1579" spans="5:7" x14ac:dyDescent="0.35">
      <c r="E1579" t="s">
        <v>3803</v>
      </c>
      <c r="F1579" t="s">
        <v>2772</v>
      </c>
      <c r="G1579" t="s">
        <v>1598</v>
      </c>
    </row>
    <row r="1580" spans="5:7" x14ac:dyDescent="0.35">
      <c r="E1580" t="s">
        <v>3803</v>
      </c>
      <c r="F1580" t="s">
        <v>465</v>
      </c>
      <c r="G1580" t="s">
        <v>1598</v>
      </c>
    </row>
    <row r="1581" spans="5:7" x14ac:dyDescent="0.35">
      <c r="E1581" t="s">
        <v>3803</v>
      </c>
      <c r="F1581" t="s">
        <v>5168</v>
      </c>
      <c r="G1581" t="s">
        <v>1598</v>
      </c>
    </row>
    <row r="1582" spans="5:7" x14ac:dyDescent="0.35">
      <c r="E1582" t="s">
        <v>3803</v>
      </c>
      <c r="F1582" t="s">
        <v>5169</v>
      </c>
      <c r="G1582" t="s">
        <v>1598</v>
      </c>
    </row>
    <row r="1583" spans="5:7" x14ac:dyDescent="0.35">
      <c r="E1583" t="s">
        <v>3803</v>
      </c>
      <c r="F1583" t="s">
        <v>5170</v>
      </c>
      <c r="G1583" t="s">
        <v>1598</v>
      </c>
    </row>
    <row r="1584" spans="5:7" x14ac:dyDescent="0.35">
      <c r="E1584" t="s">
        <v>3803</v>
      </c>
      <c r="F1584" t="s">
        <v>5171</v>
      </c>
      <c r="G1584" t="s">
        <v>1598</v>
      </c>
    </row>
    <row r="1585" spans="5:7" x14ac:dyDescent="0.35">
      <c r="E1585" t="s">
        <v>3803</v>
      </c>
      <c r="F1585" t="s">
        <v>5172</v>
      </c>
      <c r="G1585" t="s">
        <v>1598</v>
      </c>
    </row>
    <row r="1586" spans="5:7" x14ac:dyDescent="0.35">
      <c r="E1586" t="s">
        <v>3803</v>
      </c>
      <c r="F1586" t="s">
        <v>5173</v>
      </c>
      <c r="G1586" t="s">
        <v>1598</v>
      </c>
    </row>
    <row r="1587" spans="5:7" x14ac:dyDescent="0.35">
      <c r="E1587" t="s">
        <v>3803</v>
      </c>
      <c r="F1587" t="s">
        <v>5174</v>
      </c>
      <c r="G1587" t="s">
        <v>1598</v>
      </c>
    </row>
    <row r="1588" spans="5:7" x14ac:dyDescent="0.35">
      <c r="E1588" t="s">
        <v>3803</v>
      </c>
      <c r="F1588" t="s">
        <v>5175</v>
      </c>
      <c r="G1588" t="s">
        <v>1598</v>
      </c>
    </row>
    <row r="1589" spans="5:7" x14ac:dyDescent="0.35">
      <c r="E1589" t="s">
        <v>3803</v>
      </c>
      <c r="F1589" t="s">
        <v>5176</v>
      </c>
      <c r="G1589" t="s">
        <v>1598</v>
      </c>
    </row>
    <row r="1590" spans="5:7" x14ac:dyDescent="0.35">
      <c r="E1590" t="s">
        <v>3803</v>
      </c>
      <c r="F1590" t="s">
        <v>5177</v>
      </c>
      <c r="G1590" t="s">
        <v>1598</v>
      </c>
    </row>
    <row r="1591" spans="5:7" x14ac:dyDescent="0.35">
      <c r="E1591" t="s">
        <v>3803</v>
      </c>
      <c r="F1591" t="s">
        <v>5178</v>
      </c>
      <c r="G1591" t="s">
        <v>1598</v>
      </c>
    </row>
    <row r="1592" spans="5:7" x14ac:dyDescent="0.35">
      <c r="E1592" t="s">
        <v>3803</v>
      </c>
      <c r="F1592" t="s">
        <v>5179</v>
      </c>
      <c r="G1592" t="s">
        <v>1598</v>
      </c>
    </row>
    <row r="1593" spans="5:7" x14ac:dyDescent="0.35">
      <c r="E1593" t="s">
        <v>3803</v>
      </c>
      <c r="F1593" t="s">
        <v>2775</v>
      </c>
      <c r="G1593" t="s">
        <v>1598</v>
      </c>
    </row>
    <row r="1594" spans="5:7" x14ac:dyDescent="0.35">
      <c r="E1594" t="s">
        <v>3803</v>
      </c>
      <c r="F1594" t="s">
        <v>507</v>
      </c>
      <c r="G1594" t="s">
        <v>1598</v>
      </c>
    </row>
    <row r="1595" spans="5:7" x14ac:dyDescent="0.35">
      <c r="E1595" t="s">
        <v>3803</v>
      </c>
      <c r="F1595" t="s">
        <v>5180</v>
      </c>
      <c r="G1595" t="s">
        <v>1598</v>
      </c>
    </row>
    <row r="1596" spans="5:7" x14ac:dyDescent="0.35">
      <c r="E1596" t="s">
        <v>3803</v>
      </c>
      <c r="F1596" t="s">
        <v>5181</v>
      </c>
      <c r="G1596" t="s">
        <v>1598</v>
      </c>
    </row>
    <row r="1597" spans="5:7" x14ac:dyDescent="0.35">
      <c r="E1597" t="s">
        <v>3803</v>
      </c>
      <c r="F1597" t="s">
        <v>5182</v>
      </c>
      <c r="G1597" t="s">
        <v>1598</v>
      </c>
    </row>
    <row r="1598" spans="5:7" x14ac:dyDescent="0.35">
      <c r="E1598" t="s">
        <v>3803</v>
      </c>
      <c r="F1598" t="s">
        <v>2778</v>
      </c>
      <c r="G1598" t="s">
        <v>1598</v>
      </c>
    </row>
    <row r="1599" spans="5:7" x14ac:dyDescent="0.35">
      <c r="E1599" t="s">
        <v>3803</v>
      </c>
      <c r="F1599" t="s">
        <v>2780</v>
      </c>
      <c r="G1599" t="s">
        <v>1598</v>
      </c>
    </row>
    <row r="1600" spans="5:7" x14ac:dyDescent="0.35">
      <c r="E1600" t="s">
        <v>3803</v>
      </c>
      <c r="F1600" t="s">
        <v>659</v>
      </c>
      <c r="G1600" t="s">
        <v>1598</v>
      </c>
    </row>
    <row r="1601" spans="5:7" x14ac:dyDescent="0.35">
      <c r="E1601" t="s">
        <v>3803</v>
      </c>
      <c r="F1601" t="s">
        <v>5183</v>
      </c>
      <c r="G1601" t="s">
        <v>1598</v>
      </c>
    </row>
    <row r="1602" spans="5:7" x14ac:dyDescent="0.35">
      <c r="E1602" t="s">
        <v>3803</v>
      </c>
      <c r="F1602" t="s">
        <v>5184</v>
      </c>
      <c r="G1602" t="s">
        <v>1598</v>
      </c>
    </row>
    <row r="1603" spans="5:7" x14ac:dyDescent="0.35">
      <c r="E1603" t="s">
        <v>3803</v>
      </c>
      <c r="F1603" t="s">
        <v>5185</v>
      </c>
      <c r="G1603" t="s">
        <v>1598</v>
      </c>
    </row>
    <row r="1604" spans="5:7" x14ac:dyDescent="0.35">
      <c r="E1604" t="s">
        <v>3803</v>
      </c>
      <c r="F1604" t="s">
        <v>5186</v>
      </c>
      <c r="G1604" t="s">
        <v>1598</v>
      </c>
    </row>
    <row r="1605" spans="5:7" x14ac:dyDescent="0.35">
      <c r="E1605" t="s">
        <v>3803</v>
      </c>
      <c r="F1605" t="s">
        <v>5187</v>
      </c>
      <c r="G1605" t="s">
        <v>1598</v>
      </c>
    </row>
    <row r="1606" spans="5:7" x14ac:dyDescent="0.35">
      <c r="E1606" t="s">
        <v>3803</v>
      </c>
      <c r="F1606" t="s">
        <v>5188</v>
      </c>
      <c r="G1606" t="s">
        <v>1598</v>
      </c>
    </row>
    <row r="1607" spans="5:7" x14ac:dyDescent="0.35">
      <c r="E1607" t="s">
        <v>3803</v>
      </c>
      <c r="F1607" t="s">
        <v>5189</v>
      </c>
      <c r="G1607" t="s">
        <v>1598</v>
      </c>
    </row>
    <row r="1608" spans="5:7" x14ac:dyDescent="0.35">
      <c r="E1608" t="s">
        <v>3803</v>
      </c>
      <c r="F1608" t="s">
        <v>5190</v>
      </c>
      <c r="G1608" t="s">
        <v>1598</v>
      </c>
    </row>
    <row r="1609" spans="5:7" x14ac:dyDescent="0.35">
      <c r="E1609" t="s">
        <v>3803</v>
      </c>
      <c r="F1609" t="s">
        <v>2783</v>
      </c>
      <c r="G1609" t="s">
        <v>1598</v>
      </c>
    </row>
    <row r="1610" spans="5:7" x14ac:dyDescent="0.35">
      <c r="E1610" t="s">
        <v>3803</v>
      </c>
      <c r="F1610" t="s">
        <v>887</v>
      </c>
      <c r="G1610" t="s">
        <v>1598</v>
      </c>
    </row>
    <row r="1611" spans="5:7" x14ac:dyDescent="0.35">
      <c r="E1611" t="s">
        <v>3803</v>
      </c>
      <c r="F1611" t="s">
        <v>5191</v>
      </c>
      <c r="G1611" t="s">
        <v>1598</v>
      </c>
    </row>
    <row r="1612" spans="5:7" x14ac:dyDescent="0.35">
      <c r="E1612" t="s">
        <v>3803</v>
      </c>
      <c r="F1612" t="s">
        <v>5192</v>
      </c>
      <c r="G1612" t="s">
        <v>1598</v>
      </c>
    </row>
    <row r="1613" spans="5:7" x14ac:dyDescent="0.35">
      <c r="E1613" t="s">
        <v>3803</v>
      </c>
      <c r="F1613" t="s">
        <v>5193</v>
      </c>
      <c r="G1613" t="s">
        <v>1598</v>
      </c>
    </row>
    <row r="1614" spans="5:7" x14ac:dyDescent="0.35">
      <c r="E1614" t="s">
        <v>3803</v>
      </c>
      <c r="F1614" t="s">
        <v>5194</v>
      </c>
      <c r="G1614" t="s">
        <v>1598</v>
      </c>
    </row>
    <row r="1615" spans="5:7" x14ac:dyDescent="0.35">
      <c r="E1615" t="s">
        <v>3803</v>
      </c>
      <c r="F1615" t="s">
        <v>5195</v>
      </c>
      <c r="G1615" t="s">
        <v>1598</v>
      </c>
    </row>
    <row r="1616" spans="5:7" x14ac:dyDescent="0.35">
      <c r="E1616" t="s">
        <v>3803</v>
      </c>
      <c r="F1616" t="s">
        <v>5196</v>
      </c>
      <c r="G1616" t="s">
        <v>1598</v>
      </c>
    </row>
    <row r="1617" spans="5:7" x14ac:dyDescent="0.35">
      <c r="E1617" t="s">
        <v>3803</v>
      </c>
      <c r="F1617" t="s">
        <v>5197</v>
      </c>
      <c r="G1617" t="s">
        <v>1598</v>
      </c>
    </row>
    <row r="1618" spans="5:7" x14ac:dyDescent="0.35">
      <c r="E1618" t="s">
        <v>3803</v>
      </c>
      <c r="F1618" t="s">
        <v>5198</v>
      </c>
      <c r="G1618" t="s">
        <v>1598</v>
      </c>
    </row>
    <row r="1619" spans="5:7" x14ac:dyDescent="0.35">
      <c r="E1619" t="s">
        <v>3803</v>
      </c>
      <c r="F1619" t="s">
        <v>5199</v>
      </c>
      <c r="G1619" t="s">
        <v>1598</v>
      </c>
    </row>
    <row r="1620" spans="5:7" x14ac:dyDescent="0.35">
      <c r="E1620" t="s">
        <v>3803</v>
      </c>
      <c r="F1620" t="s">
        <v>5200</v>
      </c>
      <c r="G1620" t="s">
        <v>1598</v>
      </c>
    </row>
    <row r="1621" spans="5:7" x14ac:dyDescent="0.35">
      <c r="E1621" t="s">
        <v>3803</v>
      </c>
      <c r="F1621" t="s">
        <v>5201</v>
      </c>
      <c r="G1621" t="s">
        <v>1598</v>
      </c>
    </row>
    <row r="1622" spans="5:7" x14ac:dyDescent="0.35">
      <c r="E1622" t="s">
        <v>3803</v>
      </c>
      <c r="F1622" t="s">
        <v>5202</v>
      </c>
      <c r="G1622" t="s">
        <v>1598</v>
      </c>
    </row>
    <row r="1623" spans="5:7" x14ac:dyDescent="0.35">
      <c r="E1623" t="s">
        <v>3803</v>
      </c>
      <c r="F1623" t="s">
        <v>5203</v>
      </c>
      <c r="G1623" t="s">
        <v>1598</v>
      </c>
    </row>
    <row r="1624" spans="5:7" x14ac:dyDescent="0.35">
      <c r="E1624" t="s">
        <v>3803</v>
      </c>
      <c r="F1624" t="s">
        <v>5204</v>
      </c>
      <c r="G1624" t="s">
        <v>1598</v>
      </c>
    </row>
    <row r="1625" spans="5:7" x14ac:dyDescent="0.35">
      <c r="E1625" t="s">
        <v>3803</v>
      </c>
      <c r="F1625" t="s">
        <v>5205</v>
      </c>
      <c r="G1625" t="s">
        <v>1598</v>
      </c>
    </row>
    <row r="1626" spans="5:7" x14ac:dyDescent="0.35">
      <c r="E1626" t="s">
        <v>3803</v>
      </c>
      <c r="F1626" t="s">
        <v>5206</v>
      </c>
      <c r="G1626" t="s">
        <v>1598</v>
      </c>
    </row>
    <row r="1627" spans="5:7" x14ac:dyDescent="0.35">
      <c r="E1627" t="s">
        <v>3803</v>
      </c>
      <c r="F1627" t="s">
        <v>5207</v>
      </c>
      <c r="G1627" t="s">
        <v>1598</v>
      </c>
    </row>
    <row r="1628" spans="5:7" x14ac:dyDescent="0.35">
      <c r="E1628" t="s">
        <v>3803</v>
      </c>
      <c r="F1628" t="s">
        <v>5208</v>
      </c>
      <c r="G1628" t="s">
        <v>1598</v>
      </c>
    </row>
    <row r="1629" spans="5:7" x14ac:dyDescent="0.35">
      <c r="E1629" t="s">
        <v>3803</v>
      </c>
      <c r="F1629" t="s">
        <v>5209</v>
      </c>
      <c r="G1629" t="s">
        <v>1598</v>
      </c>
    </row>
    <row r="1630" spans="5:7" x14ac:dyDescent="0.35">
      <c r="E1630" t="s">
        <v>3803</v>
      </c>
      <c r="F1630" t="s">
        <v>5210</v>
      </c>
      <c r="G1630" t="s">
        <v>1598</v>
      </c>
    </row>
    <row r="1631" spans="5:7" x14ac:dyDescent="0.35">
      <c r="E1631" t="s">
        <v>3803</v>
      </c>
      <c r="F1631" t="s">
        <v>5211</v>
      </c>
      <c r="G1631" t="s">
        <v>1598</v>
      </c>
    </row>
    <row r="1632" spans="5:7" x14ac:dyDescent="0.35">
      <c r="E1632" t="s">
        <v>3803</v>
      </c>
      <c r="F1632" t="s">
        <v>5212</v>
      </c>
      <c r="G1632" t="s">
        <v>1598</v>
      </c>
    </row>
    <row r="1633" spans="5:7" x14ac:dyDescent="0.35">
      <c r="E1633" t="s">
        <v>3803</v>
      </c>
      <c r="F1633" t="s">
        <v>5213</v>
      </c>
      <c r="G1633" t="s">
        <v>1598</v>
      </c>
    </row>
    <row r="1634" spans="5:7" x14ac:dyDescent="0.35">
      <c r="E1634" t="s">
        <v>3803</v>
      </c>
      <c r="F1634" t="s">
        <v>5214</v>
      </c>
      <c r="G1634" t="s">
        <v>1598</v>
      </c>
    </row>
    <row r="1635" spans="5:7" x14ac:dyDescent="0.35">
      <c r="E1635" t="s">
        <v>3803</v>
      </c>
      <c r="F1635" t="s">
        <v>5215</v>
      </c>
      <c r="G1635" t="s">
        <v>1598</v>
      </c>
    </row>
    <row r="1636" spans="5:7" x14ac:dyDescent="0.35">
      <c r="E1636" t="s">
        <v>3803</v>
      </c>
      <c r="F1636" t="s">
        <v>5216</v>
      </c>
      <c r="G1636" t="s">
        <v>1598</v>
      </c>
    </row>
    <row r="1637" spans="5:7" x14ac:dyDescent="0.35">
      <c r="E1637" t="s">
        <v>3803</v>
      </c>
      <c r="F1637" t="s">
        <v>5217</v>
      </c>
      <c r="G1637" t="s">
        <v>1598</v>
      </c>
    </row>
    <row r="1638" spans="5:7" x14ac:dyDescent="0.35">
      <c r="E1638" t="s">
        <v>3803</v>
      </c>
      <c r="F1638" t="s">
        <v>5218</v>
      </c>
      <c r="G1638" t="s">
        <v>1598</v>
      </c>
    </row>
    <row r="1639" spans="5:7" x14ac:dyDescent="0.35">
      <c r="E1639" t="s">
        <v>3803</v>
      </c>
      <c r="F1639" t="s">
        <v>5219</v>
      </c>
      <c r="G1639" t="s">
        <v>1598</v>
      </c>
    </row>
    <row r="1640" spans="5:7" x14ac:dyDescent="0.35">
      <c r="E1640" t="s">
        <v>3803</v>
      </c>
      <c r="F1640" t="s">
        <v>5220</v>
      </c>
      <c r="G1640" t="s">
        <v>1598</v>
      </c>
    </row>
    <row r="1641" spans="5:7" x14ac:dyDescent="0.35">
      <c r="E1641" t="s">
        <v>3803</v>
      </c>
      <c r="F1641" t="s">
        <v>5221</v>
      </c>
      <c r="G1641" t="s">
        <v>1598</v>
      </c>
    </row>
    <row r="1642" spans="5:7" x14ac:dyDescent="0.35">
      <c r="E1642" t="s">
        <v>3803</v>
      </c>
      <c r="F1642" t="s">
        <v>5222</v>
      </c>
      <c r="G1642" t="s">
        <v>1598</v>
      </c>
    </row>
    <row r="1643" spans="5:7" x14ac:dyDescent="0.35">
      <c r="E1643" t="s">
        <v>3803</v>
      </c>
      <c r="F1643" t="s">
        <v>5223</v>
      </c>
      <c r="G1643" t="s">
        <v>1598</v>
      </c>
    </row>
    <row r="1644" spans="5:7" x14ac:dyDescent="0.35">
      <c r="E1644" t="s">
        <v>3803</v>
      </c>
      <c r="F1644" t="s">
        <v>5224</v>
      </c>
      <c r="G1644" t="s">
        <v>1598</v>
      </c>
    </row>
    <row r="1645" spans="5:7" x14ac:dyDescent="0.35">
      <c r="E1645" t="s">
        <v>3803</v>
      </c>
      <c r="F1645" t="s">
        <v>5225</v>
      </c>
      <c r="G1645" t="s">
        <v>1598</v>
      </c>
    </row>
    <row r="1646" spans="5:7" x14ac:dyDescent="0.35">
      <c r="E1646" t="s">
        <v>3803</v>
      </c>
      <c r="F1646" t="s">
        <v>5226</v>
      </c>
      <c r="G1646" t="s">
        <v>1598</v>
      </c>
    </row>
    <row r="1647" spans="5:7" x14ac:dyDescent="0.35">
      <c r="E1647" t="s">
        <v>3803</v>
      </c>
      <c r="F1647" t="s">
        <v>5227</v>
      </c>
      <c r="G1647" t="s">
        <v>1598</v>
      </c>
    </row>
    <row r="1648" spans="5:7" x14ac:dyDescent="0.35">
      <c r="E1648" t="s">
        <v>3803</v>
      </c>
      <c r="F1648" t="s">
        <v>5228</v>
      </c>
      <c r="G1648" t="s">
        <v>1598</v>
      </c>
    </row>
    <row r="1649" spans="5:7" x14ac:dyDescent="0.35">
      <c r="E1649" t="s">
        <v>3803</v>
      </c>
      <c r="F1649" t="s">
        <v>5229</v>
      </c>
      <c r="G1649" t="s">
        <v>1598</v>
      </c>
    </row>
    <row r="1650" spans="5:7" x14ac:dyDescent="0.35">
      <c r="E1650" t="s">
        <v>3803</v>
      </c>
      <c r="F1650" t="s">
        <v>5230</v>
      </c>
      <c r="G1650" t="s">
        <v>1598</v>
      </c>
    </row>
    <row r="1651" spans="5:7" x14ac:dyDescent="0.35">
      <c r="E1651" t="s">
        <v>3803</v>
      </c>
      <c r="F1651" t="s">
        <v>5231</v>
      </c>
      <c r="G1651" t="s">
        <v>1598</v>
      </c>
    </row>
    <row r="1652" spans="5:7" x14ac:dyDescent="0.35">
      <c r="E1652" t="s">
        <v>3803</v>
      </c>
      <c r="F1652" t="s">
        <v>5232</v>
      </c>
      <c r="G1652" t="s">
        <v>1598</v>
      </c>
    </row>
    <row r="1653" spans="5:7" x14ac:dyDescent="0.35">
      <c r="E1653" t="s">
        <v>3803</v>
      </c>
      <c r="F1653" t="s">
        <v>5233</v>
      </c>
      <c r="G1653" t="s">
        <v>1598</v>
      </c>
    </row>
    <row r="1654" spans="5:7" x14ac:dyDescent="0.35">
      <c r="E1654" t="s">
        <v>3803</v>
      </c>
      <c r="F1654" t="s">
        <v>5234</v>
      </c>
      <c r="G1654" t="s">
        <v>1598</v>
      </c>
    </row>
    <row r="1655" spans="5:7" x14ac:dyDescent="0.35">
      <c r="E1655" t="s">
        <v>3803</v>
      </c>
      <c r="F1655" t="s">
        <v>1042</v>
      </c>
      <c r="G1655" t="s">
        <v>1598</v>
      </c>
    </row>
    <row r="1656" spans="5:7" x14ac:dyDescent="0.35">
      <c r="E1656" t="s">
        <v>3803</v>
      </c>
      <c r="F1656" t="s">
        <v>5235</v>
      </c>
      <c r="G1656" t="s">
        <v>1598</v>
      </c>
    </row>
    <row r="1657" spans="5:7" x14ac:dyDescent="0.35">
      <c r="E1657" t="s">
        <v>3803</v>
      </c>
      <c r="F1657" t="s">
        <v>5236</v>
      </c>
      <c r="G1657" t="s">
        <v>1598</v>
      </c>
    </row>
    <row r="1658" spans="5:7" x14ac:dyDescent="0.35">
      <c r="E1658" t="s">
        <v>3803</v>
      </c>
      <c r="F1658" t="s">
        <v>5237</v>
      </c>
      <c r="G1658" t="s">
        <v>1598</v>
      </c>
    </row>
    <row r="1659" spans="5:7" x14ac:dyDescent="0.35">
      <c r="E1659" t="s">
        <v>3803</v>
      </c>
      <c r="F1659" t="s">
        <v>5238</v>
      </c>
      <c r="G1659" t="s">
        <v>1598</v>
      </c>
    </row>
    <row r="1660" spans="5:7" x14ac:dyDescent="0.35">
      <c r="E1660" t="s">
        <v>3803</v>
      </c>
      <c r="F1660" t="s">
        <v>5239</v>
      </c>
      <c r="G1660" t="s">
        <v>1598</v>
      </c>
    </row>
    <row r="1661" spans="5:7" x14ac:dyDescent="0.35">
      <c r="E1661" t="s">
        <v>3803</v>
      </c>
      <c r="F1661" t="s">
        <v>5240</v>
      </c>
      <c r="G1661" t="s">
        <v>1598</v>
      </c>
    </row>
    <row r="1662" spans="5:7" x14ac:dyDescent="0.35">
      <c r="E1662" t="s">
        <v>3803</v>
      </c>
      <c r="F1662" t="s">
        <v>5241</v>
      </c>
      <c r="G1662" t="s">
        <v>1598</v>
      </c>
    </row>
    <row r="1663" spans="5:7" x14ac:dyDescent="0.35">
      <c r="E1663" t="s">
        <v>3803</v>
      </c>
      <c r="F1663" t="s">
        <v>5242</v>
      </c>
      <c r="G1663" t="s">
        <v>1598</v>
      </c>
    </row>
    <row r="1664" spans="5:7" x14ac:dyDescent="0.35">
      <c r="E1664" t="s">
        <v>3803</v>
      </c>
      <c r="F1664" t="s">
        <v>5243</v>
      </c>
      <c r="G1664" t="s">
        <v>1598</v>
      </c>
    </row>
    <row r="1665" spans="5:7" x14ac:dyDescent="0.35">
      <c r="E1665" t="s">
        <v>3803</v>
      </c>
      <c r="F1665" t="s">
        <v>5244</v>
      </c>
      <c r="G1665" t="s">
        <v>1598</v>
      </c>
    </row>
    <row r="1666" spans="5:7" x14ac:dyDescent="0.35">
      <c r="E1666" t="s">
        <v>3803</v>
      </c>
      <c r="F1666" t="s">
        <v>5245</v>
      </c>
      <c r="G1666" t="s">
        <v>1598</v>
      </c>
    </row>
    <row r="1667" spans="5:7" x14ac:dyDescent="0.35">
      <c r="E1667" t="s">
        <v>3803</v>
      </c>
      <c r="F1667" t="s">
        <v>5246</v>
      </c>
      <c r="G1667" t="s">
        <v>1598</v>
      </c>
    </row>
    <row r="1668" spans="5:7" x14ac:dyDescent="0.35">
      <c r="E1668" t="s">
        <v>3803</v>
      </c>
      <c r="F1668" t="s">
        <v>5247</v>
      </c>
      <c r="G1668" t="s">
        <v>1598</v>
      </c>
    </row>
    <row r="1669" spans="5:7" x14ac:dyDescent="0.35">
      <c r="E1669" t="s">
        <v>3803</v>
      </c>
      <c r="F1669" t="s">
        <v>5248</v>
      </c>
      <c r="G1669" t="s">
        <v>1598</v>
      </c>
    </row>
    <row r="1670" spans="5:7" x14ac:dyDescent="0.35">
      <c r="E1670" t="s">
        <v>3803</v>
      </c>
      <c r="F1670" t="s">
        <v>5249</v>
      </c>
      <c r="G1670" t="s">
        <v>1598</v>
      </c>
    </row>
    <row r="1671" spans="5:7" x14ac:dyDescent="0.35">
      <c r="E1671" t="s">
        <v>3803</v>
      </c>
      <c r="F1671" t="s">
        <v>5250</v>
      </c>
      <c r="G1671" t="s">
        <v>1598</v>
      </c>
    </row>
    <row r="1672" spans="5:7" x14ac:dyDescent="0.35">
      <c r="E1672" t="s">
        <v>3803</v>
      </c>
      <c r="F1672" t="s">
        <v>5251</v>
      </c>
      <c r="G1672" t="s">
        <v>1598</v>
      </c>
    </row>
    <row r="1673" spans="5:7" x14ac:dyDescent="0.35">
      <c r="E1673" t="s">
        <v>3803</v>
      </c>
      <c r="F1673" t="s">
        <v>5252</v>
      </c>
      <c r="G1673" t="s">
        <v>1598</v>
      </c>
    </row>
    <row r="1674" spans="5:7" x14ac:dyDescent="0.35">
      <c r="E1674" t="s">
        <v>3803</v>
      </c>
      <c r="F1674" t="s">
        <v>5253</v>
      </c>
      <c r="G1674" t="s">
        <v>1598</v>
      </c>
    </row>
    <row r="1675" spans="5:7" x14ac:dyDescent="0.35">
      <c r="E1675" t="s">
        <v>3803</v>
      </c>
      <c r="F1675" t="s">
        <v>5254</v>
      </c>
      <c r="G1675" t="s">
        <v>1598</v>
      </c>
    </row>
    <row r="1676" spans="5:7" x14ac:dyDescent="0.35">
      <c r="E1676" t="s">
        <v>3803</v>
      </c>
      <c r="F1676" t="s">
        <v>5255</v>
      </c>
      <c r="G1676" t="s">
        <v>1598</v>
      </c>
    </row>
    <row r="1677" spans="5:7" x14ac:dyDescent="0.35">
      <c r="E1677" t="s">
        <v>3803</v>
      </c>
      <c r="F1677" t="s">
        <v>5256</v>
      </c>
      <c r="G1677" t="s">
        <v>1598</v>
      </c>
    </row>
    <row r="1678" spans="5:7" x14ac:dyDescent="0.35">
      <c r="E1678" t="s">
        <v>3803</v>
      </c>
      <c r="F1678" t="s">
        <v>5257</v>
      </c>
      <c r="G1678" t="s">
        <v>1598</v>
      </c>
    </row>
    <row r="1679" spans="5:7" x14ac:dyDescent="0.35">
      <c r="E1679" t="s">
        <v>3803</v>
      </c>
      <c r="F1679" t="s">
        <v>5258</v>
      </c>
      <c r="G1679" t="s">
        <v>1598</v>
      </c>
    </row>
    <row r="1680" spans="5:7" x14ac:dyDescent="0.35">
      <c r="E1680" t="s">
        <v>3803</v>
      </c>
      <c r="F1680" t="s">
        <v>5259</v>
      </c>
      <c r="G1680" t="s">
        <v>1598</v>
      </c>
    </row>
    <row r="1681" spans="5:7" x14ac:dyDescent="0.35">
      <c r="E1681" t="s">
        <v>3803</v>
      </c>
      <c r="F1681" t="s">
        <v>5260</v>
      </c>
      <c r="G1681" t="s">
        <v>1598</v>
      </c>
    </row>
    <row r="1682" spans="5:7" x14ac:dyDescent="0.35">
      <c r="E1682" t="s">
        <v>3803</v>
      </c>
      <c r="F1682" t="s">
        <v>5261</v>
      </c>
      <c r="G1682" t="s">
        <v>1598</v>
      </c>
    </row>
    <row r="1683" spans="5:7" x14ac:dyDescent="0.35">
      <c r="E1683" t="s">
        <v>3803</v>
      </c>
      <c r="F1683" t="s">
        <v>5262</v>
      </c>
      <c r="G1683" t="s">
        <v>1598</v>
      </c>
    </row>
    <row r="1684" spans="5:7" x14ac:dyDescent="0.35">
      <c r="E1684" t="s">
        <v>3803</v>
      </c>
      <c r="F1684" t="s">
        <v>5263</v>
      </c>
      <c r="G1684" t="s">
        <v>1598</v>
      </c>
    </row>
    <row r="1685" spans="5:7" x14ac:dyDescent="0.35">
      <c r="E1685" t="s">
        <v>3803</v>
      </c>
      <c r="F1685" t="s">
        <v>5264</v>
      </c>
      <c r="G1685" t="s">
        <v>1598</v>
      </c>
    </row>
    <row r="1686" spans="5:7" x14ac:dyDescent="0.35">
      <c r="E1686" t="s">
        <v>3803</v>
      </c>
      <c r="F1686" t="s">
        <v>5265</v>
      </c>
      <c r="G1686" t="s">
        <v>1598</v>
      </c>
    </row>
    <row r="1687" spans="5:7" x14ac:dyDescent="0.35">
      <c r="E1687" t="s">
        <v>3803</v>
      </c>
      <c r="F1687" t="s">
        <v>5266</v>
      </c>
      <c r="G1687" t="s">
        <v>1598</v>
      </c>
    </row>
    <row r="1688" spans="5:7" x14ac:dyDescent="0.35">
      <c r="E1688" t="s">
        <v>3803</v>
      </c>
      <c r="F1688" t="s">
        <v>5267</v>
      </c>
      <c r="G1688" t="s">
        <v>1598</v>
      </c>
    </row>
    <row r="1689" spans="5:7" x14ac:dyDescent="0.35">
      <c r="E1689" t="s">
        <v>3803</v>
      </c>
      <c r="F1689" t="s">
        <v>5268</v>
      </c>
      <c r="G1689" t="s">
        <v>1598</v>
      </c>
    </row>
    <row r="1690" spans="5:7" x14ac:dyDescent="0.35">
      <c r="E1690" t="s">
        <v>3803</v>
      </c>
      <c r="F1690" t="s">
        <v>5269</v>
      </c>
      <c r="G1690" t="s">
        <v>1598</v>
      </c>
    </row>
    <row r="1691" spans="5:7" x14ac:dyDescent="0.35">
      <c r="E1691" t="s">
        <v>3803</v>
      </c>
      <c r="F1691" t="s">
        <v>1130</v>
      </c>
      <c r="G1691" t="s">
        <v>1598</v>
      </c>
    </row>
    <row r="1692" spans="5:7" x14ac:dyDescent="0.35">
      <c r="E1692" t="s">
        <v>3803</v>
      </c>
      <c r="F1692" t="s">
        <v>5270</v>
      </c>
      <c r="G1692" t="s">
        <v>1598</v>
      </c>
    </row>
    <row r="1693" spans="5:7" x14ac:dyDescent="0.35">
      <c r="E1693" t="s">
        <v>3803</v>
      </c>
      <c r="F1693" t="s">
        <v>5271</v>
      </c>
      <c r="G1693" t="s">
        <v>1598</v>
      </c>
    </row>
    <row r="1694" spans="5:7" x14ac:dyDescent="0.35">
      <c r="E1694" t="s">
        <v>3803</v>
      </c>
      <c r="F1694" t="s">
        <v>5272</v>
      </c>
      <c r="G1694" t="s">
        <v>1598</v>
      </c>
    </row>
    <row r="1695" spans="5:7" x14ac:dyDescent="0.35">
      <c r="E1695" t="s">
        <v>3803</v>
      </c>
      <c r="F1695" t="s">
        <v>5273</v>
      </c>
      <c r="G1695" t="s">
        <v>1598</v>
      </c>
    </row>
    <row r="1696" spans="5:7" x14ac:dyDescent="0.35">
      <c r="E1696" t="s">
        <v>3803</v>
      </c>
      <c r="F1696" t="s">
        <v>5274</v>
      </c>
      <c r="G1696" t="s">
        <v>1598</v>
      </c>
    </row>
    <row r="1697" spans="5:7" x14ac:dyDescent="0.35">
      <c r="E1697" t="s">
        <v>3803</v>
      </c>
      <c r="F1697" t="s">
        <v>5275</v>
      </c>
      <c r="G1697" t="s">
        <v>1598</v>
      </c>
    </row>
    <row r="1698" spans="5:7" x14ac:dyDescent="0.35">
      <c r="E1698" t="s">
        <v>3803</v>
      </c>
      <c r="F1698" t="s">
        <v>5276</v>
      </c>
      <c r="G1698" t="s">
        <v>1598</v>
      </c>
    </row>
    <row r="1699" spans="5:7" x14ac:dyDescent="0.35">
      <c r="E1699" t="s">
        <v>3803</v>
      </c>
      <c r="F1699" t="s">
        <v>5277</v>
      </c>
      <c r="G1699" t="s">
        <v>1598</v>
      </c>
    </row>
    <row r="1700" spans="5:7" x14ac:dyDescent="0.35">
      <c r="E1700" t="s">
        <v>3803</v>
      </c>
      <c r="F1700" t="s">
        <v>5278</v>
      </c>
      <c r="G1700" t="s">
        <v>1598</v>
      </c>
    </row>
    <row r="1701" spans="5:7" x14ac:dyDescent="0.35">
      <c r="E1701" t="s">
        <v>3803</v>
      </c>
      <c r="F1701" t="s">
        <v>5279</v>
      </c>
      <c r="G1701" t="s">
        <v>1598</v>
      </c>
    </row>
    <row r="1702" spans="5:7" x14ac:dyDescent="0.35">
      <c r="E1702" t="s">
        <v>3803</v>
      </c>
      <c r="F1702" t="s">
        <v>5280</v>
      </c>
      <c r="G1702" t="s">
        <v>1598</v>
      </c>
    </row>
    <row r="1703" spans="5:7" x14ac:dyDescent="0.35">
      <c r="E1703" t="s">
        <v>3803</v>
      </c>
      <c r="F1703" t="s">
        <v>5281</v>
      </c>
      <c r="G1703" t="s">
        <v>1598</v>
      </c>
    </row>
    <row r="1704" spans="5:7" x14ac:dyDescent="0.35">
      <c r="E1704" t="s">
        <v>3803</v>
      </c>
      <c r="F1704" t="s">
        <v>5282</v>
      </c>
      <c r="G1704" t="s">
        <v>1598</v>
      </c>
    </row>
    <row r="1705" spans="5:7" x14ac:dyDescent="0.35">
      <c r="E1705" t="s">
        <v>3803</v>
      </c>
      <c r="F1705" t="s">
        <v>5283</v>
      </c>
      <c r="G1705" t="s">
        <v>1598</v>
      </c>
    </row>
    <row r="1706" spans="5:7" x14ac:dyDescent="0.35">
      <c r="E1706" t="s">
        <v>3803</v>
      </c>
      <c r="F1706" t="s">
        <v>5284</v>
      </c>
      <c r="G1706" t="s">
        <v>1598</v>
      </c>
    </row>
    <row r="1707" spans="5:7" x14ac:dyDescent="0.35">
      <c r="E1707" t="s">
        <v>3803</v>
      </c>
      <c r="F1707" t="s">
        <v>5285</v>
      </c>
      <c r="G1707" t="s">
        <v>1598</v>
      </c>
    </row>
    <row r="1708" spans="5:7" x14ac:dyDescent="0.35">
      <c r="E1708" t="s">
        <v>3803</v>
      </c>
      <c r="F1708" t="s">
        <v>5286</v>
      </c>
      <c r="G1708" t="s">
        <v>1598</v>
      </c>
    </row>
    <row r="1709" spans="5:7" x14ac:dyDescent="0.35">
      <c r="E1709" t="s">
        <v>3803</v>
      </c>
      <c r="F1709" t="s">
        <v>5287</v>
      </c>
      <c r="G1709" t="s">
        <v>1598</v>
      </c>
    </row>
    <row r="1710" spans="5:7" x14ac:dyDescent="0.35">
      <c r="E1710" t="s">
        <v>3803</v>
      </c>
      <c r="F1710" t="s">
        <v>5288</v>
      </c>
      <c r="G1710" t="s">
        <v>1598</v>
      </c>
    </row>
    <row r="1711" spans="5:7" x14ac:dyDescent="0.35">
      <c r="E1711" t="s">
        <v>3803</v>
      </c>
      <c r="F1711" t="s">
        <v>5289</v>
      </c>
      <c r="G1711" t="s">
        <v>1598</v>
      </c>
    </row>
    <row r="1712" spans="5:7" x14ac:dyDescent="0.35">
      <c r="E1712" t="s">
        <v>3803</v>
      </c>
      <c r="F1712" t="s">
        <v>5290</v>
      </c>
      <c r="G1712" t="s">
        <v>1598</v>
      </c>
    </row>
    <row r="1713" spans="5:7" x14ac:dyDescent="0.35">
      <c r="E1713" t="s">
        <v>3803</v>
      </c>
      <c r="F1713" t="s">
        <v>5291</v>
      </c>
      <c r="G1713" t="s">
        <v>1598</v>
      </c>
    </row>
    <row r="1714" spans="5:7" x14ac:dyDescent="0.35">
      <c r="E1714" t="s">
        <v>3803</v>
      </c>
      <c r="F1714" t="s">
        <v>5292</v>
      </c>
      <c r="G1714" t="s">
        <v>1598</v>
      </c>
    </row>
    <row r="1715" spans="5:7" x14ac:dyDescent="0.35">
      <c r="E1715" t="s">
        <v>3803</v>
      </c>
      <c r="F1715" t="s">
        <v>5293</v>
      </c>
      <c r="G1715" t="s">
        <v>1598</v>
      </c>
    </row>
    <row r="1716" spans="5:7" x14ac:dyDescent="0.35">
      <c r="E1716" t="s">
        <v>3803</v>
      </c>
      <c r="F1716" t="s">
        <v>5294</v>
      </c>
      <c r="G1716" t="s">
        <v>1598</v>
      </c>
    </row>
    <row r="1717" spans="5:7" x14ac:dyDescent="0.35">
      <c r="E1717" t="s">
        <v>3803</v>
      </c>
      <c r="F1717" t="s">
        <v>5295</v>
      </c>
      <c r="G1717" t="s">
        <v>1598</v>
      </c>
    </row>
    <row r="1718" spans="5:7" x14ac:dyDescent="0.35">
      <c r="E1718" t="s">
        <v>3803</v>
      </c>
      <c r="F1718" t="s">
        <v>5296</v>
      </c>
      <c r="G1718" t="s">
        <v>1598</v>
      </c>
    </row>
    <row r="1719" spans="5:7" x14ac:dyDescent="0.35">
      <c r="E1719" t="s">
        <v>3803</v>
      </c>
      <c r="F1719" t="s">
        <v>5297</v>
      </c>
      <c r="G1719" t="s">
        <v>1598</v>
      </c>
    </row>
    <row r="1720" spans="5:7" x14ac:dyDescent="0.35">
      <c r="E1720" t="s">
        <v>3803</v>
      </c>
      <c r="F1720" t="s">
        <v>5298</v>
      </c>
      <c r="G1720" t="s">
        <v>1598</v>
      </c>
    </row>
    <row r="1721" spans="5:7" x14ac:dyDescent="0.35">
      <c r="E1721" t="s">
        <v>3803</v>
      </c>
      <c r="F1721" t="s">
        <v>5299</v>
      </c>
      <c r="G1721" t="s">
        <v>1598</v>
      </c>
    </row>
    <row r="1722" spans="5:7" x14ac:dyDescent="0.35">
      <c r="E1722" t="s">
        <v>3803</v>
      </c>
      <c r="F1722" t="s">
        <v>5300</v>
      </c>
      <c r="G1722" t="s">
        <v>1598</v>
      </c>
    </row>
    <row r="1723" spans="5:7" x14ac:dyDescent="0.35">
      <c r="E1723" t="s">
        <v>3803</v>
      </c>
      <c r="F1723" t="s">
        <v>5301</v>
      </c>
      <c r="G1723" t="s">
        <v>1598</v>
      </c>
    </row>
    <row r="1724" spans="5:7" x14ac:dyDescent="0.35">
      <c r="E1724" t="s">
        <v>3803</v>
      </c>
      <c r="F1724" t="s">
        <v>5302</v>
      </c>
      <c r="G1724" t="s">
        <v>1598</v>
      </c>
    </row>
    <row r="1725" spans="5:7" x14ac:dyDescent="0.35">
      <c r="E1725" t="s">
        <v>3803</v>
      </c>
      <c r="F1725" t="s">
        <v>5303</v>
      </c>
      <c r="G1725" t="s">
        <v>1598</v>
      </c>
    </row>
    <row r="1726" spans="5:7" x14ac:dyDescent="0.35">
      <c r="E1726" t="s">
        <v>3803</v>
      </c>
      <c r="F1726" t="s">
        <v>5304</v>
      </c>
      <c r="G1726" t="s">
        <v>1598</v>
      </c>
    </row>
    <row r="1727" spans="5:7" x14ac:dyDescent="0.35">
      <c r="E1727" t="s">
        <v>3803</v>
      </c>
      <c r="F1727" t="s">
        <v>5305</v>
      </c>
      <c r="G1727" t="s">
        <v>1598</v>
      </c>
    </row>
    <row r="1728" spans="5:7" x14ac:dyDescent="0.35">
      <c r="E1728" t="s">
        <v>3803</v>
      </c>
      <c r="F1728" t="s">
        <v>5306</v>
      </c>
      <c r="G1728" t="s">
        <v>1598</v>
      </c>
    </row>
    <row r="1729" spans="5:7" x14ac:dyDescent="0.35">
      <c r="E1729" t="s">
        <v>3803</v>
      </c>
      <c r="F1729" t="s">
        <v>5307</v>
      </c>
      <c r="G1729" t="s">
        <v>1598</v>
      </c>
    </row>
    <row r="1730" spans="5:7" x14ac:dyDescent="0.35">
      <c r="E1730" t="s">
        <v>3803</v>
      </c>
      <c r="F1730" t="s">
        <v>2786</v>
      </c>
      <c r="G1730" t="s">
        <v>1598</v>
      </c>
    </row>
    <row r="1731" spans="5:7" x14ac:dyDescent="0.35">
      <c r="E1731" t="s">
        <v>3803</v>
      </c>
      <c r="F1731" t="s">
        <v>5308</v>
      </c>
      <c r="G1731" t="s">
        <v>1598</v>
      </c>
    </row>
    <row r="1732" spans="5:7" x14ac:dyDescent="0.35">
      <c r="E1732" t="s">
        <v>3803</v>
      </c>
      <c r="F1732" t="s">
        <v>5309</v>
      </c>
      <c r="G1732" t="s">
        <v>1598</v>
      </c>
    </row>
    <row r="1733" spans="5:7" x14ac:dyDescent="0.35">
      <c r="E1733" t="s">
        <v>3803</v>
      </c>
      <c r="F1733" t="s">
        <v>5310</v>
      </c>
      <c r="G1733" t="s">
        <v>1598</v>
      </c>
    </row>
    <row r="1734" spans="5:7" x14ac:dyDescent="0.35">
      <c r="E1734" t="s">
        <v>3803</v>
      </c>
      <c r="F1734" t="s">
        <v>1246</v>
      </c>
      <c r="G1734" t="s">
        <v>1598</v>
      </c>
    </row>
    <row r="1735" spans="5:7" x14ac:dyDescent="0.35">
      <c r="E1735" t="s">
        <v>3803</v>
      </c>
      <c r="F1735" t="s">
        <v>5311</v>
      </c>
      <c r="G1735" t="s">
        <v>1598</v>
      </c>
    </row>
    <row r="1736" spans="5:7" x14ac:dyDescent="0.35">
      <c r="E1736" t="s">
        <v>3803</v>
      </c>
      <c r="F1736" t="s">
        <v>5312</v>
      </c>
      <c r="G1736" t="s">
        <v>1598</v>
      </c>
    </row>
    <row r="1737" spans="5:7" x14ac:dyDescent="0.35">
      <c r="E1737" t="s">
        <v>3803</v>
      </c>
      <c r="F1737" t="s">
        <v>5313</v>
      </c>
      <c r="G1737" t="s">
        <v>1598</v>
      </c>
    </row>
    <row r="1738" spans="5:7" x14ac:dyDescent="0.35">
      <c r="E1738" t="s">
        <v>3803</v>
      </c>
      <c r="F1738" t="s">
        <v>5314</v>
      </c>
      <c r="G1738" t="s">
        <v>1598</v>
      </c>
    </row>
    <row r="1739" spans="5:7" x14ac:dyDescent="0.35">
      <c r="E1739" t="s">
        <v>3803</v>
      </c>
      <c r="F1739" t="s">
        <v>5315</v>
      </c>
      <c r="G1739" t="s">
        <v>1598</v>
      </c>
    </row>
    <row r="1740" spans="5:7" x14ac:dyDescent="0.35">
      <c r="E1740" t="s">
        <v>3803</v>
      </c>
      <c r="F1740" t="s">
        <v>5316</v>
      </c>
      <c r="G1740" t="s">
        <v>1598</v>
      </c>
    </row>
    <row r="1741" spans="5:7" x14ac:dyDescent="0.35">
      <c r="E1741" t="s">
        <v>3803</v>
      </c>
      <c r="F1741" t="s">
        <v>5317</v>
      </c>
      <c r="G1741" t="s">
        <v>1598</v>
      </c>
    </row>
    <row r="1742" spans="5:7" x14ac:dyDescent="0.35">
      <c r="E1742" t="s">
        <v>3803</v>
      </c>
      <c r="F1742" t="s">
        <v>5318</v>
      </c>
      <c r="G1742" t="s">
        <v>1598</v>
      </c>
    </row>
    <row r="1743" spans="5:7" x14ac:dyDescent="0.35">
      <c r="E1743" t="s">
        <v>3803</v>
      </c>
      <c r="F1743" t="s">
        <v>5319</v>
      </c>
      <c r="G1743" t="s">
        <v>1598</v>
      </c>
    </row>
    <row r="1744" spans="5:7" x14ac:dyDescent="0.35">
      <c r="E1744" t="s">
        <v>3803</v>
      </c>
      <c r="F1744" t="s">
        <v>5320</v>
      </c>
      <c r="G1744" t="s">
        <v>1598</v>
      </c>
    </row>
    <row r="1745" spans="5:7" x14ac:dyDescent="0.35">
      <c r="E1745" t="s">
        <v>3803</v>
      </c>
      <c r="F1745" t="s">
        <v>5321</v>
      </c>
      <c r="G1745" t="s">
        <v>1598</v>
      </c>
    </row>
    <row r="1746" spans="5:7" x14ac:dyDescent="0.35">
      <c r="E1746" t="s">
        <v>3803</v>
      </c>
      <c r="F1746" t="s">
        <v>5322</v>
      </c>
      <c r="G1746" t="s">
        <v>1598</v>
      </c>
    </row>
    <row r="1747" spans="5:7" x14ac:dyDescent="0.35">
      <c r="E1747" t="s">
        <v>3803</v>
      </c>
      <c r="F1747" t="s">
        <v>5323</v>
      </c>
      <c r="G1747" t="s">
        <v>1598</v>
      </c>
    </row>
    <row r="1748" spans="5:7" x14ac:dyDescent="0.35">
      <c r="E1748" t="s">
        <v>3803</v>
      </c>
      <c r="F1748" t="s">
        <v>5324</v>
      </c>
      <c r="G1748" t="s">
        <v>1598</v>
      </c>
    </row>
    <row r="1749" spans="5:7" x14ac:dyDescent="0.35">
      <c r="E1749" t="s">
        <v>3803</v>
      </c>
      <c r="F1749" t="s">
        <v>5325</v>
      </c>
      <c r="G1749" t="s">
        <v>1598</v>
      </c>
    </row>
    <row r="1750" spans="5:7" x14ac:dyDescent="0.35">
      <c r="E1750" t="s">
        <v>3803</v>
      </c>
      <c r="F1750" t="s">
        <v>5326</v>
      </c>
      <c r="G1750" t="s">
        <v>1598</v>
      </c>
    </row>
    <row r="1751" spans="5:7" x14ac:dyDescent="0.35">
      <c r="E1751" t="s">
        <v>3803</v>
      </c>
      <c r="F1751" t="s">
        <v>5327</v>
      </c>
      <c r="G1751" t="s">
        <v>1598</v>
      </c>
    </row>
    <row r="1752" spans="5:7" x14ac:dyDescent="0.35">
      <c r="E1752" t="s">
        <v>3803</v>
      </c>
      <c r="F1752" t="s">
        <v>5328</v>
      </c>
      <c r="G1752" t="s">
        <v>1598</v>
      </c>
    </row>
    <row r="1753" spans="5:7" x14ac:dyDescent="0.35">
      <c r="E1753" t="s">
        <v>3803</v>
      </c>
      <c r="F1753" t="s">
        <v>5329</v>
      </c>
      <c r="G1753" t="s">
        <v>1598</v>
      </c>
    </row>
    <row r="1754" spans="5:7" x14ac:dyDescent="0.35">
      <c r="E1754" t="s">
        <v>3803</v>
      </c>
      <c r="F1754" t="s">
        <v>5330</v>
      </c>
      <c r="G1754" t="s">
        <v>1598</v>
      </c>
    </row>
    <row r="1755" spans="5:7" x14ac:dyDescent="0.35">
      <c r="E1755" t="s">
        <v>3803</v>
      </c>
      <c r="F1755" t="s">
        <v>5331</v>
      </c>
      <c r="G1755" t="s">
        <v>1598</v>
      </c>
    </row>
    <row r="1756" spans="5:7" x14ac:dyDescent="0.35">
      <c r="E1756" t="s">
        <v>3803</v>
      </c>
      <c r="F1756" t="s">
        <v>5332</v>
      </c>
      <c r="G1756" t="s">
        <v>1598</v>
      </c>
    </row>
    <row r="1757" spans="5:7" x14ac:dyDescent="0.35">
      <c r="E1757" t="s">
        <v>3803</v>
      </c>
      <c r="F1757" t="s">
        <v>5333</v>
      </c>
      <c r="G1757" t="s">
        <v>1598</v>
      </c>
    </row>
    <row r="1758" spans="5:7" x14ac:dyDescent="0.35">
      <c r="E1758" t="s">
        <v>3803</v>
      </c>
      <c r="F1758" t="s">
        <v>5334</v>
      </c>
      <c r="G1758" t="s">
        <v>1598</v>
      </c>
    </row>
    <row r="1759" spans="5:7" x14ac:dyDescent="0.35">
      <c r="E1759" t="s">
        <v>3803</v>
      </c>
      <c r="F1759" t="s">
        <v>5335</v>
      </c>
      <c r="G1759" t="s">
        <v>1598</v>
      </c>
    </row>
    <row r="1760" spans="5:7" x14ac:dyDescent="0.35">
      <c r="E1760" t="s">
        <v>3803</v>
      </c>
      <c r="F1760" t="s">
        <v>5336</v>
      </c>
      <c r="G1760" t="s">
        <v>1598</v>
      </c>
    </row>
    <row r="1761" spans="5:7" x14ac:dyDescent="0.35">
      <c r="E1761" t="s">
        <v>3803</v>
      </c>
      <c r="F1761" t="s">
        <v>5337</v>
      </c>
      <c r="G1761" t="s">
        <v>1598</v>
      </c>
    </row>
    <row r="1762" spans="5:7" x14ac:dyDescent="0.35">
      <c r="E1762" t="s">
        <v>3803</v>
      </c>
      <c r="F1762" t="s">
        <v>5338</v>
      </c>
      <c r="G1762" t="s">
        <v>1598</v>
      </c>
    </row>
    <row r="1763" spans="5:7" x14ac:dyDescent="0.35">
      <c r="E1763" t="s">
        <v>3803</v>
      </c>
      <c r="F1763" t="s">
        <v>5339</v>
      </c>
      <c r="G1763" t="s">
        <v>1598</v>
      </c>
    </row>
    <row r="1764" spans="5:7" x14ac:dyDescent="0.35">
      <c r="E1764" t="s">
        <v>3803</v>
      </c>
      <c r="F1764" t="s">
        <v>5340</v>
      </c>
      <c r="G1764" t="s">
        <v>1598</v>
      </c>
    </row>
    <row r="1765" spans="5:7" x14ac:dyDescent="0.35">
      <c r="E1765" t="s">
        <v>3803</v>
      </c>
      <c r="F1765" t="s">
        <v>5341</v>
      </c>
      <c r="G1765" t="s">
        <v>1598</v>
      </c>
    </row>
    <row r="1766" spans="5:7" x14ac:dyDescent="0.35">
      <c r="E1766" t="s">
        <v>3803</v>
      </c>
      <c r="F1766" t="s">
        <v>5342</v>
      </c>
      <c r="G1766" t="s">
        <v>1598</v>
      </c>
    </row>
    <row r="1767" spans="5:7" x14ac:dyDescent="0.35">
      <c r="E1767" t="s">
        <v>3803</v>
      </c>
      <c r="F1767" t="s">
        <v>5343</v>
      </c>
      <c r="G1767" t="s">
        <v>1598</v>
      </c>
    </row>
    <row r="1768" spans="5:7" x14ac:dyDescent="0.35">
      <c r="E1768" t="s">
        <v>3803</v>
      </c>
      <c r="F1768" t="s">
        <v>5344</v>
      </c>
      <c r="G1768" t="s">
        <v>1598</v>
      </c>
    </row>
    <row r="1769" spans="5:7" x14ac:dyDescent="0.35">
      <c r="E1769" t="s">
        <v>3803</v>
      </c>
      <c r="F1769" t="s">
        <v>5345</v>
      </c>
      <c r="G1769" t="s">
        <v>1598</v>
      </c>
    </row>
    <row r="1770" spans="5:7" x14ac:dyDescent="0.35">
      <c r="E1770" t="s">
        <v>3803</v>
      </c>
      <c r="F1770" t="s">
        <v>5346</v>
      </c>
      <c r="G1770" t="s">
        <v>1598</v>
      </c>
    </row>
    <row r="1771" spans="5:7" x14ac:dyDescent="0.35">
      <c r="E1771" t="s">
        <v>3803</v>
      </c>
      <c r="F1771" t="s">
        <v>5347</v>
      </c>
      <c r="G1771" t="s">
        <v>1598</v>
      </c>
    </row>
    <row r="1772" spans="5:7" x14ac:dyDescent="0.35">
      <c r="E1772" t="s">
        <v>3803</v>
      </c>
      <c r="F1772" t="s">
        <v>5348</v>
      </c>
      <c r="G1772" t="s">
        <v>1598</v>
      </c>
    </row>
    <row r="1773" spans="5:7" x14ac:dyDescent="0.35">
      <c r="E1773" t="s">
        <v>3803</v>
      </c>
      <c r="F1773" t="s">
        <v>5349</v>
      </c>
      <c r="G1773" t="s">
        <v>1598</v>
      </c>
    </row>
    <row r="1774" spans="5:7" x14ac:dyDescent="0.35">
      <c r="E1774" t="s">
        <v>3803</v>
      </c>
      <c r="F1774" t="s">
        <v>5350</v>
      </c>
      <c r="G1774" t="s">
        <v>1598</v>
      </c>
    </row>
    <row r="1775" spans="5:7" x14ac:dyDescent="0.35">
      <c r="E1775" t="s">
        <v>3803</v>
      </c>
      <c r="F1775" t="s">
        <v>5351</v>
      </c>
      <c r="G1775" t="s">
        <v>1598</v>
      </c>
    </row>
    <row r="1776" spans="5:7" x14ac:dyDescent="0.35">
      <c r="E1776" t="s">
        <v>3803</v>
      </c>
      <c r="F1776" t="s">
        <v>5352</v>
      </c>
      <c r="G1776" t="s">
        <v>1598</v>
      </c>
    </row>
    <row r="1777" spans="5:7" x14ac:dyDescent="0.35">
      <c r="E1777" t="s">
        <v>3803</v>
      </c>
      <c r="F1777" t="s">
        <v>1350</v>
      </c>
      <c r="G1777" t="s">
        <v>1598</v>
      </c>
    </row>
    <row r="1778" spans="5:7" x14ac:dyDescent="0.35">
      <c r="E1778" t="s">
        <v>3803</v>
      </c>
      <c r="F1778" t="s">
        <v>5353</v>
      </c>
      <c r="G1778" t="s">
        <v>1598</v>
      </c>
    </row>
    <row r="1779" spans="5:7" x14ac:dyDescent="0.35">
      <c r="E1779" t="s">
        <v>3803</v>
      </c>
      <c r="F1779" t="s">
        <v>5354</v>
      </c>
      <c r="G1779" t="s">
        <v>1598</v>
      </c>
    </row>
    <row r="1780" spans="5:7" x14ac:dyDescent="0.35">
      <c r="E1780" t="s">
        <v>3803</v>
      </c>
      <c r="F1780" t="s">
        <v>5355</v>
      </c>
      <c r="G1780" t="s">
        <v>1598</v>
      </c>
    </row>
    <row r="1781" spans="5:7" x14ac:dyDescent="0.35">
      <c r="E1781" t="s">
        <v>3803</v>
      </c>
      <c r="F1781" t="s">
        <v>5356</v>
      </c>
      <c r="G1781" t="s">
        <v>1598</v>
      </c>
    </row>
    <row r="1782" spans="5:7" x14ac:dyDescent="0.35">
      <c r="E1782" t="s">
        <v>3803</v>
      </c>
      <c r="F1782" t="s">
        <v>5357</v>
      </c>
      <c r="G1782" t="s">
        <v>1598</v>
      </c>
    </row>
    <row r="1783" spans="5:7" x14ac:dyDescent="0.35">
      <c r="E1783" t="s">
        <v>3803</v>
      </c>
      <c r="F1783" t="s">
        <v>5358</v>
      </c>
      <c r="G1783" t="s">
        <v>1598</v>
      </c>
    </row>
    <row r="1784" spans="5:7" x14ac:dyDescent="0.35">
      <c r="E1784" t="s">
        <v>3803</v>
      </c>
      <c r="F1784" t="s">
        <v>5359</v>
      </c>
      <c r="G1784" t="s">
        <v>1598</v>
      </c>
    </row>
    <row r="1785" spans="5:7" x14ac:dyDescent="0.35">
      <c r="E1785" t="s">
        <v>3803</v>
      </c>
      <c r="F1785" t="s">
        <v>5360</v>
      </c>
      <c r="G1785" t="s">
        <v>1598</v>
      </c>
    </row>
    <row r="1786" spans="5:7" x14ac:dyDescent="0.35">
      <c r="E1786" t="s">
        <v>3803</v>
      </c>
      <c r="F1786" t="s">
        <v>5361</v>
      </c>
      <c r="G1786" t="s">
        <v>1598</v>
      </c>
    </row>
    <row r="1787" spans="5:7" x14ac:dyDescent="0.35">
      <c r="E1787" t="s">
        <v>3803</v>
      </c>
      <c r="F1787" t="s">
        <v>5362</v>
      </c>
      <c r="G1787" t="s">
        <v>1598</v>
      </c>
    </row>
    <row r="1788" spans="5:7" x14ac:dyDescent="0.35">
      <c r="E1788" t="s">
        <v>3803</v>
      </c>
      <c r="F1788" t="s">
        <v>5363</v>
      </c>
      <c r="G1788" t="s">
        <v>1598</v>
      </c>
    </row>
    <row r="1789" spans="5:7" x14ac:dyDescent="0.35">
      <c r="E1789" t="s">
        <v>3803</v>
      </c>
      <c r="F1789" t="s">
        <v>5364</v>
      </c>
      <c r="G1789" t="s">
        <v>1598</v>
      </c>
    </row>
    <row r="1790" spans="5:7" x14ac:dyDescent="0.35">
      <c r="E1790" t="s">
        <v>3803</v>
      </c>
      <c r="F1790" t="s">
        <v>5365</v>
      </c>
      <c r="G1790" t="s">
        <v>1598</v>
      </c>
    </row>
    <row r="1791" spans="5:7" x14ac:dyDescent="0.35">
      <c r="E1791" t="s">
        <v>3803</v>
      </c>
      <c r="F1791" t="s">
        <v>5366</v>
      </c>
      <c r="G1791" t="s">
        <v>1598</v>
      </c>
    </row>
    <row r="1792" spans="5:7" x14ac:dyDescent="0.35">
      <c r="E1792" t="s">
        <v>3803</v>
      </c>
      <c r="F1792" t="s">
        <v>5367</v>
      </c>
    </row>
    <row r="1793" spans="5:7" x14ac:dyDescent="0.35">
      <c r="E1793" t="s">
        <v>3803</v>
      </c>
      <c r="F1793" t="s">
        <v>5368</v>
      </c>
    </row>
    <row r="1794" spans="5:7" x14ac:dyDescent="0.35">
      <c r="E1794" t="s">
        <v>3803</v>
      </c>
      <c r="F1794" t="s">
        <v>2791</v>
      </c>
      <c r="G1794" t="s">
        <v>1621</v>
      </c>
    </row>
    <row r="1795" spans="5:7" x14ac:dyDescent="0.35">
      <c r="E1795" t="s">
        <v>3803</v>
      </c>
      <c r="F1795" t="s">
        <v>2794</v>
      </c>
      <c r="G1795" t="s">
        <v>1621</v>
      </c>
    </row>
    <row r="1796" spans="5:7" x14ac:dyDescent="0.35">
      <c r="E1796" t="s">
        <v>3803</v>
      </c>
      <c r="F1796" t="s">
        <v>2797</v>
      </c>
      <c r="G1796" t="s">
        <v>1621</v>
      </c>
    </row>
    <row r="1797" spans="5:7" x14ac:dyDescent="0.35">
      <c r="E1797" t="s">
        <v>3803</v>
      </c>
      <c r="F1797" t="s">
        <v>2800</v>
      </c>
      <c r="G1797" t="s">
        <v>1621</v>
      </c>
    </row>
    <row r="1798" spans="5:7" x14ac:dyDescent="0.35">
      <c r="E1798" t="s">
        <v>3803</v>
      </c>
      <c r="F1798" t="s">
        <v>2803</v>
      </c>
      <c r="G1798" t="s">
        <v>1621</v>
      </c>
    </row>
    <row r="1799" spans="5:7" x14ac:dyDescent="0.35">
      <c r="E1799" t="s">
        <v>3803</v>
      </c>
      <c r="F1799" t="s">
        <v>2806</v>
      </c>
      <c r="G1799" t="s">
        <v>1621</v>
      </c>
    </row>
    <row r="1800" spans="5:7" x14ac:dyDescent="0.35">
      <c r="E1800" t="s">
        <v>3803</v>
      </c>
      <c r="F1800" t="s">
        <v>2808</v>
      </c>
      <c r="G1800" t="s">
        <v>1621</v>
      </c>
    </row>
    <row r="1801" spans="5:7" x14ac:dyDescent="0.35">
      <c r="E1801" t="s">
        <v>3803</v>
      </c>
      <c r="F1801" t="s">
        <v>2811</v>
      </c>
      <c r="G1801" t="s">
        <v>1621</v>
      </c>
    </row>
    <row r="1802" spans="5:7" x14ac:dyDescent="0.35">
      <c r="E1802" t="s">
        <v>3803</v>
      </c>
      <c r="F1802" t="s">
        <v>2814</v>
      </c>
      <c r="G1802" t="s">
        <v>1621</v>
      </c>
    </row>
    <row r="1803" spans="5:7" x14ac:dyDescent="0.35">
      <c r="E1803" t="s">
        <v>3803</v>
      </c>
      <c r="F1803" t="s">
        <v>2817</v>
      </c>
      <c r="G1803" t="s">
        <v>1621</v>
      </c>
    </row>
    <row r="1804" spans="5:7" x14ac:dyDescent="0.35">
      <c r="E1804" t="s">
        <v>3803</v>
      </c>
      <c r="F1804" t="s">
        <v>1070</v>
      </c>
      <c r="G1804" t="s">
        <v>1621</v>
      </c>
    </row>
    <row r="1805" spans="5:7" x14ac:dyDescent="0.35">
      <c r="E1805" t="s">
        <v>3803</v>
      </c>
      <c r="F1805" t="s">
        <v>5369</v>
      </c>
      <c r="G1805" t="s">
        <v>1621</v>
      </c>
    </row>
    <row r="1806" spans="5:7" x14ac:dyDescent="0.35">
      <c r="E1806" t="s">
        <v>3803</v>
      </c>
      <c r="F1806" t="s">
        <v>5370</v>
      </c>
      <c r="G1806" t="s">
        <v>1621</v>
      </c>
    </row>
    <row r="1807" spans="5:7" x14ac:dyDescent="0.35">
      <c r="E1807" t="s">
        <v>3803</v>
      </c>
      <c r="F1807" t="s">
        <v>5371</v>
      </c>
      <c r="G1807" t="s">
        <v>1621</v>
      </c>
    </row>
    <row r="1808" spans="5:7" x14ac:dyDescent="0.35">
      <c r="E1808" t="s">
        <v>3803</v>
      </c>
      <c r="F1808" t="s">
        <v>5372</v>
      </c>
      <c r="G1808" t="s">
        <v>1621</v>
      </c>
    </row>
    <row r="1809" spans="5:7" x14ac:dyDescent="0.35">
      <c r="E1809" t="s">
        <v>3803</v>
      </c>
      <c r="F1809" t="s">
        <v>5373</v>
      </c>
      <c r="G1809" t="s">
        <v>1621</v>
      </c>
    </row>
    <row r="1810" spans="5:7" x14ac:dyDescent="0.35">
      <c r="E1810" t="s">
        <v>3803</v>
      </c>
      <c r="F1810" t="s">
        <v>5374</v>
      </c>
      <c r="G1810" t="s">
        <v>1621</v>
      </c>
    </row>
    <row r="1811" spans="5:7" x14ac:dyDescent="0.35">
      <c r="E1811" t="s">
        <v>3803</v>
      </c>
      <c r="F1811" t="s">
        <v>5375</v>
      </c>
      <c r="G1811" t="s">
        <v>1621</v>
      </c>
    </row>
    <row r="1812" spans="5:7" x14ac:dyDescent="0.35">
      <c r="E1812" t="s">
        <v>3803</v>
      </c>
      <c r="F1812" t="s">
        <v>5376</v>
      </c>
      <c r="G1812" t="s">
        <v>1621</v>
      </c>
    </row>
    <row r="1813" spans="5:7" x14ac:dyDescent="0.35">
      <c r="E1813" t="s">
        <v>3803</v>
      </c>
      <c r="F1813" t="s">
        <v>5377</v>
      </c>
      <c r="G1813" t="s">
        <v>1621</v>
      </c>
    </row>
    <row r="1814" spans="5:7" x14ac:dyDescent="0.35">
      <c r="E1814" t="s">
        <v>3803</v>
      </c>
      <c r="F1814" t="s">
        <v>5378</v>
      </c>
      <c r="G1814" t="s">
        <v>1621</v>
      </c>
    </row>
    <row r="1815" spans="5:7" x14ac:dyDescent="0.35">
      <c r="E1815" t="s">
        <v>3803</v>
      </c>
      <c r="F1815" t="s">
        <v>5379</v>
      </c>
      <c r="G1815" t="s">
        <v>1621</v>
      </c>
    </row>
    <row r="1816" spans="5:7" x14ac:dyDescent="0.35">
      <c r="E1816" t="s">
        <v>3803</v>
      </c>
      <c r="F1816" t="s">
        <v>5380</v>
      </c>
      <c r="G1816" t="s">
        <v>1621</v>
      </c>
    </row>
    <row r="1817" spans="5:7" x14ac:dyDescent="0.35">
      <c r="E1817" t="s">
        <v>3803</v>
      </c>
      <c r="F1817" t="s">
        <v>5381</v>
      </c>
      <c r="G1817" t="s">
        <v>1621</v>
      </c>
    </row>
    <row r="1818" spans="5:7" x14ac:dyDescent="0.35">
      <c r="E1818" t="s">
        <v>3803</v>
      </c>
      <c r="F1818" t="s">
        <v>5382</v>
      </c>
      <c r="G1818" t="s">
        <v>1621</v>
      </c>
    </row>
    <row r="1819" spans="5:7" x14ac:dyDescent="0.35">
      <c r="E1819" t="s">
        <v>3803</v>
      </c>
      <c r="F1819" t="s">
        <v>5383</v>
      </c>
      <c r="G1819" t="s">
        <v>1621</v>
      </c>
    </row>
    <row r="1820" spans="5:7" x14ac:dyDescent="0.35">
      <c r="E1820" t="s">
        <v>3803</v>
      </c>
      <c r="F1820" t="s">
        <v>5384</v>
      </c>
      <c r="G1820" t="s">
        <v>1621</v>
      </c>
    </row>
    <row r="1821" spans="5:7" x14ac:dyDescent="0.35">
      <c r="E1821" t="s">
        <v>3803</v>
      </c>
      <c r="F1821" t="s">
        <v>5385</v>
      </c>
      <c r="G1821" t="s">
        <v>1621</v>
      </c>
    </row>
    <row r="1822" spans="5:7" x14ac:dyDescent="0.35">
      <c r="E1822" t="s">
        <v>3803</v>
      </c>
      <c r="F1822" t="s">
        <v>5386</v>
      </c>
      <c r="G1822" t="s">
        <v>1621</v>
      </c>
    </row>
    <row r="1823" spans="5:7" x14ac:dyDescent="0.35">
      <c r="E1823" t="s">
        <v>3803</v>
      </c>
      <c r="F1823" t="s">
        <v>5387</v>
      </c>
      <c r="G1823" t="s">
        <v>1621</v>
      </c>
    </row>
    <row r="1824" spans="5:7" x14ac:dyDescent="0.35">
      <c r="E1824" t="s">
        <v>3803</v>
      </c>
      <c r="F1824" t="s">
        <v>5388</v>
      </c>
      <c r="G1824" t="s">
        <v>1621</v>
      </c>
    </row>
    <row r="1825" spans="5:7" x14ac:dyDescent="0.35">
      <c r="E1825" t="s">
        <v>3803</v>
      </c>
      <c r="F1825" t="s">
        <v>5389</v>
      </c>
      <c r="G1825" t="s">
        <v>1621</v>
      </c>
    </row>
    <row r="1826" spans="5:7" x14ac:dyDescent="0.35">
      <c r="E1826" t="s">
        <v>3803</v>
      </c>
      <c r="F1826" t="s">
        <v>5390</v>
      </c>
      <c r="G1826" t="s">
        <v>1621</v>
      </c>
    </row>
    <row r="1827" spans="5:7" x14ac:dyDescent="0.35">
      <c r="E1827" t="s">
        <v>3803</v>
      </c>
      <c r="F1827" t="s">
        <v>5391</v>
      </c>
      <c r="G1827" t="s">
        <v>1621</v>
      </c>
    </row>
    <row r="1828" spans="5:7" x14ac:dyDescent="0.35">
      <c r="E1828" t="s">
        <v>3803</v>
      </c>
      <c r="F1828" t="s">
        <v>5392</v>
      </c>
      <c r="G1828" t="s">
        <v>1621</v>
      </c>
    </row>
    <row r="1829" spans="5:7" x14ac:dyDescent="0.35">
      <c r="E1829" t="s">
        <v>3803</v>
      </c>
      <c r="F1829" t="s">
        <v>5393</v>
      </c>
      <c r="G1829" t="s">
        <v>1621</v>
      </c>
    </row>
    <row r="1830" spans="5:7" x14ac:dyDescent="0.35">
      <c r="E1830" t="s">
        <v>3803</v>
      </c>
      <c r="F1830" t="s">
        <v>5394</v>
      </c>
      <c r="G1830" t="s">
        <v>1621</v>
      </c>
    </row>
    <row r="1831" spans="5:7" x14ac:dyDescent="0.35">
      <c r="E1831" t="s">
        <v>3803</v>
      </c>
      <c r="F1831" t="s">
        <v>5395</v>
      </c>
      <c r="G1831" t="s">
        <v>1621</v>
      </c>
    </row>
    <row r="1832" spans="5:7" x14ac:dyDescent="0.35">
      <c r="E1832" t="s">
        <v>3803</v>
      </c>
      <c r="F1832" t="s">
        <v>5396</v>
      </c>
      <c r="G1832" t="s">
        <v>1621</v>
      </c>
    </row>
    <row r="1833" spans="5:7" x14ac:dyDescent="0.35">
      <c r="E1833" t="s">
        <v>3803</v>
      </c>
      <c r="F1833" t="s">
        <v>5397</v>
      </c>
      <c r="G1833" t="s">
        <v>1621</v>
      </c>
    </row>
    <row r="1834" spans="5:7" x14ac:dyDescent="0.35">
      <c r="E1834" t="s">
        <v>3803</v>
      </c>
      <c r="F1834" t="s">
        <v>5398</v>
      </c>
      <c r="G1834" t="s">
        <v>1621</v>
      </c>
    </row>
    <row r="1835" spans="5:7" x14ac:dyDescent="0.35">
      <c r="E1835" t="s">
        <v>3803</v>
      </c>
      <c r="F1835" t="s">
        <v>5399</v>
      </c>
      <c r="G1835" t="s">
        <v>1621</v>
      </c>
    </row>
    <row r="1836" spans="5:7" x14ac:dyDescent="0.35">
      <c r="E1836" t="s">
        <v>3803</v>
      </c>
      <c r="F1836" t="s">
        <v>5400</v>
      </c>
      <c r="G1836" t="s">
        <v>1621</v>
      </c>
    </row>
    <row r="1837" spans="5:7" x14ac:dyDescent="0.35">
      <c r="E1837" t="s">
        <v>3803</v>
      </c>
      <c r="F1837" t="s">
        <v>5401</v>
      </c>
      <c r="G1837" t="s">
        <v>1621</v>
      </c>
    </row>
    <row r="1838" spans="5:7" x14ac:dyDescent="0.35">
      <c r="E1838" t="s">
        <v>3803</v>
      </c>
      <c r="F1838" t="s">
        <v>5402</v>
      </c>
      <c r="G1838" t="s">
        <v>1621</v>
      </c>
    </row>
    <row r="1839" spans="5:7" x14ac:dyDescent="0.35">
      <c r="E1839" t="s">
        <v>3803</v>
      </c>
      <c r="F1839" t="s">
        <v>5403</v>
      </c>
      <c r="G1839" t="s">
        <v>1621</v>
      </c>
    </row>
    <row r="1840" spans="5:7" x14ac:dyDescent="0.35">
      <c r="E1840" t="s">
        <v>3803</v>
      </c>
      <c r="F1840" t="s">
        <v>5404</v>
      </c>
      <c r="G1840" t="s">
        <v>1621</v>
      </c>
    </row>
    <row r="1841" spans="5:7" x14ac:dyDescent="0.35">
      <c r="E1841" t="s">
        <v>3803</v>
      </c>
      <c r="F1841" t="s">
        <v>5405</v>
      </c>
      <c r="G1841" t="s">
        <v>1621</v>
      </c>
    </row>
    <row r="1842" spans="5:7" x14ac:dyDescent="0.35">
      <c r="E1842" t="s">
        <v>3803</v>
      </c>
      <c r="F1842" t="s">
        <v>5406</v>
      </c>
      <c r="G1842" t="s">
        <v>1621</v>
      </c>
    </row>
    <row r="1843" spans="5:7" x14ac:dyDescent="0.35">
      <c r="E1843" t="s">
        <v>3803</v>
      </c>
      <c r="F1843" t="s">
        <v>5407</v>
      </c>
      <c r="G1843" t="s">
        <v>1621</v>
      </c>
    </row>
    <row r="1844" spans="5:7" x14ac:dyDescent="0.35">
      <c r="E1844" t="s">
        <v>3803</v>
      </c>
      <c r="F1844" t="s">
        <v>5408</v>
      </c>
      <c r="G1844" t="s">
        <v>1621</v>
      </c>
    </row>
    <row r="1845" spans="5:7" x14ac:dyDescent="0.35">
      <c r="E1845" t="s">
        <v>3803</v>
      </c>
      <c r="F1845" t="s">
        <v>5409</v>
      </c>
      <c r="G1845" t="s">
        <v>1621</v>
      </c>
    </row>
    <row r="1846" spans="5:7" x14ac:dyDescent="0.35">
      <c r="E1846" t="s">
        <v>3803</v>
      </c>
      <c r="F1846" t="s">
        <v>5410</v>
      </c>
      <c r="G1846" t="s">
        <v>1621</v>
      </c>
    </row>
    <row r="1847" spans="5:7" x14ac:dyDescent="0.35">
      <c r="E1847" t="s">
        <v>3803</v>
      </c>
      <c r="F1847" t="s">
        <v>2822</v>
      </c>
      <c r="G1847" t="s">
        <v>1626</v>
      </c>
    </row>
    <row r="1848" spans="5:7" x14ac:dyDescent="0.35">
      <c r="E1848" t="s">
        <v>3803</v>
      </c>
      <c r="F1848" t="s">
        <v>2825</v>
      </c>
      <c r="G1848" t="s">
        <v>1626</v>
      </c>
    </row>
    <row r="1849" spans="5:7" x14ac:dyDescent="0.35">
      <c r="E1849" t="s">
        <v>3803</v>
      </c>
      <c r="F1849" t="s">
        <v>2827</v>
      </c>
      <c r="G1849" t="s">
        <v>1626</v>
      </c>
    </row>
    <row r="1850" spans="5:7" x14ac:dyDescent="0.35">
      <c r="E1850" t="s">
        <v>3803</v>
      </c>
      <c r="F1850" t="s">
        <v>2830</v>
      </c>
      <c r="G1850" t="s">
        <v>1626</v>
      </c>
    </row>
    <row r="1851" spans="5:7" x14ac:dyDescent="0.35">
      <c r="E1851" t="s">
        <v>3803</v>
      </c>
      <c r="F1851" t="s">
        <v>2833</v>
      </c>
      <c r="G1851" t="s">
        <v>1626</v>
      </c>
    </row>
    <row r="1852" spans="5:7" x14ac:dyDescent="0.35">
      <c r="E1852" t="s">
        <v>3803</v>
      </c>
      <c r="F1852" t="s">
        <v>2835</v>
      </c>
      <c r="G1852" t="s">
        <v>1626</v>
      </c>
    </row>
    <row r="1853" spans="5:7" x14ac:dyDescent="0.35">
      <c r="E1853" t="s">
        <v>3803</v>
      </c>
      <c r="F1853" t="s">
        <v>662</v>
      </c>
      <c r="G1853" t="s">
        <v>1626</v>
      </c>
    </row>
    <row r="1854" spans="5:7" x14ac:dyDescent="0.35">
      <c r="E1854" t="s">
        <v>3803</v>
      </c>
      <c r="F1854" t="s">
        <v>5411</v>
      </c>
      <c r="G1854" t="s">
        <v>1626</v>
      </c>
    </row>
    <row r="1855" spans="5:7" x14ac:dyDescent="0.35">
      <c r="E1855" t="s">
        <v>3803</v>
      </c>
      <c r="F1855" t="s">
        <v>5412</v>
      </c>
      <c r="G1855" t="s">
        <v>1626</v>
      </c>
    </row>
    <row r="1856" spans="5:7" x14ac:dyDescent="0.35">
      <c r="E1856" t="s">
        <v>3803</v>
      </c>
      <c r="F1856" t="s">
        <v>5413</v>
      </c>
      <c r="G1856" t="s">
        <v>1626</v>
      </c>
    </row>
    <row r="1857" spans="5:7" x14ac:dyDescent="0.35">
      <c r="E1857" t="s">
        <v>3803</v>
      </c>
      <c r="F1857" t="s">
        <v>5414</v>
      </c>
      <c r="G1857" t="s">
        <v>1626</v>
      </c>
    </row>
    <row r="1858" spans="5:7" x14ac:dyDescent="0.35">
      <c r="E1858" t="s">
        <v>3803</v>
      </c>
      <c r="F1858" t="s">
        <v>5415</v>
      </c>
      <c r="G1858" t="s">
        <v>1626</v>
      </c>
    </row>
    <row r="1859" spans="5:7" x14ac:dyDescent="0.35">
      <c r="E1859" t="s">
        <v>3803</v>
      </c>
      <c r="F1859" t="s">
        <v>5416</v>
      </c>
      <c r="G1859" t="s">
        <v>1626</v>
      </c>
    </row>
    <row r="1860" spans="5:7" x14ac:dyDescent="0.35">
      <c r="E1860" t="s">
        <v>3803</v>
      </c>
      <c r="F1860" t="s">
        <v>5417</v>
      </c>
      <c r="G1860" t="s">
        <v>1626</v>
      </c>
    </row>
    <row r="1861" spans="5:7" x14ac:dyDescent="0.35">
      <c r="E1861" t="s">
        <v>3803</v>
      </c>
      <c r="F1861" t="s">
        <v>2838</v>
      </c>
      <c r="G1861" t="s">
        <v>1626</v>
      </c>
    </row>
    <row r="1862" spans="5:7" x14ac:dyDescent="0.35">
      <c r="E1862" t="s">
        <v>3803</v>
      </c>
      <c r="F1862" t="s">
        <v>890</v>
      </c>
      <c r="G1862" t="s">
        <v>1626</v>
      </c>
    </row>
    <row r="1863" spans="5:7" x14ac:dyDescent="0.35">
      <c r="E1863" t="s">
        <v>3803</v>
      </c>
      <c r="F1863" t="s">
        <v>5418</v>
      </c>
      <c r="G1863" t="s">
        <v>1626</v>
      </c>
    </row>
    <row r="1864" spans="5:7" x14ac:dyDescent="0.35">
      <c r="E1864" t="s">
        <v>3803</v>
      </c>
      <c r="F1864" t="s">
        <v>5419</v>
      </c>
      <c r="G1864" t="s">
        <v>1626</v>
      </c>
    </row>
    <row r="1865" spans="5:7" x14ac:dyDescent="0.35">
      <c r="E1865" t="s">
        <v>3803</v>
      </c>
      <c r="F1865" t="s">
        <v>5420</v>
      </c>
      <c r="G1865" t="s">
        <v>1626</v>
      </c>
    </row>
    <row r="1866" spans="5:7" x14ac:dyDescent="0.35">
      <c r="E1866" t="s">
        <v>3803</v>
      </c>
      <c r="F1866" t="s">
        <v>5421</v>
      </c>
      <c r="G1866" t="s">
        <v>1626</v>
      </c>
    </row>
    <row r="1867" spans="5:7" x14ac:dyDescent="0.35">
      <c r="E1867" t="s">
        <v>3803</v>
      </c>
      <c r="F1867" t="s">
        <v>2841</v>
      </c>
      <c r="G1867" t="s">
        <v>1626</v>
      </c>
    </row>
    <row r="1868" spans="5:7" x14ac:dyDescent="0.35">
      <c r="E1868" t="s">
        <v>3803</v>
      </c>
      <c r="F1868" t="s">
        <v>1045</v>
      </c>
      <c r="G1868" t="s">
        <v>1626</v>
      </c>
    </row>
    <row r="1869" spans="5:7" x14ac:dyDescent="0.35">
      <c r="E1869" t="s">
        <v>3803</v>
      </c>
      <c r="F1869" t="s">
        <v>5422</v>
      </c>
      <c r="G1869" t="s">
        <v>1626</v>
      </c>
    </row>
    <row r="1870" spans="5:7" x14ac:dyDescent="0.35">
      <c r="E1870" t="s">
        <v>3803</v>
      </c>
      <c r="F1870" t="s">
        <v>5423</v>
      </c>
      <c r="G1870" t="s">
        <v>1626</v>
      </c>
    </row>
    <row r="1871" spans="5:7" x14ac:dyDescent="0.35">
      <c r="E1871" t="s">
        <v>3803</v>
      </c>
      <c r="F1871" t="s">
        <v>5424</v>
      </c>
      <c r="G1871" t="s">
        <v>1626</v>
      </c>
    </row>
    <row r="1872" spans="5:7" x14ac:dyDescent="0.35">
      <c r="E1872" t="s">
        <v>3803</v>
      </c>
      <c r="F1872" t="s">
        <v>5425</v>
      </c>
      <c r="G1872" t="s">
        <v>1626</v>
      </c>
    </row>
    <row r="1873" spans="5:7" x14ac:dyDescent="0.35">
      <c r="E1873" t="s">
        <v>3803</v>
      </c>
      <c r="F1873" t="s">
        <v>5426</v>
      </c>
      <c r="G1873" t="s">
        <v>1626</v>
      </c>
    </row>
    <row r="1874" spans="5:7" x14ac:dyDescent="0.35">
      <c r="E1874" t="s">
        <v>3803</v>
      </c>
      <c r="F1874" t="s">
        <v>5427</v>
      </c>
      <c r="G1874" t="s">
        <v>1626</v>
      </c>
    </row>
    <row r="1875" spans="5:7" x14ac:dyDescent="0.35">
      <c r="E1875" t="s">
        <v>3803</v>
      </c>
      <c r="F1875" t="s">
        <v>5428</v>
      </c>
      <c r="G1875" t="s">
        <v>1626</v>
      </c>
    </row>
    <row r="1876" spans="5:7" x14ac:dyDescent="0.35">
      <c r="E1876" t="s">
        <v>3803</v>
      </c>
      <c r="F1876" t="s">
        <v>5429</v>
      </c>
      <c r="G1876" t="s">
        <v>1626</v>
      </c>
    </row>
    <row r="1877" spans="5:7" x14ac:dyDescent="0.35">
      <c r="E1877" t="s">
        <v>3803</v>
      </c>
      <c r="F1877" t="s">
        <v>5430</v>
      </c>
      <c r="G1877" t="s">
        <v>1626</v>
      </c>
    </row>
    <row r="1878" spans="5:7" x14ac:dyDescent="0.35">
      <c r="E1878" t="s">
        <v>3803</v>
      </c>
      <c r="F1878" t="s">
        <v>5431</v>
      </c>
      <c r="G1878" t="s">
        <v>1626</v>
      </c>
    </row>
    <row r="1879" spans="5:7" x14ac:dyDescent="0.35">
      <c r="E1879" t="s">
        <v>3803</v>
      </c>
      <c r="F1879" t="s">
        <v>5432</v>
      </c>
      <c r="G1879" t="s">
        <v>1626</v>
      </c>
    </row>
    <row r="1880" spans="5:7" x14ac:dyDescent="0.35">
      <c r="E1880" t="s">
        <v>3803</v>
      </c>
      <c r="F1880" t="s">
        <v>5433</v>
      </c>
      <c r="G1880" t="s">
        <v>1626</v>
      </c>
    </row>
    <row r="1881" spans="5:7" x14ac:dyDescent="0.35">
      <c r="E1881" t="s">
        <v>3803</v>
      </c>
      <c r="F1881" t="s">
        <v>5434</v>
      </c>
      <c r="G1881" t="s">
        <v>1626</v>
      </c>
    </row>
    <row r="1882" spans="5:7" x14ac:dyDescent="0.35">
      <c r="E1882" t="s">
        <v>3803</v>
      </c>
      <c r="F1882" t="s">
        <v>5435</v>
      </c>
      <c r="G1882" t="s">
        <v>1626</v>
      </c>
    </row>
    <row r="1883" spans="5:7" x14ac:dyDescent="0.35">
      <c r="E1883" t="s">
        <v>3803</v>
      </c>
      <c r="F1883" t="s">
        <v>5436</v>
      </c>
      <c r="G1883" t="s">
        <v>1626</v>
      </c>
    </row>
    <row r="1884" spans="5:7" x14ac:dyDescent="0.35">
      <c r="E1884" t="s">
        <v>3803</v>
      </c>
      <c r="F1884" t="s">
        <v>1136</v>
      </c>
      <c r="G1884" t="s">
        <v>1626</v>
      </c>
    </row>
    <row r="1885" spans="5:7" x14ac:dyDescent="0.35">
      <c r="E1885" t="s">
        <v>3803</v>
      </c>
      <c r="F1885" t="s">
        <v>5437</v>
      </c>
      <c r="G1885" t="s">
        <v>1626</v>
      </c>
    </row>
    <row r="1886" spans="5:7" x14ac:dyDescent="0.35">
      <c r="E1886" t="s">
        <v>3803</v>
      </c>
      <c r="F1886" t="s">
        <v>5438</v>
      </c>
      <c r="G1886" t="s">
        <v>1626</v>
      </c>
    </row>
    <row r="1887" spans="5:7" x14ac:dyDescent="0.35">
      <c r="E1887" t="s">
        <v>3803</v>
      </c>
      <c r="F1887" t="s">
        <v>5439</v>
      </c>
      <c r="G1887" t="s">
        <v>1626</v>
      </c>
    </row>
    <row r="1888" spans="5:7" x14ac:dyDescent="0.35">
      <c r="E1888" t="s">
        <v>3803</v>
      </c>
      <c r="F1888" t="s">
        <v>5440</v>
      </c>
      <c r="G1888" t="s">
        <v>1626</v>
      </c>
    </row>
    <row r="1889" spans="5:7" x14ac:dyDescent="0.35">
      <c r="E1889" t="s">
        <v>3803</v>
      </c>
      <c r="F1889" t="s">
        <v>5441</v>
      </c>
      <c r="G1889" t="s">
        <v>1626</v>
      </c>
    </row>
    <row r="1890" spans="5:7" x14ac:dyDescent="0.35">
      <c r="E1890" t="s">
        <v>3803</v>
      </c>
      <c r="F1890" t="s">
        <v>5442</v>
      </c>
      <c r="G1890" t="s">
        <v>1626</v>
      </c>
    </row>
    <row r="1891" spans="5:7" x14ac:dyDescent="0.35">
      <c r="E1891" t="s">
        <v>3803</v>
      </c>
      <c r="F1891" t="s">
        <v>5443</v>
      </c>
      <c r="G1891" t="s">
        <v>1626</v>
      </c>
    </row>
    <row r="1892" spans="5:7" x14ac:dyDescent="0.35">
      <c r="E1892" t="s">
        <v>3803</v>
      </c>
      <c r="F1892" t="s">
        <v>5444</v>
      </c>
      <c r="G1892" t="s">
        <v>1626</v>
      </c>
    </row>
    <row r="1893" spans="5:7" x14ac:dyDescent="0.35">
      <c r="E1893" t="s">
        <v>3803</v>
      </c>
      <c r="F1893" t="s">
        <v>5445</v>
      </c>
      <c r="G1893" t="s">
        <v>1626</v>
      </c>
    </row>
    <row r="1894" spans="5:7" x14ac:dyDescent="0.35">
      <c r="E1894" t="s">
        <v>3803</v>
      </c>
      <c r="F1894" t="s">
        <v>5446</v>
      </c>
      <c r="G1894" t="s">
        <v>1626</v>
      </c>
    </row>
    <row r="1895" spans="5:7" x14ac:dyDescent="0.35">
      <c r="E1895" t="s">
        <v>3803</v>
      </c>
      <c r="F1895" t="s">
        <v>5447</v>
      </c>
      <c r="G1895" t="s">
        <v>1626</v>
      </c>
    </row>
    <row r="1896" spans="5:7" x14ac:dyDescent="0.35">
      <c r="E1896" t="s">
        <v>3803</v>
      </c>
      <c r="F1896" t="s">
        <v>5448</v>
      </c>
      <c r="G1896" t="s">
        <v>1626</v>
      </c>
    </row>
    <row r="1897" spans="5:7" x14ac:dyDescent="0.35">
      <c r="E1897" t="s">
        <v>3803</v>
      </c>
      <c r="F1897" t="s">
        <v>5449</v>
      </c>
      <c r="G1897" t="s">
        <v>1626</v>
      </c>
    </row>
    <row r="1898" spans="5:7" x14ac:dyDescent="0.35">
      <c r="E1898" t="s">
        <v>3803</v>
      </c>
      <c r="F1898" t="s">
        <v>5450</v>
      </c>
      <c r="G1898" t="s">
        <v>1626</v>
      </c>
    </row>
    <row r="1899" spans="5:7" x14ac:dyDescent="0.35">
      <c r="E1899" t="s">
        <v>3803</v>
      </c>
      <c r="F1899" t="s">
        <v>5451</v>
      </c>
      <c r="G1899" t="s">
        <v>1626</v>
      </c>
    </row>
    <row r="1900" spans="5:7" x14ac:dyDescent="0.35">
      <c r="E1900" t="s">
        <v>3803</v>
      </c>
      <c r="F1900" t="s">
        <v>5452</v>
      </c>
      <c r="G1900" t="s">
        <v>1626</v>
      </c>
    </row>
    <row r="1901" spans="5:7" x14ac:dyDescent="0.35">
      <c r="E1901" t="s">
        <v>3803</v>
      </c>
      <c r="F1901" t="s">
        <v>5453</v>
      </c>
      <c r="G1901" t="s">
        <v>1626</v>
      </c>
    </row>
    <row r="1902" spans="5:7" x14ac:dyDescent="0.35">
      <c r="E1902" t="s">
        <v>3803</v>
      </c>
      <c r="F1902" t="s">
        <v>5454</v>
      </c>
      <c r="G1902" t="s">
        <v>1626</v>
      </c>
    </row>
    <row r="1903" spans="5:7" x14ac:dyDescent="0.35">
      <c r="E1903" t="s">
        <v>3803</v>
      </c>
      <c r="F1903" t="s">
        <v>5455</v>
      </c>
      <c r="G1903" t="s">
        <v>1626</v>
      </c>
    </row>
    <row r="1904" spans="5:7" x14ac:dyDescent="0.35">
      <c r="E1904" t="s">
        <v>3803</v>
      </c>
      <c r="F1904" t="s">
        <v>5456</v>
      </c>
      <c r="G1904" t="s">
        <v>1626</v>
      </c>
    </row>
    <row r="1905" spans="5:7" x14ac:dyDescent="0.35">
      <c r="E1905" t="s">
        <v>3803</v>
      </c>
      <c r="F1905" t="s">
        <v>5457</v>
      </c>
      <c r="G1905" t="s">
        <v>1626</v>
      </c>
    </row>
    <row r="1906" spans="5:7" x14ac:dyDescent="0.35">
      <c r="E1906" t="s">
        <v>3803</v>
      </c>
      <c r="F1906" t="s">
        <v>5458</v>
      </c>
      <c r="G1906" t="s">
        <v>1626</v>
      </c>
    </row>
    <row r="1907" spans="5:7" x14ac:dyDescent="0.35">
      <c r="E1907" t="s">
        <v>3803</v>
      </c>
      <c r="F1907" t="s">
        <v>5459</v>
      </c>
      <c r="G1907" t="s">
        <v>1626</v>
      </c>
    </row>
    <row r="1908" spans="5:7" x14ac:dyDescent="0.35">
      <c r="E1908" t="s">
        <v>3803</v>
      </c>
      <c r="F1908" t="s">
        <v>5460</v>
      </c>
      <c r="G1908" t="s">
        <v>1626</v>
      </c>
    </row>
    <row r="1909" spans="5:7" x14ac:dyDescent="0.35">
      <c r="E1909" t="s">
        <v>3803</v>
      </c>
      <c r="F1909" t="s">
        <v>2844</v>
      </c>
      <c r="G1909" t="s">
        <v>1626</v>
      </c>
    </row>
    <row r="1910" spans="5:7" x14ac:dyDescent="0.35">
      <c r="E1910" t="s">
        <v>3803</v>
      </c>
      <c r="F1910" t="s">
        <v>2847</v>
      </c>
      <c r="G1910" t="s">
        <v>1626</v>
      </c>
    </row>
    <row r="1911" spans="5:7" x14ac:dyDescent="0.35">
      <c r="E1911" t="s">
        <v>3803</v>
      </c>
      <c r="F1911" t="s">
        <v>1249</v>
      </c>
      <c r="G1911" t="s">
        <v>1626</v>
      </c>
    </row>
    <row r="1912" spans="5:7" x14ac:dyDescent="0.35">
      <c r="E1912" t="s">
        <v>3803</v>
      </c>
      <c r="F1912" t="s">
        <v>5461</v>
      </c>
      <c r="G1912" t="s">
        <v>1626</v>
      </c>
    </row>
    <row r="1913" spans="5:7" x14ac:dyDescent="0.35">
      <c r="E1913" t="s">
        <v>3803</v>
      </c>
      <c r="F1913" t="s">
        <v>5462</v>
      </c>
      <c r="G1913" t="s">
        <v>1626</v>
      </c>
    </row>
    <row r="1914" spans="5:7" x14ac:dyDescent="0.35">
      <c r="E1914" t="s">
        <v>3803</v>
      </c>
      <c r="F1914" t="s">
        <v>5463</v>
      </c>
      <c r="G1914" t="s">
        <v>1626</v>
      </c>
    </row>
    <row r="1915" spans="5:7" x14ac:dyDescent="0.35">
      <c r="E1915" t="s">
        <v>3803</v>
      </c>
      <c r="F1915" t="s">
        <v>5464</v>
      </c>
      <c r="G1915" t="s">
        <v>1626</v>
      </c>
    </row>
    <row r="1916" spans="5:7" x14ac:dyDescent="0.35">
      <c r="E1916" t="s">
        <v>3803</v>
      </c>
      <c r="F1916" t="s">
        <v>5465</v>
      </c>
      <c r="G1916" t="s">
        <v>1626</v>
      </c>
    </row>
    <row r="1917" spans="5:7" x14ac:dyDescent="0.35">
      <c r="E1917" t="s">
        <v>3803</v>
      </c>
      <c r="F1917" t="s">
        <v>5466</v>
      </c>
      <c r="G1917" t="s">
        <v>1626</v>
      </c>
    </row>
    <row r="1918" spans="5:7" x14ac:dyDescent="0.35">
      <c r="E1918" t="s">
        <v>3803</v>
      </c>
      <c r="F1918" t="s">
        <v>5467</v>
      </c>
      <c r="G1918" t="s">
        <v>1626</v>
      </c>
    </row>
    <row r="1919" spans="5:7" x14ac:dyDescent="0.35">
      <c r="E1919" t="s">
        <v>3803</v>
      </c>
      <c r="F1919" t="s">
        <v>5468</v>
      </c>
      <c r="G1919" t="s">
        <v>1626</v>
      </c>
    </row>
    <row r="1920" spans="5:7" x14ac:dyDescent="0.35">
      <c r="E1920" t="s">
        <v>3803</v>
      </c>
      <c r="F1920" t="s">
        <v>5469</v>
      </c>
      <c r="G1920" t="s">
        <v>1626</v>
      </c>
    </row>
    <row r="1921" spans="5:7" x14ac:dyDescent="0.35">
      <c r="E1921" t="s">
        <v>3803</v>
      </c>
      <c r="F1921" t="s">
        <v>5470</v>
      </c>
      <c r="G1921" t="s">
        <v>1626</v>
      </c>
    </row>
    <row r="1922" spans="5:7" x14ac:dyDescent="0.35">
      <c r="E1922" t="s">
        <v>3803</v>
      </c>
      <c r="F1922" t="s">
        <v>5471</v>
      </c>
      <c r="G1922" t="s">
        <v>1626</v>
      </c>
    </row>
    <row r="1923" spans="5:7" x14ac:dyDescent="0.35">
      <c r="E1923" t="s">
        <v>3803</v>
      </c>
      <c r="F1923" t="s">
        <v>5472</v>
      </c>
      <c r="G1923" t="s">
        <v>1626</v>
      </c>
    </row>
    <row r="1924" spans="5:7" x14ac:dyDescent="0.35">
      <c r="E1924" t="s">
        <v>3803</v>
      </c>
      <c r="F1924" t="s">
        <v>5473</v>
      </c>
      <c r="G1924" t="s">
        <v>1626</v>
      </c>
    </row>
    <row r="1925" spans="5:7" x14ac:dyDescent="0.35">
      <c r="E1925" t="s">
        <v>3803</v>
      </c>
      <c r="F1925" t="s">
        <v>5474</v>
      </c>
      <c r="G1925" t="s">
        <v>1626</v>
      </c>
    </row>
    <row r="1926" spans="5:7" x14ac:dyDescent="0.35">
      <c r="E1926" t="s">
        <v>3803</v>
      </c>
      <c r="F1926" t="s">
        <v>1326</v>
      </c>
      <c r="G1926" t="s">
        <v>1626</v>
      </c>
    </row>
    <row r="1927" spans="5:7" x14ac:dyDescent="0.35">
      <c r="E1927" t="s">
        <v>3803</v>
      </c>
      <c r="F1927" t="s">
        <v>5475</v>
      </c>
      <c r="G1927" t="s">
        <v>1626</v>
      </c>
    </row>
    <row r="1928" spans="5:7" x14ac:dyDescent="0.35">
      <c r="E1928" t="s">
        <v>3803</v>
      </c>
      <c r="F1928" t="s">
        <v>5476</v>
      </c>
      <c r="G1928" t="s">
        <v>1626</v>
      </c>
    </row>
    <row r="1929" spans="5:7" x14ac:dyDescent="0.35">
      <c r="E1929" t="s">
        <v>3803</v>
      </c>
      <c r="F1929" t="s">
        <v>5477</v>
      </c>
      <c r="G1929" t="s">
        <v>1626</v>
      </c>
    </row>
    <row r="1930" spans="5:7" x14ac:dyDescent="0.35">
      <c r="E1930" t="s">
        <v>3803</v>
      </c>
      <c r="F1930" t="s">
        <v>5478</v>
      </c>
      <c r="G1930" t="s">
        <v>1626</v>
      </c>
    </row>
    <row r="1931" spans="5:7" x14ac:dyDescent="0.35">
      <c r="E1931" t="s">
        <v>3803</v>
      </c>
      <c r="F1931" t="s">
        <v>5479</v>
      </c>
      <c r="G1931" t="s">
        <v>1626</v>
      </c>
    </row>
    <row r="1932" spans="5:7" x14ac:dyDescent="0.35">
      <c r="E1932" t="s">
        <v>3803</v>
      </c>
      <c r="F1932" t="s">
        <v>5480</v>
      </c>
      <c r="G1932" t="s">
        <v>1626</v>
      </c>
    </row>
    <row r="1933" spans="5:7" x14ac:dyDescent="0.35">
      <c r="E1933" t="s">
        <v>3803</v>
      </c>
      <c r="F1933" t="s">
        <v>5481</v>
      </c>
      <c r="G1933" t="s">
        <v>1626</v>
      </c>
    </row>
    <row r="1934" spans="5:7" x14ac:dyDescent="0.35">
      <c r="E1934" t="s">
        <v>3803</v>
      </c>
      <c r="F1934" t="s">
        <v>5482</v>
      </c>
      <c r="G1934" t="s">
        <v>1626</v>
      </c>
    </row>
    <row r="1935" spans="5:7" x14ac:dyDescent="0.35">
      <c r="E1935" t="s">
        <v>3803</v>
      </c>
      <c r="F1935" t="s">
        <v>5483</v>
      </c>
      <c r="G1935" t="s">
        <v>1626</v>
      </c>
    </row>
    <row r="1936" spans="5:7" x14ac:dyDescent="0.35">
      <c r="E1936" t="s">
        <v>3803</v>
      </c>
      <c r="F1936" t="s">
        <v>5484</v>
      </c>
      <c r="G1936" t="s">
        <v>1626</v>
      </c>
    </row>
    <row r="1937" spans="5:7" x14ac:dyDescent="0.35">
      <c r="E1937" t="s">
        <v>3803</v>
      </c>
      <c r="F1937" t="s">
        <v>5485</v>
      </c>
      <c r="G1937" t="s">
        <v>1626</v>
      </c>
    </row>
    <row r="1938" spans="5:7" x14ac:dyDescent="0.35">
      <c r="E1938" t="s">
        <v>3803</v>
      </c>
      <c r="F1938" t="s">
        <v>5486</v>
      </c>
      <c r="G1938" t="s">
        <v>1626</v>
      </c>
    </row>
    <row r="1939" spans="5:7" x14ac:dyDescent="0.35">
      <c r="E1939" t="s">
        <v>3803</v>
      </c>
      <c r="F1939" t="s">
        <v>5487</v>
      </c>
      <c r="G1939" t="s">
        <v>1626</v>
      </c>
    </row>
    <row r="1940" spans="5:7" x14ac:dyDescent="0.35">
      <c r="E1940" t="s">
        <v>3803</v>
      </c>
      <c r="F1940" t="s">
        <v>5488</v>
      </c>
      <c r="G1940" t="s">
        <v>1626</v>
      </c>
    </row>
    <row r="1941" spans="5:7" x14ac:dyDescent="0.35">
      <c r="E1941" t="s">
        <v>3803</v>
      </c>
      <c r="F1941" t="s">
        <v>5489</v>
      </c>
      <c r="G1941" t="s">
        <v>1626</v>
      </c>
    </row>
    <row r="1942" spans="5:7" x14ac:dyDescent="0.35">
      <c r="E1942" t="s">
        <v>3803</v>
      </c>
      <c r="F1942" t="s">
        <v>5490</v>
      </c>
      <c r="G1942" t="s">
        <v>1626</v>
      </c>
    </row>
    <row r="1943" spans="5:7" x14ac:dyDescent="0.35">
      <c r="E1943" t="s">
        <v>3803</v>
      </c>
      <c r="F1943" t="s">
        <v>5491</v>
      </c>
      <c r="G1943" t="s">
        <v>1626</v>
      </c>
    </row>
    <row r="1944" spans="5:7" x14ac:dyDescent="0.35">
      <c r="E1944" t="s">
        <v>3803</v>
      </c>
      <c r="F1944" t="s">
        <v>5492</v>
      </c>
      <c r="G1944" t="s">
        <v>1626</v>
      </c>
    </row>
    <row r="1945" spans="5:7" x14ac:dyDescent="0.35">
      <c r="E1945" t="s">
        <v>3803</v>
      </c>
      <c r="F1945" t="s">
        <v>5493</v>
      </c>
      <c r="G1945" t="s">
        <v>1626</v>
      </c>
    </row>
    <row r="1946" spans="5:7" x14ac:dyDescent="0.35">
      <c r="E1946" t="s">
        <v>3803</v>
      </c>
      <c r="F1946" t="s">
        <v>5494</v>
      </c>
      <c r="G1946" t="s">
        <v>1626</v>
      </c>
    </row>
    <row r="1947" spans="5:7" x14ac:dyDescent="0.35">
      <c r="E1947" t="s">
        <v>3803</v>
      </c>
      <c r="F1947" t="s">
        <v>2851</v>
      </c>
      <c r="G1947" t="s">
        <v>1631</v>
      </c>
    </row>
    <row r="1948" spans="5:7" x14ac:dyDescent="0.35">
      <c r="E1948" t="s">
        <v>3803</v>
      </c>
      <c r="F1948" t="s">
        <v>2854</v>
      </c>
      <c r="G1948" t="s">
        <v>1631</v>
      </c>
    </row>
    <row r="1949" spans="5:7" x14ac:dyDescent="0.35">
      <c r="E1949" t="s">
        <v>3803</v>
      </c>
      <c r="F1949" t="s">
        <v>2857</v>
      </c>
      <c r="G1949" t="s">
        <v>1631</v>
      </c>
    </row>
    <row r="1950" spans="5:7" x14ac:dyDescent="0.35">
      <c r="E1950" t="s">
        <v>3803</v>
      </c>
      <c r="F1950" t="s">
        <v>510</v>
      </c>
      <c r="G1950" t="s">
        <v>1631</v>
      </c>
    </row>
    <row r="1951" spans="5:7" x14ac:dyDescent="0.35">
      <c r="E1951" t="s">
        <v>3803</v>
      </c>
      <c r="F1951" t="s">
        <v>5495</v>
      </c>
      <c r="G1951" t="s">
        <v>1631</v>
      </c>
    </row>
    <row r="1952" spans="5:7" x14ac:dyDescent="0.35">
      <c r="E1952" t="s">
        <v>3803</v>
      </c>
      <c r="F1952" t="s">
        <v>5496</v>
      </c>
      <c r="G1952" t="s">
        <v>1631</v>
      </c>
    </row>
    <row r="1953" spans="5:7" x14ac:dyDescent="0.35">
      <c r="E1953" t="s">
        <v>3803</v>
      </c>
      <c r="F1953" t="s">
        <v>5497</v>
      </c>
      <c r="G1953" t="s">
        <v>1631</v>
      </c>
    </row>
    <row r="1954" spans="5:7" x14ac:dyDescent="0.35">
      <c r="E1954" t="s">
        <v>3803</v>
      </c>
      <c r="F1954" t="s">
        <v>2859</v>
      </c>
      <c r="G1954" t="s">
        <v>1631</v>
      </c>
    </row>
    <row r="1955" spans="5:7" x14ac:dyDescent="0.35">
      <c r="E1955" t="s">
        <v>3803</v>
      </c>
      <c r="F1955" t="s">
        <v>2861</v>
      </c>
      <c r="G1955" t="s">
        <v>1631</v>
      </c>
    </row>
    <row r="1956" spans="5:7" x14ac:dyDescent="0.35">
      <c r="E1956" t="s">
        <v>3803</v>
      </c>
      <c r="F1956" t="s">
        <v>665</v>
      </c>
      <c r="G1956" t="s">
        <v>1631</v>
      </c>
    </row>
    <row r="1957" spans="5:7" x14ac:dyDescent="0.35">
      <c r="E1957" t="s">
        <v>3803</v>
      </c>
      <c r="F1957" t="s">
        <v>5498</v>
      </c>
      <c r="G1957" t="s">
        <v>1631</v>
      </c>
    </row>
    <row r="1958" spans="5:7" x14ac:dyDescent="0.35">
      <c r="E1958" t="s">
        <v>3803</v>
      </c>
      <c r="F1958" t="s">
        <v>5499</v>
      </c>
      <c r="G1958" t="s">
        <v>1631</v>
      </c>
    </row>
    <row r="1959" spans="5:7" x14ac:dyDescent="0.35">
      <c r="E1959" t="s">
        <v>3803</v>
      </c>
      <c r="F1959" t="s">
        <v>5500</v>
      </c>
      <c r="G1959" t="s">
        <v>1631</v>
      </c>
    </row>
    <row r="1960" spans="5:7" x14ac:dyDescent="0.35">
      <c r="E1960" t="s">
        <v>3803</v>
      </c>
      <c r="F1960" t="s">
        <v>5501</v>
      </c>
      <c r="G1960" t="s">
        <v>1631</v>
      </c>
    </row>
    <row r="1961" spans="5:7" x14ac:dyDescent="0.35">
      <c r="E1961" t="s">
        <v>3803</v>
      </c>
      <c r="F1961" t="s">
        <v>5502</v>
      </c>
      <c r="G1961" t="s">
        <v>1631</v>
      </c>
    </row>
    <row r="1962" spans="5:7" x14ac:dyDescent="0.35">
      <c r="E1962" t="s">
        <v>3803</v>
      </c>
      <c r="F1962" t="s">
        <v>5503</v>
      </c>
      <c r="G1962" t="s">
        <v>1631</v>
      </c>
    </row>
    <row r="1963" spans="5:7" x14ac:dyDescent="0.35">
      <c r="E1963" t="s">
        <v>3803</v>
      </c>
      <c r="F1963" t="s">
        <v>5504</v>
      </c>
      <c r="G1963" t="s">
        <v>1631</v>
      </c>
    </row>
    <row r="1964" spans="5:7" x14ac:dyDescent="0.35">
      <c r="E1964" t="s">
        <v>3803</v>
      </c>
      <c r="F1964" t="s">
        <v>5505</v>
      </c>
      <c r="G1964" t="s">
        <v>1631</v>
      </c>
    </row>
    <row r="1965" spans="5:7" x14ac:dyDescent="0.35">
      <c r="E1965" t="s">
        <v>3803</v>
      </c>
      <c r="F1965" t="s">
        <v>5506</v>
      </c>
      <c r="G1965" t="s">
        <v>1631</v>
      </c>
    </row>
    <row r="1966" spans="5:7" x14ac:dyDescent="0.35">
      <c r="E1966" t="s">
        <v>3803</v>
      </c>
      <c r="F1966" t="s">
        <v>5507</v>
      </c>
      <c r="G1966" t="s">
        <v>1631</v>
      </c>
    </row>
    <row r="1967" spans="5:7" x14ac:dyDescent="0.35">
      <c r="E1967" t="s">
        <v>3803</v>
      </c>
      <c r="F1967" t="s">
        <v>5508</v>
      </c>
      <c r="G1967" t="s">
        <v>1631</v>
      </c>
    </row>
    <row r="1968" spans="5:7" x14ac:dyDescent="0.35">
      <c r="E1968" t="s">
        <v>3803</v>
      </c>
      <c r="F1968" t="s">
        <v>5509</v>
      </c>
      <c r="G1968" t="s">
        <v>1631</v>
      </c>
    </row>
    <row r="1969" spans="5:7" x14ac:dyDescent="0.35">
      <c r="E1969" t="s">
        <v>3803</v>
      </c>
      <c r="F1969" t="s">
        <v>5510</v>
      </c>
      <c r="G1969" t="s">
        <v>1631</v>
      </c>
    </row>
    <row r="1970" spans="5:7" x14ac:dyDescent="0.35">
      <c r="E1970" t="s">
        <v>3803</v>
      </c>
      <c r="F1970" t="s">
        <v>5511</v>
      </c>
      <c r="G1970" t="s">
        <v>1631</v>
      </c>
    </row>
    <row r="1971" spans="5:7" x14ac:dyDescent="0.35">
      <c r="E1971" t="s">
        <v>3803</v>
      </c>
      <c r="F1971" t="s">
        <v>893</v>
      </c>
      <c r="G1971" t="s">
        <v>1631</v>
      </c>
    </row>
    <row r="1972" spans="5:7" x14ac:dyDescent="0.35">
      <c r="E1972" t="s">
        <v>3803</v>
      </c>
      <c r="F1972" t="s">
        <v>5512</v>
      </c>
      <c r="G1972" t="s">
        <v>1631</v>
      </c>
    </row>
    <row r="1973" spans="5:7" x14ac:dyDescent="0.35">
      <c r="E1973" t="s">
        <v>3803</v>
      </c>
      <c r="F1973" t="s">
        <v>5513</v>
      </c>
      <c r="G1973" t="s">
        <v>1631</v>
      </c>
    </row>
    <row r="1974" spans="5:7" x14ac:dyDescent="0.35">
      <c r="E1974" t="s">
        <v>3803</v>
      </c>
      <c r="F1974" t="s">
        <v>5514</v>
      </c>
      <c r="G1974" t="s">
        <v>1631</v>
      </c>
    </row>
    <row r="1975" spans="5:7" x14ac:dyDescent="0.35">
      <c r="E1975" t="s">
        <v>3803</v>
      </c>
      <c r="F1975" t="s">
        <v>5515</v>
      </c>
      <c r="G1975" t="s">
        <v>1631</v>
      </c>
    </row>
    <row r="1976" spans="5:7" x14ac:dyDescent="0.35">
      <c r="E1976" t="s">
        <v>3803</v>
      </c>
      <c r="F1976" t="s">
        <v>5516</v>
      </c>
      <c r="G1976" t="s">
        <v>1631</v>
      </c>
    </row>
    <row r="1977" spans="5:7" x14ac:dyDescent="0.35">
      <c r="E1977" t="s">
        <v>3803</v>
      </c>
      <c r="F1977" t="s">
        <v>5517</v>
      </c>
      <c r="G1977" t="s">
        <v>1631</v>
      </c>
    </row>
    <row r="1978" spans="5:7" x14ac:dyDescent="0.35">
      <c r="E1978" t="s">
        <v>3803</v>
      </c>
      <c r="F1978" t="s">
        <v>5518</v>
      </c>
      <c r="G1978" t="s">
        <v>1631</v>
      </c>
    </row>
    <row r="1979" spans="5:7" x14ac:dyDescent="0.35">
      <c r="E1979" t="s">
        <v>3803</v>
      </c>
      <c r="F1979" t="s">
        <v>5519</v>
      </c>
      <c r="G1979" t="s">
        <v>1631</v>
      </c>
    </row>
    <row r="1980" spans="5:7" x14ac:dyDescent="0.35">
      <c r="E1980" t="s">
        <v>3803</v>
      </c>
      <c r="F1980" t="s">
        <v>5520</v>
      </c>
      <c r="G1980" t="s">
        <v>1631</v>
      </c>
    </row>
    <row r="1981" spans="5:7" x14ac:dyDescent="0.35">
      <c r="E1981" t="s">
        <v>3803</v>
      </c>
      <c r="F1981" t="s">
        <v>5521</v>
      </c>
      <c r="G1981" t="s">
        <v>1631</v>
      </c>
    </row>
    <row r="1982" spans="5:7" x14ac:dyDescent="0.35">
      <c r="E1982" t="s">
        <v>3803</v>
      </c>
      <c r="F1982" t="s">
        <v>5522</v>
      </c>
      <c r="G1982" t="s">
        <v>1631</v>
      </c>
    </row>
    <row r="1983" spans="5:7" x14ac:dyDescent="0.35">
      <c r="E1983" t="s">
        <v>3803</v>
      </c>
      <c r="F1983" t="s">
        <v>5523</v>
      </c>
      <c r="G1983" t="s">
        <v>1631</v>
      </c>
    </row>
    <row r="1984" spans="5:7" x14ac:dyDescent="0.35">
      <c r="E1984" t="s">
        <v>3803</v>
      </c>
      <c r="F1984" t="s">
        <v>5524</v>
      </c>
      <c r="G1984" t="s">
        <v>1631</v>
      </c>
    </row>
    <row r="1985" spans="5:7" x14ac:dyDescent="0.35">
      <c r="E1985" t="s">
        <v>3803</v>
      </c>
      <c r="F1985" t="s">
        <v>5525</v>
      </c>
      <c r="G1985" t="s">
        <v>1631</v>
      </c>
    </row>
    <row r="1986" spans="5:7" x14ac:dyDescent="0.35">
      <c r="E1986" t="s">
        <v>3803</v>
      </c>
      <c r="F1986" t="s">
        <v>5526</v>
      </c>
      <c r="G1986" t="s">
        <v>1631</v>
      </c>
    </row>
    <row r="1987" spans="5:7" x14ac:dyDescent="0.35">
      <c r="E1987" t="s">
        <v>3803</v>
      </c>
      <c r="F1987" t="s">
        <v>5527</v>
      </c>
      <c r="G1987" t="s">
        <v>1631</v>
      </c>
    </row>
    <row r="1988" spans="5:7" x14ac:dyDescent="0.35">
      <c r="E1988" t="s">
        <v>3803</v>
      </c>
      <c r="F1988" t="s">
        <v>5528</v>
      </c>
      <c r="G1988" t="s">
        <v>1631</v>
      </c>
    </row>
    <row r="1989" spans="5:7" x14ac:dyDescent="0.35">
      <c r="E1989" t="s">
        <v>3803</v>
      </c>
      <c r="F1989" t="s">
        <v>5529</v>
      </c>
      <c r="G1989" t="s">
        <v>1631</v>
      </c>
    </row>
    <row r="1990" spans="5:7" x14ac:dyDescent="0.35">
      <c r="E1990" t="s">
        <v>3803</v>
      </c>
      <c r="F1990" t="s">
        <v>2864</v>
      </c>
      <c r="G1990" t="s">
        <v>1631</v>
      </c>
    </row>
    <row r="1991" spans="5:7" x14ac:dyDescent="0.35">
      <c r="E1991" t="s">
        <v>3803</v>
      </c>
      <c r="F1991" t="s">
        <v>2867</v>
      </c>
      <c r="G1991" t="s">
        <v>1631</v>
      </c>
    </row>
    <row r="1992" spans="5:7" x14ac:dyDescent="0.35">
      <c r="E1992" t="s">
        <v>3803</v>
      </c>
      <c r="F1992" t="s">
        <v>996</v>
      </c>
      <c r="G1992" t="s">
        <v>1631</v>
      </c>
    </row>
    <row r="1993" spans="5:7" x14ac:dyDescent="0.35">
      <c r="E1993" t="s">
        <v>3803</v>
      </c>
      <c r="F1993" t="s">
        <v>5530</v>
      </c>
      <c r="G1993" t="s">
        <v>1631</v>
      </c>
    </row>
    <row r="1994" spans="5:7" x14ac:dyDescent="0.35">
      <c r="E1994" t="s">
        <v>3803</v>
      </c>
      <c r="F1994" t="s">
        <v>5531</v>
      </c>
      <c r="G1994" t="s">
        <v>1631</v>
      </c>
    </row>
    <row r="1995" spans="5:7" x14ac:dyDescent="0.35">
      <c r="E1995" t="s">
        <v>3803</v>
      </c>
      <c r="F1995" t="s">
        <v>5532</v>
      </c>
      <c r="G1995" t="s">
        <v>1631</v>
      </c>
    </row>
    <row r="1996" spans="5:7" x14ac:dyDescent="0.35">
      <c r="E1996" t="s">
        <v>3803</v>
      </c>
      <c r="F1996" t="s">
        <v>5533</v>
      </c>
      <c r="G1996" t="s">
        <v>1631</v>
      </c>
    </row>
    <row r="1997" spans="5:7" x14ac:dyDescent="0.35">
      <c r="E1997" t="s">
        <v>3803</v>
      </c>
      <c r="F1997" t="s">
        <v>5534</v>
      </c>
      <c r="G1997" t="s">
        <v>1631</v>
      </c>
    </row>
    <row r="1998" spans="5:7" x14ac:dyDescent="0.35">
      <c r="E1998" t="s">
        <v>3803</v>
      </c>
      <c r="F1998" t="s">
        <v>5535</v>
      </c>
      <c r="G1998" t="s">
        <v>1631</v>
      </c>
    </row>
    <row r="1999" spans="5:7" x14ac:dyDescent="0.35">
      <c r="E1999" t="s">
        <v>3803</v>
      </c>
      <c r="F1999" t="s">
        <v>5536</v>
      </c>
      <c r="G1999" t="s">
        <v>1631</v>
      </c>
    </row>
    <row r="2000" spans="5:7" x14ac:dyDescent="0.35">
      <c r="E2000" t="s">
        <v>3803</v>
      </c>
      <c r="F2000" t="s">
        <v>5537</v>
      </c>
      <c r="G2000" t="s">
        <v>1631</v>
      </c>
    </row>
    <row r="2001" spans="5:7" x14ac:dyDescent="0.35">
      <c r="E2001" t="s">
        <v>3803</v>
      </c>
      <c r="F2001" t="s">
        <v>5538</v>
      </c>
      <c r="G2001" t="s">
        <v>1631</v>
      </c>
    </row>
    <row r="2002" spans="5:7" x14ac:dyDescent="0.35">
      <c r="E2002" t="s">
        <v>3803</v>
      </c>
      <c r="F2002" t="s">
        <v>5539</v>
      </c>
      <c r="G2002" t="s">
        <v>1631</v>
      </c>
    </row>
    <row r="2003" spans="5:7" x14ac:dyDescent="0.35">
      <c r="E2003" t="s">
        <v>3803</v>
      </c>
      <c r="F2003" t="s">
        <v>5540</v>
      </c>
      <c r="G2003" t="s">
        <v>1631</v>
      </c>
    </row>
    <row r="2004" spans="5:7" x14ac:dyDescent="0.35">
      <c r="E2004" t="s">
        <v>3803</v>
      </c>
      <c r="F2004" t="s">
        <v>5541</v>
      </c>
      <c r="G2004" t="s">
        <v>1631</v>
      </c>
    </row>
    <row r="2005" spans="5:7" x14ac:dyDescent="0.35">
      <c r="E2005" t="s">
        <v>3803</v>
      </c>
      <c r="F2005" t="s">
        <v>5542</v>
      </c>
      <c r="G2005" t="s">
        <v>1631</v>
      </c>
    </row>
    <row r="2006" spans="5:7" x14ac:dyDescent="0.35">
      <c r="E2006" t="s">
        <v>3803</v>
      </c>
      <c r="F2006" t="s">
        <v>5543</v>
      </c>
      <c r="G2006" t="s">
        <v>1631</v>
      </c>
    </row>
    <row r="2007" spans="5:7" x14ac:dyDescent="0.35">
      <c r="E2007" t="s">
        <v>3803</v>
      </c>
      <c r="F2007" t="s">
        <v>5544</v>
      </c>
      <c r="G2007" t="s">
        <v>1631</v>
      </c>
    </row>
    <row r="2008" spans="5:7" x14ac:dyDescent="0.35">
      <c r="E2008" t="s">
        <v>3803</v>
      </c>
      <c r="F2008" t="s">
        <v>5545</v>
      </c>
      <c r="G2008" t="s">
        <v>1631</v>
      </c>
    </row>
    <row r="2009" spans="5:7" x14ac:dyDescent="0.35">
      <c r="E2009" t="s">
        <v>3803</v>
      </c>
      <c r="F2009" t="s">
        <v>5546</v>
      </c>
      <c r="G2009" t="s">
        <v>1631</v>
      </c>
    </row>
    <row r="2010" spans="5:7" x14ac:dyDescent="0.35">
      <c r="E2010" t="s">
        <v>3803</v>
      </c>
      <c r="F2010" t="s">
        <v>5547</v>
      </c>
      <c r="G2010" t="s">
        <v>1631</v>
      </c>
    </row>
    <row r="2011" spans="5:7" x14ac:dyDescent="0.35">
      <c r="E2011" t="s">
        <v>3803</v>
      </c>
      <c r="F2011" t="s">
        <v>5548</v>
      </c>
      <c r="G2011" t="s">
        <v>1631</v>
      </c>
    </row>
    <row r="2012" spans="5:7" x14ac:dyDescent="0.35">
      <c r="E2012" t="s">
        <v>3803</v>
      </c>
      <c r="F2012" t="s">
        <v>5549</v>
      </c>
      <c r="G2012" t="s">
        <v>1631</v>
      </c>
    </row>
    <row r="2013" spans="5:7" x14ac:dyDescent="0.35">
      <c r="E2013" t="s">
        <v>3803</v>
      </c>
      <c r="F2013" t="s">
        <v>5550</v>
      </c>
      <c r="G2013" t="s">
        <v>1631</v>
      </c>
    </row>
    <row r="2014" spans="5:7" x14ac:dyDescent="0.35">
      <c r="E2014" t="s">
        <v>3803</v>
      </c>
      <c r="F2014" t="s">
        <v>5551</v>
      </c>
      <c r="G2014" t="s">
        <v>1631</v>
      </c>
    </row>
    <row r="2015" spans="5:7" x14ac:dyDescent="0.35">
      <c r="E2015" t="s">
        <v>3803</v>
      </c>
      <c r="F2015" t="s">
        <v>5552</v>
      </c>
      <c r="G2015" t="s">
        <v>1631</v>
      </c>
    </row>
    <row r="2016" spans="5:7" x14ac:dyDescent="0.35">
      <c r="E2016" t="s">
        <v>3803</v>
      </c>
      <c r="F2016" t="s">
        <v>5553</v>
      </c>
      <c r="G2016" t="s">
        <v>1631</v>
      </c>
    </row>
    <row r="2017" spans="5:7" x14ac:dyDescent="0.35">
      <c r="E2017" t="s">
        <v>3803</v>
      </c>
      <c r="F2017" t="s">
        <v>5554</v>
      </c>
      <c r="G2017" t="s">
        <v>1631</v>
      </c>
    </row>
    <row r="2018" spans="5:7" x14ac:dyDescent="0.35">
      <c r="E2018" t="s">
        <v>3803</v>
      </c>
      <c r="F2018" t="s">
        <v>5555</v>
      </c>
      <c r="G2018" t="s">
        <v>1631</v>
      </c>
    </row>
    <row r="2019" spans="5:7" x14ac:dyDescent="0.35">
      <c r="E2019" t="s">
        <v>3803</v>
      </c>
      <c r="F2019" t="s">
        <v>5556</v>
      </c>
      <c r="G2019" t="s">
        <v>1631</v>
      </c>
    </row>
    <row r="2020" spans="5:7" x14ac:dyDescent="0.35">
      <c r="E2020" t="s">
        <v>3803</v>
      </c>
      <c r="F2020" t="s">
        <v>1139</v>
      </c>
      <c r="G2020" t="s">
        <v>1631</v>
      </c>
    </row>
    <row r="2021" spans="5:7" x14ac:dyDescent="0.35">
      <c r="E2021" t="s">
        <v>3803</v>
      </c>
      <c r="F2021" t="s">
        <v>5557</v>
      </c>
      <c r="G2021" t="s">
        <v>1631</v>
      </c>
    </row>
    <row r="2022" spans="5:7" x14ac:dyDescent="0.35">
      <c r="E2022" t="s">
        <v>3803</v>
      </c>
      <c r="F2022" t="s">
        <v>5558</v>
      </c>
      <c r="G2022" t="s">
        <v>1631</v>
      </c>
    </row>
    <row r="2023" spans="5:7" x14ac:dyDescent="0.35">
      <c r="E2023" t="s">
        <v>3803</v>
      </c>
      <c r="F2023" t="s">
        <v>5559</v>
      </c>
      <c r="G2023" t="s">
        <v>1631</v>
      </c>
    </row>
    <row r="2024" spans="5:7" x14ac:dyDescent="0.35">
      <c r="E2024" t="s">
        <v>3803</v>
      </c>
      <c r="F2024" t="s">
        <v>5560</v>
      </c>
      <c r="G2024" t="s">
        <v>1631</v>
      </c>
    </row>
    <row r="2025" spans="5:7" x14ac:dyDescent="0.35">
      <c r="E2025" t="s">
        <v>3803</v>
      </c>
      <c r="F2025" t="s">
        <v>5561</v>
      </c>
      <c r="G2025" t="s">
        <v>1631</v>
      </c>
    </row>
    <row r="2026" spans="5:7" x14ac:dyDescent="0.35">
      <c r="E2026" t="s">
        <v>3803</v>
      </c>
      <c r="F2026" t="s">
        <v>5562</v>
      </c>
      <c r="G2026" t="s">
        <v>1631</v>
      </c>
    </row>
    <row r="2027" spans="5:7" x14ac:dyDescent="0.35">
      <c r="E2027" t="s">
        <v>3803</v>
      </c>
      <c r="F2027" t="s">
        <v>5563</v>
      </c>
      <c r="G2027" t="s">
        <v>1631</v>
      </c>
    </row>
    <row r="2028" spans="5:7" x14ac:dyDescent="0.35">
      <c r="E2028" t="s">
        <v>3803</v>
      </c>
      <c r="F2028" t="s">
        <v>5564</v>
      </c>
      <c r="G2028" t="s">
        <v>1631</v>
      </c>
    </row>
    <row r="2029" spans="5:7" x14ac:dyDescent="0.35">
      <c r="E2029" t="s">
        <v>3803</v>
      </c>
      <c r="F2029" t="s">
        <v>5565</v>
      </c>
      <c r="G2029" t="s">
        <v>1631</v>
      </c>
    </row>
    <row r="2030" spans="5:7" x14ac:dyDescent="0.35">
      <c r="E2030" t="s">
        <v>3803</v>
      </c>
      <c r="F2030" t="s">
        <v>5566</v>
      </c>
      <c r="G2030" t="s">
        <v>1631</v>
      </c>
    </row>
    <row r="2031" spans="5:7" x14ac:dyDescent="0.35">
      <c r="E2031" t="s">
        <v>3803</v>
      </c>
      <c r="F2031" t="s">
        <v>5567</v>
      </c>
      <c r="G2031" t="s">
        <v>1631</v>
      </c>
    </row>
    <row r="2032" spans="5:7" x14ac:dyDescent="0.35">
      <c r="E2032" t="s">
        <v>3803</v>
      </c>
      <c r="F2032" t="s">
        <v>5568</v>
      </c>
      <c r="G2032" t="s">
        <v>1631</v>
      </c>
    </row>
    <row r="2033" spans="5:7" x14ac:dyDescent="0.35">
      <c r="E2033" t="s">
        <v>3803</v>
      </c>
      <c r="F2033" t="s">
        <v>5569</v>
      </c>
      <c r="G2033" t="s">
        <v>1631</v>
      </c>
    </row>
    <row r="2034" spans="5:7" x14ac:dyDescent="0.35">
      <c r="E2034" t="s">
        <v>3803</v>
      </c>
      <c r="F2034" t="s">
        <v>5570</v>
      </c>
      <c r="G2034" t="s">
        <v>1631</v>
      </c>
    </row>
    <row r="2035" spans="5:7" x14ac:dyDescent="0.35">
      <c r="E2035" t="s">
        <v>3803</v>
      </c>
      <c r="F2035" t="s">
        <v>5571</v>
      </c>
      <c r="G2035" t="s">
        <v>1631</v>
      </c>
    </row>
    <row r="2036" spans="5:7" x14ac:dyDescent="0.35">
      <c r="E2036" t="s">
        <v>3803</v>
      </c>
      <c r="F2036" t="s">
        <v>5572</v>
      </c>
      <c r="G2036" t="s">
        <v>1631</v>
      </c>
    </row>
    <row r="2037" spans="5:7" x14ac:dyDescent="0.35">
      <c r="E2037" t="s">
        <v>3803</v>
      </c>
      <c r="F2037" t="s">
        <v>5573</v>
      </c>
      <c r="G2037" t="s">
        <v>1631</v>
      </c>
    </row>
    <row r="2038" spans="5:7" x14ac:dyDescent="0.35">
      <c r="E2038" t="s">
        <v>3803</v>
      </c>
      <c r="F2038" t="s">
        <v>5574</v>
      </c>
      <c r="G2038" t="s">
        <v>1631</v>
      </c>
    </row>
    <row r="2039" spans="5:7" x14ac:dyDescent="0.35">
      <c r="E2039" t="s">
        <v>3803</v>
      </c>
      <c r="F2039" t="s">
        <v>5575</v>
      </c>
      <c r="G2039" t="s">
        <v>1631</v>
      </c>
    </row>
    <row r="2040" spans="5:7" x14ac:dyDescent="0.35">
      <c r="E2040" t="s">
        <v>3803</v>
      </c>
      <c r="F2040" t="s">
        <v>5576</v>
      </c>
      <c r="G2040" t="s">
        <v>1631</v>
      </c>
    </row>
    <row r="2041" spans="5:7" x14ac:dyDescent="0.35">
      <c r="E2041" t="s">
        <v>3803</v>
      </c>
      <c r="F2041" t="s">
        <v>5577</v>
      </c>
      <c r="G2041" t="s">
        <v>1631</v>
      </c>
    </row>
    <row r="2042" spans="5:7" x14ac:dyDescent="0.35">
      <c r="E2042" t="s">
        <v>3803</v>
      </c>
      <c r="F2042" t="s">
        <v>5578</v>
      </c>
      <c r="G2042" t="s">
        <v>1631</v>
      </c>
    </row>
    <row r="2043" spans="5:7" x14ac:dyDescent="0.35">
      <c r="E2043" t="s">
        <v>3803</v>
      </c>
      <c r="F2043" t="s">
        <v>5579</v>
      </c>
      <c r="G2043" t="s">
        <v>1631</v>
      </c>
    </row>
    <row r="2044" spans="5:7" x14ac:dyDescent="0.35">
      <c r="E2044" t="s">
        <v>3803</v>
      </c>
      <c r="F2044" t="s">
        <v>5580</v>
      </c>
      <c r="G2044" t="s">
        <v>1631</v>
      </c>
    </row>
    <row r="2045" spans="5:7" x14ac:dyDescent="0.35">
      <c r="E2045" t="s">
        <v>3803</v>
      </c>
      <c r="F2045" t="s">
        <v>5581</v>
      </c>
      <c r="G2045" t="s">
        <v>1631</v>
      </c>
    </row>
    <row r="2046" spans="5:7" x14ac:dyDescent="0.35">
      <c r="E2046" t="s">
        <v>3803</v>
      </c>
      <c r="F2046" t="s">
        <v>5582</v>
      </c>
      <c r="G2046" t="s">
        <v>1631</v>
      </c>
    </row>
    <row r="2047" spans="5:7" x14ac:dyDescent="0.35">
      <c r="E2047" t="s">
        <v>3803</v>
      </c>
      <c r="F2047" t="s">
        <v>5583</v>
      </c>
      <c r="G2047" t="s">
        <v>1631</v>
      </c>
    </row>
    <row r="2048" spans="5:7" x14ac:dyDescent="0.35">
      <c r="E2048" t="s">
        <v>3803</v>
      </c>
      <c r="F2048" t="s">
        <v>1252</v>
      </c>
      <c r="G2048" t="s">
        <v>1631</v>
      </c>
    </row>
    <row r="2049" spans="5:7" x14ac:dyDescent="0.35">
      <c r="E2049" t="s">
        <v>3803</v>
      </c>
      <c r="F2049" t="s">
        <v>5584</v>
      </c>
      <c r="G2049" t="s">
        <v>1631</v>
      </c>
    </row>
    <row r="2050" spans="5:7" x14ac:dyDescent="0.35">
      <c r="E2050" t="s">
        <v>3803</v>
      </c>
      <c r="F2050" t="s">
        <v>5585</v>
      </c>
      <c r="G2050" t="s">
        <v>1631</v>
      </c>
    </row>
    <row r="2051" spans="5:7" x14ac:dyDescent="0.35">
      <c r="E2051" t="s">
        <v>3803</v>
      </c>
      <c r="F2051" t="s">
        <v>5586</v>
      </c>
      <c r="G2051" t="s">
        <v>1631</v>
      </c>
    </row>
    <row r="2052" spans="5:7" x14ac:dyDescent="0.35">
      <c r="E2052" t="s">
        <v>3803</v>
      </c>
      <c r="F2052" t="s">
        <v>5587</v>
      </c>
      <c r="G2052" t="s">
        <v>1631</v>
      </c>
    </row>
    <row r="2053" spans="5:7" x14ac:dyDescent="0.35">
      <c r="E2053" t="s">
        <v>3803</v>
      </c>
      <c r="F2053" t="s">
        <v>5588</v>
      </c>
      <c r="G2053" t="s">
        <v>1631</v>
      </c>
    </row>
    <row r="2054" spans="5:7" x14ac:dyDescent="0.35">
      <c r="E2054" t="s">
        <v>3803</v>
      </c>
      <c r="F2054" t="s">
        <v>5589</v>
      </c>
      <c r="G2054" t="s">
        <v>1631</v>
      </c>
    </row>
    <row r="2055" spans="5:7" x14ac:dyDescent="0.35">
      <c r="E2055" t="s">
        <v>3803</v>
      </c>
      <c r="F2055" t="s">
        <v>5590</v>
      </c>
      <c r="G2055" t="s">
        <v>1631</v>
      </c>
    </row>
    <row r="2056" spans="5:7" x14ac:dyDescent="0.35">
      <c r="E2056" t="s">
        <v>3803</v>
      </c>
      <c r="F2056" t="s">
        <v>5591</v>
      </c>
      <c r="G2056" t="s">
        <v>1631</v>
      </c>
    </row>
    <row r="2057" spans="5:7" x14ac:dyDescent="0.35">
      <c r="E2057" t="s">
        <v>3803</v>
      </c>
      <c r="F2057" t="s">
        <v>5592</v>
      </c>
      <c r="G2057" t="s">
        <v>1631</v>
      </c>
    </row>
    <row r="2058" spans="5:7" x14ac:dyDescent="0.35">
      <c r="E2058" t="s">
        <v>3803</v>
      </c>
      <c r="F2058" t="s">
        <v>5593</v>
      </c>
      <c r="G2058" t="s">
        <v>1631</v>
      </c>
    </row>
    <row r="2059" spans="5:7" x14ac:dyDescent="0.35">
      <c r="E2059" t="s">
        <v>3803</v>
      </c>
      <c r="F2059" t="s">
        <v>5594</v>
      </c>
      <c r="G2059" t="s">
        <v>1631</v>
      </c>
    </row>
    <row r="2060" spans="5:7" x14ac:dyDescent="0.35">
      <c r="E2060" t="s">
        <v>3803</v>
      </c>
      <c r="F2060" t="s">
        <v>5595</v>
      </c>
      <c r="G2060" t="s">
        <v>1631</v>
      </c>
    </row>
    <row r="2061" spans="5:7" x14ac:dyDescent="0.35">
      <c r="E2061" t="s">
        <v>3803</v>
      </c>
      <c r="F2061" t="s">
        <v>5596</v>
      </c>
      <c r="G2061" t="s">
        <v>1631</v>
      </c>
    </row>
    <row r="2062" spans="5:7" x14ac:dyDescent="0.35">
      <c r="E2062" t="s">
        <v>3803</v>
      </c>
      <c r="F2062" t="s">
        <v>5597</v>
      </c>
      <c r="G2062" t="s">
        <v>1631</v>
      </c>
    </row>
    <row r="2063" spans="5:7" x14ac:dyDescent="0.35">
      <c r="E2063" t="s">
        <v>3803</v>
      </c>
      <c r="F2063" t="s">
        <v>5598</v>
      </c>
      <c r="G2063" t="s">
        <v>1631</v>
      </c>
    </row>
    <row r="2064" spans="5:7" x14ac:dyDescent="0.35">
      <c r="E2064" t="s">
        <v>3803</v>
      </c>
      <c r="F2064" t="s">
        <v>5599</v>
      </c>
      <c r="G2064" t="s">
        <v>1631</v>
      </c>
    </row>
    <row r="2065" spans="5:7" x14ac:dyDescent="0.35">
      <c r="E2065" t="s">
        <v>3803</v>
      </c>
      <c r="F2065" t="s">
        <v>5600</v>
      </c>
      <c r="G2065" t="s">
        <v>1631</v>
      </c>
    </row>
    <row r="2066" spans="5:7" x14ac:dyDescent="0.35">
      <c r="E2066" t="s">
        <v>3803</v>
      </c>
      <c r="F2066" t="s">
        <v>5601</v>
      </c>
      <c r="G2066" t="s">
        <v>1631</v>
      </c>
    </row>
    <row r="2067" spans="5:7" x14ac:dyDescent="0.35">
      <c r="E2067" t="s">
        <v>3803</v>
      </c>
      <c r="F2067" t="s">
        <v>5602</v>
      </c>
      <c r="G2067" t="s">
        <v>1631</v>
      </c>
    </row>
    <row r="2068" spans="5:7" x14ac:dyDescent="0.35">
      <c r="E2068" t="s">
        <v>3803</v>
      </c>
      <c r="F2068" t="s">
        <v>5603</v>
      </c>
      <c r="G2068" t="s">
        <v>1631</v>
      </c>
    </row>
    <row r="2069" spans="5:7" x14ac:dyDescent="0.35">
      <c r="E2069" t="s">
        <v>3803</v>
      </c>
      <c r="F2069" t="s">
        <v>5604</v>
      </c>
      <c r="G2069" t="s">
        <v>1631</v>
      </c>
    </row>
    <row r="2070" spans="5:7" x14ac:dyDescent="0.35">
      <c r="E2070" t="s">
        <v>3803</v>
      </c>
      <c r="F2070" t="s">
        <v>5605</v>
      </c>
      <c r="G2070" t="s">
        <v>1631</v>
      </c>
    </row>
    <row r="2071" spans="5:7" x14ac:dyDescent="0.35">
      <c r="E2071" t="s">
        <v>3803</v>
      </c>
      <c r="F2071" t="s">
        <v>5606</v>
      </c>
      <c r="G2071" t="s">
        <v>1631</v>
      </c>
    </row>
    <row r="2072" spans="5:7" x14ac:dyDescent="0.35">
      <c r="E2072" t="s">
        <v>3803</v>
      </c>
      <c r="F2072" t="s">
        <v>5607</v>
      </c>
      <c r="G2072" t="s">
        <v>1631</v>
      </c>
    </row>
    <row r="2073" spans="5:7" x14ac:dyDescent="0.35">
      <c r="E2073" t="s">
        <v>3803</v>
      </c>
      <c r="F2073" t="s">
        <v>5608</v>
      </c>
      <c r="G2073" t="s">
        <v>1631</v>
      </c>
    </row>
    <row r="2074" spans="5:7" x14ac:dyDescent="0.35">
      <c r="E2074" t="s">
        <v>3803</v>
      </c>
      <c r="F2074" t="s">
        <v>5609</v>
      </c>
      <c r="G2074" t="s">
        <v>1631</v>
      </c>
    </row>
    <row r="2075" spans="5:7" x14ac:dyDescent="0.35">
      <c r="E2075" t="s">
        <v>3803</v>
      </c>
      <c r="F2075" t="s">
        <v>5610</v>
      </c>
      <c r="G2075" t="s">
        <v>1631</v>
      </c>
    </row>
    <row r="2076" spans="5:7" x14ac:dyDescent="0.35">
      <c r="E2076" t="s">
        <v>3803</v>
      </c>
      <c r="F2076" t="s">
        <v>5611</v>
      </c>
      <c r="G2076" t="s">
        <v>1631</v>
      </c>
    </row>
    <row r="2077" spans="5:7" x14ac:dyDescent="0.35">
      <c r="E2077" t="s">
        <v>3803</v>
      </c>
      <c r="F2077" t="s">
        <v>5612</v>
      </c>
      <c r="G2077" t="s">
        <v>1631</v>
      </c>
    </row>
    <row r="2078" spans="5:7" x14ac:dyDescent="0.35">
      <c r="E2078" t="s">
        <v>3803</v>
      </c>
      <c r="F2078" t="s">
        <v>5613</v>
      </c>
      <c r="G2078" t="s">
        <v>1631</v>
      </c>
    </row>
    <row r="2079" spans="5:7" x14ac:dyDescent="0.35">
      <c r="E2079" t="s">
        <v>3803</v>
      </c>
      <c r="F2079" t="s">
        <v>5614</v>
      </c>
      <c r="G2079" t="s">
        <v>1631</v>
      </c>
    </row>
    <row r="2080" spans="5:7" x14ac:dyDescent="0.35">
      <c r="E2080" t="s">
        <v>3803</v>
      </c>
      <c r="F2080" t="s">
        <v>5615</v>
      </c>
      <c r="G2080" t="s">
        <v>1631</v>
      </c>
    </row>
    <row r="2081" spans="5:7" x14ac:dyDescent="0.35">
      <c r="E2081" t="s">
        <v>3803</v>
      </c>
      <c r="F2081" t="s">
        <v>5616</v>
      </c>
      <c r="G2081" t="s">
        <v>1631</v>
      </c>
    </row>
    <row r="2082" spans="5:7" x14ac:dyDescent="0.35">
      <c r="E2082" t="s">
        <v>3803</v>
      </c>
      <c r="F2082" t="s">
        <v>5617</v>
      </c>
      <c r="G2082" t="s">
        <v>1631</v>
      </c>
    </row>
    <row r="2083" spans="5:7" x14ac:dyDescent="0.35">
      <c r="E2083" t="s">
        <v>3803</v>
      </c>
      <c r="F2083" t="s">
        <v>5618</v>
      </c>
      <c r="G2083" t="s">
        <v>1631</v>
      </c>
    </row>
    <row r="2084" spans="5:7" x14ac:dyDescent="0.35">
      <c r="E2084" t="s">
        <v>3803</v>
      </c>
      <c r="F2084" t="s">
        <v>5619</v>
      </c>
      <c r="G2084" t="s">
        <v>1631</v>
      </c>
    </row>
    <row r="2085" spans="5:7" x14ac:dyDescent="0.35">
      <c r="E2085" t="s">
        <v>3803</v>
      </c>
      <c r="F2085" t="s">
        <v>5620</v>
      </c>
      <c r="G2085" t="s">
        <v>1631</v>
      </c>
    </row>
    <row r="2086" spans="5:7" x14ac:dyDescent="0.35">
      <c r="E2086" t="s">
        <v>3803</v>
      </c>
      <c r="F2086" t="s">
        <v>5621</v>
      </c>
      <c r="G2086" t="s">
        <v>1631</v>
      </c>
    </row>
    <row r="2087" spans="5:7" x14ac:dyDescent="0.35">
      <c r="E2087" t="s">
        <v>3803</v>
      </c>
      <c r="F2087" t="s">
        <v>5622</v>
      </c>
      <c r="G2087" t="s">
        <v>1631</v>
      </c>
    </row>
    <row r="2088" spans="5:7" x14ac:dyDescent="0.35">
      <c r="E2088" t="s">
        <v>3803</v>
      </c>
      <c r="F2088" t="s">
        <v>5623</v>
      </c>
      <c r="G2088" t="s">
        <v>1631</v>
      </c>
    </row>
    <row r="2089" spans="5:7" x14ac:dyDescent="0.35">
      <c r="E2089" t="s">
        <v>3803</v>
      </c>
      <c r="F2089" t="s">
        <v>5624</v>
      </c>
      <c r="G2089" t="s">
        <v>1631</v>
      </c>
    </row>
    <row r="2090" spans="5:7" x14ac:dyDescent="0.35">
      <c r="E2090" t="s">
        <v>3803</v>
      </c>
      <c r="F2090" t="s">
        <v>1347</v>
      </c>
      <c r="G2090" t="s">
        <v>1631</v>
      </c>
    </row>
    <row r="2091" spans="5:7" x14ac:dyDescent="0.35">
      <c r="E2091" t="s">
        <v>3803</v>
      </c>
      <c r="F2091" t="s">
        <v>5625</v>
      </c>
      <c r="G2091" t="s">
        <v>1631</v>
      </c>
    </row>
    <row r="2092" spans="5:7" x14ac:dyDescent="0.35">
      <c r="E2092" t="s">
        <v>3803</v>
      </c>
      <c r="F2092" t="s">
        <v>5626</v>
      </c>
      <c r="G2092" t="s">
        <v>1631</v>
      </c>
    </row>
    <row r="2093" spans="5:7" x14ac:dyDescent="0.35">
      <c r="E2093" t="s">
        <v>3803</v>
      </c>
      <c r="F2093" t="s">
        <v>5627</v>
      </c>
      <c r="G2093" t="s">
        <v>1631</v>
      </c>
    </row>
    <row r="2094" spans="5:7" x14ac:dyDescent="0.35">
      <c r="E2094" t="s">
        <v>3803</v>
      </c>
      <c r="F2094" t="s">
        <v>5628</v>
      </c>
      <c r="G2094" t="s">
        <v>1631</v>
      </c>
    </row>
    <row r="2095" spans="5:7" x14ac:dyDescent="0.35">
      <c r="E2095" t="s">
        <v>3803</v>
      </c>
      <c r="F2095" t="s">
        <v>5629</v>
      </c>
      <c r="G2095" t="s">
        <v>1631</v>
      </c>
    </row>
    <row r="2096" spans="5:7" x14ac:dyDescent="0.35">
      <c r="E2096" t="s">
        <v>3803</v>
      </c>
      <c r="F2096" t="s">
        <v>5630</v>
      </c>
      <c r="G2096" t="s">
        <v>1631</v>
      </c>
    </row>
    <row r="2097" spans="5:7" x14ac:dyDescent="0.35">
      <c r="E2097" t="s">
        <v>3803</v>
      </c>
      <c r="F2097" t="s">
        <v>5631</v>
      </c>
      <c r="G2097" t="s">
        <v>1631</v>
      </c>
    </row>
    <row r="2098" spans="5:7" x14ac:dyDescent="0.35">
      <c r="E2098" t="s">
        <v>3803</v>
      </c>
      <c r="F2098" t="s">
        <v>5632</v>
      </c>
      <c r="G2098" t="s">
        <v>1631</v>
      </c>
    </row>
    <row r="2099" spans="5:7" x14ac:dyDescent="0.35">
      <c r="E2099" t="s">
        <v>3803</v>
      </c>
      <c r="F2099" t="s">
        <v>5633</v>
      </c>
      <c r="G2099" t="s">
        <v>1631</v>
      </c>
    </row>
    <row r="2100" spans="5:7" x14ac:dyDescent="0.35">
      <c r="E2100" t="s">
        <v>3803</v>
      </c>
      <c r="F2100" t="s">
        <v>5634</v>
      </c>
      <c r="G2100" t="s">
        <v>1631</v>
      </c>
    </row>
    <row r="2101" spans="5:7" x14ac:dyDescent="0.35">
      <c r="E2101" t="s">
        <v>3803</v>
      </c>
      <c r="F2101" t="s">
        <v>5635</v>
      </c>
      <c r="G2101" t="s">
        <v>1631</v>
      </c>
    </row>
    <row r="2102" spans="5:7" x14ac:dyDescent="0.35">
      <c r="E2102" t="s">
        <v>3803</v>
      </c>
      <c r="F2102" t="s">
        <v>5636</v>
      </c>
      <c r="G2102" t="s">
        <v>1631</v>
      </c>
    </row>
    <row r="2103" spans="5:7" x14ac:dyDescent="0.35">
      <c r="E2103" t="s">
        <v>3803</v>
      </c>
      <c r="F2103" t="s">
        <v>2870</v>
      </c>
      <c r="G2103" t="s">
        <v>1636</v>
      </c>
    </row>
    <row r="2104" spans="5:7" x14ac:dyDescent="0.35">
      <c r="E2104" t="s">
        <v>3803</v>
      </c>
      <c r="F2104" t="s">
        <v>388</v>
      </c>
      <c r="G2104" t="s">
        <v>1636</v>
      </c>
    </row>
    <row r="2105" spans="5:7" x14ac:dyDescent="0.35">
      <c r="E2105" t="s">
        <v>3803</v>
      </c>
      <c r="F2105" t="s">
        <v>2877</v>
      </c>
      <c r="G2105" t="s">
        <v>1636</v>
      </c>
    </row>
    <row r="2106" spans="5:7" x14ac:dyDescent="0.35">
      <c r="E2106" t="s">
        <v>3803</v>
      </c>
      <c r="F2106" t="s">
        <v>420</v>
      </c>
      <c r="G2106" t="s">
        <v>1636</v>
      </c>
    </row>
    <row r="2107" spans="5:7" x14ac:dyDescent="0.35">
      <c r="E2107" t="s">
        <v>3803</v>
      </c>
      <c r="F2107" t="s">
        <v>5637</v>
      </c>
      <c r="G2107" t="s">
        <v>1636</v>
      </c>
    </row>
    <row r="2108" spans="5:7" x14ac:dyDescent="0.35">
      <c r="E2108" t="s">
        <v>3803</v>
      </c>
      <c r="F2108" t="s">
        <v>5638</v>
      </c>
      <c r="G2108" t="s">
        <v>1636</v>
      </c>
    </row>
    <row r="2109" spans="5:7" x14ac:dyDescent="0.35">
      <c r="E2109" t="s">
        <v>3803</v>
      </c>
      <c r="F2109" t="s">
        <v>5639</v>
      </c>
      <c r="G2109" t="s">
        <v>1636</v>
      </c>
    </row>
    <row r="2110" spans="5:7" x14ac:dyDescent="0.35">
      <c r="E2110" t="s">
        <v>3803</v>
      </c>
      <c r="F2110" t="s">
        <v>5640</v>
      </c>
      <c r="G2110" t="s">
        <v>1636</v>
      </c>
    </row>
    <row r="2111" spans="5:7" x14ac:dyDescent="0.35">
      <c r="E2111" t="s">
        <v>3803</v>
      </c>
      <c r="F2111" t="s">
        <v>5641</v>
      </c>
      <c r="G2111" t="s">
        <v>1636</v>
      </c>
    </row>
    <row r="2112" spans="5:7" x14ac:dyDescent="0.35">
      <c r="E2112" t="s">
        <v>3803</v>
      </c>
      <c r="F2112" t="s">
        <v>5642</v>
      </c>
      <c r="G2112" t="s">
        <v>1636</v>
      </c>
    </row>
    <row r="2113" spans="5:7" x14ac:dyDescent="0.35">
      <c r="E2113" t="s">
        <v>3803</v>
      </c>
      <c r="F2113" t="s">
        <v>5643</v>
      </c>
      <c r="G2113" t="s">
        <v>1636</v>
      </c>
    </row>
    <row r="2114" spans="5:7" x14ac:dyDescent="0.35">
      <c r="E2114" t="s">
        <v>3803</v>
      </c>
      <c r="F2114" t="s">
        <v>5644</v>
      </c>
      <c r="G2114" t="s">
        <v>1636</v>
      </c>
    </row>
    <row r="2115" spans="5:7" x14ac:dyDescent="0.35">
      <c r="E2115" t="s">
        <v>3803</v>
      </c>
      <c r="F2115" t="s">
        <v>5645</v>
      </c>
      <c r="G2115" t="s">
        <v>1636</v>
      </c>
    </row>
    <row r="2116" spans="5:7" x14ac:dyDescent="0.35">
      <c r="E2116" t="s">
        <v>3803</v>
      </c>
      <c r="F2116" t="s">
        <v>5646</v>
      </c>
      <c r="G2116" t="s">
        <v>1636</v>
      </c>
    </row>
    <row r="2117" spans="5:7" x14ac:dyDescent="0.35">
      <c r="E2117" t="s">
        <v>3803</v>
      </c>
      <c r="F2117" t="s">
        <v>5647</v>
      </c>
      <c r="G2117" t="s">
        <v>1636</v>
      </c>
    </row>
    <row r="2118" spans="5:7" x14ac:dyDescent="0.35">
      <c r="E2118" t="s">
        <v>3803</v>
      </c>
      <c r="F2118" t="s">
        <v>5648</v>
      </c>
      <c r="G2118" t="s">
        <v>1636</v>
      </c>
    </row>
    <row r="2119" spans="5:7" x14ac:dyDescent="0.35">
      <c r="E2119" t="s">
        <v>3803</v>
      </c>
      <c r="F2119" t="s">
        <v>5649</v>
      </c>
      <c r="G2119" t="s">
        <v>1636</v>
      </c>
    </row>
    <row r="2120" spans="5:7" x14ac:dyDescent="0.35">
      <c r="E2120" t="s">
        <v>3803</v>
      </c>
      <c r="F2120" t="s">
        <v>5650</v>
      </c>
      <c r="G2120" t="s">
        <v>1636</v>
      </c>
    </row>
    <row r="2121" spans="5:7" x14ac:dyDescent="0.35">
      <c r="E2121" t="s">
        <v>3803</v>
      </c>
      <c r="F2121" t="s">
        <v>5651</v>
      </c>
      <c r="G2121" t="s">
        <v>1636</v>
      </c>
    </row>
    <row r="2122" spans="5:7" x14ac:dyDescent="0.35">
      <c r="E2122" t="s">
        <v>3803</v>
      </c>
      <c r="F2122" t="s">
        <v>5652</v>
      </c>
      <c r="G2122" t="s">
        <v>1636</v>
      </c>
    </row>
    <row r="2123" spans="5:7" x14ac:dyDescent="0.35">
      <c r="E2123" t="s">
        <v>3803</v>
      </c>
      <c r="F2123" t="s">
        <v>5653</v>
      </c>
      <c r="G2123" t="s">
        <v>1636</v>
      </c>
    </row>
    <row r="2124" spans="5:7" x14ac:dyDescent="0.35">
      <c r="E2124" t="s">
        <v>3803</v>
      </c>
      <c r="F2124" t="s">
        <v>5654</v>
      </c>
      <c r="G2124" t="s">
        <v>1636</v>
      </c>
    </row>
    <row r="2125" spans="5:7" x14ac:dyDescent="0.35">
      <c r="E2125" t="s">
        <v>3803</v>
      </c>
      <c r="F2125" t="s">
        <v>5655</v>
      </c>
      <c r="G2125" t="s">
        <v>1636</v>
      </c>
    </row>
    <row r="2126" spans="5:7" x14ac:dyDescent="0.35">
      <c r="E2126" t="s">
        <v>3803</v>
      </c>
      <c r="F2126" t="s">
        <v>5656</v>
      </c>
      <c r="G2126" t="s">
        <v>1636</v>
      </c>
    </row>
    <row r="2127" spans="5:7" x14ac:dyDescent="0.35">
      <c r="E2127" t="s">
        <v>3803</v>
      </c>
      <c r="F2127" t="s">
        <v>5657</v>
      </c>
      <c r="G2127" t="s">
        <v>1636</v>
      </c>
    </row>
    <row r="2128" spans="5:7" x14ac:dyDescent="0.35">
      <c r="E2128" t="s">
        <v>3803</v>
      </c>
      <c r="F2128" t="s">
        <v>5658</v>
      </c>
      <c r="G2128" t="s">
        <v>1636</v>
      </c>
    </row>
    <row r="2129" spans="5:7" x14ac:dyDescent="0.35">
      <c r="E2129" t="s">
        <v>3803</v>
      </c>
      <c r="F2129" t="s">
        <v>5659</v>
      </c>
      <c r="G2129" t="s">
        <v>1636</v>
      </c>
    </row>
    <row r="2130" spans="5:7" x14ac:dyDescent="0.35">
      <c r="E2130" t="s">
        <v>3803</v>
      </c>
      <c r="F2130" t="s">
        <v>5660</v>
      </c>
      <c r="G2130" t="s">
        <v>1636</v>
      </c>
    </row>
    <row r="2131" spans="5:7" x14ac:dyDescent="0.35">
      <c r="E2131" t="s">
        <v>3803</v>
      </c>
      <c r="F2131" t="s">
        <v>5661</v>
      </c>
      <c r="G2131" t="s">
        <v>1636</v>
      </c>
    </row>
    <row r="2132" spans="5:7" x14ac:dyDescent="0.35">
      <c r="E2132" t="s">
        <v>3803</v>
      </c>
      <c r="F2132" t="s">
        <v>5662</v>
      </c>
      <c r="G2132" t="s">
        <v>1636</v>
      </c>
    </row>
    <row r="2133" spans="5:7" x14ac:dyDescent="0.35">
      <c r="E2133" t="s">
        <v>3803</v>
      </c>
      <c r="F2133" t="s">
        <v>5663</v>
      </c>
      <c r="G2133" t="s">
        <v>1636</v>
      </c>
    </row>
    <row r="2134" spans="5:7" x14ac:dyDescent="0.35">
      <c r="E2134" t="s">
        <v>3803</v>
      </c>
      <c r="F2134" t="s">
        <v>5664</v>
      </c>
      <c r="G2134" t="s">
        <v>1636</v>
      </c>
    </row>
    <row r="2135" spans="5:7" x14ac:dyDescent="0.35">
      <c r="E2135" t="s">
        <v>3803</v>
      </c>
      <c r="F2135" t="s">
        <v>5665</v>
      </c>
      <c r="G2135" t="s">
        <v>1636</v>
      </c>
    </row>
    <row r="2136" spans="5:7" x14ac:dyDescent="0.35">
      <c r="E2136" t="s">
        <v>3803</v>
      </c>
      <c r="F2136" t="s">
        <v>5666</v>
      </c>
      <c r="G2136" t="s">
        <v>1636</v>
      </c>
    </row>
    <row r="2137" spans="5:7" x14ac:dyDescent="0.35">
      <c r="E2137" t="s">
        <v>3803</v>
      </c>
      <c r="F2137" t="s">
        <v>5667</v>
      </c>
      <c r="G2137" t="s">
        <v>1636</v>
      </c>
    </row>
    <row r="2138" spans="5:7" x14ac:dyDescent="0.35">
      <c r="E2138" t="s">
        <v>3803</v>
      </c>
      <c r="F2138" t="s">
        <v>5668</v>
      </c>
      <c r="G2138" t="s">
        <v>1636</v>
      </c>
    </row>
    <row r="2139" spans="5:7" x14ac:dyDescent="0.35">
      <c r="E2139" t="s">
        <v>3803</v>
      </c>
      <c r="F2139" t="s">
        <v>5669</v>
      </c>
      <c r="G2139" t="s">
        <v>1636</v>
      </c>
    </row>
    <row r="2140" spans="5:7" x14ac:dyDescent="0.35">
      <c r="E2140" t="s">
        <v>3803</v>
      </c>
      <c r="F2140" t="s">
        <v>5670</v>
      </c>
      <c r="G2140" t="s">
        <v>1636</v>
      </c>
    </row>
    <row r="2141" spans="5:7" x14ac:dyDescent="0.35">
      <c r="E2141" t="s">
        <v>3803</v>
      </c>
      <c r="F2141" t="s">
        <v>5671</v>
      </c>
      <c r="G2141" t="s">
        <v>1636</v>
      </c>
    </row>
    <row r="2142" spans="5:7" x14ac:dyDescent="0.35">
      <c r="E2142" t="s">
        <v>3803</v>
      </c>
      <c r="F2142" t="s">
        <v>5672</v>
      </c>
      <c r="G2142" t="s">
        <v>1636</v>
      </c>
    </row>
    <row r="2143" spans="5:7" x14ac:dyDescent="0.35">
      <c r="E2143" t="s">
        <v>3803</v>
      </c>
      <c r="F2143" t="s">
        <v>5673</v>
      </c>
      <c r="G2143" t="s">
        <v>1636</v>
      </c>
    </row>
    <row r="2144" spans="5:7" x14ac:dyDescent="0.35">
      <c r="E2144" t="s">
        <v>3803</v>
      </c>
      <c r="F2144" t="s">
        <v>5674</v>
      </c>
      <c r="G2144" t="s">
        <v>1636</v>
      </c>
    </row>
    <row r="2145" spans="5:7" x14ac:dyDescent="0.35">
      <c r="E2145" t="s">
        <v>3803</v>
      </c>
      <c r="F2145" t="s">
        <v>5675</v>
      </c>
      <c r="G2145" t="s">
        <v>1636</v>
      </c>
    </row>
    <row r="2146" spans="5:7" x14ac:dyDescent="0.35">
      <c r="E2146" t="s">
        <v>3803</v>
      </c>
      <c r="F2146" t="s">
        <v>5676</v>
      </c>
      <c r="G2146" t="s">
        <v>1636</v>
      </c>
    </row>
    <row r="2147" spans="5:7" x14ac:dyDescent="0.35">
      <c r="E2147" t="s">
        <v>3803</v>
      </c>
      <c r="F2147" t="s">
        <v>5677</v>
      </c>
      <c r="G2147" t="s">
        <v>1636</v>
      </c>
    </row>
    <row r="2148" spans="5:7" x14ac:dyDescent="0.35">
      <c r="E2148" t="s">
        <v>3803</v>
      </c>
      <c r="F2148" t="s">
        <v>5678</v>
      </c>
      <c r="G2148" t="s">
        <v>1636</v>
      </c>
    </row>
    <row r="2149" spans="5:7" x14ac:dyDescent="0.35">
      <c r="E2149" t="s">
        <v>3803</v>
      </c>
      <c r="F2149" t="s">
        <v>5679</v>
      </c>
      <c r="G2149" t="s">
        <v>1636</v>
      </c>
    </row>
    <row r="2150" spans="5:7" x14ac:dyDescent="0.35">
      <c r="E2150" t="s">
        <v>3803</v>
      </c>
      <c r="F2150" t="s">
        <v>5680</v>
      </c>
      <c r="G2150" t="s">
        <v>1636</v>
      </c>
    </row>
    <row r="2151" spans="5:7" x14ac:dyDescent="0.35">
      <c r="E2151" t="s">
        <v>3803</v>
      </c>
      <c r="F2151" t="s">
        <v>5681</v>
      </c>
      <c r="G2151" t="s">
        <v>1636</v>
      </c>
    </row>
    <row r="2152" spans="5:7" x14ac:dyDescent="0.35">
      <c r="E2152" t="s">
        <v>3803</v>
      </c>
      <c r="F2152" t="s">
        <v>5682</v>
      </c>
      <c r="G2152" t="s">
        <v>1636</v>
      </c>
    </row>
    <row r="2153" spans="5:7" x14ac:dyDescent="0.35">
      <c r="E2153" t="s">
        <v>3803</v>
      </c>
      <c r="F2153" t="s">
        <v>5683</v>
      </c>
      <c r="G2153" t="s">
        <v>1636</v>
      </c>
    </row>
    <row r="2154" spans="5:7" x14ac:dyDescent="0.35">
      <c r="E2154" t="s">
        <v>3803</v>
      </c>
      <c r="F2154" t="s">
        <v>5684</v>
      </c>
      <c r="G2154" t="s">
        <v>1636</v>
      </c>
    </row>
    <row r="2155" spans="5:7" x14ac:dyDescent="0.35">
      <c r="E2155" t="s">
        <v>3803</v>
      </c>
      <c r="F2155" t="s">
        <v>5685</v>
      </c>
      <c r="G2155" t="s">
        <v>1636</v>
      </c>
    </row>
    <row r="2156" spans="5:7" x14ac:dyDescent="0.35">
      <c r="E2156" t="s">
        <v>3803</v>
      </c>
      <c r="F2156" t="s">
        <v>5686</v>
      </c>
      <c r="G2156" t="s">
        <v>1636</v>
      </c>
    </row>
    <row r="2157" spans="5:7" x14ac:dyDescent="0.35">
      <c r="E2157" t="s">
        <v>3803</v>
      </c>
      <c r="F2157" t="s">
        <v>5687</v>
      </c>
      <c r="G2157" t="s">
        <v>1636</v>
      </c>
    </row>
    <row r="2158" spans="5:7" x14ac:dyDescent="0.35">
      <c r="E2158" t="s">
        <v>3803</v>
      </c>
      <c r="F2158" t="s">
        <v>5688</v>
      </c>
      <c r="G2158" t="s">
        <v>1636</v>
      </c>
    </row>
    <row r="2159" spans="5:7" x14ac:dyDescent="0.35">
      <c r="E2159" t="s">
        <v>3803</v>
      </c>
      <c r="F2159" t="s">
        <v>2880</v>
      </c>
      <c r="G2159" t="s">
        <v>1636</v>
      </c>
    </row>
    <row r="2160" spans="5:7" x14ac:dyDescent="0.35">
      <c r="E2160" t="s">
        <v>3803</v>
      </c>
      <c r="F2160" t="s">
        <v>557</v>
      </c>
      <c r="G2160" t="s">
        <v>1636</v>
      </c>
    </row>
    <row r="2161" spans="5:7" x14ac:dyDescent="0.35">
      <c r="E2161" t="s">
        <v>3803</v>
      </c>
      <c r="F2161" t="s">
        <v>5689</v>
      </c>
      <c r="G2161" t="s">
        <v>1636</v>
      </c>
    </row>
    <row r="2162" spans="5:7" x14ac:dyDescent="0.35">
      <c r="E2162" t="s">
        <v>3803</v>
      </c>
      <c r="F2162" t="s">
        <v>5690</v>
      </c>
      <c r="G2162" t="s">
        <v>1636</v>
      </c>
    </row>
    <row r="2163" spans="5:7" x14ac:dyDescent="0.35">
      <c r="E2163" t="s">
        <v>3803</v>
      </c>
      <c r="F2163" t="s">
        <v>2883</v>
      </c>
      <c r="G2163" t="s">
        <v>1636</v>
      </c>
    </row>
    <row r="2164" spans="5:7" x14ac:dyDescent="0.35">
      <c r="E2164" t="s">
        <v>3803</v>
      </c>
      <c r="F2164" t="s">
        <v>5691</v>
      </c>
      <c r="G2164" t="s">
        <v>1636</v>
      </c>
    </row>
    <row r="2165" spans="5:7" x14ac:dyDescent="0.35">
      <c r="E2165" t="s">
        <v>3803</v>
      </c>
      <c r="F2165" t="s">
        <v>5692</v>
      </c>
      <c r="G2165" t="s">
        <v>1636</v>
      </c>
    </row>
    <row r="2166" spans="5:7" x14ac:dyDescent="0.35">
      <c r="E2166" t="s">
        <v>3803</v>
      </c>
      <c r="F2166" t="s">
        <v>5693</v>
      </c>
      <c r="G2166" t="s">
        <v>1636</v>
      </c>
    </row>
    <row r="2167" spans="5:7" x14ac:dyDescent="0.35">
      <c r="E2167" t="s">
        <v>3803</v>
      </c>
      <c r="F2167" t="s">
        <v>5694</v>
      </c>
      <c r="G2167" t="s">
        <v>1636</v>
      </c>
    </row>
    <row r="2168" spans="5:7" x14ac:dyDescent="0.35">
      <c r="E2168" t="s">
        <v>3803</v>
      </c>
      <c r="F2168" t="s">
        <v>5695</v>
      </c>
      <c r="G2168" t="s">
        <v>1636</v>
      </c>
    </row>
    <row r="2169" spans="5:7" x14ac:dyDescent="0.35">
      <c r="E2169" t="s">
        <v>3803</v>
      </c>
      <c r="F2169" t="s">
        <v>5696</v>
      </c>
      <c r="G2169" t="s">
        <v>1636</v>
      </c>
    </row>
    <row r="2170" spans="5:7" x14ac:dyDescent="0.35">
      <c r="E2170" t="s">
        <v>3803</v>
      </c>
      <c r="F2170" t="s">
        <v>2886</v>
      </c>
      <c r="G2170" t="s">
        <v>1636</v>
      </c>
    </row>
    <row r="2171" spans="5:7" x14ac:dyDescent="0.35">
      <c r="E2171" t="s">
        <v>3803</v>
      </c>
      <c r="F2171" t="s">
        <v>875</v>
      </c>
      <c r="G2171" t="s">
        <v>1636</v>
      </c>
    </row>
    <row r="2172" spans="5:7" x14ac:dyDescent="0.35">
      <c r="E2172" t="s">
        <v>3803</v>
      </c>
      <c r="F2172" t="s">
        <v>5697</v>
      </c>
      <c r="G2172" t="s">
        <v>1636</v>
      </c>
    </row>
    <row r="2173" spans="5:7" x14ac:dyDescent="0.35">
      <c r="E2173" t="s">
        <v>3803</v>
      </c>
      <c r="F2173" t="s">
        <v>5698</v>
      </c>
      <c r="G2173" t="s">
        <v>1636</v>
      </c>
    </row>
    <row r="2174" spans="5:7" x14ac:dyDescent="0.35">
      <c r="E2174" t="s">
        <v>3803</v>
      </c>
      <c r="F2174" t="s">
        <v>5699</v>
      </c>
      <c r="G2174" t="s">
        <v>1636</v>
      </c>
    </row>
    <row r="2175" spans="5:7" x14ac:dyDescent="0.35">
      <c r="E2175" t="s">
        <v>3803</v>
      </c>
      <c r="F2175" t="s">
        <v>5700</v>
      </c>
      <c r="G2175" t="s">
        <v>1636</v>
      </c>
    </row>
    <row r="2176" spans="5:7" x14ac:dyDescent="0.35">
      <c r="E2176" t="s">
        <v>3803</v>
      </c>
      <c r="F2176" t="s">
        <v>5701</v>
      </c>
      <c r="G2176" t="s">
        <v>1636</v>
      </c>
    </row>
    <row r="2177" spans="5:7" x14ac:dyDescent="0.35">
      <c r="E2177" t="s">
        <v>3803</v>
      </c>
      <c r="F2177" t="s">
        <v>5702</v>
      </c>
      <c r="G2177" t="s">
        <v>1636</v>
      </c>
    </row>
    <row r="2178" spans="5:7" x14ac:dyDescent="0.35">
      <c r="E2178" t="s">
        <v>3803</v>
      </c>
      <c r="F2178" t="s">
        <v>5703</v>
      </c>
      <c r="G2178" t="s">
        <v>1636</v>
      </c>
    </row>
    <row r="2179" spans="5:7" x14ac:dyDescent="0.35">
      <c r="E2179" t="s">
        <v>3803</v>
      </c>
      <c r="F2179" t="s">
        <v>5704</v>
      </c>
      <c r="G2179" t="s">
        <v>1636</v>
      </c>
    </row>
    <row r="2180" spans="5:7" x14ac:dyDescent="0.35">
      <c r="E2180" t="s">
        <v>3803</v>
      </c>
      <c r="F2180" t="s">
        <v>5705</v>
      </c>
      <c r="G2180" t="s">
        <v>1636</v>
      </c>
    </row>
    <row r="2181" spans="5:7" x14ac:dyDescent="0.35">
      <c r="E2181" t="s">
        <v>3803</v>
      </c>
      <c r="F2181" t="s">
        <v>5706</v>
      </c>
      <c r="G2181" t="s">
        <v>1636</v>
      </c>
    </row>
    <row r="2182" spans="5:7" x14ac:dyDescent="0.35">
      <c r="E2182" t="s">
        <v>3803</v>
      </c>
      <c r="F2182" t="s">
        <v>5707</v>
      </c>
      <c r="G2182" t="s">
        <v>1636</v>
      </c>
    </row>
    <row r="2183" spans="5:7" x14ac:dyDescent="0.35">
      <c r="E2183" t="s">
        <v>3803</v>
      </c>
      <c r="F2183" t="s">
        <v>5708</v>
      </c>
      <c r="G2183" t="s">
        <v>1636</v>
      </c>
    </row>
    <row r="2184" spans="5:7" x14ac:dyDescent="0.35">
      <c r="E2184" t="s">
        <v>3803</v>
      </c>
      <c r="F2184" t="s">
        <v>5709</v>
      </c>
      <c r="G2184" t="s">
        <v>1636</v>
      </c>
    </row>
    <row r="2185" spans="5:7" x14ac:dyDescent="0.35">
      <c r="E2185" t="s">
        <v>3803</v>
      </c>
      <c r="F2185" t="s">
        <v>5710</v>
      </c>
      <c r="G2185" t="s">
        <v>1636</v>
      </c>
    </row>
    <row r="2186" spans="5:7" x14ac:dyDescent="0.35">
      <c r="E2186" t="s">
        <v>3803</v>
      </c>
      <c r="F2186" t="s">
        <v>5711</v>
      </c>
      <c r="G2186" t="s">
        <v>1636</v>
      </c>
    </row>
    <row r="2187" spans="5:7" x14ac:dyDescent="0.35">
      <c r="E2187" t="s">
        <v>3803</v>
      </c>
      <c r="F2187" t="s">
        <v>5712</v>
      </c>
      <c r="G2187" t="s">
        <v>1636</v>
      </c>
    </row>
    <row r="2188" spans="5:7" x14ac:dyDescent="0.35">
      <c r="E2188" t="s">
        <v>3803</v>
      </c>
      <c r="F2188" t="s">
        <v>5713</v>
      </c>
      <c r="G2188" t="s">
        <v>1636</v>
      </c>
    </row>
    <row r="2189" spans="5:7" x14ac:dyDescent="0.35">
      <c r="E2189" t="s">
        <v>3803</v>
      </c>
      <c r="F2189" t="s">
        <v>5714</v>
      </c>
      <c r="G2189" t="s">
        <v>1636</v>
      </c>
    </row>
    <row r="2190" spans="5:7" x14ac:dyDescent="0.35">
      <c r="E2190" t="s">
        <v>3803</v>
      </c>
      <c r="F2190" t="s">
        <v>5715</v>
      </c>
      <c r="G2190" t="s">
        <v>1636</v>
      </c>
    </row>
    <row r="2191" spans="5:7" x14ac:dyDescent="0.35">
      <c r="E2191" t="s">
        <v>3803</v>
      </c>
      <c r="F2191" t="s">
        <v>5716</v>
      </c>
      <c r="G2191" t="s">
        <v>1636</v>
      </c>
    </row>
    <row r="2192" spans="5:7" x14ac:dyDescent="0.35">
      <c r="E2192" t="s">
        <v>3803</v>
      </c>
      <c r="F2192" t="s">
        <v>5717</v>
      </c>
      <c r="G2192" t="s">
        <v>1636</v>
      </c>
    </row>
    <row r="2193" spans="5:7" x14ac:dyDescent="0.35">
      <c r="E2193" t="s">
        <v>3803</v>
      </c>
      <c r="F2193" t="s">
        <v>5718</v>
      </c>
      <c r="G2193" t="s">
        <v>1636</v>
      </c>
    </row>
    <row r="2194" spans="5:7" x14ac:dyDescent="0.35">
      <c r="E2194" t="s">
        <v>3803</v>
      </c>
      <c r="F2194" t="s">
        <v>5719</v>
      </c>
      <c r="G2194" t="s">
        <v>1636</v>
      </c>
    </row>
    <row r="2195" spans="5:7" x14ac:dyDescent="0.35">
      <c r="E2195" t="s">
        <v>3803</v>
      </c>
      <c r="F2195" t="s">
        <v>5720</v>
      </c>
      <c r="G2195" t="s">
        <v>1636</v>
      </c>
    </row>
    <row r="2196" spans="5:7" x14ac:dyDescent="0.35">
      <c r="E2196" t="s">
        <v>3803</v>
      </c>
      <c r="F2196" t="s">
        <v>2889</v>
      </c>
      <c r="G2196" t="s">
        <v>1636</v>
      </c>
    </row>
    <row r="2197" spans="5:7" x14ac:dyDescent="0.35">
      <c r="E2197" t="s">
        <v>3803</v>
      </c>
      <c r="F2197" t="s">
        <v>5721</v>
      </c>
      <c r="G2197" t="s">
        <v>1636</v>
      </c>
    </row>
    <row r="2198" spans="5:7" x14ac:dyDescent="0.35">
      <c r="E2198" t="s">
        <v>3803</v>
      </c>
      <c r="F2198" t="s">
        <v>5722</v>
      </c>
      <c r="G2198" t="s">
        <v>1636</v>
      </c>
    </row>
    <row r="2199" spans="5:7" x14ac:dyDescent="0.35">
      <c r="E2199" t="s">
        <v>3803</v>
      </c>
      <c r="F2199" t="s">
        <v>5723</v>
      </c>
      <c r="G2199" t="s">
        <v>1636</v>
      </c>
    </row>
    <row r="2200" spans="5:7" x14ac:dyDescent="0.35">
      <c r="E2200" t="s">
        <v>3803</v>
      </c>
      <c r="F2200" t="s">
        <v>5724</v>
      </c>
      <c r="G2200" t="s">
        <v>1636</v>
      </c>
    </row>
    <row r="2201" spans="5:7" x14ac:dyDescent="0.35">
      <c r="E2201" t="s">
        <v>3803</v>
      </c>
      <c r="F2201" t="s">
        <v>5725</v>
      </c>
      <c r="G2201" t="s">
        <v>1636</v>
      </c>
    </row>
    <row r="2202" spans="5:7" x14ac:dyDescent="0.35">
      <c r="E2202" t="s">
        <v>3803</v>
      </c>
      <c r="F2202" t="s">
        <v>5726</v>
      </c>
      <c r="G2202" t="s">
        <v>1636</v>
      </c>
    </row>
    <row r="2203" spans="5:7" x14ac:dyDescent="0.35">
      <c r="E2203" t="s">
        <v>3803</v>
      </c>
      <c r="F2203" t="s">
        <v>5727</v>
      </c>
      <c r="G2203" t="s">
        <v>1636</v>
      </c>
    </row>
    <row r="2204" spans="5:7" x14ac:dyDescent="0.35">
      <c r="E2204" t="s">
        <v>3803</v>
      </c>
      <c r="F2204" t="s">
        <v>5728</v>
      </c>
      <c r="G2204" t="s">
        <v>1636</v>
      </c>
    </row>
    <row r="2205" spans="5:7" x14ac:dyDescent="0.35">
      <c r="E2205" t="s">
        <v>3803</v>
      </c>
      <c r="F2205" t="s">
        <v>5729</v>
      </c>
      <c r="G2205" t="s">
        <v>1636</v>
      </c>
    </row>
    <row r="2206" spans="5:7" x14ac:dyDescent="0.35">
      <c r="E2206" t="s">
        <v>3803</v>
      </c>
      <c r="F2206" t="s">
        <v>5730</v>
      </c>
      <c r="G2206" t="s">
        <v>1636</v>
      </c>
    </row>
    <row r="2207" spans="5:7" x14ac:dyDescent="0.35">
      <c r="E2207" t="s">
        <v>3803</v>
      </c>
      <c r="F2207" t="s">
        <v>5731</v>
      </c>
      <c r="G2207" t="s">
        <v>1636</v>
      </c>
    </row>
    <row r="2208" spans="5:7" x14ac:dyDescent="0.35">
      <c r="E2208" t="s">
        <v>3803</v>
      </c>
      <c r="F2208" t="s">
        <v>5732</v>
      </c>
      <c r="G2208" t="s">
        <v>1636</v>
      </c>
    </row>
    <row r="2209" spans="5:7" x14ac:dyDescent="0.35">
      <c r="E2209" t="s">
        <v>3803</v>
      </c>
      <c r="F2209" t="s">
        <v>5733</v>
      </c>
      <c r="G2209" t="s">
        <v>1636</v>
      </c>
    </row>
    <row r="2210" spans="5:7" x14ac:dyDescent="0.35">
      <c r="E2210" t="s">
        <v>3803</v>
      </c>
      <c r="F2210" t="s">
        <v>5734</v>
      </c>
      <c r="G2210" t="s">
        <v>1636</v>
      </c>
    </row>
    <row r="2211" spans="5:7" x14ac:dyDescent="0.35">
      <c r="E2211" t="s">
        <v>3803</v>
      </c>
      <c r="F2211" t="s">
        <v>5735</v>
      </c>
      <c r="G2211" t="s">
        <v>1636</v>
      </c>
    </row>
    <row r="2212" spans="5:7" x14ac:dyDescent="0.35">
      <c r="E2212" t="s">
        <v>3803</v>
      </c>
      <c r="F2212" t="s">
        <v>5736</v>
      </c>
      <c r="G2212" t="s">
        <v>1636</v>
      </c>
    </row>
    <row r="2213" spans="5:7" x14ac:dyDescent="0.35">
      <c r="E2213" t="s">
        <v>3803</v>
      </c>
      <c r="F2213" t="s">
        <v>5737</v>
      </c>
      <c r="G2213" t="s">
        <v>1636</v>
      </c>
    </row>
    <row r="2214" spans="5:7" x14ac:dyDescent="0.35">
      <c r="E2214" t="s">
        <v>3803</v>
      </c>
      <c r="F2214" t="s">
        <v>5738</v>
      </c>
      <c r="G2214" t="s">
        <v>1636</v>
      </c>
    </row>
    <row r="2215" spans="5:7" x14ac:dyDescent="0.35">
      <c r="E2215" t="s">
        <v>3803</v>
      </c>
      <c r="F2215" t="s">
        <v>5739</v>
      </c>
      <c r="G2215" t="s">
        <v>1636</v>
      </c>
    </row>
    <row r="2216" spans="5:7" x14ac:dyDescent="0.35">
      <c r="E2216" t="s">
        <v>3803</v>
      </c>
      <c r="F2216" t="s">
        <v>5740</v>
      </c>
      <c r="G2216" t="s">
        <v>1636</v>
      </c>
    </row>
    <row r="2217" spans="5:7" x14ac:dyDescent="0.35">
      <c r="E2217" t="s">
        <v>3803</v>
      </c>
      <c r="F2217" t="s">
        <v>5741</v>
      </c>
      <c r="G2217" t="s">
        <v>1636</v>
      </c>
    </row>
    <row r="2218" spans="5:7" x14ac:dyDescent="0.35">
      <c r="E2218" t="s">
        <v>3803</v>
      </c>
      <c r="F2218" t="s">
        <v>5742</v>
      </c>
      <c r="G2218" t="s">
        <v>1636</v>
      </c>
    </row>
    <row r="2219" spans="5:7" x14ac:dyDescent="0.35">
      <c r="E2219" t="s">
        <v>3803</v>
      </c>
      <c r="F2219" t="s">
        <v>5743</v>
      </c>
      <c r="G2219" t="s">
        <v>1636</v>
      </c>
    </row>
    <row r="2220" spans="5:7" x14ac:dyDescent="0.35">
      <c r="E2220" t="s">
        <v>3803</v>
      </c>
      <c r="F2220" t="s">
        <v>5744</v>
      </c>
      <c r="G2220" t="s">
        <v>1636</v>
      </c>
    </row>
    <row r="2221" spans="5:7" x14ac:dyDescent="0.35">
      <c r="E2221" t="s">
        <v>3803</v>
      </c>
      <c r="F2221" t="s">
        <v>5745</v>
      </c>
      <c r="G2221" t="s">
        <v>1636</v>
      </c>
    </row>
    <row r="2222" spans="5:7" x14ac:dyDescent="0.35">
      <c r="E2222" t="s">
        <v>3803</v>
      </c>
      <c r="F2222" t="s">
        <v>1024</v>
      </c>
      <c r="G2222" t="s">
        <v>1636</v>
      </c>
    </row>
    <row r="2223" spans="5:7" x14ac:dyDescent="0.35">
      <c r="E2223" t="s">
        <v>3803</v>
      </c>
      <c r="F2223" t="s">
        <v>5746</v>
      </c>
      <c r="G2223" t="s">
        <v>1636</v>
      </c>
    </row>
    <row r="2224" spans="5:7" x14ac:dyDescent="0.35">
      <c r="E2224" t="s">
        <v>3803</v>
      </c>
      <c r="F2224" t="s">
        <v>5747</v>
      </c>
      <c r="G2224" t="s">
        <v>1636</v>
      </c>
    </row>
    <row r="2225" spans="5:7" x14ac:dyDescent="0.35">
      <c r="E2225" t="s">
        <v>3803</v>
      </c>
      <c r="F2225" t="s">
        <v>5748</v>
      </c>
      <c r="G2225" t="s">
        <v>1636</v>
      </c>
    </row>
    <row r="2226" spans="5:7" x14ac:dyDescent="0.35">
      <c r="E2226" t="s">
        <v>3803</v>
      </c>
      <c r="F2226" t="s">
        <v>5749</v>
      </c>
      <c r="G2226" t="s">
        <v>1636</v>
      </c>
    </row>
    <row r="2227" spans="5:7" x14ac:dyDescent="0.35">
      <c r="E2227" t="s">
        <v>3803</v>
      </c>
      <c r="F2227" t="s">
        <v>5750</v>
      </c>
      <c r="G2227" t="s">
        <v>1636</v>
      </c>
    </row>
    <row r="2228" spans="5:7" x14ac:dyDescent="0.35">
      <c r="E2228" t="s">
        <v>3803</v>
      </c>
      <c r="F2228" t="s">
        <v>5751</v>
      </c>
      <c r="G2228" t="s">
        <v>1636</v>
      </c>
    </row>
    <row r="2229" spans="5:7" x14ac:dyDescent="0.35">
      <c r="E2229" t="s">
        <v>3803</v>
      </c>
      <c r="F2229" t="s">
        <v>5752</v>
      </c>
      <c r="G2229" t="s">
        <v>1636</v>
      </c>
    </row>
    <row r="2230" spans="5:7" x14ac:dyDescent="0.35">
      <c r="E2230" t="s">
        <v>3803</v>
      </c>
      <c r="F2230" t="s">
        <v>5753</v>
      </c>
      <c r="G2230" t="s">
        <v>1636</v>
      </c>
    </row>
    <row r="2231" spans="5:7" x14ac:dyDescent="0.35">
      <c r="E2231" t="s">
        <v>3803</v>
      </c>
      <c r="F2231" t="s">
        <v>5754</v>
      </c>
      <c r="G2231" t="s">
        <v>1636</v>
      </c>
    </row>
    <row r="2232" spans="5:7" x14ac:dyDescent="0.35">
      <c r="E2232" t="s">
        <v>3803</v>
      </c>
      <c r="F2232" t="s">
        <v>5755</v>
      </c>
      <c r="G2232" t="s">
        <v>1636</v>
      </c>
    </row>
    <row r="2233" spans="5:7" x14ac:dyDescent="0.35">
      <c r="E2233" t="s">
        <v>3803</v>
      </c>
      <c r="F2233" t="s">
        <v>5756</v>
      </c>
      <c r="G2233" t="s">
        <v>1636</v>
      </c>
    </row>
    <row r="2234" spans="5:7" x14ac:dyDescent="0.35">
      <c r="E2234" t="s">
        <v>3803</v>
      </c>
      <c r="F2234" t="s">
        <v>5757</v>
      </c>
      <c r="G2234" t="s">
        <v>1636</v>
      </c>
    </row>
    <row r="2235" spans="5:7" x14ac:dyDescent="0.35">
      <c r="E2235" t="s">
        <v>3803</v>
      </c>
      <c r="F2235" t="s">
        <v>2892</v>
      </c>
      <c r="G2235" t="s">
        <v>1636</v>
      </c>
    </row>
    <row r="2236" spans="5:7" x14ac:dyDescent="0.35">
      <c r="E2236" t="s">
        <v>3803</v>
      </c>
      <c r="F2236" t="s">
        <v>5758</v>
      </c>
      <c r="G2236" t="s">
        <v>1636</v>
      </c>
    </row>
    <row r="2237" spans="5:7" x14ac:dyDescent="0.35">
      <c r="E2237" t="s">
        <v>3803</v>
      </c>
      <c r="F2237" t="s">
        <v>5759</v>
      </c>
      <c r="G2237" t="s">
        <v>1636</v>
      </c>
    </row>
    <row r="2238" spans="5:7" x14ac:dyDescent="0.35">
      <c r="E2238" t="s">
        <v>3803</v>
      </c>
      <c r="F2238" t="s">
        <v>5760</v>
      </c>
      <c r="G2238" t="s">
        <v>1636</v>
      </c>
    </row>
    <row r="2239" spans="5:7" x14ac:dyDescent="0.35">
      <c r="E2239" t="s">
        <v>3803</v>
      </c>
      <c r="F2239" t="s">
        <v>5761</v>
      </c>
      <c r="G2239" t="s">
        <v>1636</v>
      </c>
    </row>
    <row r="2240" spans="5:7" x14ac:dyDescent="0.35">
      <c r="E2240" t="s">
        <v>3803</v>
      </c>
      <c r="F2240" t="s">
        <v>5762</v>
      </c>
      <c r="G2240" t="s">
        <v>1636</v>
      </c>
    </row>
    <row r="2241" spans="5:7" x14ac:dyDescent="0.35">
      <c r="E2241" t="s">
        <v>3803</v>
      </c>
      <c r="F2241" t="s">
        <v>5763</v>
      </c>
      <c r="G2241" t="s">
        <v>1636</v>
      </c>
    </row>
    <row r="2242" spans="5:7" x14ac:dyDescent="0.35">
      <c r="E2242" t="s">
        <v>3803</v>
      </c>
      <c r="F2242" t="s">
        <v>5764</v>
      </c>
      <c r="G2242" t="s">
        <v>1636</v>
      </c>
    </row>
    <row r="2243" spans="5:7" x14ac:dyDescent="0.35">
      <c r="E2243" t="s">
        <v>3803</v>
      </c>
      <c r="F2243" t="s">
        <v>5765</v>
      </c>
      <c r="G2243" t="s">
        <v>1636</v>
      </c>
    </row>
    <row r="2244" spans="5:7" x14ac:dyDescent="0.35">
      <c r="E2244" t="s">
        <v>3803</v>
      </c>
      <c r="F2244" t="s">
        <v>5766</v>
      </c>
      <c r="G2244" t="s">
        <v>1636</v>
      </c>
    </row>
    <row r="2245" spans="5:7" x14ac:dyDescent="0.35">
      <c r="E2245" t="s">
        <v>3803</v>
      </c>
      <c r="F2245" t="s">
        <v>5767</v>
      </c>
      <c r="G2245" t="s">
        <v>1636</v>
      </c>
    </row>
    <row r="2246" spans="5:7" x14ac:dyDescent="0.35">
      <c r="E2246" t="s">
        <v>3803</v>
      </c>
      <c r="F2246" t="s">
        <v>5768</v>
      </c>
      <c r="G2246" t="s">
        <v>1636</v>
      </c>
    </row>
    <row r="2247" spans="5:7" x14ac:dyDescent="0.35">
      <c r="E2247" t="s">
        <v>3803</v>
      </c>
      <c r="F2247" t="s">
        <v>5769</v>
      </c>
      <c r="G2247" t="s">
        <v>1636</v>
      </c>
    </row>
    <row r="2248" spans="5:7" x14ac:dyDescent="0.35">
      <c r="E2248" t="s">
        <v>3803</v>
      </c>
      <c r="F2248" t="s">
        <v>1142</v>
      </c>
      <c r="G2248" t="s">
        <v>1636</v>
      </c>
    </row>
    <row r="2249" spans="5:7" x14ac:dyDescent="0.35">
      <c r="E2249" t="s">
        <v>3803</v>
      </c>
      <c r="F2249" t="s">
        <v>5770</v>
      </c>
      <c r="G2249" t="s">
        <v>1636</v>
      </c>
    </row>
    <row r="2250" spans="5:7" x14ac:dyDescent="0.35">
      <c r="E2250" t="s">
        <v>3803</v>
      </c>
      <c r="F2250" t="s">
        <v>5771</v>
      </c>
      <c r="G2250" t="s">
        <v>1636</v>
      </c>
    </row>
    <row r="2251" spans="5:7" x14ac:dyDescent="0.35">
      <c r="E2251" t="s">
        <v>3803</v>
      </c>
      <c r="F2251" t="s">
        <v>5772</v>
      </c>
      <c r="G2251" t="s">
        <v>1636</v>
      </c>
    </row>
    <row r="2252" spans="5:7" x14ac:dyDescent="0.35">
      <c r="E2252" t="s">
        <v>3803</v>
      </c>
      <c r="F2252" t="s">
        <v>5773</v>
      </c>
      <c r="G2252" t="s">
        <v>1636</v>
      </c>
    </row>
    <row r="2253" spans="5:7" x14ac:dyDescent="0.35">
      <c r="E2253" t="s">
        <v>3803</v>
      </c>
      <c r="F2253" t="s">
        <v>5774</v>
      </c>
      <c r="G2253" t="s">
        <v>1636</v>
      </c>
    </row>
    <row r="2254" spans="5:7" x14ac:dyDescent="0.35">
      <c r="E2254" t="s">
        <v>3803</v>
      </c>
      <c r="F2254" t="s">
        <v>5775</v>
      </c>
      <c r="G2254" t="s">
        <v>1636</v>
      </c>
    </row>
    <row r="2255" spans="5:7" x14ac:dyDescent="0.35">
      <c r="E2255" t="s">
        <v>3803</v>
      </c>
      <c r="F2255" t="s">
        <v>5776</v>
      </c>
      <c r="G2255" t="s">
        <v>1636</v>
      </c>
    </row>
    <row r="2256" spans="5:7" x14ac:dyDescent="0.35">
      <c r="E2256" t="s">
        <v>3803</v>
      </c>
      <c r="F2256" t="s">
        <v>5777</v>
      </c>
      <c r="G2256" t="s">
        <v>1636</v>
      </c>
    </row>
    <row r="2257" spans="5:7" x14ac:dyDescent="0.35">
      <c r="E2257" t="s">
        <v>3803</v>
      </c>
      <c r="F2257" t="s">
        <v>5778</v>
      </c>
      <c r="G2257" t="s">
        <v>1636</v>
      </c>
    </row>
    <row r="2258" spans="5:7" x14ac:dyDescent="0.35">
      <c r="E2258" t="s">
        <v>3803</v>
      </c>
      <c r="F2258" t="s">
        <v>5779</v>
      </c>
      <c r="G2258" t="s">
        <v>1636</v>
      </c>
    </row>
    <row r="2259" spans="5:7" x14ac:dyDescent="0.35">
      <c r="E2259" t="s">
        <v>3803</v>
      </c>
      <c r="F2259" t="s">
        <v>5780</v>
      </c>
      <c r="G2259" t="s">
        <v>1636</v>
      </c>
    </row>
    <row r="2260" spans="5:7" x14ac:dyDescent="0.35">
      <c r="E2260" t="s">
        <v>3803</v>
      </c>
      <c r="F2260" t="s">
        <v>5781</v>
      </c>
      <c r="G2260" t="s">
        <v>1636</v>
      </c>
    </row>
    <row r="2261" spans="5:7" x14ac:dyDescent="0.35">
      <c r="E2261" t="s">
        <v>3803</v>
      </c>
      <c r="F2261" t="s">
        <v>5782</v>
      </c>
      <c r="G2261" t="s">
        <v>1636</v>
      </c>
    </row>
    <row r="2262" spans="5:7" x14ac:dyDescent="0.35">
      <c r="E2262" t="s">
        <v>3803</v>
      </c>
      <c r="F2262" t="s">
        <v>5783</v>
      </c>
      <c r="G2262" t="s">
        <v>1636</v>
      </c>
    </row>
    <row r="2263" spans="5:7" x14ac:dyDescent="0.35">
      <c r="E2263" t="s">
        <v>3803</v>
      </c>
      <c r="F2263" t="s">
        <v>5784</v>
      </c>
      <c r="G2263" t="s">
        <v>1636</v>
      </c>
    </row>
    <row r="2264" spans="5:7" x14ac:dyDescent="0.35">
      <c r="E2264" t="s">
        <v>3803</v>
      </c>
      <c r="F2264" t="s">
        <v>5785</v>
      </c>
      <c r="G2264" t="s">
        <v>1636</v>
      </c>
    </row>
    <row r="2265" spans="5:7" x14ac:dyDescent="0.35">
      <c r="E2265" t="s">
        <v>3803</v>
      </c>
      <c r="F2265" t="s">
        <v>5786</v>
      </c>
      <c r="G2265" t="s">
        <v>1636</v>
      </c>
    </row>
    <row r="2266" spans="5:7" x14ac:dyDescent="0.35">
      <c r="E2266" t="s">
        <v>3803</v>
      </c>
      <c r="F2266" t="s">
        <v>5787</v>
      </c>
      <c r="G2266" t="s">
        <v>1636</v>
      </c>
    </row>
    <row r="2267" spans="5:7" x14ac:dyDescent="0.35">
      <c r="E2267" t="s">
        <v>3803</v>
      </c>
      <c r="F2267" t="s">
        <v>5788</v>
      </c>
      <c r="G2267" t="s">
        <v>1636</v>
      </c>
    </row>
    <row r="2268" spans="5:7" x14ac:dyDescent="0.35">
      <c r="E2268" t="s">
        <v>3803</v>
      </c>
      <c r="F2268" t="s">
        <v>5789</v>
      </c>
      <c r="G2268" t="s">
        <v>1636</v>
      </c>
    </row>
    <row r="2269" spans="5:7" x14ac:dyDescent="0.35">
      <c r="E2269" t="s">
        <v>3803</v>
      </c>
      <c r="F2269" t="s">
        <v>5790</v>
      </c>
      <c r="G2269" t="s">
        <v>1636</v>
      </c>
    </row>
    <row r="2270" spans="5:7" x14ac:dyDescent="0.35">
      <c r="E2270" t="s">
        <v>3803</v>
      </c>
      <c r="F2270" t="s">
        <v>5791</v>
      </c>
      <c r="G2270" t="s">
        <v>1636</v>
      </c>
    </row>
    <row r="2271" spans="5:7" x14ac:dyDescent="0.35">
      <c r="E2271" t="s">
        <v>3803</v>
      </c>
      <c r="F2271" t="s">
        <v>5792</v>
      </c>
      <c r="G2271" t="s">
        <v>1636</v>
      </c>
    </row>
    <row r="2272" spans="5:7" x14ac:dyDescent="0.35">
      <c r="E2272" t="s">
        <v>3803</v>
      </c>
      <c r="F2272" t="s">
        <v>5793</v>
      </c>
      <c r="G2272" t="s">
        <v>1636</v>
      </c>
    </row>
    <row r="2273" spans="5:7" x14ac:dyDescent="0.35">
      <c r="E2273" t="s">
        <v>3803</v>
      </c>
      <c r="F2273" t="s">
        <v>5794</v>
      </c>
      <c r="G2273" t="s">
        <v>1636</v>
      </c>
    </row>
    <row r="2274" spans="5:7" x14ac:dyDescent="0.35">
      <c r="E2274" t="s">
        <v>3803</v>
      </c>
      <c r="F2274" t="s">
        <v>5795</v>
      </c>
      <c r="G2274" t="s">
        <v>1636</v>
      </c>
    </row>
    <row r="2275" spans="5:7" x14ac:dyDescent="0.35">
      <c r="E2275" t="s">
        <v>3803</v>
      </c>
      <c r="F2275" t="s">
        <v>1255</v>
      </c>
      <c r="G2275" t="s">
        <v>1636</v>
      </c>
    </row>
    <row r="2276" spans="5:7" x14ac:dyDescent="0.35">
      <c r="E2276" t="s">
        <v>3803</v>
      </c>
      <c r="F2276" t="s">
        <v>5796</v>
      </c>
      <c r="G2276" t="s">
        <v>1636</v>
      </c>
    </row>
    <row r="2277" spans="5:7" x14ac:dyDescent="0.35">
      <c r="E2277" t="s">
        <v>3803</v>
      </c>
      <c r="F2277" t="s">
        <v>5797</v>
      </c>
      <c r="G2277" t="s">
        <v>1636</v>
      </c>
    </row>
    <row r="2278" spans="5:7" x14ac:dyDescent="0.35">
      <c r="E2278" t="s">
        <v>3803</v>
      </c>
      <c r="F2278" t="s">
        <v>5798</v>
      </c>
      <c r="G2278" t="s">
        <v>1636</v>
      </c>
    </row>
    <row r="2279" spans="5:7" x14ac:dyDescent="0.35">
      <c r="E2279" t="s">
        <v>3803</v>
      </c>
      <c r="F2279" t="s">
        <v>5799</v>
      </c>
      <c r="G2279" t="s">
        <v>1636</v>
      </c>
    </row>
    <row r="2280" spans="5:7" x14ac:dyDescent="0.35">
      <c r="E2280" t="s">
        <v>3803</v>
      </c>
      <c r="F2280" t="s">
        <v>5800</v>
      </c>
      <c r="G2280" t="s">
        <v>1636</v>
      </c>
    </row>
    <row r="2281" spans="5:7" x14ac:dyDescent="0.35">
      <c r="E2281" t="s">
        <v>3803</v>
      </c>
      <c r="F2281" t="s">
        <v>5801</v>
      </c>
      <c r="G2281" t="s">
        <v>1636</v>
      </c>
    </row>
    <row r="2282" spans="5:7" x14ac:dyDescent="0.35">
      <c r="E2282" t="s">
        <v>3803</v>
      </c>
      <c r="F2282" t="s">
        <v>5802</v>
      </c>
      <c r="G2282" t="s">
        <v>1636</v>
      </c>
    </row>
    <row r="2283" spans="5:7" x14ac:dyDescent="0.35">
      <c r="E2283" t="s">
        <v>3803</v>
      </c>
      <c r="F2283" t="s">
        <v>5803</v>
      </c>
      <c r="G2283" t="s">
        <v>1636</v>
      </c>
    </row>
    <row r="2284" spans="5:7" x14ac:dyDescent="0.35">
      <c r="E2284" t="s">
        <v>3803</v>
      </c>
      <c r="F2284" t="s">
        <v>5804</v>
      </c>
      <c r="G2284" t="s">
        <v>1636</v>
      </c>
    </row>
    <row r="2285" spans="5:7" x14ac:dyDescent="0.35">
      <c r="E2285" t="s">
        <v>3803</v>
      </c>
      <c r="F2285" t="s">
        <v>5805</v>
      </c>
      <c r="G2285" t="s">
        <v>1636</v>
      </c>
    </row>
    <row r="2286" spans="5:7" x14ac:dyDescent="0.35">
      <c r="E2286" t="s">
        <v>3803</v>
      </c>
      <c r="F2286" t="s">
        <v>5806</v>
      </c>
      <c r="G2286" t="s">
        <v>1636</v>
      </c>
    </row>
    <row r="2287" spans="5:7" x14ac:dyDescent="0.35">
      <c r="E2287" t="s">
        <v>3803</v>
      </c>
      <c r="F2287" t="s">
        <v>5807</v>
      </c>
      <c r="G2287" t="s">
        <v>1636</v>
      </c>
    </row>
    <row r="2288" spans="5:7" x14ac:dyDescent="0.35">
      <c r="E2288" t="s">
        <v>3803</v>
      </c>
      <c r="F2288" t="s">
        <v>5808</v>
      </c>
      <c r="G2288" t="s">
        <v>1636</v>
      </c>
    </row>
    <row r="2289" spans="5:7" x14ac:dyDescent="0.35">
      <c r="E2289" t="s">
        <v>3803</v>
      </c>
      <c r="F2289" t="s">
        <v>5809</v>
      </c>
      <c r="G2289" t="s">
        <v>1636</v>
      </c>
    </row>
    <row r="2290" spans="5:7" x14ac:dyDescent="0.35">
      <c r="E2290" t="s">
        <v>3803</v>
      </c>
      <c r="F2290" t="s">
        <v>5810</v>
      </c>
      <c r="G2290" t="s">
        <v>1636</v>
      </c>
    </row>
    <row r="2291" spans="5:7" x14ac:dyDescent="0.35">
      <c r="E2291" t="s">
        <v>3803</v>
      </c>
      <c r="F2291" t="s">
        <v>5811</v>
      </c>
      <c r="G2291" t="s">
        <v>1636</v>
      </c>
    </row>
    <row r="2292" spans="5:7" x14ac:dyDescent="0.35">
      <c r="E2292" t="s">
        <v>3803</v>
      </c>
      <c r="F2292" t="s">
        <v>5812</v>
      </c>
      <c r="G2292" t="s">
        <v>1636</v>
      </c>
    </row>
    <row r="2293" spans="5:7" x14ac:dyDescent="0.35">
      <c r="E2293" t="s">
        <v>3803</v>
      </c>
      <c r="F2293" t="s">
        <v>5813</v>
      </c>
      <c r="G2293" t="s">
        <v>1636</v>
      </c>
    </row>
    <row r="2294" spans="5:7" x14ac:dyDescent="0.35">
      <c r="E2294" t="s">
        <v>3803</v>
      </c>
      <c r="F2294" t="s">
        <v>5814</v>
      </c>
      <c r="G2294" t="s">
        <v>1636</v>
      </c>
    </row>
    <row r="2295" spans="5:7" x14ac:dyDescent="0.35">
      <c r="E2295" t="s">
        <v>3803</v>
      </c>
      <c r="F2295" t="s">
        <v>5815</v>
      </c>
      <c r="G2295" t="s">
        <v>1636</v>
      </c>
    </row>
    <row r="2296" spans="5:7" x14ac:dyDescent="0.35">
      <c r="E2296" t="s">
        <v>3803</v>
      </c>
      <c r="F2296" t="s">
        <v>5816</v>
      </c>
      <c r="G2296" t="s">
        <v>1636</v>
      </c>
    </row>
    <row r="2297" spans="5:7" x14ac:dyDescent="0.35">
      <c r="E2297" t="s">
        <v>3803</v>
      </c>
      <c r="F2297" t="s">
        <v>5817</v>
      </c>
      <c r="G2297" t="s">
        <v>1636</v>
      </c>
    </row>
    <row r="2298" spans="5:7" x14ac:dyDescent="0.35">
      <c r="E2298" t="s">
        <v>3803</v>
      </c>
      <c r="F2298" t="s">
        <v>5818</v>
      </c>
      <c r="G2298" t="s">
        <v>1636</v>
      </c>
    </row>
    <row r="2299" spans="5:7" x14ac:dyDescent="0.35">
      <c r="E2299" t="s">
        <v>3803</v>
      </c>
      <c r="F2299" t="s">
        <v>2895</v>
      </c>
      <c r="G2299" t="s">
        <v>1636</v>
      </c>
    </row>
    <row r="2300" spans="5:7" x14ac:dyDescent="0.35">
      <c r="E2300" t="s">
        <v>3803</v>
      </c>
      <c r="F2300" t="s">
        <v>5819</v>
      </c>
      <c r="G2300" t="s">
        <v>1636</v>
      </c>
    </row>
    <row r="2301" spans="5:7" x14ac:dyDescent="0.35">
      <c r="E2301" t="s">
        <v>3803</v>
      </c>
      <c r="F2301" t="s">
        <v>5820</v>
      </c>
      <c r="G2301" t="s">
        <v>1636</v>
      </c>
    </row>
    <row r="2302" spans="5:7" x14ac:dyDescent="0.35">
      <c r="E2302" t="s">
        <v>3803</v>
      </c>
      <c r="F2302" t="s">
        <v>5821</v>
      </c>
      <c r="G2302" t="s">
        <v>1636</v>
      </c>
    </row>
    <row r="2303" spans="5:7" x14ac:dyDescent="0.35">
      <c r="E2303" t="s">
        <v>3803</v>
      </c>
      <c r="F2303" t="s">
        <v>5822</v>
      </c>
      <c r="G2303" t="s">
        <v>1636</v>
      </c>
    </row>
    <row r="2304" spans="5:7" x14ac:dyDescent="0.35">
      <c r="E2304" t="s">
        <v>3803</v>
      </c>
      <c r="F2304" t="s">
        <v>5823</v>
      </c>
      <c r="G2304" t="s">
        <v>1636</v>
      </c>
    </row>
    <row r="2305" spans="5:7" x14ac:dyDescent="0.35">
      <c r="E2305" t="s">
        <v>3803</v>
      </c>
      <c r="F2305" t="s">
        <v>5824</v>
      </c>
      <c r="G2305" t="s">
        <v>1636</v>
      </c>
    </row>
    <row r="2306" spans="5:7" x14ac:dyDescent="0.35">
      <c r="E2306" t="s">
        <v>3803</v>
      </c>
      <c r="F2306" t="s">
        <v>5825</v>
      </c>
      <c r="G2306" t="s">
        <v>1636</v>
      </c>
    </row>
    <row r="2307" spans="5:7" x14ac:dyDescent="0.35">
      <c r="E2307" t="s">
        <v>3803</v>
      </c>
      <c r="F2307" t="s">
        <v>5826</v>
      </c>
      <c r="G2307" t="s">
        <v>1636</v>
      </c>
    </row>
    <row r="2308" spans="5:7" x14ac:dyDescent="0.35">
      <c r="E2308" t="s">
        <v>3803</v>
      </c>
      <c r="F2308" t="s">
        <v>5827</v>
      </c>
      <c r="G2308" t="s">
        <v>1636</v>
      </c>
    </row>
    <row r="2309" spans="5:7" x14ac:dyDescent="0.35">
      <c r="E2309" t="s">
        <v>3803</v>
      </c>
      <c r="F2309" t="s">
        <v>5828</v>
      </c>
      <c r="G2309" t="s">
        <v>1636</v>
      </c>
    </row>
    <row r="2310" spans="5:7" x14ac:dyDescent="0.35">
      <c r="E2310" t="s">
        <v>3803</v>
      </c>
      <c r="F2310" t="s">
        <v>5829</v>
      </c>
      <c r="G2310" t="s">
        <v>1636</v>
      </c>
    </row>
    <row r="2311" spans="5:7" x14ac:dyDescent="0.35">
      <c r="E2311" t="s">
        <v>3803</v>
      </c>
      <c r="F2311" t="s">
        <v>5830</v>
      </c>
      <c r="G2311" t="s">
        <v>1636</v>
      </c>
    </row>
    <row r="2312" spans="5:7" x14ac:dyDescent="0.35">
      <c r="E2312" t="s">
        <v>3803</v>
      </c>
      <c r="F2312" t="s">
        <v>1371</v>
      </c>
      <c r="G2312" t="s">
        <v>1636</v>
      </c>
    </row>
    <row r="2313" spans="5:7" x14ac:dyDescent="0.35">
      <c r="E2313" t="s">
        <v>3803</v>
      </c>
      <c r="F2313" t="s">
        <v>5831</v>
      </c>
      <c r="G2313" t="s">
        <v>1636</v>
      </c>
    </row>
    <row r="2314" spans="5:7" x14ac:dyDescent="0.35">
      <c r="E2314" t="s">
        <v>3803</v>
      </c>
      <c r="F2314" t="s">
        <v>5832</v>
      </c>
      <c r="G2314" t="s">
        <v>1636</v>
      </c>
    </row>
    <row r="2315" spans="5:7" x14ac:dyDescent="0.35">
      <c r="E2315" t="s">
        <v>3803</v>
      </c>
      <c r="F2315" t="s">
        <v>5833</v>
      </c>
      <c r="G2315" t="s">
        <v>1636</v>
      </c>
    </row>
    <row r="2316" spans="5:7" x14ac:dyDescent="0.35">
      <c r="E2316" t="s">
        <v>3803</v>
      </c>
      <c r="F2316" t="s">
        <v>5834</v>
      </c>
      <c r="G2316" t="s">
        <v>1636</v>
      </c>
    </row>
    <row r="2317" spans="5:7" x14ac:dyDescent="0.35">
      <c r="E2317" t="s">
        <v>3803</v>
      </c>
      <c r="F2317" t="s">
        <v>5835</v>
      </c>
      <c r="G2317" t="s">
        <v>1636</v>
      </c>
    </row>
    <row r="2318" spans="5:7" x14ac:dyDescent="0.35">
      <c r="E2318" t="s">
        <v>3803</v>
      </c>
      <c r="F2318" t="s">
        <v>5836</v>
      </c>
      <c r="G2318" t="s">
        <v>1636</v>
      </c>
    </row>
    <row r="2319" spans="5:7" x14ac:dyDescent="0.35">
      <c r="E2319" t="s">
        <v>3803</v>
      </c>
      <c r="F2319" t="s">
        <v>5837</v>
      </c>
      <c r="G2319" t="s">
        <v>1636</v>
      </c>
    </row>
    <row r="2320" spans="5:7" x14ac:dyDescent="0.35">
      <c r="E2320" t="s">
        <v>3803</v>
      </c>
      <c r="F2320" t="s">
        <v>5838</v>
      </c>
      <c r="G2320" t="s">
        <v>1636</v>
      </c>
    </row>
    <row r="2321" spans="5:7" x14ac:dyDescent="0.35">
      <c r="E2321" t="s">
        <v>3803</v>
      </c>
      <c r="F2321" t="s">
        <v>2899</v>
      </c>
      <c r="G2321" t="s">
        <v>1641</v>
      </c>
    </row>
    <row r="2322" spans="5:7" x14ac:dyDescent="0.35">
      <c r="E2322" t="s">
        <v>3803</v>
      </c>
      <c r="F2322" t="s">
        <v>2902</v>
      </c>
      <c r="G2322" t="s">
        <v>1641</v>
      </c>
    </row>
    <row r="2323" spans="5:7" x14ac:dyDescent="0.35">
      <c r="E2323" t="s">
        <v>3803</v>
      </c>
      <c r="F2323" t="s">
        <v>2905</v>
      </c>
      <c r="G2323" t="s">
        <v>1641</v>
      </c>
    </row>
    <row r="2324" spans="5:7" x14ac:dyDescent="0.35">
      <c r="E2324" t="s">
        <v>3803</v>
      </c>
      <c r="F2324" t="s">
        <v>2907</v>
      </c>
      <c r="G2324" t="s">
        <v>1641</v>
      </c>
    </row>
    <row r="2325" spans="5:7" x14ac:dyDescent="0.35">
      <c r="E2325" t="s">
        <v>3803</v>
      </c>
      <c r="F2325" t="s">
        <v>2909</v>
      </c>
      <c r="G2325" t="s">
        <v>1641</v>
      </c>
    </row>
    <row r="2326" spans="5:7" x14ac:dyDescent="0.35">
      <c r="E2326" t="s">
        <v>3803</v>
      </c>
      <c r="F2326" t="s">
        <v>2912</v>
      </c>
      <c r="G2326" t="s">
        <v>1641</v>
      </c>
    </row>
    <row r="2327" spans="5:7" x14ac:dyDescent="0.35">
      <c r="E2327" t="s">
        <v>3803</v>
      </c>
      <c r="F2327" t="s">
        <v>970</v>
      </c>
      <c r="G2327" t="s">
        <v>1641</v>
      </c>
    </row>
    <row r="2328" spans="5:7" x14ac:dyDescent="0.35">
      <c r="E2328" t="s">
        <v>3803</v>
      </c>
      <c r="F2328" t="s">
        <v>5839</v>
      </c>
      <c r="G2328" t="s">
        <v>1641</v>
      </c>
    </row>
    <row r="2329" spans="5:7" x14ac:dyDescent="0.35">
      <c r="E2329" t="s">
        <v>3803</v>
      </c>
      <c r="F2329" t="s">
        <v>5840</v>
      </c>
      <c r="G2329" t="s">
        <v>1641</v>
      </c>
    </row>
    <row r="2330" spans="5:7" x14ac:dyDescent="0.35">
      <c r="E2330" t="s">
        <v>3803</v>
      </c>
      <c r="F2330" t="s">
        <v>5841</v>
      </c>
      <c r="G2330" t="s">
        <v>1641</v>
      </c>
    </row>
    <row r="2331" spans="5:7" x14ac:dyDescent="0.35">
      <c r="E2331" t="s">
        <v>3803</v>
      </c>
      <c r="F2331" t="s">
        <v>5842</v>
      </c>
      <c r="G2331" t="s">
        <v>1641</v>
      </c>
    </row>
    <row r="2332" spans="5:7" x14ac:dyDescent="0.35">
      <c r="E2332" t="s">
        <v>3803</v>
      </c>
      <c r="F2332" t="s">
        <v>5843</v>
      </c>
      <c r="G2332" t="s">
        <v>1641</v>
      </c>
    </row>
    <row r="2333" spans="5:7" x14ac:dyDescent="0.35">
      <c r="E2333" t="s">
        <v>3803</v>
      </c>
      <c r="F2333" t="s">
        <v>5844</v>
      </c>
      <c r="G2333" t="s">
        <v>1641</v>
      </c>
    </row>
    <row r="2334" spans="5:7" x14ac:dyDescent="0.35">
      <c r="E2334" t="s">
        <v>3803</v>
      </c>
      <c r="F2334" t="s">
        <v>5845</v>
      </c>
      <c r="G2334" t="s">
        <v>1641</v>
      </c>
    </row>
    <row r="2335" spans="5:7" x14ac:dyDescent="0.35">
      <c r="E2335" t="s">
        <v>3803</v>
      </c>
      <c r="F2335" t="s">
        <v>5846</v>
      </c>
      <c r="G2335" t="s">
        <v>1641</v>
      </c>
    </row>
    <row r="2336" spans="5:7" x14ac:dyDescent="0.35">
      <c r="E2336" t="s">
        <v>3803</v>
      </c>
      <c r="F2336" t="s">
        <v>5847</v>
      </c>
      <c r="G2336" t="s">
        <v>1641</v>
      </c>
    </row>
    <row r="2337" spans="5:7" x14ac:dyDescent="0.35">
      <c r="E2337" t="s">
        <v>3803</v>
      </c>
      <c r="F2337" t="s">
        <v>5848</v>
      </c>
      <c r="G2337" t="s">
        <v>1641</v>
      </c>
    </row>
    <row r="2338" spans="5:7" x14ac:dyDescent="0.35">
      <c r="E2338" t="s">
        <v>3803</v>
      </c>
      <c r="F2338" t="s">
        <v>5849</v>
      </c>
      <c r="G2338" t="s">
        <v>1641</v>
      </c>
    </row>
    <row r="2339" spans="5:7" x14ac:dyDescent="0.35">
      <c r="E2339" t="s">
        <v>3803</v>
      </c>
      <c r="F2339" t="s">
        <v>5850</v>
      </c>
      <c r="G2339" t="s">
        <v>1641</v>
      </c>
    </row>
    <row r="2340" spans="5:7" x14ac:dyDescent="0.35">
      <c r="E2340" t="s">
        <v>3803</v>
      </c>
      <c r="F2340" t="s">
        <v>5851</v>
      </c>
      <c r="G2340" t="s">
        <v>1641</v>
      </c>
    </row>
    <row r="2341" spans="5:7" x14ac:dyDescent="0.35">
      <c r="E2341" t="s">
        <v>3803</v>
      </c>
      <c r="F2341" t="s">
        <v>1048</v>
      </c>
      <c r="G2341" t="s">
        <v>1641</v>
      </c>
    </row>
    <row r="2342" spans="5:7" x14ac:dyDescent="0.35">
      <c r="E2342" t="s">
        <v>3803</v>
      </c>
      <c r="F2342" t="s">
        <v>5852</v>
      </c>
      <c r="G2342" t="s">
        <v>1641</v>
      </c>
    </row>
    <row r="2343" spans="5:7" x14ac:dyDescent="0.35">
      <c r="E2343" t="s">
        <v>3803</v>
      </c>
      <c r="F2343" t="s">
        <v>5853</v>
      </c>
      <c r="G2343" t="s">
        <v>1641</v>
      </c>
    </row>
    <row r="2344" spans="5:7" x14ac:dyDescent="0.35">
      <c r="E2344" t="s">
        <v>3803</v>
      </c>
      <c r="F2344" t="s">
        <v>5854</v>
      </c>
      <c r="G2344" t="s">
        <v>1641</v>
      </c>
    </row>
    <row r="2345" spans="5:7" x14ac:dyDescent="0.35">
      <c r="E2345" t="s">
        <v>3803</v>
      </c>
      <c r="F2345" t="s">
        <v>5855</v>
      </c>
      <c r="G2345" t="s">
        <v>1641</v>
      </c>
    </row>
    <row r="2346" spans="5:7" x14ac:dyDescent="0.35">
      <c r="E2346" t="s">
        <v>3803</v>
      </c>
      <c r="F2346" t="s">
        <v>5856</v>
      </c>
      <c r="G2346" t="s">
        <v>1641</v>
      </c>
    </row>
    <row r="2347" spans="5:7" x14ac:dyDescent="0.35">
      <c r="E2347" t="s">
        <v>3803</v>
      </c>
      <c r="F2347" t="s">
        <v>5857</v>
      </c>
      <c r="G2347" t="s">
        <v>1641</v>
      </c>
    </row>
    <row r="2348" spans="5:7" x14ac:dyDescent="0.35">
      <c r="E2348" t="s">
        <v>3803</v>
      </c>
      <c r="F2348" t="s">
        <v>5858</v>
      </c>
      <c r="G2348" t="s">
        <v>1641</v>
      </c>
    </row>
    <row r="2349" spans="5:7" x14ac:dyDescent="0.35">
      <c r="E2349" t="s">
        <v>3803</v>
      </c>
      <c r="F2349" t="s">
        <v>5859</v>
      </c>
      <c r="G2349" t="s">
        <v>1641</v>
      </c>
    </row>
    <row r="2350" spans="5:7" x14ac:dyDescent="0.35">
      <c r="E2350" t="s">
        <v>3803</v>
      </c>
      <c r="F2350" t="s">
        <v>5860</v>
      </c>
      <c r="G2350" t="s">
        <v>1641</v>
      </c>
    </row>
    <row r="2351" spans="5:7" x14ac:dyDescent="0.35">
      <c r="E2351" t="s">
        <v>3803</v>
      </c>
      <c r="F2351" t="s">
        <v>5861</v>
      </c>
      <c r="G2351" t="s">
        <v>1641</v>
      </c>
    </row>
    <row r="2352" spans="5:7" x14ac:dyDescent="0.35">
      <c r="E2352" t="s">
        <v>3803</v>
      </c>
      <c r="F2352" t="s">
        <v>5862</v>
      </c>
      <c r="G2352" t="s">
        <v>1641</v>
      </c>
    </row>
    <row r="2353" spans="5:7" x14ac:dyDescent="0.35">
      <c r="E2353" t="s">
        <v>3803</v>
      </c>
      <c r="F2353" t="s">
        <v>5863</v>
      </c>
      <c r="G2353" t="s">
        <v>1641</v>
      </c>
    </row>
    <row r="2354" spans="5:7" x14ac:dyDescent="0.35">
      <c r="E2354" t="s">
        <v>3803</v>
      </c>
      <c r="F2354" t="s">
        <v>5864</v>
      </c>
      <c r="G2354" t="s">
        <v>1641</v>
      </c>
    </row>
    <row r="2355" spans="5:7" x14ac:dyDescent="0.35">
      <c r="E2355" t="s">
        <v>3803</v>
      </c>
      <c r="F2355" t="s">
        <v>5865</v>
      </c>
      <c r="G2355" t="s">
        <v>1641</v>
      </c>
    </row>
    <row r="2356" spans="5:7" x14ac:dyDescent="0.35">
      <c r="E2356" t="s">
        <v>3803</v>
      </c>
      <c r="F2356" t="s">
        <v>5866</v>
      </c>
      <c r="G2356" t="s">
        <v>1641</v>
      </c>
    </row>
    <row r="2357" spans="5:7" x14ac:dyDescent="0.35">
      <c r="E2357" t="s">
        <v>3803</v>
      </c>
      <c r="F2357" t="s">
        <v>5867</v>
      </c>
      <c r="G2357" t="s">
        <v>1641</v>
      </c>
    </row>
    <row r="2358" spans="5:7" x14ac:dyDescent="0.35">
      <c r="E2358" t="s">
        <v>3803</v>
      </c>
      <c r="F2358" t="s">
        <v>5868</v>
      </c>
      <c r="G2358" t="s">
        <v>1641</v>
      </c>
    </row>
    <row r="2359" spans="5:7" x14ac:dyDescent="0.35">
      <c r="E2359" t="s">
        <v>3803</v>
      </c>
      <c r="F2359" t="s">
        <v>5869</v>
      </c>
      <c r="G2359" t="s">
        <v>1641</v>
      </c>
    </row>
    <row r="2360" spans="5:7" x14ac:dyDescent="0.35">
      <c r="E2360" t="s">
        <v>3803</v>
      </c>
      <c r="F2360" t="s">
        <v>5870</v>
      </c>
      <c r="G2360" t="s">
        <v>1641</v>
      </c>
    </row>
    <row r="2361" spans="5:7" x14ac:dyDescent="0.35">
      <c r="E2361" t="s">
        <v>3803</v>
      </c>
      <c r="F2361" t="s">
        <v>5871</v>
      </c>
      <c r="G2361" t="s">
        <v>1641</v>
      </c>
    </row>
    <row r="2362" spans="5:7" x14ac:dyDescent="0.35">
      <c r="E2362" t="s">
        <v>3803</v>
      </c>
      <c r="F2362" t="s">
        <v>5872</v>
      </c>
      <c r="G2362" t="s">
        <v>1641</v>
      </c>
    </row>
    <row r="2363" spans="5:7" x14ac:dyDescent="0.35">
      <c r="E2363" t="s">
        <v>3803</v>
      </c>
      <c r="F2363" t="s">
        <v>5873</v>
      </c>
      <c r="G2363" t="s">
        <v>1641</v>
      </c>
    </row>
    <row r="2364" spans="5:7" x14ac:dyDescent="0.35">
      <c r="E2364" t="s">
        <v>3803</v>
      </c>
      <c r="F2364" t="s">
        <v>5874</v>
      </c>
      <c r="G2364" t="s">
        <v>1641</v>
      </c>
    </row>
    <row r="2365" spans="5:7" x14ac:dyDescent="0.35">
      <c r="E2365" t="s">
        <v>3803</v>
      </c>
      <c r="F2365" t="s">
        <v>5875</v>
      </c>
      <c r="G2365" t="s">
        <v>1641</v>
      </c>
    </row>
    <row r="2366" spans="5:7" x14ac:dyDescent="0.35">
      <c r="E2366" t="s">
        <v>3803</v>
      </c>
      <c r="F2366" t="s">
        <v>1145</v>
      </c>
      <c r="G2366" t="s">
        <v>1641</v>
      </c>
    </row>
    <row r="2367" spans="5:7" x14ac:dyDescent="0.35">
      <c r="E2367" t="s">
        <v>3803</v>
      </c>
      <c r="F2367" t="s">
        <v>5876</v>
      </c>
      <c r="G2367" t="s">
        <v>1641</v>
      </c>
    </row>
    <row r="2368" spans="5:7" x14ac:dyDescent="0.35">
      <c r="E2368" t="s">
        <v>3803</v>
      </c>
      <c r="F2368" t="s">
        <v>5877</v>
      </c>
      <c r="G2368" t="s">
        <v>1641</v>
      </c>
    </row>
    <row r="2369" spans="5:7" x14ac:dyDescent="0.35">
      <c r="E2369" t="s">
        <v>3803</v>
      </c>
      <c r="F2369" t="s">
        <v>5878</v>
      </c>
      <c r="G2369" t="s">
        <v>1641</v>
      </c>
    </row>
    <row r="2370" spans="5:7" x14ac:dyDescent="0.35">
      <c r="E2370" t="s">
        <v>3803</v>
      </c>
      <c r="F2370" t="s">
        <v>5879</v>
      </c>
      <c r="G2370" t="s">
        <v>1641</v>
      </c>
    </row>
    <row r="2371" spans="5:7" x14ac:dyDescent="0.35">
      <c r="E2371" t="s">
        <v>3803</v>
      </c>
      <c r="F2371" t="s">
        <v>5880</v>
      </c>
      <c r="G2371" t="s">
        <v>1641</v>
      </c>
    </row>
    <row r="2372" spans="5:7" x14ac:dyDescent="0.35">
      <c r="E2372" t="s">
        <v>3803</v>
      </c>
      <c r="F2372" t="s">
        <v>5881</v>
      </c>
      <c r="G2372" t="s">
        <v>1641</v>
      </c>
    </row>
    <row r="2373" spans="5:7" x14ac:dyDescent="0.35">
      <c r="E2373" t="s">
        <v>3803</v>
      </c>
      <c r="F2373" t="s">
        <v>5882</v>
      </c>
      <c r="G2373" t="s">
        <v>1641</v>
      </c>
    </row>
    <row r="2374" spans="5:7" x14ac:dyDescent="0.35">
      <c r="E2374" t="s">
        <v>3803</v>
      </c>
      <c r="F2374" t="s">
        <v>5883</v>
      </c>
      <c r="G2374" t="s">
        <v>1641</v>
      </c>
    </row>
    <row r="2375" spans="5:7" x14ac:dyDescent="0.35">
      <c r="E2375" t="s">
        <v>3803</v>
      </c>
      <c r="F2375" t="s">
        <v>5884</v>
      </c>
      <c r="G2375" t="s">
        <v>1641</v>
      </c>
    </row>
    <row r="2376" spans="5:7" x14ac:dyDescent="0.35">
      <c r="E2376" t="s">
        <v>3803</v>
      </c>
      <c r="F2376" t="s">
        <v>5885</v>
      </c>
      <c r="G2376" t="s">
        <v>1641</v>
      </c>
    </row>
    <row r="2377" spans="5:7" x14ac:dyDescent="0.35">
      <c r="E2377" t="s">
        <v>3803</v>
      </c>
      <c r="F2377" t="s">
        <v>5886</v>
      </c>
      <c r="G2377" t="s">
        <v>1641</v>
      </c>
    </row>
    <row r="2378" spans="5:7" x14ac:dyDescent="0.35">
      <c r="E2378" t="s">
        <v>3803</v>
      </c>
      <c r="F2378" t="s">
        <v>5887</v>
      </c>
      <c r="G2378" t="s">
        <v>1641</v>
      </c>
    </row>
    <row r="2379" spans="5:7" x14ac:dyDescent="0.35">
      <c r="E2379" t="s">
        <v>3803</v>
      </c>
      <c r="F2379" t="s">
        <v>5888</v>
      </c>
      <c r="G2379" t="s">
        <v>1641</v>
      </c>
    </row>
    <row r="2380" spans="5:7" x14ac:dyDescent="0.35">
      <c r="E2380" t="s">
        <v>3803</v>
      </c>
      <c r="F2380" t="s">
        <v>5889</v>
      </c>
      <c r="G2380" t="s">
        <v>1641</v>
      </c>
    </row>
    <row r="2381" spans="5:7" x14ac:dyDescent="0.35">
      <c r="E2381" t="s">
        <v>3803</v>
      </c>
      <c r="F2381" t="s">
        <v>5890</v>
      </c>
      <c r="G2381" t="s">
        <v>1641</v>
      </c>
    </row>
    <row r="2382" spans="5:7" x14ac:dyDescent="0.35">
      <c r="E2382" t="s">
        <v>3803</v>
      </c>
      <c r="F2382" t="s">
        <v>5891</v>
      </c>
      <c r="G2382" t="s">
        <v>1641</v>
      </c>
    </row>
    <row r="2383" spans="5:7" x14ac:dyDescent="0.35">
      <c r="E2383" t="s">
        <v>3803</v>
      </c>
      <c r="F2383" t="s">
        <v>5892</v>
      </c>
      <c r="G2383" t="s">
        <v>1641</v>
      </c>
    </row>
    <row r="2384" spans="5:7" x14ac:dyDescent="0.35">
      <c r="E2384" t="s">
        <v>3803</v>
      </c>
      <c r="F2384" t="s">
        <v>5893</v>
      </c>
      <c r="G2384" t="s">
        <v>1641</v>
      </c>
    </row>
    <row r="2385" spans="5:7" x14ac:dyDescent="0.35">
      <c r="E2385" t="s">
        <v>3803</v>
      </c>
      <c r="F2385" t="s">
        <v>5894</v>
      </c>
      <c r="G2385" t="s">
        <v>1641</v>
      </c>
    </row>
    <row r="2386" spans="5:7" x14ac:dyDescent="0.35">
      <c r="E2386" t="s">
        <v>3803</v>
      </c>
      <c r="F2386" t="s">
        <v>5895</v>
      </c>
      <c r="G2386" t="s">
        <v>1641</v>
      </c>
    </row>
    <row r="2387" spans="5:7" x14ac:dyDescent="0.35">
      <c r="E2387" t="s">
        <v>3803</v>
      </c>
      <c r="F2387" t="s">
        <v>5896</v>
      </c>
      <c r="G2387" t="s">
        <v>1641</v>
      </c>
    </row>
    <row r="2388" spans="5:7" x14ac:dyDescent="0.35">
      <c r="E2388" t="s">
        <v>3803</v>
      </c>
      <c r="F2388" t="s">
        <v>5897</v>
      </c>
      <c r="G2388" t="s">
        <v>1641</v>
      </c>
    </row>
    <row r="2389" spans="5:7" x14ac:dyDescent="0.35">
      <c r="E2389" t="s">
        <v>3803</v>
      </c>
      <c r="F2389" t="s">
        <v>5898</v>
      </c>
      <c r="G2389" t="s">
        <v>1641</v>
      </c>
    </row>
    <row r="2390" spans="5:7" x14ac:dyDescent="0.35">
      <c r="E2390" t="s">
        <v>3803</v>
      </c>
      <c r="F2390" t="s">
        <v>5899</v>
      </c>
      <c r="G2390" t="s">
        <v>1641</v>
      </c>
    </row>
    <row r="2391" spans="5:7" x14ac:dyDescent="0.35">
      <c r="E2391" t="s">
        <v>3803</v>
      </c>
      <c r="F2391" t="s">
        <v>5900</v>
      </c>
      <c r="G2391" t="s">
        <v>1641</v>
      </c>
    </row>
    <row r="2392" spans="5:7" x14ac:dyDescent="0.35">
      <c r="E2392" t="s">
        <v>3803</v>
      </c>
      <c r="F2392" t="s">
        <v>5901</v>
      </c>
      <c r="G2392" t="s">
        <v>1641</v>
      </c>
    </row>
    <row r="2393" spans="5:7" x14ac:dyDescent="0.35">
      <c r="E2393" t="s">
        <v>3803</v>
      </c>
      <c r="F2393" t="s">
        <v>5902</v>
      </c>
      <c r="G2393" t="s">
        <v>1641</v>
      </c>
    </row>
    <row r="2394" spans="5:7" x14ac:dyDescent="0.35">
      <c r="E2394" t="s">
        <v>3803</v>
      </c>
      <c r="F2394" t="s">
        <v>5903</v>
      </c>
      <c r="G2394" t="s">
        <v>1641</v>
      </c>
    </row>
    <row r="2395" spans="5:7" x14ac:dyDescent="0.35">
      <c r="E2395" t="s">
        <v>3803</v>
      </c>
      <c r="F2395" t="s">
        <v>5904</v>
      </c>
      <c r="G2395" t="s">
        <v>1641</v>
      </c>
    </row>
    <row r="2396" spans="5:7" x14ac:dyDescent="0.35">
      <c r="E2396" t="s">
        <v>3803</v>
      </c>
      <c r="F2396" t="s">
        <v>5905</v>
      </c>
      <c r="G2396" t="s">
        <v>1641</v>
      </c>
    </row>
    <row r="2397" spans="5:7" x14ac:dyDescent="0.35">
      <c r="E2397" t="s">
        <v>3803</v>
      </c>
      <c r="F2397" t="s">
        <v>5906</v>
      </c>
      <c r="G2397" t="s">
        <v>1641</v>
      </c>
    </row>
    <row r="2398" spans="5:7" x14ac:dyDescent="0.35">
      <c r="E2398" t="s">
        <v>3803</v>
      </c>
      <c r="F2398" t="s">
        <v>5907</v>
      </c>
      <c r="G2398" t="s">
        <v>1641</v>
      </c>
    </row>
    <row r="2399" spans="5:7" x14ac:dyDescent="0.35">
      <c r="E2399" t="s">
        <v>3803</v>
      </c>
      <c r="F2399" t="s">
        <v>5908</v>
      </c>
      <c r="G2399" t="s">
        <v>1641</v>
      </c>
    </row>
    <row r="2400" spans="5:7" x14ac:dyDescent="0.35">
      <c r="E2400" t="s">
        <v>3803</v>
      </c>
      <c r="F2400" t="s">
        <v>5909</v>
      </c>
      <c r="G2400" t="s">
        <v>1641</v>
      </c>
    </row>
    <row r="2401" spans="5:7" x14ac:dyDescent="0.35">
      <c r="E2401" t="s">
        <v>3803</v>
      </c>
      <c r="F2401" t="s">
        <v>5910</v>
      </c>
      <c r="G2401" t="s">
        <v>1641</v>
      </c>
    </row>
    <row r="2402" spans="5:7" x14ac:dyDescent="0.35">
      <c r="E2402" t="s">
        <v>3803</v>
      </c>
      <c r="F2402" t="s">
        <v>5911</v>
      </c>
      <c r="G2402" t="s">
        <v>1641</v>
      </c>
    </row>
    <row r="2403" spans="5:7" x14ac:dyDescent="0.35">
      <c r="E2403" t="s">
        <v>3803</v>
      </c>
      <c r="F2403" t="s">
        <v>5912</v>
      </c>
      <c r="G2403" t="s">
        <v>1641</v>
      </c>
    </row>
    <row r="2404" spans="5:7" x14ac:dyDescent="0.35">
      <c r="E2404" t="s">
        <v>3803</v>
      </c>
      <c r="F2404" t="s">
        <v>5913</v>
      </c>
      <c r="G2404" t="s">
        <v>1641</v>
      </c>
    </row>
    <row r="2405" spans="5:7" x14ac:dyDescent="0.35">
      <c r="E2405" t="s">
        <v>3803</v>
      </c>
      <c r="F2405" t="s">
        <v>1258</v>
      </c>
      <c r="G2405" t="s">
        <v>1641</v>
      </c>
    </row>
    <row r="2406" spans="5:7" x14ac:dyDescent="0.35">
      <c r="E2406" t="s">
        <v>3803</v>
      </c>
      <c r="F2406" t="s">
        <v>5914</v>
      </c>
      <c r="G2406" t="s">
        <v>1641</v>
      </c>
    </row>
    <row r="2407" spans="5:7" x14ac:dyDescent="0.35">
      <c r="E2407" t="s">
        <v>3803</v>
      </c>
      <c r="F2407" t="s">
        <v>5915</v>
      </c>
      <c r="G2407" t="s">
        <v>1641</v>
      </c>
    </row>
    <row r="2408" spans="5:7" x14ac:dyDescent="0.35">
      <c r="E2408" t="s">
        <v>3803</v>
      </c>
      <c r="F2408" t="s">
        <v>5916</v>
      </c>
      <c r="G2408" t="s">
        <v>1641</v>
      </c>
    </row>
    <row r="2409" spans="5:7" x14ac:dyDescent="0.35">
      <c r="E2409" t="s">
        <v>3803</v>
      </c>
      <c r="F2409" t="s">
        <v>5917</v>
      </c>
      <c r="G2409" t="s">
        <v>1641</v>
      </c>
    </row>
    <row r="2410" spans="5:7" x14ac:dyDescent="0.35">
      <c r="E2410" t="s">
        <v>3803</v>
      </c>
      <c r="F2410" t="s">
        <v>5918</v>
      </c>
      <c r="G2410" t="s">
        <v>1641</v>
      </c>
    </row>
    <row r="2411" spans="5:7" x14ac:dyDescent="0.35">
      <c r="E2411" t="s">
        <v>3803</v>
      </c>
      <c r="F2411" t="s">
        <v>5919</v>
      </c>
      <c r="G2411" t="s">
        <v>1641</v>
      </c>
    </row>
    <row r="2412" spans="5:7" x14ac:dyDescent="0.35">
      <c r="E2412" t="s">
        <v>3803</v>
      </c>
      <c r="F2412" t="s">
        <v>5920</v>
      </c>
      <c r="G2412" t="s">
        <v>1641</v>
      </c>
    </row>
    <row r="2413" spans="5:7" x14ac:dyDescent="0.35">
      <c r="E2413" t="s">
        <v>3803</v>
      </c>
      <c r="F2413" t="s">
        <v>5921</v>
      </c>
      <c r="G2413" t="s">
        <v>1641</v>
      </c>
    </row>
    <row r="2414" spans="5:7" x14ac:dyDescent="0.35">
      <c r="E2414" t="s">
        <v>3803</v>
      </c>
      <c r="F2414" t="s">
        <v>5922</v>
      </c>
      <c r="G2414" t="s">
        <v>1641</v>
      </c>
    </row>
    <row r="2415" spans="5:7" x14ac:dyDescent="0.35">
      <c r="E2415" t="s">
        <v>3803</v>
      </c>
      <c r="F2415" t="s">
        <v>5923</v>
      </c>
      <c r="G2415" t="s">
        <v>1641</v>
      </c>
    </row>
    <row r="2416" spans="5:7" x14ac:dyDescent="0.35">
      <c r="E2416" t="s">
        <v>3803</v>
      </c>
      <c r="F2416" t="s">
        <v>5924</v>
      </c>
      <c r="G2416" t="s">
        <v>1641</v>
      </c>
    </row>
    <row r="2417" spans="5:7" x14ac:dyDescent="0.35">
      <c r="E2417" t="s">
        <v>3803</v>
      </c>
      <c r="F2417" t="s">
        <v>5925</v>
      </c>
      <c r="G2417" t="s">
        <v>1641</v>
      </c>
    </row>
    <row r="2418" spans="5:7" x14ac:dyDescent="0.35">
      <c r="E2418" t="s">
        <v>3803</v>
      </c>
      <c r="F2418" t="s">
        <v>5926</v>
      </c>
      <c r="G2418" t="s">
        <v>1641</v>
      </c>
    </row>
    <row r="2419" spans="5:7" x14ac:dyDescent="0.35">
      <c r="E2419" t="s">
        <v>3803</v>
      </c>
      <c r="F2419" t="s">
        <v>5927</v>
      </c>
      <c r="G2419" t="s">
        <v>1641</v>
      </c>
    </row>
    <row r="2420" spans="5:7" x14ac:dyDescent="0.35">
      <c r="E2420" t="s">
        <v>3803</v>
      </c>
      <c r="F2420" t="s">
        <v>5928</v>
      </c>
      <c r="G2420" t="s">
        <v>1641</v>
      </c>
    </row>
    <row r="2421" spans="5:7" x14ac:dyDescent="0.35">
      <c r="E2421" t="s">
        <v>3803</v>
      </c>
      <c r="F2421" t="s">
        <v>5929</v>
      </c>
      <c r="G2421" t="s">
        <v>1641</v>
      </c>
    </row>
    <row r="2422" spans="5:7" x14ac:dyDescent="0.35">
      <c r="E2422" t="s">
        <v>3803</v>
      </c>
      <c r="F2422" t="s">
        <v>5930</v>
      </c>
      <c r="G2422" t="s">
        <v>1641</v>
      </c>
    </row>
    <row r="2423" spans="5:7" x14ac:dyDescent="0.35">
      <c r="E2423" t="s">
        <v>3803</v>
      </c>
      <c r="F2423" t="s">
        <v>5931</v>
      </c>
      <c r="G2423" t="s">
        <v>1641</v>
      </c>
    </row>
    <row r="2424" spans="5:7" x14ac:dyDescent="0.35">
      <c r="E2424" t="s">
        <v>3803</v>
      </c>
      <c r="F2424" t="s">
        <v>5932</v>
      </c>
      <c r="G2424" t="s">
        <v>1641</v>
      </c>
    </row>
    <row r="2425" spans="5:7" x14ac:dyDescent="0.35">
      <c r="E2425" t="s">
        <v>3803</v>
      </c>
      <c r="F2425" t="s">
        <v>5933</v>
      </c>
      <c r="G2425" t="s">
        <v>1641</v>
      </c>
    </row>
    <row r="2426" spans="5:7" x14ac:dyDescent="0.35">
      <c r="E2426" t="s">
        <v>3803</v>
      </c>
      <c r="F2426" t="s">
        <v>5934</v>
      </c>
      <c r="G2426" t="s">
        <v>1641</v>
      </c>
    </row>
    <row r="2427" spans="5:7" x14ac:dyDescent="0.35">
      <c r="E2427" t="s">
        <v>3803</v>
      </c>
      <c r="F2427" t="s">
        <v>5935</v>
      </c>
      <c r="G2427" t="s">
        <v>1641</v>
      </c>
    </row>
    <row r="2428" spans="5:7" x14ac:dyDescent="0.35">
      <c r="E2428" t="s">
        <v>3803</v>
      </c>
      <c r="F2428" t="s">
        <v>5936</v>
      </c>
      <c r="G2428" t="s">
        <v>1641</v>
      </c>
    </row>
    <row r="2429" spans="5:7" x14ac:dyDescent="0.35">
      <c r="E2429" t="s">
        <v>3803</v>
      </c>
      <c r="F2429" t="s">
        <v>5937</v>
      </c>
      <c r="G2429" t="s">
        <v>1641</v>
      </c>
    </row>
    <row r="2430" spans="5:7" x14ac:dyDescent="0.35">
      <c r="E2430" t="s">
        <v>3803</v>
      </c>
      <c r="F2430" t="s">
        <v>5938</v>
      </c>
      <c r="G2430" t="s">
        <v>1641</v>
      </c>
    </row>
    <row r="2431" spans="5:7" x14ac:dyDescent="0.35">
      <c r="E2431" t="s">
        <v>3803</v>
      </c>
      <c r="F2431" t="s">
        <v>5939</v>
      </c>
      <c r="G2431" t="s">
        <v>1641</v>
      </c>
    </row>
    <row r="2432" spans="5:7" x14ac:dyDescent="0.35">
      <c r="E2432" t="s">
        <v>3803</v>
      </c>
      <c r="F2432" t="s">
        <v>5940</v>
      </c>
      <c r="G2432" t="s">
        <v>1641</v>
      </c>
    </row>
    <row r="2433" spans="5:7" x14ac:dyDescent="0.35">
      <c r="E2433" t="s">
        <v>3803</v>
      </c>
      <c r="F2433" t="s">
        <v>5941</v>
      </c>
      <c r="G2433" t="s">
        <v>1641</v>
      </c>
    </row>
    <row r="2434" spans="5:7" x14ac:dyDescent="0.35">
      <c r="E2434" t="s">
        <v>3803</v>
      </c>
      <c r="F2434" t="s">
        <v>5942</v>
      </c>
      <c r="G2434" t="s">
        <v>1641</v>
      </c>
    </row>
    <row r="2435" spans="5:7" x14ac:dyDescent="0.35">
      <c r="E2435" t="s">
        <v>3803</v>
      </c>
      <c r="F2435" t="s">
        <v>5943</v>
      </c>
      <c r="G2435" t="s">
        <v>1641</v>
      </c>
    </row>
    <row r="2436" spans="5:7" x14ac:dyDescent="0.35">
      <c r="E2436" t="s">
        <v>3803</v>
      </c>
      <c r="F2436" t="s">
        <v>5944</v>
      </c>
      <c r="G2436" t="s">
        <v>1641</v>
      </c>
    </row>
    <row r="2437" spans="5:7" x14ac:dyDescent="0.35">
      <c r="E2437" t="s">
        <v>3803</v>
      </c>
      <c r="F2437" t="s">
        <v>5945</v>
      </c>
      <c r="G2437" t="s">
        <v>1641</v>
      </c>
    </row>
    <row r="2438" spans="5:7" x14ac:dyDescent="0.35">
      <c r="E2438" t="s">
        <v>3803</v>
      </c>
      <c r="F2438" t="s">
        <v>5946</v>
      </c>
      <c r="G2438" t="s">
        <v>1641</v>
      </c>
    </row>
    <row r="2439" spans="5:7" x14ac:dyDescent="0.35">
      <c r="E2439" t="s">
        <v>3803</v>
      </c>
      <c r="F2439" t="s">
        <v>5947</v>
      </c>
      <c r="G2439" t="s">
        <v>1641</v>
      </c>
    </row>
    <row r="2440" spans="5:7" x14ac:dyDescent="0.35">
      <c r="E2440" t="s">
        <v>3803</v>
      </c>
      <c r="F2440" t="s">
        <v>5948</v>
      </c>
      <c r="G2440" t="s">
        <v>1641</v>
      </c>
    </row>
    <row r="2441" spans="5:7" x14ac:dyDescent="0.35">
      <c r="E2441" t="s">
        <v>3803</v>
      </c>
      <c r="F2441" t="s">
        <v>5949</v>
      </c>
      <c r="G2441" t="s">
        <v>1641</v>
      </c>
    </row>
    <row r="2442" spans="5:7" x14ac:dyDescent="0.35">
      <c r="E2442" t="s">
        <v>3803</v>
      </c>
      <c r="F2442" t="s">
        <v>5950</v>
      </c>
      <c r="G2442" t="s">
        <v>1641</v>
      </c>
    </row>
    <row r="2443" spans="5:7" x14ac:dyDescent="0.35">
      <c r="E2443" t="s">
        <v>3803</v>
      </c>
      <c r="F2443" t="s">
        <v>5951</v>
      </c>
      <c r="G2443" t="s">
        <v>1641</v>
      </c>
    </row>
    <row r="2444" spans="5:7" x14ac:dyDescent="0.35">
      <c r="E2444" t="s">
        <v>3803</v>
      </c>
      <c r="F2444" t="s">
        <v>5952</v>
      </c>
      <c r="G2444" t="s">
        <v>1641</v>
      </c>
    </row>
    <row r="2445" spans="5:7" x14ac:dyDescent="0.35">
      <c r="E2445" t="s">
        <v>3803</v>
      </c>
      <c r="F2445" t="s">
        <v>5953</v>
      </c>
      <c r="G2445" t="s">
        <v>1641</v>
      </c>
    </row>
    <row r="2446" spans="5:7" x14ac:dyDescent="0.35">
      <c r="E2446" t="s">
        <v>3803</v>
      </c>
      <c r="F2446" t="s">
        <v>5954</v>
      </c>
      <c r="G2446" t="s">
        <v>1641</v>
      </c>
    </row>
    <row r="2447" spans="5:7" x14ac:dyDescent="0.35">
      <c r="E2447" t="s">
        <v>3803</v>
      </c>
      <c r="F2447" t="s">
        <v>5955</v>
      </c>
      <c r="G2447" t="s">
        <v>1641</v>
      </c>
    </row>
    <row r="2448" spans="5:7" x14ac:dyDescent="0.35">
      <c r="E2448" t="s">
        <v>3803</v>
      </c>
      <c r="F2448" t="s">
        <v>5956</v>
      </c>
      <c r="G2448" t="s">
        <v>1641</v>
      </c>
    </row>
    <row r="2449" spans="5:7" x14ac:dyDescent="0.35">
      <c r="E2449" t="s">
        <v>3803</v>
      </c>
      <c r="F2449" t="s">
        <v>5957</v>
      </c>
      <c r="G2449" t="s">
        <v>1641</v>
      </c>
    </row>
    <row r="2450" spans="5:7" x14ac:dyDescent="0.35">
      <c r="E2450" t="s">
        <v>3803</v>
      </c>
      <c r="F2450" t="s">
        <v>5958</v>
      </c>
      <c r="G2450" t="s">
        <v>1641</v>
      </c>
    </row>
    <row r="2451" spans="5:7" x14ac:dyDescent="0.35">
      <c r="E2451" t="s">
        <v>3803</v>
      </c>
      <c r="F2451" t="s">
        <v>5959</v>
      </c>
      <c r="G2451" t="s">
        <v>1641</v>
      </c>
    </row>
    <row r="2452" spans="5:7" x14ac:dyDescent="0.35">
      <c r="E2452" t="s">
        <v>3803</v>
      </c>
      <c r="F2452" t="s">
        <v>5960</v>
      </c>
      <c r="G2452" t="s">
        <v>1641</v>
      </c>
    </row>
    <row r="2453" spans="5:7" x14ac:dyDescent="0.35">
      <c r="E2453" t="s">
        <v>3803</v>
      </c>
      <c r="F2453" t="s">
        <v>5961</v>
      </c>
      <c r="G2453" t="s">
        <v>1641</v>
      </c>
    </row>
    <row r="2454" spans="5:7" x14ac:dyDescent="0.35">
      <c r="E2454" t="s">
        <v>3803</v>
      </c>
      <c r="F2454" t="s">
        <v>5962</v>
      </c>
      <c r="G2454" t="s">
        <v>1641</v>
      </c>
    </row>
    <row r="2455" spans="5:7" x14ac:dyDescent="0.35">
      <c r="E2455" t="s">
        <v>3803</v>
      </c>
      <c r="F2455" t="s">
        <v>5963</v>
      </c>
      <c r="G2455" t="s">
        <v>1641</v>
      </c>
    </row>
    <row r="2456" spans="5:7" x14ac:dyDescent="0.35">
      <c r="E2456" t="s">
        <v>3803</v>
      </c>
      <c r="F2456" t="s">
        <v>5964</v>
      </c>
      <c r="G2456" t="s">
        <v>1641</v>
      </c>
    </row>
    <row r="2457" spans="5:7" x14ac:dyDescent="0.35">
      <c r="E2457" t="s">
        <v>3803</v>
      </c>
      <c r="F2457" t="s">
        <v>5965</v>
      </c>
      <c r="G2457" t="s">
        <v>1641</v>
      </c>
    </row>
    <row r="2458" spans="5:7" x14ac:dyDescent="0.35">
      <c r="E2458" t="s">
        <v>3803</v>
      </c>
      <c r="F2458" t="s">
        <v>5966</v>
      </c>
      <c r="G2458" t="s">
        <v>1641</v>
      </c>
    </row>
    <row r="2459" spans="5:7" x14ac:dyDescent="0.35">
      <c r="E2459" t="s">
        <v>3803</v>
      </c>
      <c r="F2459" t="s">
        <v>5967</v>
      </c>
      <c r="G2459" t="s">
        <v>1641</v>
      </c>
    </row>
    <row r="2460" spans="5:7" x14ac:dyDescent="0.35">
      <c r="E2460" t="s">
        <v>3803</v>
      </c>
      <c r="F2460" t="s">
        <v>5968</v>
      </c>
      <c r="G2460" t="s">
        <v>1641</v>
      </c>
    </row>
    <row r="2461" spans="5:7" x14ac:dyDescent="0.35">
      <c r="E2461" t="s">
        <v>3803</v>
      </c>
      <c r="F2461" t="s">
        <v>1374</v>
      </c>
      <c r="G2461" t="s">
        <v>1641</v>
      </c>
    </row>
    <row r="2462" spans="5:7" x14ac:dyDescent="0.35">
      <c r="E2462" t="s">
        <v>3803</v>
      </c>
      <c r="F2462" t="s">
        <v>5969</v>
      </c>
      <c r="G2462" t="s">
        <v>1641</v>
      </c>
    </row>
    <row r="2463" spans="5:7" x14ac:dyDescent="0.35">
      <c r="E2463" t="s">
        <v>3803</v>
      </c>
      <c r="F2463" t="s">
        <v>5970</v>
      </c>
      <c r="G2463" t="s">
        <v>1641</v>
      </c>
    </row>
    <row r="2464" spans="5:7" x14ac:dyDescent="0.35">
      <c r="E2464" t="s">
        <v>3803</v>
      </c>
      <c r="F2464" t="s">
        <v>5971</v>
      </c>
      <c r="G2464" t="s">
        <v>1641</v>
      </c>
    </row>
    <row r="2465" spans="5:7" x14ac:dyDescent="0.35">
      <c r="E2465" t="s">
        <v>3803</v>
      </c>
      <c r="F2465" t="s">
        <v>5972</v>
      </c>
      <c r="G2465" t="s">
        <v>1641</v>
      </c>
    </row>
    <row r="2466" spans="5:7" x14ac:dyDescent="0.35">
      <c r="E2466" t="s">
        <v>3803</v>
      </c>
      <c r="F2466" t="s">
        <v>5973</v>
      </c>
      <c r="G2466" t="s">
        <v>1641</v>
      </c>
    </row>
    <row r="2467" spans="5:7" x14ac:dyDescent="0.35">
      <c r="E2467" t="s">
        <v>3803</v>
      </c>
      <c r="F2467" t="s">
        <v>5974</v>
      </c>
      <c r="G2467" t="s">
        <v>1641</v>
      </c>
    </row>
    <row r="2468" spans="5:7" x14ac:dyDescent="0.35">
      <c r="E2468" t="s">
        <v>3803</v>
      </c>
      <c r="F2468" t="s">
        <v>5975</v>
      </c>
      <c r="G2468" t="s">
        <v>1641</v>
      </c>
    </row>
    <row r="2469" spans="5:7" x14ac:dyDescent="0.35">
      <c r="E2469" t="s">
        <v>3803</v>
      </c>
      <c r="F2469" t="s">
        <v>5976</v>
      </c>
      <c r="G2469" t="s">
        <v>1641</v>
      </c>
    </row>
    <row r="2470" spans="5:7" x14ac:dyDescent="0.35">
      <c r="E2470" t="s">
        <v>3803</v>
      </c>
      <c r="F2470" t="s">
        <v>5977</v>
      </c>
      <c r="G2470" t="s">
        <v>1641</v>
      </c>
    </row>
    <row r="2471" spans="5:7" x14ac:dyDescent="0.35">
      <c r="E2471" t="s">
        <v>3803</v>
      </c>
      <c r="F2471" t="s">
        <v>5978</v>
      </c>
      <c r="G2471" t="s">
        <v>1641</v>
      </c>
    </row>
    <row r="2472" spans="5:7" x14ac:dyDescent="0.35">
      <c r="E2472" t="s">
        <v>3803</v>
      </c>
      <c r="F2472" t="s">
        <v>5979</v>
      </c>
      <c r="G2472" t="s">
        <v>1641</v>
      </c>
    </row>
    <row r="2473" spans="5:7" x14ac:dyDescent="0.35">
      <c r="E2473" t="s">
        <v>3803</v>
      </c>
      <c r="F2473" t="s">
        <v>5980</v>
      </c>
      <c r="G2473" t="s">
        <v>1641</v>
      </c>
    </row>
    <row r="2474" spans="5:7" x14ac:dyDescent="0.35">
      <c r="E2474" t="s">
        <v>3803</v>
      </c>
      <c r="F2474" t="s">
        <v>5981</v>
      </c>
      <c r="G2474" t="s">
        <v>1641</v>
      </c>
    </row>
    <row r="2475" spans="5:7" x14ac:dyDescent="0.35">
      <c r="E2475" t="s">
        <v>3803</v>
      </c>
      <c r="F2475" t="s">
        <v>5982</v>
      </c>
      <c r="G2475" t="s">
        <v>1641</v>
      </c>
    </row>
    <row r="2476" spans="5:7" x14ac:dyDescent="0.35">
      <c r="E2476" t="s">
        <v>3803</v>
      </c>
      <c r="F2476" t="s">
        <v>444</v>
      </c>
      <c r="G2476" t="s">
        <v>1646</v>
      </c>
    </row>
    <row r="2477" spans="5:7" x14ac:dyDescent="0.35">
      <c r="E2477" t="s">
        <v>3803</v>
      </c>
      <c r="F2477" t="s">
        <v>2918</v>
      </c>
      <c r="G2477" t="s">
        <v>1646</v>
      </c>
    </row>
    <row r="2478" spans="5:7" x14ac:dyDescent="0.35">
      <c r="E2478" t="s">
        <v>3803</v>
      </c>
      <c r="F2478" t="s">
        <v>472</v>
      </c>
      <c r="G2478" t="s">
        <v>1646</v>
      </c>
    </row>
    <row r="2479" spans="5:7" x14ac:dyDescent="0.35">
      <c r="E2479" t="s">
        <v>3803</v>
      </c>
      <c r="F2479" t="s">
        <v>5983</v>
      </c>
      <c r="G2479" t="s">
        <v>1646</v>
      </c>
    </row>
    <row r="2480" spans="5:7" x14ac:dyDescent="0.35">
      <c r="E2480" t="s">
        <v>3803</v>
      </c>
      <c r="F2480" t="s">
        <v>5984</v>
      </c>
      <c r="G2480" t="s">
        <v>1646</v>
      </c>
    </row>
    <row r="2481" spans="5:7" x14ac:dyDescent="0.35">
      <c r="E2481" t="s">
        <v>3803</v>
      </c>
      <c r="F2481" t="s">
        <v>5985</v>
      </c>
      <c r="G2481" t="s">
        <v>1646</v>
      </c>
    </row>
    <row r="2482" spans="5:7" x14ac:dyDescent="0.35">
      <c r="E2482" t="s">
        <v>3803</v>
      </c>
      <c r="F2482" t="s">
        <v>5986</v>
      </c>
      <c r="G2482" t="s">
        <v>1646</v>
      </c>
    </row>
    <row r="2483" spans="5:7" x14ac:dyDescent="0.35">
      <c r="E2483" t="s">
        <v>3803</v>
      </c>
      <c r="F2483" t="s">
        <v>5987</v>
      </c>
      <c r="G2483" t="s">
        <v>1646</v>
      </c>
    </row>
    <row r="2484" spans="5:7" x14ac:dyDescent="0.35">
      <c r="E2484" t="s">
        <v>3803</v>
      </c>
      <c r="F2484" t="s">
        <v>5988</v>
      </c>
      <c r="G2484" t="s">
        <v>1646</v>
      </c>
    </row>
    <row r="2485" spans="5:7" x14ac:dyDescent="0.35">
      <c r="E2485" t="s">
        <v>3803</v>
      </c>
      <c r="F2485" t="s">
        <v>5989</v>
      </c>
      <c r="G2485" t="s">
        <v>1646</v>
      </c>
    </row>
    <row r="2486" spans="5:7" x14ac:dyDescent="0.35">
      <c r="E2486" t="s">
        <v>3803</v>
      </c>
      <c r="F2486" t="s">
        <v>5990</v>
      </c>
      <c r="G2486" t="s">
        <v>1646</v>
      </c>
    </row>
    <row r="2487" spans="5:7" x14ac:dyDescent="0.35">
      <c r="E2487" t="s">
        <v>3803</v>
      </c>
      <c r="F2487" t="s">
        <v>5991</v>
      </c>
      <c r="G2487" t="s">
        <v>1646</v>
      </c>
    </row>
    <row r="2488" spans="5:7" x14ac:dyDescent="0.35">
      <c r="E2488" t="s">
        <v>3803</v>
      </c>
      <c r="F2488" t="s">
        <v>5992</v>
      </c>
      <c r="G2488" t="s">
        <v>1646</v>
      </c>
    </row>
    <row r="2489" spans="5:7" x14ac:dyDescent="0.35">
      <c r="E2489" t="s">
        <v>3803</v>
      </c>
      <c r="F2489" t="s">
        <v>5993</v>
      </c>
      <c r="G2489" t="s">
        <v>1646</v>
      </c>
    </row>
    <row r="2490" spans="5:7" x14ac:dyDescent="0.35">
      <c r="E2490" t="s">
        <v>3803</v>
      </c>
      <c r="F2490" t="s">
        <v>5994</v>
      </c>
      <c r="G2490" t="s">
        <v>1646</v>
      </c>
    </row>
    <row r="2491" spans="5:7" x14ac:dyDescent="0.35">
      <c r="E2491" t="s">
        <v>3803</v>
      </c>
      <c r="F2491" t="s">
        <v>5995</v>
      </c>
      <c r="G2491" t="s">
        <v>1646</v>
      </c>
    </row>
    <row r="2492" spans="5:7" x14ac:dyDescent="0.35">
      <c r="E2492" t="s">
        <v>3803</v>
      </c>
      <c r="F2492" t="s">
        <v>5996</v>
      </c>
      <c r="G2492" t="s">
        <v>1646</v>
      </c>
    </row>
    <row r="2493" spans="5:7" x14ac:dyDescent="0.35">
      <c r="E2493" t="s">
        <v>3803</v>
      </c>
      <c r="F2493" t="s">
        <v>5997</v>
      </c>
      <c r="G2493" t="s">
        <v>1646</v>
      </c>
    </row>
    <row r="2494" spans="5:7" x14ac:dyDescent="0.35">
      <c r="E2494" t="s">
        <v>3803</v>
      </c>
      <c r="F2494" t="s">
        <v>5998</v>
      </c>
      <c r="G2494" t="s">
        <v>1646</v>
      </c>
    </row>
    <row r="2495" spans="5:7" x14ac:dyDescent="0.35">
      <c r="E2495" t="s">
        <v>3803</v>
      </c>
      <c r="F2495" t="s">
        <v>2921</v>
      </c>
      <c r="G2495" t="s">
        <v>1646</v>
      </c>
    </row>
    <row r="2496" spans="5:7" x14ac:dyDescent="0.35">
      <c r="E2496" t="s">
        <v>3803</v>
      </c>
      <c r="F2496" t="s">
        <v>2924</v>
      </c>
      <c r="G2496" t="s">
        <v>1646</v>
      </c>
    </row>
    <row r="2497" spans="5:7" x14ac:dyDescent="0.35">
      <c r="E2497" t="s">
        <v>3803</v>
      </c>
      <c r="F2497" t="s">
        <v>2927</v>
      </c>
      <c r="G2497" t="s">
        <v>1646</v>
      </c>
    </row>
    <row r="2498" spans="5:7" x14ac:dyDescent="0.35">
      <c r="E2498" t="s">
        <v>3803</v>
      </c>
      <c r="F2498" t="s">
        <v>2929</v>
      </c>
      <c r="G2498" t="s">
        <v>1646</v>
      </c>
    </row>
    <row r="2499" spans="5:7" x14ac:dyDescent="0.35">
      <c r="E2499" t="s">
        <v>3803</v>
      </c>
      <c r="F2499" t="s">
        <v>831</v>
      </c>
      <c r="G2499" t="s">
        <v>1646</v>
      </c>
    </row>
    <row r="2500" spans="5:7" x14ac:dyDescent="0.35">
      <c r="E2500" t="s">
        <v>3803</v>
      </c>
      <c r="F2500" t="s">
        <v>2931</v>
      </c>
      <c r="G2500" t="s">
        <v>1646</v>
      </c>
    </row>
    <row r="2501" spans="5:7" x14ac:dyDescent="0.35">
      <c r="E2501" t="s">
        <v>3803</v>
      </c>
      <c r="F2501" t="s">
        <v>2933</v>
      </c>
      <c r="G2501" t="s">
        <v>1646</v>
      </c>
    </row>
    <row r="2502" spans="5:7" x14ac:dyDescent="0.35">
      <c r="E2502" t="s">
        <v>3803</v>
      </c>
      <c r="F2502" t="s">
        <v>1027</v>
      </c>
      <c r="G2502" t="s">
        <v>1646</v>
      </c>
    </row>
    <row r="2503" spans="5:7" x14ac:dyDescent="0.35">
      <c r="E2503" t="s">
        <v>3803</v>
      </c>
      <c r="F2503" t="s">
        <v>5999</v>
      </c>
      <c r="G2503" t="s">
        <v>1646</v>
      </c>
    </row>
    <row r="2504" spans="5:7" x14ac:dyDescent="0.35">
      <c r="E2504" t="s">
        <v>3803</v>
      </c>
      <c r="F2504" t="s">
        <v>6000</v>
      </c>
      <c r="G2504" t="s">
        <v>1646</v>
      </c>
    </row>
    <row r="2505" spans="5:7" x14ac:dyDescent="0.35">
      <c r="E2505" t="s">
        <v>3803</v>
      </c>
      <c r="F2505" t="s">
        <v>6001</v>
      </c>
      <c r="G2505" t="s">
        <v>1646</v>
      </c>
    </row>
    <row r="2506" spans="5:7" x14ac:dyDescent="0.35">
      <c r="E2506" t="s">
        <v>3803</v>
      </c>
      <c r="F2506" t="s">
        <v>6002</v>
      </c>
      <c r="G2506" t="s">
        <v>1646</v>
      </c>
    </row>
    <row r="2507" spans="5:7" x14ac:dyDescent="0.35">
      <c r="E2507" t="s">
        <v>3803</v>
      </c>
      <c r="F2507" t="s">
        <v>6003</v>
      </c>
      <c r="G2507" t="s">
        <v>1646</v>
      </c>
    </row>
    <row r="2508" spans="5:7" x14ac:dyDescent="0.35">
      <c r="E2508" t="s">
        <v>3803</v>
      </c>
      <c r="F2508" t="s">
        <v>6004</v>
      </c>
      <c r="G2508" t="s">
        <v>1646</v>
      </c>
    </row>
    <row r="2509" spans="5:7" x14ac:dyDescent="0.35">
      <c r="E2509" t="s">
        <v>3803</v>
      </c>
      <c r="F2509" t="s">
        <v>6005</v>
      </c>
      <c r="G2509" t="s">
        <v>1646</v>
      </c>
    </row>
    <row r="2510" spans="5:7" x14ac:dyDescent="0.35">
      <c r="E2510" t="s">
        <v>3803</v>
      </c>
      <c r="F2510" t="s">
        <v>6006</v>
      </c>
      <c r="G2510" t="s">
        <v>1646</v>
      </c>
    </row>
    <row r="2511" spans="5:7" x14ac:dyDescent="0.35">
      <c r="E2511" t="s">
        <v>3803</v>
      </c>
      <c r="F2511" t="s">
        <v>1133</v>
      </c>
      <c r="G2511" t="s">
        <v>1646</v>
      </c>
    </row>
    <row r="2512" spans="5:7" x14ac:dyDescent="0.35">
      <c r="E2512" t="s">
        <v>3803</v>
      </c>
      <c r="F2512" t="s">
        <v>6007</v>
      </c>
      <c r="G2512" t="s">
        <v>1646</v>
      </c>
    </row>
    <row r="2513" spans="5:7" x14ac:dyDescent="0.35">
      <c r="E2513" t="s">
        <v>3803</v>
      </c>
      <c r="F2513" t="s">
        <v>6008</v>
      </c>
      <c r="G2513" t="s">
        <v>1646</v>
      </c>
    </row>
    <row r="2514" spans="5:7" x14ac:dyDescent="0.35">
      <c r="E2514" t="s">
        <v>3803</v>
      </c>
      <c r="F2514" t="s">
        <v>6009</v>
      </c>
      <c r="G2514" t="s">
        <v>1646</v>
      </c>
    </row>
    <row r="2515" spans="5:7" x14ac:dyDescent="0.35">
      <c r="E2515" t="s">
        <v>3803</v>
      </c>
      <c r="F2515" t="s">
        <v>6010</v>
      </c>
      <c r="G2515" t="s">
        <v>1646</v>
      </c>
    </row>
    <row r="2516" spans="5:7" x14ac:dyDescent="0.35">
      <c r="E2516" t="s">
        <v>3803</v>
      </c>
      <c r="F2516" t="s">
        <v>6011</v>
      </c>
      <c r="G2516" t="s">
        <v>1646</v>
      </c>
    </row>
    <row r="2517" spans="5:7" x14ac:dyDescent="0.35">
      <c r="E2517" t="s">
        <v>3803</v>
      </c>
      <c r="F2517" t="s">
        <v>6012</v>
      </c>
      <c r="G2517" t="s">
        <v>1646</v>
      </c>
    </row>
    <row r="2518" spans="5:7" x14ac:dyDescent="0.35">
      <c r="E2518" t="s">
        <v>3803</v>
      </c>
      <c r="F2518" t="s">
        <v>6013</v>
      </c>
      <c r="G2518" t="s">
        <v>1646</v>
      </c>
    </row>
    <row r="2519" spans="5:7" x14ac:dyDescent="0.35">
      <c r="E2519" t="s">
        <v>3803</v>
      </c>
      <c r="F2519" t="s">
        <v>6014</v>
      </c>
      <c r="G2519" t="s">
        <v>1646</v>
      </c>
    </row>
    <row r="2520" spans="5:7" x14ac:dyDescent="0.35">
      <c r="E2520" t="s">
        <v>3803</v>
      </c>
      <c r="F2520" t="s">
        <v>6015</v>
      </c>
      <c r="G2520" t="s">
        <v>1646</v>
      </c>
    </row>
    <row r="2521" spans="5:7" x14ac:dyDescent="0.35">
      <c r="E2521" t="s">
        <v>3803</v>
      </c>
      <c r="F2521" t="s">
        <v>6016</v>
      </c>
      <c r="G2521" t="s">
        <v>1646</v>
      </c>
    </row>
    <row r="2522" spans="5:7" x14ac:dyDescent="0.35">
      <c r="E2522" t="s">
        <v>3803</v>
      </c>
      <c r="F2522" t="s">
        <v>6017</v>
      </c>
      <c r="G2522" t="s">
        <v>1646</v>
      </c>
    </row>
    <row r="2523" spans="5:7" x14ac:dyDescent="0.35">
      <c r="E2523" t="s">
        <v>3803</v>
      </c>
      <c r="F2523" t="s">
        <v>6018</v>
      </c>
      <c r="G2523" t="s">
        <v>1646</v>
      </c>
    </row>
    <row r="2524" spans="5:7" x14ac:dyDescent="0.35">
      <c r="E2524" t="s">
        <v>3803</v>
      </c>
      <c r="F2524" t="s">
        <v>6019</v>
      </c>
      <c r="G2524" t="s">
        <v>1646</v>
      </c>
    </row>
    <row r="2525" spans="5:7" x14ac:dyDescent="0.35">
      <c r="E2525" t="s">
        <v>3803</v>
      </c>
      <c r="F2525" t="s">
        <v>1261</v>
      </c>
      <c r="G2525" t="s">
        <v>1646</v>
      </c>
    </row>
    <row r="2526" spans="5:7" x14ac:dyDescent="0.35">
      <c r="E2526" t="s">
        <v>3803</v>
      </c>
      <c r="F2526" t="s">
        <v>6020</v>
      </c>
      <c r="G2526" t="s">
        <v>1646</v>
      </c>
    </row>
    <row r="2527" spans="5:7" x14ac:dyDescent="0.35">
      <c r="E2527" t="s">
        <v>3803</v>
      </c>
      <c r="F2527" t="s">
        <v>6021</v>
      </c>
      <c r="G2527" t="s">
        <v>1646</v>
      </c>
    </row>
    <row r="2528" spans="5:7" x14ac:dyDescent="0.35">
      <c r="E2528" t="s">
        <v>3803</v>
      </c>
      <c r="F2528" t="s">
        <v>6022</v>
      </c>
      <c r="G2528" t="s">
        <v>1646</v>
      </c>
    </row>
    <row r="2529" spans="5:7" x14ac:dyDescent="0.35">
      <c r="E2529" t="s">
        <v>3803</v>
      </c>
      <c r="F2529" t="s">
        <v>6023</v>
      </c>
      <c r="G2529" t="s">
        <v>1646</v>
      </c>
    </row>
    <row r="2530" spans="5:7" x14ac:dyDescent="0.35">
      <c r="E2530" t="s">
        <v>3803</v>
      </c>
      <c r="F2530" t="s">
        <v>6024</v>
      </c>
      <c r="G2530" t="s">
        <v>1646</v>
      </c>
    </row>
    <row r="2531" spans="5:7" x14ac:dyDescent="0.35">
      <c r="E2531" t="s">
        <v>3803</v>
      </c>
      <c r="F2531" t="s">
        <v>6025</v>
      </c>
      <c r="G2531" t="s">
        <v>1646</v>
      </c>
    </row>
    <row r="2532" spans="5:7" x14ac:dyDescent="0.35">
      <c r="E2532" t="s">
        <v>3803</v>
      </c>
      <c r="F2532" t="s">
        <v>6026</v>
      </c>
      <c r="G2532" t="s">
        <v>1646</v>
      </c>
    </row>
    <row r="2533" spans="5:7" x14ac:dyDescent="0.35">
      <c r="E2533" t="s">
        <v>3803</v>
      </c>
      <c r="F2533" t="s">
        <v>6027</v>
      </c>
      <c r="G2533" t="s">
        <v>1646</v>
      </c>
    </row>
    <row r="2534" spans="5:7" x14ac:dyDescent="0.35">
      <c r="E2534" t="s">
        <v>3803</v>
      </c>
      <c r="F2534" t="s">
        <v>6028</v>
      </c>
      <c r="G2534" t="s">
        <v>1646</v>
      </c>
    </row>
    <row r="2535" spans="5:7" x14ac:dyDescent="0.35">
      <c r="E2535" t="s">
        <v>3803</v>
      </c>
      <c r="F2535" t="s">
        <v>6029</v>
      </c>
      <c r="G2535" t="s">
        <v>1646</v>
      </c>
    </row>
    <row r="2536" spans="5:7" x14ac:dyDescent="0.35">
      <c r="E2536" t="s">
        <v>3803</v>
      </c>
      <c r="F2536" t="s">
        <v>6030</v>
      </c>
      <c r="G2536" t="s">
        <v>1646</v>
      </c>
    </row>
    <row r="2537" spans="5:7" x14ac:dyDescent="0.35">
      <c r="E2537" t="s">
        <v>3803</v>
      </c>
      <c r="F2537" t="s">
        <v>6031</v>
      </c>
      <c r="G2537" t="s">
        <v>1646</v>
      </c>
    </row>
    <row r="2538" spans="5:7" x14ac:dyDescent="0.35">
      <c r="E2538" t="s">
        <v>3803</v>
      </c>
      <c r="F2538" t="s">
        <v>6032</v>
      </c>
      <c r="G2538" t="s">
        <v>1646</v>
      </c>
    </row>
    <row r="2539" spans="5:7" x14ac:dyDescent="0.35">
      <c r="E2539" t="s">
        <v>3803</v>
      </c>
      <c r="F2539" t="s">
        <v>6033</v>
      </c>
      <c r="G2539" t="s">
        <v>1646</v>
      </c>
    </row>
    <row r="2540" spans="5:7" x14ac:dyDescent="0.35">
      <c r="E2540" t="s">
        <v>3803</v>
      </c>
      <c r="F2540" t="s">
        <v>6034</v>
      </c>
      <c r="G2540" t="s">
        <v>1646</v>
      </c>
    </row>
    <row r="2541" spans="5:7" x14ac:dyDescent="0.35">
      <c r="E2541" t="s">
        <v>3803</v>
      </c>
      <c r="F2541" t="s">
        <v>6035</v>
      </c>
      <c r="G2541" t="s">
        <v>1646</v>
      </c>
    </row>
    <row r="2542" spans="5:7" x14ac:dyDescent="0.35">
      <c r="E2542" t="s">
        <v>3803</v>
      </c>
      <c r="F2542" t="s">
        <v>6036</v>
      </c>
      <c r="G2542" t="s">
        <v>1646</v>
      </c>
    </row>
    <row r="2543" spans="5:7" x14ac:dyDescent="0.35">
      <c r="E2543" t="s">
        <v>3803</v>
      </c>
      <c r="F2543" t="s">
        <v>6037</v>
      </c>
      <c r="G2543" t="s">
        <v>1646</v>
      </c>
    </row>
    <row r="2544" spans="5:7" x14ac:dyDescent="0.35">
      <c r="E2544" t="s">
        <v>3803</v>
      </c>
      <c r="F2544" t="s">
        <v>6038</v>
      </c>
      <c r="G2544" t="s">
        <v>1646</v>
      </c>
    </row>
    <row r="2545" spans="5:7" x14ac:dyDescent="0.35">
      <c r="E2545" t="s">
        <v>3803</v>
      </c>
      <c r="F2545" t="s">
        <v>6039</v>
      </c>
      <c r="G2545" t="s">
        <v>1646</v>
      </c>
    </row>
    <row r="2546" spans="5:7" x14ac:dyDescent="0.35">
      <c r="E2546" t="s">
        <v>3803</v>
      </c>
      <c r="F2546" t="s">
        <v>6040</v>
      </c>
      <c r="G2546" t="s">
        <v>1646</v>
      </c>
    </row>
    <row r="2547" spans="5:7" x14ac:dyDescent="0.35">
      <c r="E2547" t="s">
        <v>3803</v>
      </c>
      <c r="F2547" t="s">
        <v>6041</v>
      </c>
      <c r="G2547" t="s">
        <v>1646</v>
      </c>
    </row>
    <row r="2548" spans="5:7" x14ac:dyDescent="0.35">
      <c r="E2548" t="s">
        <v>3803</v>
      </c>
      <c r="F2548" t="s">
        <v>6042</v>
      </c>
      <c r="G2548" t="s">
        <v>1646</v>
      </c>
    </row>
    <row r="2549" spans="5:7" x14ac:dyDescent="0.35">
      <c r="E2549" t="s">
        <v>3803</v>
      </c>
      <c r="F2549" t="s">
        <v>6043</v>
      </c>
      <c r="G2549" t="s">
        <v>1646</v>
      </c>
    </row>
    <row r="2550" spans="5:7" x14ac:dyDescent="0.35">
      <c r="E2550" t="s">
        <v>3803</v>
      </c>
      <c r="F2550" t="s">
        <v>6044</v>
      </c>
      <c r="G2550" t="s">
        <v>1646</v>
      </c>
    </row>
    <row r="2551" spans="5:7" x14ac:dyDescent="0.35">
      <c r="E2551" t="s">
        <v>3803</v>
      </c>
      <c r="F2551" t="s">
        <v>6045</v>
      </c>
      <c r="G2551" t="s">
        <v>1646</v>
      </c>
    </row>
    <row r="2552" spans="5:7" x14ac:dyDescent="0.35">
      <c r="E2552" t="s">
        <v>3803</v>
      </c>
      <c r="F2552" t="s">
        <v>6046</v>
      </c>
      <c r="G2552" t="s">
        <v>1646</v>
      </c>
    </row>
    <row r="2553" spans="5:7" x14ac:dyDescent="0.35">
      <c r="E2553" t="s">
        <v>3803</v>
      </c>
      <c r="F2553" t="s">
        <v>6047</v>
      </c>
      <c r="G2553" t="s">
        <v>1646</v>
      </c>
    </row>
    <row r="2554" spans="5:7" x14ac:dyDescent="0.35">
      <c r="E2554" t="s">
        <v>3803</v>
      </c>
      <c r="F2554" t="s">
        <v>1377</v>
      </c>
      <c r="G2554" t="s">
        <v>1646</v>
      </c>
    </row>
    <row r="2555" spans="5:7" x14ac:dyDescent="0.35">
      <c r="E2555" t="s">
        <v>3803</v>
      </c>
      <c r="F2555" t="s">
        <v>6048</v>
      </c>
      <c r="G2555" t="s">
        <v>1646</v>
      </c>
    </row>
    <row r="2556" spans="5:7" x14ac:dyDescent="0.35">
      <c r="E2556" t="s">
        <v>3803</v>
      </c>
      <c r="F2556" t="s">
        <v>6049</v>
      </c>
      <c r="G2556" t="s">
        <v>1646</v>
      </c>
    </row>
    <row r="2557" spans="5:7" x14ac:dyDescent="0.35">
      <c r="E2557" t="s">
        <v>3803</v>
      </c>
      <c r="F2557" t="s">
        <v>6050</v>
      </c>
      <c r="G2557" t="s">
        <v>1646</v>
      </c>
    </row>
    <row r="2558" spans="5:7" x14ac:dyDescent="0.35">
      <c r="E2558" t="s">
        <v>3803</v>
      </c>
      <c r="F2558" t="s">
        <v>6051</v>
      </c>
      <c r="G2558" t="s">
        <v>1646</v>
      </c>
    </row>
    <row r="2559" spans="5:7" x14ac:dyDescent="0.35">
      <c r="E2559" t="s">
        <v>3803</v>
      </c>
      <c r="F2559" t="s">
        <v>6052</v>
      </c>
      <c r="G2559" t="s">
        <v>1646</v>
      </c>
    </row>
    <row r="2560" spans="5:7" x14ac:dyDescent="0.35">
      <c r="E2560" t="s">
        <v>3803</v>
      </c>
      <c r="F2560" t="s">
        <v>6053</v>
      </c>
      <c r="G2560" t="s">
        <v>1646</v>
      </c>
    </row>
    <row r="2561" spans="5:7" x14ac:dyDescent="0.35">
      <c r="E2561" t="s">
        <v>3803</v>
      </c>
      <c r="F2561" t="s">
        <v>6054</v>
      </c>
      <c r="G2561" t="s">
        <v>1646</v>
      </c>
    </row>
    <row r="2562" spans="5:7" x14ac:dyDescent="0.35">
      <c r="E2562" t="s">
        <v>3803</v>
      </c>
      <c r="F2562" t="s">
        <v>6055</v>
      </c>
      <c r="G2562" t="s">
        <v>1646</v>
      </c>
    </row>
    <row r="2563" spans="5:7" x14ac:dyDescent="0.35">
      <c r="E2563" t="s">
        <v>3803</v>
      </c>
      <c r="F2563" t="s">
        <v>6056</v>
      </c>
      <c r="G2563" t="s">
        <v>1646</v>
      </c>
    </row>
    <row r="2564" spans="5:7" x14ac:dyDescent="0.35">
      <c r="E2564" t="s">
        <v>3803</v>
      </c>
      <c r="F2564" t="s">
        <v>6057</v>
      </c>
      <c r="G2564" t="s">
        <v>1646</v>
      </c>
    </row>
    <row r="2565" spans="5:7" x14ac:dyDescent="0.35">
      <c r="E2565" t="s">
        <v>3803</v>
      </c>
      <c r="F2565" t="s">
        <v>6058</v>
      </c>
      <c r="G2565" t="s">
        <v>1646</v>
      </c>
    </row>
    <row r="2566" spans="5:7" x14ac:dyDescent="0.35">
      <c r="E2566" t="s">
        <v>3803</v>
      </c>
      <c r="F2566" t="s">
        <v>2935</v>
      </c>
      <c r="G2566" t="s">
        <v>6059</v>
      </c>
    </row>
    <row r="2567" spans="5:7" x14ac:dyDescent="0.35">
      <c r="E2567" t="s">
        <v>3803</v>
      </c>
      <c r="F2567" t="s">
        <v>469</v>
      </c>
      <c r="G2567" t="s">
        <v>6059</v>
      </c>
    </row>
    <row r="2568" spans="5:7" x14ac:dyDescent="0.35">
      <c r="E2568" t="s">
        <v>3803</v>
      </c>
      <c r="F2568" t="s">
        <v>6060</v>
      </c>
      <c r="G2568" t="s">
        <v>6059</v>
      </c>
    </row>
    <row r="2569" spans="5:7" x14ac:dyDescent="0.35">
      <c r="E2569" t="s">
        <v>3803</v>
      </c>
      <c r="F2569" t="s">
        <v>6061</v>
      </c>
      <c r="G2569" t="s">
        <v>6059</v>
      </c>
    </row>
    <row r="2570" spans="5:7" x14ac:dyDescent="0.35">
      <c r="E2570" t="s">
        <v>3803</v>
      </c>
      <c r="F2570" t="s">
        <v>6062</v>
      </c>
      <c r="G2570" t="s">
        <v>6059</v>
      </c>
    </row>
    <row r="2571" spans="5:7" x14ac:dyDescent="0.35">
      <c r="E2571" t="s">
        <v>3803</v>
      </c>
      <c r="F2571" t="s">
        <v>6063</v>
      </c>
      <c r="G2571" t="s">
        <v>6059</v>
      </c>
    </row>
    <row r="2572" spans="5:7" x14ac:dyDescent="0.35">
      <c r="E2572" t="s">
        <v>3803</v>
      </c>
      <c r="F2572" t="s">
        <v>6064</v>
      </c>
      <c r="G2572" t="s">
        <v>6059</v>
      </c>
    </row>
    <row r="2573" spans="5:7" x14ac:dyDescent="0.35">
      <c r="E2573" t="s">
        <v>3803</v>
      </c>
      <c r="F2573" t="s">
        <v>6065</v>
      </c>
      <c r="G2573" t="s">
        <v>6059</v>
      </c>
    </row>
    <row r="2574" spans="5:7" x14ac:dyDescent="0.35">
      <c r="E2574" t="s">
        <v>3803</v>
      </c>
      <c r="F2574" t="s">
        <v>6066</v>
      </c>
      <c r="G2574" t="s">
        <v>6059</v>
      </c>
    </row>
    <row r="2575" spans="5:7" x14ac:dyDescent="0.35">
      <c r="E2575" t="s">
        <v>3803</v>
      </c>
      <c r="F2575" t="s">
        <v>6067</v>
      </c>
      <c r="G2575" t="s">
        <v>6068</v>
      </c>
    </row>
    <row r="2576" spans="5:7" x14ac:dyDescent="0.35">
      <c r="E2576" t="s">
        <v>3803</v>
      </c>
      <c r="F2576" t="s">
        <v>2938</v>
      </c>
      <c r="G2576" t="s">
        <v>6068</v>
      </c>
    </row>
    <row r="2577" spans="5:7" x14ac:dyDescent="0.35">
      <c r="E2577" t="s">
        <v>3803</v>
      </c>
      <c r="F2577" t="s">
        <v>2941</v>
      </c>
      <c r="G2577" t="s">
        <v>6068</v>
      </c>
    </row>
    <row r="2578" spans="5:7" x14ac:dyDescent="0.35">
      <c r="E2578" t="s">
        <v>3803</v>
      </c>
      <c r="F2578" t="s">
        <v>551</v>
      </c>
      <c r="G2578" t="s">
        <v>6068</v>
      </c>
    </row>
    <row r="2579" spans="5:7" x14ac:dyDescent="0.35">
      <c r="E2579" t="s">
        <v>3803</v>
      </c>
      <c r="F2579" t="s">
        <v>6069</v>
      </c>
      <c r="G2579" t="s">
        <v>6068</v>
      </c>
    </row>
    <row r="2580" spans="5:7" x14ac:dyDescent="0.35">
      <c r="E2580" t="s">
        <v>3803</v>
      </c>
      <c r="F2580" t="s">
        <v>6070</v>
      </c>
      <c r="G2580" t="s">
        <v>6068</v>
      </c>
    </row>
    <row r="2581" spans="5:7" x14ac:dyDescent="0.35">
      <c r="E2581" t="s">
        <v>3803</v>
      </c>
      <c r="F2581" t="s">
        <v>6071</v>
      </c>
      <c r="G2581" t="s">
        <v>6059</v>
      </c>
    </row>
    <row r="2582" spans="5:7" x14ac:dyDescent="0.35">
      <c r="E2582" t="s">
        <v>3803</v>
      </c>
      <c r="F2582" t="s">
        <v>2944</v>
      </c>
      <c r="G2582" t="s">
        <v>1651</v>
      </c>
    </row>
    <row r="2583" spans="5:7" x14ac:dyDescent="0.35">
      <c r="E2583" t="s">
        <v>3803</v>
      </c>
      <c r="F2583" t="s">
        <v>2947</v>
      </c>
      <c r="G2583" t="s">
        <v>1651</v>
      </c>
    </row>
    <row r="2584" spans="5:7" x14ac:dyDescent="0.35">
      <c r="E2584" t="s">
        <v>3803</v>
      </c>
      <c r="F2584" t="s">
        <v>2950</v>
      </c>
      <c r="G2584" t="s">
        <v>1651</v>
      </c>
    </row>
    <row r="2585" spans="5:7" x14ac:dyDescent="0.35">
      <c r="E2585" t="s">
        <v>3803</v>
      </c>
      <c r="F2585" t="s">
        <v>2953</v>
      </c>
      <c r="G2585" t="s">
        <v>1651</v>
      </c>
    </row>
    <row r="2586" spans="5:7" x14ac:dyDescent="0.35">
      <c r="E2586" t="s">
        <v>3803</v>
      </c>
      <c r="F2586" t="s">
        <v>944</v>
      </c>
      <c r="G2586" t="s">
        <v>1651</v>
      </c>
    </row>
    <row r="2587" spans="5:7" x14ac:dyDescent="0.35">
      <c r="E2587" t="s">
        <v>3803</v>
      </c>
      <c r="F2587" t="s">
        <v>2956</v>
      </c>
      <c r="G2587" t="s">
        <v>1651</v>
      </c>
    </row>
    <row r="2588" spans="5:7" x14ac:dyDescent="0.35">
      <c r="E2588" t="s">
        <v>3803</v>
      </c>
      <c r="F2588" t="s">
        <v>6072</v>
      </c>
      <c r="G2588" t="s">
        <v>1651</v>
      </c>
    </row>
    <row r="2589" spans="5:7" x14ac:dyDescent="0.35">
      <c r="E2589" t="s">
        <v>3803</v>
      </c>
      <c r="F2589" t="s">
        <v>6073</v>
      </c>
      <c r="G2589" t="s">
        <v>1651</v>
      </c>
    </row>
    <row r="2590" spans="5:7" x14ac:dyDescent="0.35">
      <c r="E2590" t="s">
        <v>3803</v>
      </c>
      <c r="F2590" t="s">
        <v>6074</v>
      </c>
      <c r="G2590" t="s">
        <v>1651</v>
      </c>
    </row>
    <row r="2591" spans="5:7" x14ac:dyDescent="0.35">
      <c r="E2591" t="s">
        <v>3803</v>
      </c>
      <c r="F2591" t="s">
        <v>2958</v>
      </c>
      <c r="G2591" t="s">
        <v>1651</v>
      </c>
    </row>
    <row r="2592" spans="5:7" x14ac:dyDescent="0.35">
      <c r="E2592" t="s">
        <v>3803</v>
      </c>
      <c r="F2592" t="s">
        <v>2961</v>
      </c>
      <c r="G2592" t="s">
        <v>1651</v>
      </c>
    </row>
    <row r="2593" spans="5:7" x14ac:dyDescent="0.35">
      <c r="E2593" t="s">
        <v>3803</v>
      </c>
      <c r="F2593" t="s">
        <v>2966</v>
      </c>
      <c r="G2593" t="s">
        <v>1656</v>
      </c>
    </row>
    <row r="2594" spans="5:7" x14ac:dyDescent="0.35">
      <c r="E2594" t="s">
        <v>3803</v>
      </c>
      <c r="F2594" t="s">
        <v>554</v>
      </c>
      <c r="G2594" t="s">
        <v>1656</v>
      </c>
    </row>
    <row r="2595" spans="5:7" x14ac:dyDescent="0.35">
      <c r="E2595" t="s">
        <v>3803</v>
      </c>
      <c r="F2595" t="s">
        <v>6075</v>
      </c>
      <c r="G2595" t="s">
        <v>1656</v>
      </c>
    </row>
    <row r="2596" spans="5:7" x14ac:dyDescent="0.35">
      <c r="E2596" t="s">
        <v>3803</v>
      </c>
      <c r="F2596" t="s">
        <v>6076</v>
      </c>
      <c r="G2596" t="s">
        <v>1656</v>
      </c>
    </row>
    <row r="2597" spans="5:7" x14ac:dyDescent="0.35">
      <c r="E2597" t="s">
        <v>3803</v>
      </c>
      <c r="F2597" t="s">
        <v>6077</v>
      </c>
      <c r="G2597" t="s">
        <v>1656</v>
      </c>
    </row>
    <row r="2598" spans="5:7" x14ac:dyDescent="0.35">
      <c r="E2598" t="s">
        <v>3803</v>
      </c>
      <c r="F2598" t="s">
        <v>6078</v>
      </c>
      <c r="G2598" t="s">
        <v>1656</v>
      </c>
    </row>
    <row r="2599" spans="5:7" x14ac:dyDescent="0.35">
      <c r="E2599" t="s">
        <v>3803</v>
      </c>
      <c r="F2599" t="s">
        <v>6079</v>
      </c>
      <c r="G2599" t="s">
        <v>1656</v>
      </c>
    </row>
    <row r="2600" spans="5:7" x14ac:dyDescent="0.35">
      <c r="E2600" t="s">
        <v>3803</v>
      </c>
      <c r="F2600" t="s">
        <v>6080</v>
      </c>
      <c r="G2600" t="s">
        <v>1656</v>
      </c>
    </row>
    <row r="2601" spans="5:7" x14ac:dyDescent="0.35">
      <c r="E2601" t="s">
        <v>3803</v>
      </c>
      <c r="F2601" t="s">
        <v>6081</v>
      </c>
      <c r="G2601" t="s">
        <v>1656</v>
      </c>
    </row>
    <row r="2602" spans="5:7" x14ac:dyDescent="0.35">
      <c r="E2602" t="s">
        <v>3803</v>
      </c>
      <c r="F2602" t="s">
        <v>6082</v>
      </c>
      <c r="G2602" t="s">
        <v>1656</v>
      </c>
    </row>
    <row r="2603" spans="5:7" x14ac:dyDescent="0.35">
      <c r="E2603" t="s">
        <v>3803</v>
      </c>
      <c r="F2603" t="s">
        <v>6083</v>
      </c>
      <c r="G2603" t="s">
        <v>1656</v>
      </c>
    </row>
    <row r="2604" spans="5:7" x14ac:dyDescent="0.35">
      <c r="E2604" t="s">
        <v>3803</v>
      </c>
      <c r="F2604" t="s">
        <v>6084</v>
      </c>
      <c r="G2604" t="s">
        <v>1656</v>
      </c>
    </row>
    <row r="2605" spans="5:7" x14ac:dyDescent="0.35">
      <c r="E2605" t="s">
        <v>3803</v>
      </c>
      <c r="F2605" t="s">
        <v>6085</v>
      </c>
      <c r="G2605" t="s">
        <v>1656</v>
      </c>
    </row>
    <row r="2606" spans="5:7" x14ac:dyDescent="0.35">
      <c r="E2606" t="s">
        <v>3803</v>
      </c>
      <c r="F2606" t="s">
        <v>6086</v>
      </c>
      <c r="G2606" t="s">
        <v>1656</v>
      </c>
    </row>
    <row r="2607" spans="5:7" x14ac:dyDescent="0.35">
      <c r="E2607" t="s">
        <v>3803</v>
      </c>
      <c r="F2607" t="s">
        <v>6087</v>
      </c>
      <c r="G2607" t="s">
        <v>1656</v>
      </c>
    </row>
    <row r="2608" spans="5:7" x14ac:dyDescent="0.35">
      <c r="E2608" t="s">
        <v>3803</v>
      </c>
      <c r="F2608" t="s">
        <v>6088</v>
      </c>
      <c r="G2608" t="s">
        <v>1656</v>
      </c>
    </row>
    <row r="2609" spans="5:7" x14ac:dyDescent="0.35">
      <c r="E2609" t="s">
        <v>3803</v>
      </c>
      <c r="F2609" t="s">
        <v>688</v>
      </c>
      <c r="G2609" t="s">
        <v>1656</v>
      </c>
    </row>
    <row r="2610" spans="5:7" x14ac:dyDescent="0.35">
      <c r="E2610" t="s">
        <v>3803</v>
      </c>
      <c r="F2610" t="s">
        <v>6089</v>
      </c>
      <c r="G2610" t="s">
        <v>1656</v>
      </c>
    </row>
    <row r="2611" spans="5:7" x14ac:dyDescent="0.35">
      <c r="E2611" t="s">
        <v>3803</v>
      </c>
      <c r="F2611" t="s">
        <v>6090</v>
      </c>
      <c r="G2611" t="s">
        <v>1656</v>
      </c>
    </row>
    <row r="2612" spans="5:7" x14ac:dyDescent="0.35">
      <c r="E2612" t="s">
        <v>3803</v>
      </c>
      <c r="F2612" t="s">
        <v>6091</v>
      </c>
      <c r="G2612" t="s">
        <v>1656</v>
      </c>
    </row>
    <row r="2613" spans="5:7" x14ac:dyDescent="0.35">
      <c r="E2613" t="s">
        <v>3803</v>
      </c>
      <c r="F2613" t="s">
        <v>6092</v>
      </c>
      <c r="G2613" t="s">
        <v>1656</v>
      </c>
    </row>
    <row r="2614" spans="5:7" x14ac:dyDescent="0.35">
      <c r="E2614" t="s">
        <v>3803</v>
      </c>
      <c r="F2614" t="s">
        <v>6093</v>
      </c>
      <c r="G2614" t="s">
        <v>1656</v>
      </c>
    </row>
    <row r="2615" spans="5:7" x14ac:dyDescent="0.35">
      <c r="E2615" t="s">
        <v>3803</v>
      </c>
      <c r="F2615" t="s">
        <v>6094</v>
      </c>
      <c r="G2615" t="s">
        <v>1656</v>
      </c>
    </row>
    <row r="2616" spans="5:7" x14ac:dyDescent="0.35">
      <c r="E2616" t="s">
        <v>3803</v>
      </c>
      <c r="F2616" t="s">
        <v>6095</v>
      </c>
      <c r="G2616" t="s">
        <v>1656</v>
      </c>
    </row>
    <row r="2617" spans="5:7" x14ac:dyDescent="0.35">
      <c r="E2617" t="s">
        <v>3803</v>
      </c>
      <c r="F2617" t="s">
        <v>6096</v>
      </c>
      <c r="G2617" t="s">
        <v>1656</v>
      </c>
    </row>
    <row r="2618" spans="5:7" x14ac:dyDescent="0.35">
      <c r="E2618" t="s">
        <v>3803</v>
      </c>
      <c r="F2618" t="s">
        <v>6097</v>
      </c>
      <c r="G2618" t="s">
        <v>1656</v>
      </c>
    </row>
    <row r="2619" spans="5:7" x14ac:dyDescent="0.35">
      <c r="E2619" t="s">
        <v>3803</v>
      </c>
      <c r="F2619" t="s">
        <v>6098</v>
      </c>
      <c r="G2619" t="s">
        <v>1656</v>
      </c>
    </row>
    <row r="2620" spans="5:7" x14ac:dyDescent="0.35">
      <c r="E2620" t="s">
        <v>3803</v>
      </c>
      <c r="F2620" t="s">
        <v>6099</v>
      </c>
      <c r="G2620" t="s">
        <v>1656</v>
      </c>
    </row>
    <row r="2621" spans="5:7" x14ac:dyDescent="0.35">
      <c r="E2621" t="s">
        <v>3803</v>
      </c>
      <c r="F2621" t="s">
        <v>6100</v>
      </c>
      <c r="G2621" t="s">
        <v>1656</v>
      </c>
    </row>
    <row r="2622" spans="5:7" x14ac:dyDescent="0.35">
      <c r="E2622" t="s">
        <v>3803</v>
      </c>
      <c r="F2622" t="s">
        <v>6101</v>
      </c>
      <c r="G2622" t="s">
        <v>1656</v>
      </c>
    </row>
    <row r="2623" spans="5:7" x14ac:dyDescent="0.35">
      <c r="E2623" t="s">
        <v>3803</v>
      </c>
      <c r="F2623" t="s">
        <v>6102</v>
      </c>
      <c r="G2623" t="s">
        <v>1656</v>
      </c>
    </row>
    <row r="2624" spans="5:7" x14ac:dyDescent="0.35">
      <c r="E2624" t="s">
        <v>3803</v>
      </c>
      <c r="F2624" t="s">
        <v>6103</v>
      </c>
      <c r="G2624" t="s">
        <v>1656</v>
      </c>
    </row>
    <row r="2625" spans="5:7" x14ac:dyDescent="0.35">
      <c r="E2625" t="s">
        <v>3803</v>
      </c>
      <c r="F2625" t="s">
        <v>6104</v>
      </c>
      <c r="G2625" t="s">
        <v>1656</v>
      </c>
    </row>
    <row r="2626" spans="5:7" x14ac:dyDescent="0.35">
      <c r="E2626" t="s">
        <v>3803</v>
      </c>
      <c r="F2626" t="s">
        <v>2969</v>
      </c>
      <c r="G2626" t="s">
        <v>1656</v>
      </c>
    </row>
    <row r="2627" spans="5:7" x14ac:dyDescent="0.35">
      <c r="E2627" t="s">
        <v>3803</v>
      </c>
      <c r="F2627" t="s">
        <v>2972</v>
      </c>
      <c r="G2627" t="s">
        <v>1656</v>
      </c>
    </row>
    <row r="2628" spans="5:7" x14ac:dyDescent="0.35">
      <c r="E2628" t="s">
        <v>3803</v>
      </c>
      <c r="F2628" t="s">
        <v>896</v>
      </c>
      <c r="G2628" t="s">
        <v>1656</v>
      </c>
    </row>
    <row r="2629" spans="5:7" x14ac:dyDescent="0.35">
      <c r="E2629" t="s">
        <v>3803</v>
      </c>
      <c r="F2629" t="s">
        <v>6105</v>
      </c>
      <c r="G2629" t="s">
        <v>1656</v>
      </c>
    </row>
    <row r="2630" spans="5:7" x14ac:dyDescent="0.35">
      <c r="E2630" t="s">
        <v>3803</v>
      </c>
      <c r="F2630" t="s">
        <v>6106</v>
      </c>
      <c r="G2630" t="s">
        <v>1656</v>
      </c>
    </row>
    <row r="2631" spans="5:7" x14ac:dyDescent="0.35">
      <c r="E2631" t="s">
        <v>3803</v>
      </c>
      <c r="F2631" t="s">
        <v>2975</v>
      </c>
      <c r="G2631" t="s">
        <v>1656</v>
      </c>
    </row>
    <row r="2632" spans="5:7" x14ac:dyDescent="0.35">
      <c r="E2632" t="s">
        <v>3803</v>
      </c>
      <c r="F2632" t="s">
        <v>941</v>
      </c>
      <c r="G2632" t="s">
        <v>1656</v>
      </c>
    </row>
    <row r="2633" spans="5:7" x14ac:dyDescent="0.35">
      <c r="E2633" t="s">
        <v>3803</v>
      </c>
      <c r="F2633" t="s">
        <v>6107</v>
      </c>
      <c r="G2633" t="s">
        <v>1656</v>
      </c>
    </row>
    <row r="2634" spans="5:7" x14ac:dyDescent="0.35">
      <c r="E2634" t="s">
        <v>3803</v>
      </c>
      <c r="F2634" t="s">
        <v>6108</v>
      </c>
      <c r="G2634" t="s">
        <v>1656</v>
      </c>
    </row>
    <row r="2635" spans="5:7" x14ac:dyDescent="0.35">
      <c r="E2635" t="s">
        <v>3803</v>
      </c>
      <c r="F2635" t="s">
        <v>6109</v>
      </c>
      <c r="G2635" t="s">
        <v>1656</v>
      </c>
    </row>
    <row r="2636" spans="5:7" x14ac:dyDescent="0.35">
      <c r="E2636" t="s">
        <v>3803</v>
      </c>
      <c r="F2636" t="s">
        <v>6110</v>
      </c>
      <c r="G2636" t="s">
        <v>1656</v>
      </c>
    </row>
    <row r="2637" spans="5:7" x14ac:dyDescent="0.35">
      <c r="E2637" t="s">
        <v>3803</v>
      </c>
      <c r="F2637" t="s">
        <v>6111</v>
      </c>
      <c r="G2637" t="s">
        <v>1656</v>
      </c>
    </row>
    <row r="2638" spans="5:7" x14ac:dyDescent="0.35">
      <c r="E2638" t="s">
        <v>3803</v>
      </c>
      <c r="F2638" t="s">
        <v>6112</v>
      </c>
      <c r="G2638" t="s">
        <v>1656</v>
      </c>
    </row>
    <row r="2639" spans="5:7" x14ac:dyDescent="0.35">
      <c r="E2639" t="s">
        <v>3803</v>
      </c>
      <c r="F2639" t="s">
        <v>6113</v>
      </c>
      <c r="G2639" t="s">
        <v>1656</v>
      </c>
    </row>
    <row r="2640" spans="5:7" x14ac:dyDescent="0.35">
      <c r="E2640" t="s">
        <v>3803</v>
      </c>
      <c r="F2640" t="s">
        <v>6114</v>
      </c>
      <c r="G2640" t="s">
        <v>1656</v>
      </c>
    </row>
    <row r="2641" spans="5:7" x14ac:dyDescent="0.35">
      <c r="E2641" t="s">
        <v>3803</v>
      </c>
      <c r="F2641" t="s">
        <v>6115</v>
      </c>
      <c r="G2641" t="s">
        <v>1656</v>
      </c>
    </row>
    <row r="2642" spans="5:7" x14ac:dyDescent="0.35">
      <c r="E2642" t="s">
        <v>3803</v>
      </c>
      <c r="F2642" t="s">
        <v>6116</v>
      </c>
      <c r="G2642" t="s">
        <v>1656</v>
      </c>
    </row>
    <row r="2643" spans="5:7" x14ac:dyDescent="0.35">
      <c r="E2643" t="s">
        <v>3803</v>
      </c>
      <c r="F2643" t="s">
        <v>6117</v>
      </c>
      <c r="G2643" t="s">
        <v>1656</v>
      </c>
    </row>
    <row r="2644" spans="5:7" x14ac:dyDescent="0.35">
      <c r="E2644" t="s">
        <v>3803</v>
      </c>
      <c r="F2644" t="s">
        <v>6118</v>
      </c>
      <c r="G2644" t="s">
        <v>1656</v>
      </c>
    </row>
    <row r="2645" spans="5:7" x14ac:dyDescent="0.35">
      <c r="E2645" t="s">
        <v>3803</v>
      </c>
      <c r="F2645" t="s">
        <v>6119</v>
      </c>
      <c r="G2645" t="s">
        <v>1656</v>
      </c>
    </row>
    <row r="2646" spans="5:7" x14ac:dyDescent="0.35">
      <c r="E2646" t="s">
        <v>3803</v>
      </c>
      <c r="F2646" t="s">
        <v>6120</v>
      </c>
      <c r="G2646" t="s">
        <v>1656</v>
      </c>
    </row>
    <row r="2647" spans="5:7" x14ac:dyDescent="0.35">
      <c r="E2647" t="s">
        <v>3803</v>
      </c>
      <c r="F2647" t="s">
        <v>6121</v>
      </c>
      <c r="G2647" t="s">
        <v>1656</v>
      </c>
    </row>
    <row r="2648" spans="5:7" x14ac:dyDescent="0.35">
      <c r="E2648" t="s">
        <v>3803</v>
      </c>
      <c r="F2648" t="s">
        <v>6122</v>
      </c>
      <c r="G2648" t="s">
        <v>1656</v>
      </c>
    </row>
    <row r="2649" spans="5:7" x14ac:dyDescent="0.35">
      <c r="E2649" t="s">
        <v>3803</v>
      </c>
      <c r="F2649" t="s">
        <v>6123</v>
      </c>
      <c r="G2649" t="s">
        <v>1656</v>
      </c>
    </row>
    <row r="2650" spans="5:7" x14ac:dyDescent="0.35">
      <c r="E2650" t="s">
        <v>3803</v>
      </c>
      <c r="F2650" t="s">
        <v>6124</v>
      </c>
      <c r="G2650" t="s">
        <v>1656</v>
      </c>
    </row>
    <row r="2651" spans="5:7" x14ac:dyDescent="0.35">
      <c r="E2651" t="s">
        <v>3803</v>
      </c>
      <c r="F2651" t="s">
        <v>6125</v>
      </c>
      <c r="G2651" t="s">
        <v>1656</v>
      </c>
    </row>
    <row r="2652" spans="5:7" x14ac:dyDescent="0.35">
      <c r="E2652" t="s">
        <v>3803</v>
      </c>
      <c r="F2652" t="s">
        <v>6126</v>
      </c>
      <c r="G2652" t="s">
        <v>1656</v>
      </c>
    </row>
    <row r="2653" spans="5:7" x14ac:dyDescent="0.35">
      <c r="E2653" t="s">
        <v>3803</v>
      </c>
      <c r="F2653" t="s">
        <v>6127</v>
      </c>
      <c r="G2653" t="s">
        <v>1656</v>
      </c>
    </row>
    <row r="2654" spans="5:7" x14ac:dyDescent="0.35">
      <c r="E2654" t="s">
        <v>3803</v>
      </c>
      <c r="F2654" t="s">
        <v>6128</v>
      </c>
      <c r="G2654" t="s">
        <v>1656</v>
      </c>
    </row>
    <row r="2655" spans="5:7" x14ac:dyDescent="0.35">
      <c r="E2655" t="s">
        <v>3803</v>
      </c>
      <c r="F2655" t="s">
        <v>6129</v>
      </c>
      <c r="G2655" t="s">
        <v>1656</v>
      </c>
    </row>
    <row r="2656" spans="5:7" x14ac:dyDescent="0.35">
      <c r="E2656" t="s">
        <v>3803</v>
      </c>
      <c r="F2656" t="s">
        <v>6130</v>
      </c>
      <c r="G2656" t="s">
        <v>1656</v>
      </c>
    </row>
    <row r="2657" spans="5:7" x14ac:dyDescent="0.35">
      <c r="E2657" t="s">
        <v>3803</v>
      </c>
      <c r="F2657" t="s">
        <v>6131</v>
      </c>
      <c r="G2657" t="s">
        <v>1656</v>
      </c>
    </row>
    <row r="2658" spans="5:7" x14ac:dyDescent="0.35">
      <c r="E2658" t="s">
        <v>3803</v>
      </c>
      <c r="F2658" t="s">
        <v>6132</v>
      </c>
      <c r="G2658" t="s">
        <v>1656</v>
      </c>
    </row>
    <row r="2659" spans="5:7" x14ac:dyDescent="0.35">
      <c r="E2659" t="s">
        <v>3803</v>
      </c>
      <c r="F2659" t="s">
        <v>1051</v>
      </c>
      <c r="G2659" t="s">
        <v>1656</v>
      </c>
    </row>
    <row r="2660" spans="5:7" x14ac:dyDescent="0.35">
      <c r="E2660" t="s">
        <v>3803</v>
      </c>
      <c r="F2660" t="s">
        <v>6133</v>
      </c>
      <c r="G2660" t="s">
        <v>1656</v>
      </c>
    </row>
    <row r="2661" spans="5:7" x14ac:dyDescent="0.35">
      <c r="E2661" t="s">
        <v>3803</v>
      </c>
      <c r="F2661" t="s">
        <v>6134</v>
      </c>
      <c r="G2661" t="s">
        <v>1656</v>
      </c>
    </row>
    <row r="2662" spans="5:7" x14ac:dyDescent="0.35">
      <c r="E2662" t="s">
        <v>3803</v>
      </c>
      <c r="F2662" t="s">
        <v>6135</v>
      </c>
      <c r="G2662" t="s">
        <v>1656</v>
      </c>
    </row>
    <row r="2663" spans="5:7" x14ac:dyDescent="0.35">
      <c r="E2663" t="s">
        <v>3803</v>
      </c>
      <c r="F2663" t="s">
        <v>6136</v>
      </c>
      <c r="G2663" t="s">
        <v>1656</v>
      </c>
    </row>
    <row r="2664" spans="5:7" x14ac:dyDescent="0.35">
      <c r="E2664" t="s">
        <v>3803</v>
      </c>
      <c r="F2664" t="s">
        <v>6137</v>
      </c>
      <c r="G2664" t="s">
        <v>1656</v>
      </c>
    </row>
    <row r="2665" spans="5:7" x14ac:dyDescent="0.35">
      <c r="E2665" t="s">
        <v>3803</v>
      </c>
      <c r="F2665" t="s">
        <v>6138</v>
      </c>
      <c r="G2665" t="s">
        <v>1656</v>
      </c>
    </row>
    <row r="2666" spans="5:7" x14ac:dyDescent="0.35">
      <c r="E2666" t="s">
        <v>3803</v>
      </c>
      <c r="F2666" t="s">
        <v>6139</v>
      </c>
      <c r="G2666" t="s">
        <v>1656</v>
      </c>
    </row>
    <row r="2667" spans="5:7" x14ac:dyDescent="0.35">
      <c r="E2667" t="s">
        <v>3803</v>
      </c>
      <c r="F2667" t="s">
        <v>6140</v>
      </c>
      <c r="G2667" t="s">
        <v>1656</v>
      </c>
    </row>
    <row r="2668" spans="5:7" x14ac:dyDescent="0.35">
      <c r="E2668" t="s">
        <v>3803</v>
      </c>
      <c r="F2668" t="s">
        <v>6141</v>
      </c>
      <c r="G2668" t="s">
        <v>1656</v>
      </c>
    </row>
    <row r="2669" spans="5:7" x14ac:dyDescent="0.35">
      <c r="E2669" t="s">
        <v>3803</v>
      </c>
      <c r="F2669" t="s">
        <v>6142</v>
      </c>
      <c r="G2669" t="s">
        <v>1656</v>
      </c>
    </row>
    <row r="2670" spans="5:7" x14ac:dyDescent="0.35">
      <c r="E2670" t="s">
        <v>3803</v>
      </c>
      <c r="F2670" t="s">
        <v>6143</v>
      </c>
      <c r="G2670" t="s">
        <v>1656</v>
      </c>
    </row>
    <row r="2671" spans="5:7" x14ac:dyDescent="0.35">
      <c r="E2671" t="s">
        <v>3803</v>
      </c>
      <c r="F2671" t="s">
        <v>6144</v>
      </c>
      <c r="G2671" t="s">
        <v>1656</v>
      </c>
    </row>
    <row r="2672" spans="5:7" x14ac:dyDescent="0.35">
      <c r="E2672" t="s">
        <v>3803</v>
      </c>
      <c r="F2672" t="s">
        <v>6145</v>
      </c>
      <c r="G2672" t="s">
        <v>1656</v>
      </c>
    </row>
    <row r="2673" spans="5:7" x14ac:dyDescent="0.35">
      <c r="E2673" t="s">
        <v>3803</v>
      </c>
      <c r="F2673" t="s">
        <v>6146</v>
      </c>
      <c r="G2673" t="s">
        <v>1656</v>
      </c>
    </row>
    <row r="2674" spans="5:7" x14ac:dyDescent="0.35">
      <c r="E2674" t="s">
        <v>3803</v>
      </c>
      <c r="F2674" t="s">
        <v>6147</v>
      </c>
      <c r="G2674" t="s">
        <v>1656</v>
      </c>
    </row>
    <row r="2675" spans="5:7" x14ac:dyDescent="0.35">
      <c r="E2675" t="s">
        <v>3803</v>
      </c>
      <c r="F2675" t="s">
        <v>6148</v>
      </c>
      <c r="G2675" t="s">
        <v>1656</v>
      </c>
    </row>
    <row r="2676" spans="5:7" x14ac:dyDescent="0.35">
      <c r="E2676" t="s">
        <v>3803</v>
      </c>
      <c r="F2676" t="s">
        <v>6149</v>
      </c>
      <c r="G2676" t="s">
        <v>1656</v>
      </c>
    </row>
    <row r="2677" spans="5:7" x14ac:dyDescent="0.35">
      <c r="E2677" t="s">
        <v>3803</v>
      </c>
      <c r="F2677" t="s">
        <v>6150</v>
      </c>
      <c r="G2677" t="s">
        <v>1656</v>
      </c>
    </row>
    <row r="2678" spans="5:7" x14ac:dyDescent="0.35">
      <c r="E2678" t="s">
        <v>3803</v>
      </c>
      <c r="F2678" t="s">
        <v>6151</v>
      </c>
      <c r="G2678" t="s">
        <v>1656</v>
      </c>
    </row>
    <row r="2679" spans="5:7" x14ac:dyDescent="0.35">
      <c r="E2679" t="s">
        <v>3803</v>
      </c>
      <c r="F2679" t="s">
        <v>6152</v>
      </c>
      <c r="G2679" t="s">
        <v>1656</v>
      </c>
    </row>
    <row r="2680" spans="5:7" x14ac:dyDescent="0.35">
      <c r="E2680" t="s">
        <v>3803</v>
      </c>
      <c r="F2680" t="s">
        <v>6153</v>
      </c>
      <c r="G2680" t="s">
        <v>1656</v>
      </c>
    </row>
    <row r="2681" spans="5:7" x14ac:dyDescent="0.35">
      <c r="E2681" t="s">
        <v>3803</v>
      </c>
      <c r="F2681" t="s">
        <v>6154</v>
      </c>
      <c r="G2681" t="s">
        <v>1656</v>
      </c>
    </row>
    <row r="2682" spans="5:7" x14ac:dyDescent="0.35">
      <c r="E2682" t="s">
        <v>3803</v>
      </c>
      <c r="F2682" t="s">
        <v>6155</v>
      </c>
      <c r="G2682" t="s">
        <v>1656</v>
      </c>
    </row>
    <row r="2683" spans="5:7" x14ac:dyDescent="0.35">
      <c r="E2683" t="s">
        <v>3803</v>
      </c>
      <c r="F2683" t="s">
        <v>6156</v>
      </c>
      <c r="G2683" t="s">
        <v>1656</v>
      </c>
    </row>
    <row r="2684" spans="5:7" x14ac:dyDescent="0.35">
      <c r="E2684" t="s">
        <v>3803</v>
      </c>
      <c r="F2684" t="s">
        <v>6157</v>
      </c>
      <c r="G2684" t="s">
        <v>1656</v>
      </c>
    </row>
    <row r="2685" spans="5:7" x14ac:dyDescent="0.35">
      <c r="E2685" t="s">
        <v>3803</v>
      </c>
      <c r="F2685" t="s">
        <v>6158</v>
      </c>
      <c r="G2685" t="s">
        <v>1656</v>
      </c>
    </row>
    <row r="2686" spans="5:7" x14ac:dyDescent="0.35">
      <c r="E2686" t="s">
        <v>3803</v>
      </c>
      <c r="F2686" t="s">
        <v>6159</v>
      </c>
      <c r="G2686" t="s">
        <v>1656</v>
      </c>
    </row>
    <row r="2687" spans="5:7" x14ac:dyDescent="0.35">
      <c r="E2687" t="s">
        <v>3803</v>
      </c>
      <c r="F2687" t="s">
        <v>6160</v>
      </c>
      <c r="G2687" t="s">
        <v>1656</v>
      </c>
    </row>
    <row r="2688" spans="5:7" x14ac:dyDescent="0.35">
      <c r="E2688" t="s">
        <v>3803</v>
      </c>
      <c r="F2688" t="s">
        <v>6161</v>
      </c>
      <c r="G2688" t="s">
        <v>1656</v>
      </c>
    </row>
    <row r="2689" spans="5:7" x14ac:dyDescent="0.35">
      <c r="E2689" t="s">
        <v>3803</v>
      </c>
      <c r="F2689" t="s">
        <v>6162</v>
      </c>
      <c r="G2689" t="s">
        <v>1656</v>
      </c>
    </row>
    <row r="2690" spans="5:7" x14ac:dyDescent="0.35">
      <c r="E2690" t="s">
        <v>3803</v>
      </c>
      <c r="F2690" t="s">
        <v>1148</v>
      </c>
      <c r="G2690" t="s">
        <v>1656</v>
      </c>
    </row>
    <row r="2691" spans="5:7" x14ac:dyDescent="0.35">
      <c r="E2691" t="s">
        <v>3803</v>
      </c>
      <c r="F2691" t="s">
        <v>6163</v>
      </c>
      <c r="G2691" t="s">
        <v>1656</v>
      </c>
    </row>
    <row r="2692" spans="5:7" x14ac:dyDescent="0.35">
      <c r="E2692" t="s">
        <v>3803</v>
      </c>
      <c r="F2692" t="s">
        <v>6164</v>
      </c>
      <c r="G2692" t="s">
        <v>1656</v>
      </c>
    </row>
    <row r="2693" spans="5:7" x14ac:dyDescent="0.35">
      <c r="E2693" t="s">
        <v>3803</v>
      </c>
      <c r="F2693" t="s">
        <v>6165</v>
      </c>
      <c r="G2693" t="s">
        <v>1656</v>
      </c>
    </row>
    <row r="2694" spans="5:7" x14ac:dyDescent="0.35">
      <c r="E2694" t="s">
        <v>3803</v>
      </c>
      <c r="F2694" t="s">
        <v>6166</v>
      </c>
      <c r="G2694" t="s">
        <v>1656</v>
      </c>
    </row>
    <row r="2695" spans="5:7" x14ac:dyDescent="0.35">
      <c r="E2695" t="s">
        <v>3803</v>
      </c>
      <c r="F2695" t="s">
        <v>6167</v>
      </c>
      <c r="G2695" t="s">
        <v>1656</v>
      </c>
    </row>
    <row r="2696" spans="5:7" x14ac:dyDescent="0.35">
      <c r="E2696" t="s">
        <v>3803</v>
      </c>
      <c r="F2696" t="s">
        <v>6168</v>
      </c>
      <c r="G2696" t="s">
        <v>1656</v>
      </c>
    </row>
    <row r="2697" spans="5:7" x14ac:dyDescent="0.35">
      <c r="E2697" t="s">
        <v>3803</v>
      </c>
      <c r="F2697" t="s">
        <v>6169</v>
      </c>
      <c r="G2697" t="s">
        <v>1656</v>
      </c>
    </row>
    <row r="2698" spans="5:7" x14ac:dyDescent="0.35">
      <c r="E2698" t="s">
        <v>3803</v>
      </c>
      <c r="F2698" t="s">
        <v>6170</v>
      </c>
      <c r="G2698" t="s">
        <v>1656</v>
      </c>
    </row>
    <row r="2699" spans="5:7" x14ac:dyDescent="0.35">
      <c r="E2699" t="s">
        <v>3803</v>
      </c>
      <c r="F2699" t="s">
        <v>6171</v>
      </c>
      <c r="G2699" t="s">
        <v>1656</v>
      </c>
    </row>
    <row r="2700" spans="5:7" x14ac:dyDescent="0.35">
      <c r="E2700" t="s">
        <v>3803</v>
      </c>
      <c r="F2700" t="s">
        <v>6172</v>
      </c>
      <c r="G2700" t="s">
        <v>1656</v>
      </c>
    </row>
    <row r="2701" spans="5:7" x14ac:dyDescent="0.35">
      <c r="E2701" t="s">
        <v>3803</v>
      </c>
      <c r="F2701" t="s">
        <v>6173</v>
      </c>
      <c r="G2701" t="s">
        <v>1656</v>
      </c>
    </row>
    <row r="2702" spans="5:7" x14ac:dyDescent="0.35">
      <c r="E2702" t="s">
        <v>3803</v>
      </c>
      <c r="F2702" t="s">
        <v>6174</v>
      </c>
      <c r="G2702" t="s">
        <v>1656</v>
      </c>
    </row>
    <row r="2703" spans="5:7" x14ac:dyDescent="0.35">
      <c r="E2703" t="s">
        <v>3803</v>
      </c>
      <c r="F2703" t="s">
        <v>6175</v>
      </c>
      <c r="G2703" t="s">
        <v>1656</v>
      </c>
    </row>
    <row r="2704" spans="5:7" x14ac:dyDescent="0.35">
      <c r="E2704" t="s">
        <v>3803</v>
      </c>
      <c r="F2704" t="s">
        <v>6176</v>
      </c>
      <c r="G2704" t="s">
        <v>1656</v>
      </c>
    </row>
    <row r="2705" spans="5:7" x14ac:dyDescent="0.35">
      <c r="E2705" t="s">
        <v>3803</v>
      </c>
      <c r="F2705" t="s">
        <v>6177</v>
      </c>
      <c r="G2705" t="s">
        <v>1656</v>
      </c>
    </row>
    <row r="2706" spans="5:7" x14ac:dyDescent="0.35">
      <c r="E2706" t="s">
        <v>3803</v>
      </c>
      <c r="F2706" t="s">
        <v>6178</v>
      </c>
      <c r="G2706" t="s">
        <v>1656</v>
      </c>
    </row>
    <row r="2707" spans="5:7" x14ac:dyDescent="0.35">
      <c r="E2707" t="s">
        <v>3803</v>
      </c>
      <c r="F2707" t="s">
        <v>6179</v>
      </c>
      <c r="G2707" t="s">
        <v>1656</v>
      </c>
    </row>
    <row r="2708" spans="5:7" x14ac:dyDescent="0.35">
      <c r="E2708" t="s">
        <v>3803</v>
      </c>
      <c r="F2708" t="s">
        <v>6180</v>
      </c>
      <c r="G2708" t="s">
        <v>1656</v>
      </c>
    </row>
    <row r="2709" spans="5:7" x14ac:dyDescent="0.35">
      <c r="E2709" t="s">
        <v>3803</v>
      </c>
      <c r="F2709" t="s">
        <v>6181</v>
      </c>
      <c r="G2709" t="s">
        <v>1656</v>
      </c>
    </row>
    <row r="2710" spans="5:7" x14ac:dyDescent="0.35">
      <c r="E2710" t="s">
        <v>3803</v>
      </c>
      <c r="F2710" t="s">
        <v>6182</v>
      </c>
      <c r="G2710" t="s">
        <v>1656</v>
      </c>
    </row>
    <row r="2711" spans="5:7" x14ac:dyDescent="0.35">
      <c r="E2711" t="s">
        <v>3803</v>
      </c>
      <c r="F2711" t="s">
        <v>6183</v>
      </c>
      <c r="G2711" t="s">
        <v>1656</v>
      </c>
    </row>
    <row r="2712" spans="5:7" x14ac:dyDescent="0.35">
      <c r="E2712" t="s">
        <v>3803</v>
      </c>
      <c r="F2712" t="s">
        <v>6184</v>
      </c>
      <c r="G2712" t="s">
        <v>1656</v>
      </c>
    </row>
    <row r="2713" spans="5:7" x14ac:dyDescent="0.35">
      <c r="E2713" t="s">
        <v>3803</v>
      </c>
      <c r="F2713" t="s">
        <v>6185</v>
      </c>
      <c r="G2713" t="s">
        <v>1656</v>
      </c>
    </row>
    <row r="2714" spans="5:7" x14ac:dyDescent="0.35">
      <c r="E2714" t="s">
        <v>3803</v>
      </c>
      <c r="F2714" t="s">
        <v>6186</v>
      </c>
      <c r="G2714" t="s">
        <v>1656</v>
      </c>
    </row>
    <row r="2715" spans="5:7" x14ac:dyDescent="0.35">
      <c r="E2715" t="s">
        <v>3803</v>
      </c>
      <c r="F2715" t="s">
        <v>6187</v>
      </c>
      <c r="G2715" t="s">
        <v>1656</v>
      </c>
    </row>
    <row r="2716" spans="5:7" x14ac:dyDescent="0.35">
      <c r="E2716" t="s">
        <v>3803</v>
      </c>
      <c r="F2716" t="s">
        <v>6188</v>
      </c>
      <c r="G2716" t="s">
        <v>1656</v>
      </c>
    </row>
    <row r="2717" spans="5:7" x14ac:dyDescent="0.35">
      <c r="E2717" t="s">
        <v>3803</v>
      </c>
      <c r="F2717" t="s">
        <v>6189</v>
      </c>
      <c r="G2717" t="s">
        <v>1656</v>
      </c>
    </row>
    <row r="2718" spans="5:7" x14ac:dyDescent="0.35">
      <c r="E2718" t="s">
        <v>3803</v>
      </c>
      <c r="F2718" t="s">
        <v>6190</v>
      </c>
      <c r="G2718" t="s">
        <v>1656</v>
      </c>
    </row>
    <row r="2719" spans="5:7" x14ac:dyDescent="0.35">
      <c r="E2719" t="s">
        <v>3803</v>
      </c>
      <c r="F2719" t="s">
        <v>6191</v>
      </c>
      <c r="G2719" t="s">
        <v>1656</v>
      </c>
    </row>
    <row r="2720" spans="5:7" x14ac:dyDescent="0.35">
      <c r="E2720" t="s">
        <v>3803</v>
      </c>
      <c r="F2720" t="s">
        <v>6192</v>
      </c>
      <c r="G2720" t="s">
        <v>1656</v>
      </c>
    </row>
    <row r="2721" spans="5:7" x14ac:dyDescent="0.35">
      <c r="E2721" t="s">
        <v>3803</v>
      </c>
      <c r="F2721" t="s">
        <v>6193</v>
      </c>
      <c r="G2721" t="s">
        <v>1656</v>
      </c>
    </row>
    <row r="2722" spans="5:7" x14ac:dyDescent="0.35">
      <c r="E2722" t="s">
        <v>3803</v>
      </c>
      <c r="F2722" t="s">
        <v>6194</v>
      </c>
      <c r="G2722" t="s">
        <v>1656</v>
      </c>
    </row>
    <row r="2723" spans="5:7" x14ac:dyDescent="0.35">
      <c r="E2723" t="s">
        <v>3803</v>
      </c>
      <c r="F2723" t="s">
        <v>6195</v>
      </c>
      <c r="G2723" t="s">
        <v>1656</v>
      </c>
    </row>
    <row r="2724" spans="5:7" x14ac:dyDescent="0.35">
      <c r="E2724" t="s">
        <v>3803</v>
      </c>
      <c r="F2724" t="s">
        <v>6196</v>
      </c>
      <c r="G2724" t="s">
        <v>1656</v>
      </c>
    </row>
    <row r="2725" spans="5:7" x14ac:dyDescent="0.35">
      <c r="E2725" t="s">
        <v>3803</v>
      </c>
      <c r="F2725" t="s">
        <v>6197</v>
      </c>
      <c r="G2725" t="s">
        <v>1656</v>
      </c>
    </row>
    <row r="2726" spans="5:7" x14ac:dyDescent="0.35">
      <c r="E2726" t="s">
        <v>3803</v>
      </c>
      <c r="F2726" t="s">
        <v>6198</v>
      </c>
      <c r="G2726" t="s">
        <v>1656</v>
      </c>
    </row>
    <row r="2727" spans="5:7" x14ac:dyDescent="0.35">
      <c r="E2727" t="s">
        <v>3803</v>
      </c>
      <c r="F2727" t="s">
        <v>6199</v>
      </c>
      <c r="G2727" t="s">
        <v>1656</v>
      </c>
    </row>
    <row r="2728" spans="5:7" x14ac:dyDescent="0.35">
      <c r="E2728" t="s">
        <v>3803</v>
      </c>
      <c r="F2728" t="s">
        <v>6200</v>
      </c>
      <c r="G2728" t="s">
        <v>1656</v>
      </c>
    </row>
    <row r="2729" spans="5:7" x14ac:dyDescent="0.35">
      <c r="E2729" t="s">
        <v>3803</v>
      </c>
      <c r="F2729" t="s">
        <v>6201</v>
      </c>
      <c r="G2729" t="s">
        <v>1656</v>
      </c>
    </row>
    <row r="2730" spans="5:7" x14ac:dyDescent="0.35">
      <c r="E2730" t="s">
        <v>3803</v>
      </c>
      <c r="F2730" t="s">
        <v>6202</v>
      </c>
      <c r="G2730" t="s">
        <v>1656</v>
      </c>
    </row>
    <row r="2731" spans="5:7" x14ac:dyDescent="0.35">
      <c r="E2731" t="s">
        <v>3803</v>
      </c>
      <c r="F2731" t="s">
        <v>6203</v>
      </c>
      <c r="G2731" t="s">
        <v>1656</v>
      </c>
    </row>
    <row r="2732" spans="5:7" x14ac:dyDescent="0.35">
      <c r="E2732" t="s">
        <v>3803</v>
      </c>
      <c r="F2732" t="s">
        <v>6204</v>
      </c>
      <c r="G2732" t="s">
        <v>1656</v>
      </c>
    </row>
    <row r="2733" spans="5:7" x14ac:dyDescent="0.35">
      <c r="E2733" t="s">
        <v>3803</v>
      </c>
      <c r="F2733" t="s">
        <v>6205</v>
      </c>
      <c r="G2733" t="s">
        <v>1656</v>
      </c>
    </row>
    <row r="2734" spans="5:7" x14ac:dyDescent="0.35">
      <c r="E2734" t="s">
        <v>3803</v>
      </c>
      <c r="F2734" t="s">
        <v>6206</v>
      </c>
      <c r="G2734" t="s">
        <v>1656</v>
      </c>
    </row>
    <row r="2735" spans="5:7" x14ac:dyDescent="0.35">
      <c r="E2735" t="s">
        <v>3803</v>
      </c>
      <c r="F2735" t="s">
        <v>6207</v>
      </c>
      <c r="G2735" t="s">
        <v>1656</v>
      </c>
    </row>
    <row r="2736" spans="5:7" x14ac:dyDescent="0.35">
      <c r="E2736" t="s">
        <v>3803</v>
      </c>
      <c r="F2736" t="s">
        <v>1264</v>
      </c>
      <c r="G2736" t="s">
        <v>1656</v>
      </c>
    </row>
    <row r="2737" spans="5:7" x14ac:dyDescent="0.35">
      <c r="E2737" t="s">
        <v>3803</v>
      </c>
      <c r="F2737" t="s">
        <v>6208</v>
      </c>
      <c r="G2737" t="s">
        <v>1656</v>
      </c>
    </row>
    <row r="2738" spans="5:7" x14ac:dyDescent="0.35">
      <c r="E2738" t="s">
        <v>3803</v>
      </c>
      <c r="F2738" t="s">
        <v>6209</v>
      </c>
      <c r="G2738" t="s">
        <v>1656</v>
      </c>
    </row>
    <row r="2739" spans="5:7" x14ac:dyDescent="0.35">
      <c r="E2739" t="s">
        <v>3803</v>
      </c>
      <c r="F2739" t="s">
        <v>6210</v>
      </c>
      <c r="G2739" t="s">
        <v>1656</v>
      </c>
    </row>
    <row r="2740" spans="5:7" x14ac:dyDescent="0.35">
      <c r="E2740" t="s">
        <v>3803</v>
      </c>
      <c r="F2740" t="s">
        <v>6211</v>
      </c>
      <c r="G2740" t="s">
        <v>1656</v>
      </c>
    </row>
    <row r="2741" spans="5:7" x14ac:dyDescent="0.35">
      <c r="E2741" t="s">
        <v>3803</v>
      </c>
      <c r="F2741" t="s">
        <v>6212</v>
      </c>
      <c r="G2741" t="s">
        <v>1656</v>
      </c>
    </row>
    <row r="2742" spans="5:7" x14ac:dyDescent="0.35">
      <c r="E2742" t="s">
        <v>3803</v>
      </c>
      <c r="F2742" t="s">
        <v>6213</v>
      </c>
      <c r="G2742" t="s">
        <v>1656</v>
      </c>
    </row>
    <row r="2743" spans="5:7" x14ac:dyDescent="0.35">
      <c r="E2743" t="s">
        <v>3803</v>
      </c>
      <c r="F2743" t="s">
        <v>6214</v>
      </c>
      <c r="G2743" t="s">
        <v>1656</v>
      </c>
    </row>
    <row r="2744" spans="5:7" x14ac:dyDescent="0.35">
      <c r="E2744" t="s">
        <v>3803</v>
      </c>
      <c r="F2744" t="s">
        <v>6215</v>
      </c>
      <c r="G2744" t="s">
        <v>1656</v>
      </c>
    </row>
    <row r="2745" spans="5:7" x14ac:dyDescent="0.35">
      <c r="E2745" t="s">
        <v>3803</v>
      </c>
      <c r="F2745" t="s">
        <v>6216</v>
      </c>
      <c r="G2745" t="s">
        <v>1656</v>
      </c>
    </row>
    <row r="2746" spans="5:7" x14ac:dyDescent="0.35">
      <c r="E2746" t="s">
        <v>3803</v>
      </c>
      <c r="F2746" t="s">
        <v>6217</v>
      </c>
      <c r="G2746" t="s">
        <v>1656</v>
      </c>
    </row>
    <row r="2747" spans="5:7" x14ac:dyDescent="0.35">
      <c r="E2747" t="s">
        <v>3803</v>
      </c>
      <c r="F2747" t="s">
        <v>6218</v>
      </c>
      <c r="G2747" t="s">
        <v>1656</v>
      </c>
    </row>
    <row r="2748" spans="5:7" x14ac:dyDescent="0.35">
      <c r="E2748" t="s">
        <v>3803</v>
      </c>
      <c r="F2748" t="s">
        <v>6219</v>
      </c>
      <c r="G2748" t="s">
        <v>1656</v>
      </c>
    </row>
    <row r="2749" spans="5:7" x14ac:dyDescent="0.35">
      <c r="E2749" t="s">
        <v>3803</v>
      </c>
      <c r="F2749" t="s">
        <v>6220</v>
      </c>
      <c r="G2749" t="s">
        <v>1656</v>
      </c>
    </row>
    <row r="2750" spans="5:7" x14ac:dyDescent="0.35">
      <c r="E2750" t="s">
        <v>3803</v>
      </c>
      <c r="F2750" t="s">
        <v>6221</v>
      </c>
      <c r="G2750" t="s">
        <v>1656</v>
      </c>
    </row>
    <row r="2751" spans="5:7" x14ac:dyDescent="0.35">
      <c r="E2751" t="s">
        <v>3803</v>
      </c>
      <c r="F2751" t="s">
        <v>6222</v>
      </c>
      <c r="G2751" t="s">
        <v>1656</v>
      </c>
    </row>
    <row r="2752" spans="5:7" x14ac:dyDescent="0.35">
      <c r="E2752" t="s">
        <v>3803</v>
      </c>
      <c r="F2752" t="s">
        <v>6223</v>
      </c>
      <c r="G2752" t="s">
        <v>1656</v>
      </c>
    </row>
    <row r="2753" spans="5:7" x14ac:dyDescent="0.35">
      <c r="E2753" t="s">
        <v>3803</v>
      </c>
      <c r="F2753" t="s">
        <v>6224</v>
      </c>
      <c r="G2753" t="s">
        <v>1656</v>
      </c>
    </row>
    <row r="2754" spans="5:7" x14ac:dyDescent="0.35">
      <c r="E2754" t="s">
        <v>3803</v>
      </c>
      <c r="F2754" t="s">
        <v>6225</v>
      </c>
      <c r="G2754" t="s">
        <v>1656</v>
      </c>
    </row>
    <row r="2755" spans="5:7" x14ac:dyDescent="0.35">
      <c r="E2755" t="s">
        <v>3803</v>
      </c>
      <c r="F2755" t="s">
        <v>6226</v>
      </c>
      <c r="G2755" t="s">
        <v>1656</v>
      </c>
    </row>
    <row r="2756" spans="5:7" x14ac:dyDescent="0.35">
      <c r="E2756" t="s">
        <v>3803</v>
      </c>
      <c r="F2756" t="s">
        <v>6227</v>
      </c>
      <c r="G2756" t="s">
        <v>1656</v>
      </c>
    </row>
    <row r="2757" spans="5:7" x14ac:dyDescent="0.35">
      <c r="E2757" t="s">
        <v>3803</v>
      </c>
      <c r="F2757" t="s">
        <v>6228</v>
      </c>
      <c r="G2757" t="s">
        <v>1656</v>
      </c>
    </row>
    <row r="2758" spans="5:7" x14ac:dyDescent="0.35">
      <c r="E2758" t="s">
        <v>3803</v>
      </c>
      <c r="F2758" t="s">
        <v>6229</v>
      </c>
      <c r="G2758" t="s">
        <v>1656</v>
      </c>
    </row>
    <row r="2759" spans="5:7" x14ac:dyDescent="0.35">
      <c r="E2759" t="s">
        <v>3803</v>
      </c>
      <c r="F2759" t="s">
        <v>6230</v>
      </c>
      <c r="G2759" t="s">
        <v>1656</v>
      </c>
    </row>
    <row r="2760" spans="5:7" x14ac:dyDescent="0.35">
      <c r="E2760" t="s">
        <v>3803</v>
      </c>
      <c r="F2760" t="s">
        <v>6231</v>
      </c>
      <c r="G2760" t="s">
        <v>1656</v>
      </c>
    </row>
    <row r="2761" spans="5:7" x14ac:dyDescent="0.35">
      <c r="E2761" t="s">
        <v>3803</v>
      </c>
      <c r="F2761" t="s">
        <v>6232</v>
      </c>
      <c r="G2761" t="s">
        <v>1656</v>
      </c>
    </row>
    <row r="2762" spans="5:7" x14ac:dyDescent="0.35">
      <c r="E2762" t="s">
        <v>3803</v>
      </c>
      <c r="F2762" t="s">
        <v>6233</v>
      </c>
      <c r="G2762" t="s">
        <v>1656</v>
      </c>
    </row>
    <row r="2763" spans="5:7" x14ac:dyDescent="0.35">
      <c r="E2763" t="s">
        <v>3803</v>
      </c>
      <c r="F2763" t="s">
        <v>6234</v>
      </c>
      <c r="G2763" t="s">
        <v>1656</v>
      </c>
    </row>
    <row r="2764" spans="5:7" x14ac:dyDescent="0.35">
      <c r="E2764" t="s">
        <v>3803</v>
      </c>
      <c r="F2764" t="s">
        <v>6235</v>
      </c>
      <c r="G2764" t="s">
        <v>1656</v>
      </c>
    </row>
    <row r="2765" spans="5:7" x14ac:dyDescent="0.35">
      <c r="E2765" t="s">
        <v>3803</v>
      </c>
      <c r="F2765" t="s">
        <v>6236</v>
      </c>
      <c r="G2765" t="s">
        <v>1656</v>
      </c>
    </row>
    <row r="2766" spans="5:7" x14ac:dyDescent="0.35">
      <c r="E2766" t="s">
        <v>3803</v>
      </c>
      <c r="F2766" t="s">
        <v>6237</v>
      </c>
      <c r="G2766" t="s">
        <v>1656</v>
      </c>
    </row>
    <row r="2767" spans="5:7" x14ac:dyDescent="0.35">
      <c r="E2767" t="s">
        <v>3803</v>
      </c>
      <c r="F2767" t="s">
        <v>6238</v>
      </c>
      <c r="G2767" t="s">
        <v>1656</v>
      </c>
    </row>
    <row r="2768" spans="5:7" x14ac:dyDescent="0.35">
      <c r="E2768" t="s">
        <v>3803</v>
      </c>
      <c r="F2768" t="s">
        <v>6239</v>
      </c>
      <c r="G2768" t="s">
        <v>1656</v>
      </c>
    </row>
    <row r="2769" spans="5:7" x14ac:dyDescent="0.35">
      <c r="E2769" t="s">
        <v>3803</v>
      </c>
      <c r="F2769" t="s">
        <v>6240</v>
      </c>
      <c r="G2769" t="s">
        <v>1656</v>
      </c>
    </row>
    <row r="2770" spans="5:7" x14ac:dyDescent="0.35">
      <c r="E2770" t="s">
        <v>3803</v>
      </c>
      <c r="F2770" t="s">
        <v>6241</v>
      </c>
      <c r="G2770" t="s">
        <v>1656</v>
      </c>
    </row>
    <row r="2771" spans="5:7" x14ac:dyDescent="0.35">
      <c r="E2771" t="s">
        <v>3803</v>
      </c>
      <c r="F2771" t="s">
        <v>6242</v>
      </c>
      <c r="G2771" t="s">
        <v>1656</v>
      </c>
    </row>
    <row r="2772" spans="5:7" x14ac:dyDescent="0.35">
      <c r="E2772" t="s">
        <v>3803</v>
      </c>
      <c r="F2772" t="s">
        <v>6243</v>
      </c>
      <c r="G2772" t="s">
        <v>1656</v>
      </c>
    </row>
    <row r="2773" spans="5:7" x14ac:dyDescent="0.35">
      <c r="E2773" t="s">
        <v>3803</v>
      </c>
      <c r="F2773" t="s">
        <v>6244</v>
      </c>
      <c r="G2773" t="s">
        <v>1656</v>
      </c>
    </row>
    <row r="2774" spans="5:7" x14ac:dyDescent="0.35">
      <c r="E2774" t="s">
        <v>3803</v>
      </c>
      <c r="F2774" t="s">
        <v>6245</v>
      </c>
      <c r="G2774" t="s">
        <v>1656</v>
      </c>
    </row>
    <row r="2775" spans="5:7" x14ac:dyDescent="0.35">
      <c r="E2775" t="s">
        <v>3803</v>
      </c>
      <c r="F2775" t="s">
        <v>6246</v>
      </c>
      <c r="G2775" t="s">
        <v>1656</v>
      </c>
    </row>
    <row r="2776" spans="5:7" x14ac:dyDescent="0.35">
      <c r="E2776" t="s">
        <v>3803</v>
      </c>
      <c r="F2776" t="s">
        <v>6247</v>
      </c>
      <c r="G2776" t="s">
        <v>1656</v>
      </c>
    </row>
    <row r="2777" spans="5:7" x14ac:dyDescent="0.35">
      <c r="E2777" t="s">
        <v>3803</v>
      </c>
      <c r="F2777" t="s">
        <v>6248</v>
      </c>
      <c r="G2777" t="s">
        <v>1656</v>
      </c>
    </row>
    <row r="2778" spans="5:7" x14ac:dyDescent="0.35">
      <c r="E2778" t="s">
        <v>3803</v>
      </c>
      <c r="F2778" t="s">
        <v>6249</v>
      </c>
      <c r="G2778" t="s">
        <v>1656</v>
      </c>
    </row>
    <row r="2779" spans="5:7" x14ac:dyDescent="0.35">
      <c r="E2779" t="s">
        <v>3803</v>
      </c>
      <c r="F2779" t="s">
        <v>6250</v>
      </c>
      <c r="G2779" t="s">
        <v>1656</v>
      </c>
    </row>
    <row r="2780" spans="5:7" x14ac:dyDescent="0.35">
      <c r="E2780" t="s">
        <v>3803</v>
      </c>
      <c r="F2780" t="s">
        <v>6251</v>
      </c>
      <c r="G2780" t="s">
        <v>1656</v>
      </c>
    </row>
    <row r="2781" spans="5:7" x14ac:dyDescent="0.35">
      <c r="E2781" t="s">
        <v>3803</v>
      </c>
      <c r="F2781" t="s">
        <v>6252</v>
      </c>
      <c r="G2781" t="s">
        <v>1656</v>
      </c>
    </row>
    <row r="2782" spans="5:7" x14ac:dyDescent="0.35">
      <c r="E2782" t="s">
        <v>3803</v>
      </c>
      <c r="F2782" t="s">
        <v>6253</v>
      </c>
      <c r="G2782" t="s">
        <v>1656</v>
      </c>
    </row>
    <row r="2783" spans="5:7" x14ac:dyDescent="0.35">
      <c r="E2783" t="s">
        <v>3803</v>
      </c>
      <c r="F2783" t="s">
        <v>6254</v>
      </c>
      <c r="G2783" t="s">
        <v>1656</v>
      </c>
    </row>
    <row r="2784" spans="5:7" x14ac:dyDescent="0.35">
      <c r="E2784" t="s">
        <v>3803</v>
      </c>
      <c r="F2784" t="s">
        <v>6255</v>
      </c>
      <c r="G2784" t="s">
        <v>1656</v>
      </c>
    </row>
    <row r="2785" spans="5:7" x14ac:dyDescent="0.35">
      <c r="E2785" t="s">
        <v>3803</v>
      </c>
      <c r="F2785" t="s">
        <v>6256</v>
      </c>
      <c r="G2785" t="s">
        <v>1656</v>
      </c>
    </row>
    <row r="2786" spans="5:7" x14ac:dyDescent="0.35">
      <c r="E2786" t="s">
        <v>3803</v>
      </c>
      <c r="F2786" t="s">
        <v>6257</v>
      </c>
      <c r="G2786" t="s">
        <v>1656</v>
      </c>
    </row>
    <row r="2787" spans="5:7" x14ac:dyDescent="0.35">
      <c r="E2787" t="s">
        <v>3803</v>
      </c>
      <c r="F2787" t="s">
        <v>6258</v>
      </c>
      <c r="G2787" t="s">
        <v>1656</v>
      </c>
    </row>
    <row r="2788" spans="5:7" x14ac:dyDescent="0.35">
      <c r="E2788" t="s">
        <v>3803</v>
      </c>
      <c r="F2788" t="s">
        <v>6259</v>
      </c>
      <c r="G2788" t="s">
        <v>1656</v>
      </c>
    </row>
    <row r="2789" spans="5:7" x14ac:dyDescent="0.35">
      <c r="E2789" t="s">
        <v>3803</v>
      </c>
      <c r="F2789" t="s">
        <v>6260</v>
      </c>
      <c r="G2789" t="s">
        <v>1656</v>
      </c>
    </row>
    <row r="2790" spans="5:7" x14ac:dyDescent="0.35">
      <c r="E2790" t="s">
        <v>3803</v>
      </c>
      <c r="F2790" t="s">
        <v>6261</v>
      </c>
      <c r="G2790" t="s">
        <v>1656</v>
      </c>
    </row>
    <row r="2791" spans="5:7" x14ac:dyDescent="0.35">
      <c r="E2791" t="s">
        <v>3803</v>
      </c>
      <c r="F2791" t="s">
        <v>6262</v>
      </c>
      <c r="G2791" t="s">
        <v>1656</v>
      </c>
    </row>
    <row r="2792" spans="5:7" x14ac:dyDescent="0.35">
      <c r="E2792" t="s">
        <v>3803</v>
      </c>
      <c r="F2792" t="s">
        <v>6263</v>
      </c>
      <c r="G2792" t="s">
        <v>1656</v>
      </c>
    </row>
    <row r="2793" spans="5:7" x14ac:dyDescent="0.35">
      <c r="E2793" t="s">
        <v>3803</v>
      </c>
      <c r="F2793" t="s">
        <v>1380</v>
      </c>
      <c r="G2793" t="s">
        <v>1656</v>
      </c>
    </row>
    <row r="2794" spans="5:7" x14ac:dyDescent="0.35">
      <c r="E2794" t="s">
        <v>3803</v>
      </c>
      <c r="F2794" t="s">
        <v>6264</v>
      </c>
      <c r="G2794" t="s">
        <v>1656</v>
      </c>
    </row>
    <row r="2795" spans="5:7" x14ac:dyDescent="0.35">
      <c r="E2795" t="s">
        <v>3803</v>
      </c>
      <c r="F2795" t="s">
        <v>6265</v>
      </c>
      <c r="G2795" t="s">
        <v>1656</v>
      </c>
    </row>
    <row r="2796" spans="5:7" x14ac:dyDescent="0.35">
      <c r="E2796" t="s">
        <v>3803</v>
      </c>
      <c r="F2796" t="s">
        <v>6266</v>
      </c>
      <c r="G2796" t="s">
        <v>1656</v>
      </c>
    </row>
    <row r="2797" spans="5:7" x14ac:dyDescent="0.35">
      <c r="E2797" t="s">
        <v>3803</v>
      </c>
      <c r="F2797" t="s">
        <v>6267</v>
      </c>
      <c r="G2797" t="s">
        <v>1656</v>
      </c>
    </row>
    <row r="2798" spans="5:7" x14ac:dyDescent="0.35">
      <c r="E2798" t="s">
        <v>3803</v>
      </c>
      <c r="F2798" t="s">
        <v>6268</v>
      </c>
      <c r="G2798" t="s">
        <v>1656</v>
      </c>
    </row>
    <row r="2799" spans="5:7" x14ac:dyDescent="0.35">
      <c r="E2799" t="s">
        <v>3803</v>
      </c>
      <c r="F2799" t="s">
        <v>6269</v>
      </c>
      <c r="G2799" t="s">
        <v>1656</v>
      </c>
    </row>
    <row r="2800" spans="5:7" x14ac:dyDescent="0.35">
      <c r="E2800" t="s">
        <v>3803</v>
      </c>
      <c r="F2800" t="s">
        <v>6270</v>
      </c>
      <c r="G2800" t="s">
        <v>1656</v>
      </c>
    </row>
    <row r="2801" spans="5:7" x14ac:dyDescent="0.35">
      <c r="E2801" t="s">
        <v>3803</v>
      </c>
      <c r="F2801" t="s">
        <v>6271</v>
      </c>
      <c r="G2801" t="s">
        <v>1656</v>
      </c>
    </row>
    <row r="2802" spans="5:7" x14ac:dyDescent="0.35">
      <c r="E2802" t="s">
        <v>3803</v>
      </c>
      <c r="F2802" t="s">
        <v>6272</v>
      </c>
      <c r="G2802" t="s">
        <v>1656</v>
      </c>
    </row>
    <row r="2803" spans="5:7" x14ac:dyDescent="0.35">
      <c r="E2803" t="s">
        <v>3803</v>
      </c>
      <c r="F2803" t="s">
        <v>6273</v>
      </c>
      <c r="G2803" t="s">
        <v>1656</v>
      </c>
    </row>
    <row r="2804" spans="5:7" x14ac:dyDescent="0.35">
      <c r="E2804" t="s">
        <v>3803</v>
      </c>
      <c r="F2804" t="s">
        <v>6274</v>
      </c>
      <c r="G2804" t="s">
        <v>1656</v>
      </c>
    </row>
    <row r="2805" spans="5:7" x14ac:dyDescent="0.35">
      <c r="E2805" t="s">
        <v>3803</v>
      </c>
      <c r="F2805" t="s">
        <v>6275</v>
      </c>
      <c r="G2805" t="s">
        <v>1656</v>
      </c>
    </row>
    <row r="2806" spans="5:7" x14ac:dyDescent="0.35">
      <c r="E2806" t="s">
        <v>3803</v>
      </c>
      <c r="F2806" t="s">
        <v>6276</v>
      </c>
      <c r="G2806" t="s">
        <v>1656</v>
      </c>
    </row>
    <row r="2807" spans="5:7" x14ac:dyDescent="0.35">
      <c r="E2807" t="s">
        <v>3803</v>
      </c>
      <c r="F2807" t="s">
        <v>6277</v>
      </c>
      <c r="G2807" t="s">
        <v>1656</v>
      </c>
    </row>
    <row r="2808" spans="5:7" x14ac:dyDescent="0.35">
      <c r="E2808" t="s">
        <v>3803</v>
      </c>
      <c r="F2808" t="s">
        <v>6278</v>
      </c>
      <c r="G2808" t="s">
        <v>1656</v>
      </c>
    </row>
    <row r="2809" spans="5:7" x14ac:dyDescent="0.35">
      <c r="E2809" t="s">
        <v>3803</v>
      </c>
      <c r="F2809" t="s">
        <v>2979</v>
      </c>
      <c r="G2809" t="s">
        <v>1661</v>
      </c>
    </row>
    <row r="2810" spans="5:7" x14ac:dyDescent="0.35">
      <c r="E2810" t="s">
        <v>3803</v>
      </c>
      <c r="F2810" t="s">
        <v>2981</v>
      </c>
      <c r="G2810" t="s">
        <v>1661</v>
      </c>
    </row>
    <row r="2811" spans="5:7" x14ac:dyDescent="0.35">
      <c r="E2811" t="s">
        <v>3803</v>
      </c>
      <c r="F2811" t="s">
        <v>2983</v>
      </c>
      <c r="G2811" t="s">
        <v>1661</v>
      </c>
    </row>
    <row r="2812" spans="5:7" x14ac:dyDescent="0.35">
      <c r="E2812" t="s">
        <v>3803</v>
      </c>
      <c r="F2812" t="s">
        <v>2986</v>
      </c>
      <c r="G2812" t="s">
        <v>1661</v>
      </c>
    </row>
    <row r="2813" spans="5:7" x14ac:dyDescent="0.35">
      <c r="E2813" t="s">
        <v>3803</v>
      </c>
      <c r="F2813" t="s">
        <v>973</v>
      </c>
      <c r="G2813" t="s">
        <v>1661</v>
      </c>
    </row>
    <row r="2814" spans="5:7" x14ac:dyDescent="0.35">
      <c r="E2814" t="s">
        <v>3803</v>
      </c>
      <c r="F2814" t="s">
        <v>6279</v>
      </c>
      <c r="G2814" t="s">
        <v>1661</v>
      </c>
    </row>
    <row r="2815" spans="5:7" x14ac:dyDescent="0.35">
      <c r="E2815" t="s">
        <v>3803</v>
      </c>
      <c r="F2815" t="s">
        <v>6280</v>
      </c>
      <c r="G2815" t="s">
        <v>1661</v>
      </c>
    </row>
    <row r="2816" spans="5:7" x14ac:dyDescent="0.35">
      <c r="E2816" t="s">
        <v>3803</v>
      </c>
      <c r="F2816" t="s">
        <v>6281</v>
      </c>
      <c r="G2816" t="s">
        <v>1661</v>
      </c>
    </row>
    <row r="2817" spans="5:7" x14ac:dyDescent="0.35">
      <c r="E2817" t="s">
        <v>3803</v>
      </c>
      <c r="F2817" t="s">
        <v>6282</v>
      </c>
      <c r="G2817" t="s">
        <v>1661</v>
      </c>
    </row>
    <row r="2818" spans="5:7" x14ac:dyDescent="0.35">
      <c r="E2818" t="s">
        <v>3803</v>
      </c>
      <c r="F2818" t="s">
        <v>6283</v>
      </c>
      <c r="G2818" t="s">
        <v>1661</v>
      </c>
    </row>
    <row r="2819" spans="5:7" x14ac:dyDescent="0.35">
      <c r="E2819" t="s">
        <v>3803</v>
      </c>
      <c r="F2819" t="s">
        <v>6284</v>
      </c>
      <c r="G2819" t="s">
        <v>1661</v>
      </c>
    </row>
    <row r="2820" spans="5:7" x14ac:dyDescent="0.35">
      <c r="E2820" t="s">
        <v>3803</v>
      </c>
      <c r="F2820" t="s">
        <v>6285</v>
      </c>
      <c r="G2820" t="s">
        <v>1661</v>
      </c>
    </row>
    <row r="2821" spans="5:7" x14ac:dyDescent="0.35">
      <c r="E2821" t="s">
        <v>3803</v>
      </c>
      <c r="F2821" t="s">
        <v>6286</v>
      </c>
      <c r="G2821" t="s">
        <v>1661</v>
      </c>
    </row>
    <row r="2822" spans="5:7" x14ac:dyDescent="0.35">
      <c r="E2822" t="s">
        <v>3803</v>
      </c>
      <c r="F2822" t="s">
        <v>6287</v>
      </c>
      <c r="G2822" t="s">
        <v>1661</v>
      </c>
    </row>
    <row r="2823" spans="5:7" x14ac:dyDescent="0.35">
      <c r="E2823" t="s">
        <v>3803</v>
      </c>
      <c r="F2823" t="s">
        <v>6288</v>
      </c>
      <c r="G2823" t="s">
        <v>1661</v>
      </c>
    </row>
    <row r="2824" spans="5:7" x14ac:dyDescent="0.35">
      <c r="E2824" t="s">
        <v>3803</v>
      </c>
      <c r="F2824" t="s">
        <v>6289</v>
      </c>
      <c r="G2824" t="s">
        <v>1661</v>
      </c>
    </row>
    <row r="2825" spans="5:7" x14ac:dyDescent="0.35">
      <c r="E2825" t="s">
        <v>3803</v>
      </c>
      <c r="F2825" t="s">
        <v>6290</v>
      </c>
      <c r="G2825" t="s">
        <v>1661</v>
      </c>
    </row>
    <row r="2826" spans="5:7" x14ac:dyDescent="0.35">
      <c r="E2826" t="s">
        <v>3803</v>
      </c>
      <c r="F2826" t="s">
        <v>1054</v>
      </c>
      <c r="G2826" t="s">
        <v>1661</v>
      </c>
    </row>
    <row r="2827" spans="5:7" x14ac:dyDescent="0.35">
      <c r="E2827" t="s">
        <v>3803</v>
      </c>
      <c r="F2827" t="s">
        <v>6291</v>
      </c>
      <c r="G2827" t="s">
        <v>1661</v>
      </c>
    </row>
    <row r="2828" spans="5:7" x14ac:dyDescent="0.35">
      <c r="E2828" t="s">
        <v>3803</v>
      </c>
      <c r="F2828" t="s">
        <v>6292</v>
      </c>
      <c r="G2828" t="s">
        <v>1661</v>
      </c>
    </row>
    <row r="2829" spans="5:7" x14ac:dyDescent="0.35">
      <c r="E2829" t="s">
        <v>3803</v>
      </c>
      <c r="F2829" t="s">
        <v>6293</v>
      </c>
      <c r="G2829" t="s">
        <v>1661</v>
      </c>
    </row>
    <row r="2830" spans="5:7" x14ac:dyDescent="0.35">
      <c r="E2830" t="s">
        <v>3803</v>
      </c>
      <c r="F2830" t="s">
        <v>6294</v>
      </c>
      <c r="G2830" t="s">
        <v>1661</v>
      </c>
    </row>
    <row r="2831" spans="5:7" x14ac:dyDescent="0.35">
      <c r="E2831" t="s">
        <v>3803</v>
      </c>
      <c r="F2831" t="s">
        <v>6295</v>
      </c>
      <c r="G2831" t="s">
        <v>1661</v>
      </c>
    </row>
    <row r="2832" spans="5:7" x14ac:dyDescent="0.35">
      <c r="E2832" t="s">
        <v>3803</v>
      </c>
      <c r="F2832" t="s">
        <v>6296</v>
      </c>
      <c r="G2832" t="s">
        <v>1661</v>
      </c>
    </row>
    <row r="2833" spans="5:7" x14ac:dyDescent="0.35">
      <c r="E2833" t="s">
        <v>3803</v>
      </c>
      <c r="F2833" t="s">
        <v>6297</v>
      </c>
      <c r="G2833" t="s">
        <v>1661</v>
      </c>
    </row>
    <row r="2834" spans="5:7" x14ac:dyDescent="0.35">
      <c r="E2834" t="s">
        <v>3803</v>
      </c>
      <c r="F2834" t="s">
        <v>6298</v>
      </c>
      <c r="G2834" t="s">
        <v>1661</v>
      </c>
    </row>
    <row r="2835" spans="5:7" x14ac:dyDescent="0.35">
      <c r="E2835" t="s">
        <v>3803</v>
      </c>
      <c r="F2835" t="s">
        <v>6299</v>
      </c>
      <c r="G2835" t="s">
        <v>1661</v>
      </c>
    </row>
    <row r="2836" spans="5:7" x14ac:dyDescent="0.35">
      <c r="E2836" t="s">
        <v>3803</v>
      </c>
      <c r="F2836" t="s">
        <v>6300</v>
      </c>
      <c r="G2836" t="s">
        <v>1661</v>
      </c>
    </row>
    <row r="2837" spans="5:7" x14ac:dyDescent="0.35">
      <c r="E2837" t="s">
        <v>3803</v>
      </c>
      <c r="F2837" t="s">
        <v>6301</v>
      </c>
      <c r="G2837" t="s">
        <v>1661</v>
      </c>
    </row>
    <row r="2838" spans="5:7" x14ac:dyDescent="0.35">
      <c r="E2838" t="s">
        <v>3803</v>
      </c>
      <c r="F2838" t="s">
        <v>6302</v>
      </c>
      <c r="G2838" t="s">
        <v>1661</v>
      </c>
    </row>
    <row r="2839" spans="5:7" x14ac:dyDescent="0.35">
      <c r="E2839" t="s">
        <v>3803</v>
      </c>
      <c r="F2839" t="s">
        <v>6303</v>
      </c>
      <c r="G2839" t="s">
        <v>1661</v>
      </c>
    </row>
    <row r="2840" spans="5:7" x14ac:dyDescent="0.35">
      <c r="E2840" t="s">
        <v>3803</v>
      </c>
      <c r="F2840" t="s">
        <v>6304</v>
      </c>
      <c r="G2840" t="s">
        <v>1661</v>
      </c>
    </row>
    <row r="2841" spans="5:7" x14ac:dyDescent="0.35">
      <c r="E2841" t="s">
        <v>3803</v>
      </c>
      <c r="F2841" t="s">
        <v>6305</v>
      </c>
      <c r="G2841" t="s">
        <v>1661</v>
      </c>
    </row>
    <row r="2842" spans="5:7" x14ac:dyDescent="0.35">
      <c r="E2842" t="s">
        <v>3803</v>
      </c>
      <c r="F2842" t="s">
        <v>6306</v>
      </c>
      <c r="G2842" t="s">
        <v>1661</v>
      </c>
    </row>
    <row r="2843" spans="5:7" x14ac:dyDescent="0.35">
      <c r="E2843" t="s">
        <v>3803</v>
      </c>
      <c r="F2843" t="s">
        <v>6307</v>
      </c>
      <c r="G2843" t="s">
        <v>1661</v>
      </c>
    </row>
    <row r="2844" spans="5:7" x14ac:dyDescent="0.35">
      <c r="E2844" t="s">
        <v>3803</v>
      </c>
      <c r="F2844" t="s">
        <v>6308</v>
      </c>
      <c r="G2844" t="s">
        <v>1661</v>
      </c>
    </row>
    <row r="2845" spans="5:7" x14ac:dyDescent="0.35">
      <c r="E2845" t="s">
        <v>3803</v>
      </c>
      <c r="F2845" t="s">
        <v>6309</v>
      </c>
      <c r="G2845" t="s">
        <v>1661</v>
      </c>
    </row>
    <row r="2846" spans="5:7" x14ac:dyDescent="0.35">
      <c r="E2846" t="s">
        <v>3803</v>
      </c>
      <c r="F2846" t="s">
        <v>6310</v>
      </c>
      <c r="G2846" t="s">
        <v>1661</v>
      </c>
    </row>
    <row r="2847" spans="5:7" x14ac:dyDescent="0.35">
      <c r="E2847" t="s">
        <v>3803</v>
      </c>
      <c r="F2847" t="s">
        <v>6311</v>
      </c>
      <c r="G2847" t="s">
        <v>1661</v>
      </c>
    </row>
    <row r="2848" spans="5:7" x14ac:dyDescent="0.35">
      <c r="E2848" t="s">
        <v>3803</v>
      </c>
      <c r="F2848" t="s">
        <v>6312</v>
      </c>
      <c r="G2848" t="s">
        <v>1661</v>
      </c>
    </row>
    <row r="2849" spans="5:7" x14ac:dyDescent="0.35">
      <c r="E2849" t="s">
        <v>3803</v>
      </c>
      <c r="F2849" t="s">
        <v>6313</v>
      </c>
      <c r="G2849" t="s">
        <v>1661</v>
      </c>
    </row>
    <row r="2850" spans="5:7" x14ac:dyDescent="0.35">
      <c r="E2850" t="s">
        <v>3803</v>
      </c>
      <c r="F2850" t="s">
        <v>6314</v>
      </c>
      <c r="G2850" t="s">
        <v>1661</v>
      </c>
    </row>
    <row r="2851" spans="5:7" x14ac:dyDescent="0.35">
      <c r="E2851" t="s">
        <v>3803</v>
      </c>
      <c r="F2851" t="s">
        <v>6315</v>
      </c>
      <c r="G2851" t="s">
        <v>1661</v>
      </c>
    </row>
    <row r="2852" spans="5:7" x14ac:dyDescent="0.35">
      <c r="E2852" t="s">
        <v>3803</v>
      </c>
      <c r="F2852" t="s">
        <v>1103</v>
      </c>
      <c r="G2852" t="s">
        <v>1661</v>
      </c>
    </row>
    <row r="2853" spans="5:7" x14ac:dyDescent="0.35">
      <c r="E2853" t="s">
        <v>3803</v>
      </c>
      <c r="F2853" t="s">
        <v>6316</v>
      </c>
      <c r="G2853" t="s">
        <v>1661</v>
      </c>
    </row>
    <row r="2854" spans="5:7" x14ac:dyDescent="0.35">
      <c r="E2854" t="s">
        <v>3803</v>
      </c>
      <c r="F2854" t="s">
        <v>6317</v>
      </c>
      <c r="G2854" t="s">
        <v>1661</v>
      </c>
    </row>
    <row r="2855" spans="5:7" x14ac:dyDescent="0.35">
      <c r="E2855" t="s">
        <v>3803</v>
      </c>
      <c r="F2855" t="s">
        <v>6318</v>
      </c>
      <c r="G2855" t="s">
        <v>1661</v>
      </c>
    </row>
    <row r="2856" spans="5:7" x14ac:dyDescent="0.35">
      <c r="E2856" t="s">
        <v>3803</v>
      </c>
      <c r="F2856" t="s">
        <v>6319</v>
      </c>
      <c r="G2856" t="s">
        <v>1661</v>
      </c>
    </row>
    <row r="2857" spans="5:7" x14ac:dyDescent="0.35">
      <c r="E2857" t="s">
        <v>3803</v>
      </c>
      <c r="F2857" t="s">
        <v>6320</v>
      </c>
      <c r="G2857" t="s">
        <v>1661</v>
      </c>
    </row>
    <row r="2858" spans="5:7" x14ac:dyDescent="0.35">
      <c r="E2858" t="s">
        <v>3803</v>
      </c>
      <c r="F2858" t="s">
        <v>6321</v>
      </c>
      <c r="G2858" t="s">
        <v>1661</v>
      </c>
    </row>
    <row r="2859" spans="5:7" x14ac:dyDescent="0.35">
      <c r="E2859" t="s">
        <v>3803</v>
      </c>
      <c r="F2859" t="s">
        <v>6322</v>
      </c>
      <c r="G2859" t="s">
        <v>1661</v>
      </c>
    </row>
    <row r="2860" spans="5:7" x14ac:dyDescent="0.35">
      <c r="E2860" t="s">
        <v>3803</v>
      </c>
      <c r="F2860" t="s">
        <v>6323</v>
      </c>
      <c r="G2860" t="s">
        <v>1661</v>
      </c>
    </row>
    <row r="2861" spans="5:7" x14ac:dyDescent="0.35">
      <c r="E2861" t="s">
        <v>3803</v>
      </c>
      <c r="F2861" t="s">
        <v>6324</v>
      </c>
      <c r="G2861" t="s">
        <v>1661</v>
      </c>
    </row>
    <row r="2862" spans="5:7" x14ac:dyDescent="0.35">
      <c r="E2862" t="s">
        <v>3803</v>
      </c>
      <c r="F2862" t="s">
        <v>6325</v>
      </c>
      <c r="G2862" t="s">
        <v>1661</v>
      </c>
    </row>
    <row r="2863" spans="5:7" x14ac:dyDescent="0.35">
      <c r="E2863" t="s">
        <v>3803</v>
      </c>
      <c r="F2863" t="s">
        <v>6326</v>
      </c>
      <c r="G2863" t="s">
        <v>1661</v>
      </c>
    </row>
    <row r="2864" spans="5:7" x14ac:dyDescent="0.35">
      <c r="E2864" t="s">
        <v>3803</v>
      </c>
      <c r="F2864" t="s">
        <v>6327</v>
      </c>
      <c r="G2864" t="s">
        <v>1661</v>
      </c>
    </row>
    <row r="2865" spans="5:7" x14ac:dyDescent="0.35">
      <c r="E2865" t="s">
        <v>3803</v>
      </c>
      <c r="F2865" t="s">
        <v>6328</v>
      </c>
      <c r="G2865" t="s">
        <v>1661</v>
      </c>
    </row>
    <row r="2866" spans="5:7" x14ac:dyDescent="0.35">
      <c r="E2866" t="s">
        <v>3803</v>
      </c>
      <c r="F2866" t="s">
        <v>6329</v>
      </c>
      <c r="G2866" t="s">
        <v>1661</v>
      </c>
    </row>
    <row r="2867" spans="5:7" x14ac:dyDescent="0.35">
      <c r="E2867" t="s">
        <v>3803</v>
      </c>
      <c r="F2867" t="s">
        <v>6330</v>
      </c>
      <c r="G2867" t="s">
        <v>1661</v>
      </c>
    </row>
    <row r="2868" spans="5:7" x14ac:dyDescent="0.35">
      <c r="E2868" t="s">
        <v>3803</v>
      </c>
      <c r="F2868" t="s">
        <v>6331</v>
      </c>
      <c r="G2868" t="s">
        <v>1661</v>
      </c>
    </row>
    <row r="2869" spans="5:7" x14ac:dyDescent="0.35">
      <c r="E2869" t="s">
        <v>3803</v>
      </c>
      <c r="F2869" t="s">
        <v>6332</v>
      </c>
      <c r="G2869" t="s">
        <v>1661</v>
      </c>
    </row>
    <row r="2870" spans="5:7" x14ac:dyDescent="0.35">
      <c r="E2870" t="s">
        <v>3803</v>
      </c>
      <c r="F2870" t="s">
        <v>6333</v>
      </c>
      <c r="G2870" t="s">
        <v>1661</v>
      </c>
    </row>
    <row r="2871" spans="5:7" x14ac:dyDescent="0.35">
      <c r="E2871" t="s">
        <v>3803</v>
      </c>
      <c r="F2871" t="s">
        <v>6334</v>
      </c>
      <c r="G2871" t="s">
        <v>1661</v>
      </c>
    </row>
    <row r="2872" spans="5:7" x14ac:dyDescent="0.35">
      <c r="E2872" t="s">
        <v>3803</v>
      </c>
      <c r="F2872" t="s">
        <v>6335</v>
      </c>
      <c r="G2872" t="s">
        <v>1661</v>
      </c>
    </row>
    <row r="2873" spans="5:7" x14ac:dyDescent="0.35">
      <c r="E2873" t="s">
        <v>3803</v>
      </c>
      <c r="F2873" t="s">
        <v>6336</v>
      </c>
      <c r="G2873" t="s">
        <v>1661</v>
      </c>
    </row>
    <row r="2874" spans="5:7" x14ac:dyDescent="0.35">
      <c r="E2874" t="s">
        <v>3803</v>
      </c>
      <c r="F2874" t="s">
        <v>6337</v>
      </c>
      <c r="G2874" t="s">
        <v>1661</v>
      </c>
    </row>
    <row r="2875" spans="5:7" x14ac:dyDescent="0.35">
      <c r="E2875" t="s">
        <v>3803</v>
      </c>
      <c r="F2875" t="s">
        <v>6338</v>
      </c>
      <c r="G2875" t="s">
        <v>1661</v>
      </c>
    </row>
    <row r="2876" spans="5:7" x14ac:dyDescent="0.35">
      <c r="E2876" t="s">
        <v>3803</v>
      </c>
      <c r="F2876" t="s">
        <v>6339</v>
      </c>
      <c r="G2876" t="s">
        <v>1661</v>
      </c>
    </row>
    <row r="2877" spans="5:7" x14ac:dyDescent="0.35">
      <c r="E2877" t="s">
        <v>3803</v>
      </c>
      <c r="F2877" t="s">
        <v>6340</v>
      </c>
      <c r="G2877" t="s">
        <v>1661</v>
      </c>
    </row>
    <row r="2878" spans="5:7" x14ac:dyDescent="0.35">
      <c r="E2878" t="s">
        <v>3803</v>
      </c>
      <c r="F2878" t="s">
        <v>6341</v>
      </c>
      <c r="G2878" t="s">
        <v>1661</v>
      </c>
    </row>
    <row r="2879" spans="5:7" x14ac:dyDescent="0.35">
      <c r="E2879" t="s">
        <v>3803</v>
      </c>
      <c r="F2879" t="s">
        <v>6342</v>
      </c>
      <c r="G2879" t="s">
        <v>1661</v>
      </c>
    </row>
    <row r="2880" spans="5:7" x14ac:dyDescent="0.35">
      <c r="E2880" t="s">
        <v>3803</v>
      </c>
      <c r="F2880" t="s">
        <v>6343</v>
      </c>
      <c r="G2880" t="s">
        <v>1661</v>
      </c>
    </row>
    <row r="2881" spans="5:7" x14ac:dyDescent="0.35">
      <c r="E2881" t="s">
        <v>3803</v>
      </c>
      <c r="F2881" t="s">
        <v>6344</v>
      </c>
      <c r="G2881" t="s">
        <v>1661</v>
      </c>
    </row>
    <row r="2882" spans="5:7" x14ac:dyDescent="0.35">
      <c r="E2882" t="s">
        <v>3803</v>
      </c>
      <c r="F2882" t="s">
        <v>6345</v>
      </c>
      <c r="G2882" t="s">
        <v>1661</v>
      </c>
    </row>
    <row r="2883" spans="5:7" x14ac:dyDescent="0.35">
      <c r="E2883" t="s">
        <v>3803</v>
      </c>
      <c r="F2883" t="s">
        <v>6346</v>
      </c>
      <c r="G2883" t="s">
        <v>1661</v>
      </c>
    </row>
    <row r="2884" spans="5:7" x14ac:dyDescent="0.35">
      <c r="E2884" t="s">
        <v>3803</v>
      </c>
      <c r="F2884" t="s">
        <v>6347</v>
      </c>
      <c r="G2884" t="s">
        <v>1661</v>
      </c>
    </row>
    <row r="2885" spans="5:7" x14ac:dyDescent="0.35">
      <c r="E2885" t="s">
        <v>3803</v>
      </c>
      <c r="F2885" t="s">
        <v>6348</v>
      </c>
      <c r="G2885" t="s">
        <v>1661</v>
      </c>
    </row>
    <row r="2886" spans="5:7" x14ac:dyDescent="0.35">
      <c r="E2886" t="s">
        <v>3803</v>
      </c>
      <c r="F2886" t="s">
        <v>6349</v>
      </c>
      <c r="G2886" t="s">
        <v>1661</v>
      </c>
    </row>
    <row r="2887" spans="5:7" x14ac:dyDescent="0.35">
      <c r="E2887" t="s">
        <v>3803</v>
      </c>
      <c r="F2887" t="s">
        <v>6350</v>
      </c>
      <c r="G2887" t="s">
        <v>1661</v>
      </c>
    </row>
    <row r="2888" spans="5:7" x14ac:dyDescent="0.35">
      <c r="E2888" t="s">
        <v>3803</v>
      </c>
      <c r="F2888" t="s">
        <v>6351</v>
      </c>
      <c r="G2888" t="s">
        <v>1661</v>
      </c>
    </row>
    <row r="2889" spans="5:7" x14ac:dyDescent="0.35">
      <c r="E2889" t="s">
        <v>3803</v>
      </c>
      <c r="F2889" t="s">
        <v>6352</v>
      </c>
      <c r="G2889" t="s">
        <v>1661</v>
      </c>
    </row>
    <row r="2890" spans="5:7" x14ac:dyDescent="0.35">
      <c r="E2890" t="s">
        <v>3803</v>
      </c>
      <c r="F2890" t="s">
        <v>6353</v>
      </c>
      <c r="G2890" t="s">
        <v>1661</v>
      </c>
    </row>
    <row r="2891" spans="5:7" x14ac:dyDescent="0.35">
      <c r="E2891" t="s">
        <v>3803</v>
      </c>
      <c r="F2891" t="s">
        <v>1267</v>
      </c>
      <c r="G2891" t="s">
        <v>1661</v>
      </c>
    </row>
    <row r="2892" spans="5:7" x14ac:dyDescent="0.35">
      <c r="E2892" t="s">
        <v>3803</v>
      </c>
      <c r="F2892" t="s">
        <v>6354</v>
      </c>
      <c r="G2892" t="s">
        <v>1661</v>
      </c>
    </row>
    <row r="2893" spans="5:7" x14ac:dyDescent="0.35">
      <c r="E2893" t="s">
        <v>3803</v>
      </c>
      <c r="F2893" t="s">
        <v>6355</v>
      </c>
      <c r="G2893" t="s">
        <v>1661</v>
      </c>
    </row>
    <row r="2894" spans="5:7" x14ac:dyDescent="0.35">
      <c r="E2894" t="s">
        <v>3803</v>
      </c>
      <c r="F2894" t="s">
        <v>6356</v>
      </c>
      <c r="G2894" t="s">
        <v>1661</v>
      </c>
    </row>
    <row r="2895" spans="5:7" x14ac:dyDescent="0.35">
      <c r="E2895" t="s">
        <v>3803</v>
      </c>
      <c r="F2895" t="s">
        <v>6357</v>
      </c>
      <c r="G2895" t="s">
        <v>1661</v>
      </c>
    </row>
    <row r="2896" spans="5:7" x14ac:dyDescent="0.35">
      <c r="E2896" t="s">
        <v>3803</v>
      </c>
      <c r="F2896" t="s">
        <v>6358</v>
      </c>
      <c r="G2896" t="s">
        <v>1661</v>
      </c>
    </row>
    <row r="2897" spans="5:7" x14ac:dyDescent="0.35">
      <c r="E2897" t="s">
        <v>3803</v>
      </c>
      <c r="F2897" t="s">
        <v>6359</v>
      </c>
      <c r="G2897" t="s">
        <v>1661</v>
      </c>
    </row>
    <row r="2898" spans="5:7" x14ac:dyDescent="0.35">
      <c r="E2898" t="s">
        <v>3803</v>
      </c>
      <c r="F2898" t="s">
        <v>6360</v>
      </c>
      <c r="G2898" t="s">
        <v>1661</v>
      </c>
    </row>
    <row r="2899" spans="5:7" x14ac:dyDescent="0.35">
      <c r="E2899" t="s">
        <v>3803</v>
      </c>
      <c r="F2899" t="s">
        <v>6361</v>
      </c>
      <c r="G2899" t="s">
        <v>1661</v>
      </c>
    </row>
    <row r="2900" spans="5:7" x14ac:dyDescent="0.35">
      <c r="E2900" t="s">
        <v>3803</v>
      </c>
      <c r="F2900" t="s">
        <v>6362</v>
      </c>
      <c r="G2900" t="s">
        <v>1661</v>
      </c>
    </row>
    <row r="2901" spans="5:7" x14ac:dyDescent="0.35">
      <c r="E2901" t="s">
        <v>3803</v>
      </c>
      <c r="F2901" t="s">
        <v>6363</v>
      </c>
      <c r="G2901" t="s">
        <v>1661</v>
      </c>
    </row>
    <row r="2902" spans="5:7" x14ac:dyDescent="0.35">
      <c r="E2902" t="s">
        <v>3803</v>
      </c>
      <c r="F2902" t="s">
        <v>6364</v>
      </c>
      <c r="G2902" t="s">
        <v>1661</v>
      </c>
    </row>
    <row r="2903" spans="5:7" x14ac:dyDescent="0.35">
      <c r="E2903" t="s">
        <v>3803</v>
      </c>
      <c r="F2903" t="s">
        <v>6365</v>
      </c>
      <c r="G2903" t="s">
        <v>1661</v>
      </c>
    </row>
    <row r="2904" spans="5:7" x14ac:dyDescent="0.35">
      <c r="E2904" t="s">
        <v>3803</v>
      </c>
      <c r="F2904" t="s">
        <v>6366</v>
      </c>
      <c r="G2904" t="s">
        <v>1661</v>
      </c>
    </row>
    <row r="2905" spans="5:7" x14ac:dyDescent="0.35">
      <c r="E2905" t="s">
        <v>3803</v>
      </c>
      <c r="F2905" t="s">
        <v>6367</v>
      </c>
      <c r="G2905" t="s">
        <v>1661</v>
      </c>
    </row>
    <row r="2906" spans="5:7" x14ac:dyDescent="0.35">
      <c r="E2906" t="s">
        <v>3803</v>
      </c>
      <c r="F2906" t="s">
        <v>6368</v>
      </c>
      <c r="G2906" t="s">
        <v>1661</v>
      </c>
    </row>
    <row r="2907" spans="5:7" x14ac:dyDescent="0.35">
      <c r="E2907" t="s">
        <v>3803</v>
      </c>
      <c r="F2907" t="s">
        <v>6369</v>
      </c>
      <c r="G2907" t="s">
        <v>1661</v>
      </c>
    </row>
    <row r="2908" spans="5:7" x14ac:dyDescent="0.35">
      <c r="E2908" t="s">
        <v>3803</v>
      </c>
      <c r="F2908" t="s">
        <v>6370</v>
      </c>
      <c r="G2908" t="s">
        <v>1661</v>
      </c>
    </row>
    <row r="2909" spans="5:7" x14ac:dyDescent="0.35">
      <c r="E2909" t="s">
        <v>3803</v>
      </c>
      <c r="F2909" t="s">
        <v>6371</v>
      </c>
      <c r="G2909" t="s">
        <v>1661</v>
      </c>
    </row>
    <row r="2910" spans="5:7" x14ac:dyDescent="0.35">
      <c r="E2910" t="s">
        <v>3803</v>
      </c>
      <c r="F2910" t="s">
        <v>6372</v>
      </c>
      <c r="G2910" t="s">
        <v>1661</v>
      </c>
    </row>
    <row r="2911" spans="5:7" x14ac:dyDescent="0.35">
      <c r="E2911" t="s">
        <v>3803</v>
      </c>
      <c r="F2911" t="s">
        <v>6373</v>
      </c>
      <c r="G2911" t="s">
        <v>1661</v>
      </c>
    </row>
    <row r="2912" spans="5:7" x14ac:dyDescent="0.35">
      <c r="E2912" t="s">
        <v>3803</v>
      </c>
      <c r="F2912" t="s">
        <v>6374</v>
      </c>
      <c r="G2912" t="s">
        <v>1661</v>
      </c>
    </row>
    <row r="2913" spans="5:7" x14ac:dyDescent="0.35">
      <c r="E2913" t="s">
        <v>3803</v>
      </c>
      <c r="F2913" t="s">
        <v>6375</v>
      </c>
      <c r="G2913" t="s">
        <v>1661</v>
      </c>
    </row>
    <row r="2914" spans="5:7" x14ac:dyDescent="0.35">
      <c r="E2914" t="s">
        <v>3803</v>
      </c>
      <c r="F2914" t="s">
        <v>6376</v>
      </c>
      <c r="G2914" t="s">
        <v>1661</v>
      </c>
    </row>
    <row r="2915" spans="5:7" x14ac:dyDescent="0.35">
      <c r="E2915" t="s">
        <v>3803</v>
      </c>
      <c r="F2915" t="s">
        <v>6377</v>
      </c>
      <c r="G2915" t="s">
        <v>1661</v>
      </c>
    </row>
    <row r="2916" spans="5:7" x14ac:dyDescent="0.35">
      <c r="E2916" t="s">
        <v>3803</v>
      </c>
      <c r="F2916" t="s">
        <v>6378</v>
      </c>
      <c r="G2916" t="s">
        <v>1661</v>
      </c>
    </row>
    <row r="2917" spans="5:7" x14ac:dyDescent="0.35">
      <c r="E2917" t="s">
        <v>3803</v>
      </c>
      <c r="F2917" t="s">
        <v>6379</v>
      </c>
      <c r="G2917" t="s">
        <v>1661</v>
      </c>
    </row>
    <row r="2918" spans="5:7" x14ac:dyDescent="0.35">
      <c r="E2918" t="s">
        <v>3803</v>
      </c>
      <c r="F2918" t="s">
        <v>6380</v>
      </c>
      <c r="G2918" t="s">
        <v>1661</v>
      </c>
    </row>
    <row r="2919" spans="5:7" x14ac:dyDescent="0.35">
      <c r="E2919" t="s">
        <v>3803</v>
      </c>
      <c r="F2919" t="s">
        <v>6381</v>
      </c>
      <c r="G2919" t="s">
        <v>1661</v>
      </c>
    </row>
    <row r="2920" spans="5:7" x14ac:dyDescent="0.35">
      <c r="E2920" t="s">
        <v>3803</v>
      </c>
      <c r="F2920" t="s">
        <v>6382</v>
      </c>
      <c r="G2920" t="s">
        <v>1661</v>
      </c>
    </row>
    <row r="2921" spans="5:7" x14ac:dyDescent="0.35">
      <c r="E2921" t="s">
        <v>3803</v>
      </c>
      <c r="F2921" t="s">
        <v>6383</v>
      </c>
      <c r="G2921" t="s">
        <v>1661</v>
      </c>
    </row>
    <row r="2922" spans="5:7" x14ac:dyDescent="0.35">
      <c r="E2922" t="s">
        <v>3803</v>
      </c>
      <c r="F2922" t="s">
        <v>6384</v>
      </c>
      <c r="G2922" t="s">
        <v>1661</v>
      </c>
    </row>
    <row r="2923" spans="5:7" x14ac:dyDescent="0.35">
      <c r="E2923" t="s">
        <v>3803</v>
      </c>
      <c r="F2923" t="s">
        <v>6385</v>
      </c>
      <c r="G2923" t="s">
        <v>1661</v>
      </c>
    </row>
    <row r="2924" spans="5:7" x14ac:dyDescent="0.35">
      <c r="E2924" t="s">
        <v>3803</v>
      </c>
      <c r="F2924" t="s">
        <v>6386</v>
      </c>
      <c r="G2924" t="s">
        <v>1661</v>
      </c>
    </row>
    <row r="2925" spans="5:7" x14ac:dyDescent="0.35">
      <c r="E2925" t="s">
        <v>3803</v>
      </c>
      <c r="F2925" t="s">
        <v>6387</v>
      </c>
      <c r="G2925" t="s">
        <v>1661</v>
      </c>
    </row>
    <row r="2926" spans="5:7" x14ac:dyDescent="0.35">
      <c r="E2926" t="s">
        <v>3803</v>
      </c>
      <c r="F2926" t="s">
        <v>6388</v>
      </c>
      <c r="G2926" t="s">
        <v>1661</v>
      </c>
    </row>
    <row r="2927" spans="5:7" x14ac:dyDescent="0.35">
      <c r="E2927" t="s">
        <v>3803</v>
      </c>
      <c r="F2927" t="s">
        <v>6389</v>
      </c>
      <c r="G2927" t="s">
        <v>1661</v>
      </c>
    </row>
    <row r="2928" spans="5:7" x14ac:dyDescent="0.35">
      <c r="E2928" t="s">
        <v>3803</v>
      </c>
      <c r="F2928" t="s">
        <v>6390</v>
      </c>
      <c r="G2928" t="s">
        <v>1661</v>
      </c>
    </row>
    <row r="2929" spans="5:7" x14ac:dyDescent="0.35">
      <c r="E2929" t="s">
        <v>3803</v>
      </c>
      <c r="F2929" t="s">
        <v>6391</v>
      </c>
      <c r="G2929" t="s">
        <v>1661</v>
      </c>
    </row>
    <row r="2930" spans="5:7" x14ac:dyDescent="0.35">
      <c r="E2930" t="s">
        <v>3803</v>
      </c>
      <c r="F2930" t="s">
        <v>6392</v>
      </c>
      <c r="G2930" t="s">
        <v>1661</v>
      </c>
    </row>
    <row r="2931" spans="5:7" x14ac:dyDescent="0.35">
      <c r="E2931" t="s">
        <v>3803</v>
      </c>
      <c r="F2931" t="s">
        <v>6393</v>
      </c>
      <c r="G2931" t="s">
        <v>1661</v>
      </c>
    </row>
    <row r="2932" spans="5:7" x14ac:dyDescent="0.35">
      <c r="E2932" t="s">
        <v>3803</v>
      </c>
      <c r="F2932" t="s">
        <v>6394</v>
      </c>
      <c r="G2932" t="s">
        <v>1661</v>
      </c>
    </row>
    <row r="2933" spans="5:7" x14ac:dyDescent="0.35">
      <c r="E2933" t="s">
        <v>3803</v>
      </c>
      <c r="F2933" t="s">
        <v>6395</v>
      </c>
      <c r="G2933" t="s">
        <v>1661</v>
      </c>
    </row>
    <row r="2934" spans="5:7" x14ac:dyDescent="0.35">
      <c r="E2934" t="s">
        <v>3803</v>
      </c>
      <c r="F2934" t="s">
        <v>6396</v>
      </c>
      <c r="G2934" t="s">
        <v>1661</v>
      </c>
    </row>
    <row r="2935" spans="5:7" x14ac:dyDescent="0.35">
      <c r="E2935" t="s">
        <v>3803</v>
      </c>
      <c r="F2935" t="s">
        <v>6397</v>
      </c>
      <c r="G2935" t="s">
        <v>1661</v>
      </c>
    </row>
    <row r="2936" spans="5:7" x14ac:dyDescent="0.35">
      <c r="E2936" t="s">
        <v>3803</v>
      </c>
      <c r="F2936" t="s">
        <v>6398</v>
      </c>
      <c r="G2936" t="s">
        <v>1661</v>
      </c>
    </row>
    <row r="2937" spans="5:7" x14ac:dyDescent="0.35">
      <c r="E2937" t="s">
        <v>3803</v>
      </c>
      <c r="F2937" t="s">
        <v>6399</v>
      </c>
      <c r="G2937" t="s">
        <v>1661</v>
      </c>
    </row>
    <row r="2938" spans="5:7" x14ac:dyDescent="0.35">
      <c r="E2938" t="s">
        <v>3803</v>
      </c>
      <c r="F2938" t="s">
        <v>6400</v>
      </c>
      <c r="G2938" t="s">
        <v>1661</v>
      </c>
    </row>
    <row r="2939" spans="5:7" x14ac:dyDescent="0.35">
      <c r="E2939" t="s">
        <v>3803</v>
      </c>
      <c r="F2939" t="s">
        <v>6401</v>
      </c>
      <c r="G2939" t="s">
        <v>1661</v>
      </c>
    </row>
    <row r="2940" spans="5:7" x14ac:dyDescent="0.35">
      <c r="E2940" t="s">
        <v>3803</v>
      </c>
      <c r="F2940" t="s">
        <v>6402</v>
      </c>
      <c r="G2940" t="s">
        <v>1661</v>
      </c>
    </row>
    <row r="2941" spans="5:7" x14ac:dyDescent="0.35">
      <c r="E2941" t="s">
        <v>3803</v>
      </c>
      <c r="F2941" t="s">
        <v>6403</v>
      </c>
      <c r="G2941" t="s">
        <v>1661</v>
      </c>
    </row>
    <row r="2942" spans="5:7" x14ac:dyDescent="0.35">
      <c r="E2942" t="s">
        <v>3803</v>
      </c>
      <c r="F2942" t="s">
        <v>6404</v>
      </c>
      <c r="G2942" t="s">
        <v>1661</v>
      </c>
    </row>
    <row r="2943" spans="5:7" x14ac:dyDescent="0.35">
      <c r="E2943" t="s">
        <v>3803</v>
      </c>
      <c r="F2943" t="s">
        <v>6405</v>
      </c>
      <c r="G2943" t="s">
        <v>1661</v>
      </c>
    </row>
    <row r="2944" spans="5:7" x14ac:dyDescent="0.35">
      <c r="E2944" t="s">
        <v>3803</v>
      </c>
      <c r="F2944" t="s">
        <v>6406</v>
      </c>
      <c r="G2944" t="s">
        <v>1661</v>
      </c>
    </row>
    <row r="2945" spans="5:7" x14ac:dyDescent="0.35">
      <c r="E2945" t="s">
        <v>3803</v>
      </c>
      <c r="F2945" t="s">
        <v>6407</v>
      </c>
      <c r="G2945" t="s">
        <v>1661</v>
      </c>
    </row>
    <row r="2946" spans="5:7" x14ac:dyDescent="0.35">
      <c r="E2946" t="s">
        <v>3803</v>
      </c>
      <c r="F2946" t="s">
        <v>6408</v>
      </c>
      <c r="G2946" t="s">
        <v>1661</v>
      </c>
    </row>
    <row r="2947" spans="5:7" x14ac:dyDescent="0.35">
      <c r="E2947" t="s">
        <v>3803</v>
      </c>
      <c r="F2947" t="s">
        <v>1383</v>
      </c>
      <c r="G2947" t="s">
        <v>1661</v>
      </c>
    </row>
    <row r="2948" spans="5:7" x14ac:dyDescent="0.35">
      <c r="E2948" t="s">
        <v>3803</v>
      </c>
      <c r="F2948" t="s">
        <v>6409</v>
      </c>
      <c r="G2948" t="s">
        <v>1661</v>
      </c>
    </row>
    <row r="2949" spans="5:7" x14ac:dyDescent="0.35">
      <c r="E2949" t="s">
        <v>3803</v>
      </c>
      <c r="F2949" t="s">
        <v>6410</v>
      </c>
      <c r="G2949" t="s">
        <v>1661</v>
      </c>
    </row>
    <row r="2950" spans="5:7" x14ac:dyDescent="0.35">
      <c r="E2950" t="s">
        <v>3803</v>
      </c>
      <c r="F2950" t="s">
        <v>6411</v>
      </c>
      <c r="G2950" t="s">
        <v>1661</v>
      </c>
    </row>
    <row r="2951" spans="5:7" x14ac:dyDescent="0.35">
      <c r="E2951" t="s">
        <v>3803</v>
      </c>
      <c r="F2951" t="s">
        <v>6412</v>
      </c>
      <c r="G2951" t="s">
        <v>1661</v>
      </c>
    </row>
    <row r="2952" spans="5:7" x14ac:dyDescent="0.35">
      <c r="E2952" t="s">
        <v>3803</v>
      </c>
      <c r="F2952" t="s">
        <v>6413</v>
      </c>
      <c r="G2952" t="s">
        <v>1661</v>
      </c>
    </row>
    <row r="2953" spans="5:7" x14ac:dyDescent="0.35">
      <c r="E2953" t="s">
        <v>3803</v>
      </c>
      <c r="F2953" t="s">
        <v>6414</v>
      </c>
      <c r="G2953" t="s">
        <v>1661</v>
      </c>
    </row>
    <row r="2954" spans="5:7" x14ac:dyDescent="0.35">
      <c r="E2954" t="s">
        <v>3803</v>
      </c>
      <c r="F2954" t="s">
        <v>6415</v>
      </c>
      <c r="G2954" t="s">
        <v>1661</v>
      </c>
    </row>
    <row r="2955" spans="5:7" x14ac:dyDescent="0.35">
      <c r="E2955" t="s">
        <v>3803</v>
      </c>
      <c r="F2955" t="s">
        <v>6416</v>
      </c>
      <c r="G2955" t="s">
        <v>1661</v>
      </c>
    </row>
    <row r="2956" spans="5:7" x14ac:dyDescent="0.35">
      <c r="E2956" t="s">
        <v>3803</v>
      </c>
      <c r="F2956" t="s">
        <v>6417</v>
      </c>
      <c r="G2956" t="s">
        <v>1661</v>
      </c>
    </row>
    <row r="2957" spans="5:7" x14ac:dyDescent="0.35">
      <c r="E2957" t="s">
        <v>3803</v>
      </c>
      <c r="F2957" t="s">
        <v>6418</v>
      </c>
      <c r="G2957" t="s">
        <v>1661</v>
      </c>
    </row>
    <row r="2958" spans="5:7" x14ac:dyDescent="0.35">
      <c r="E2958" t="s">
        <v>3803</v>
      </c>
      <c r="F2958" t="s">
        <v>6419</v>
      </c>
      <c r="G2958" t="s">
        <v>1661</v>
      </c>
    </row>
    <row r="2959" spans="5:7" x14ac:dyDescent="0.35">
      <c r="E2959" t="s">
        <v>3803</v>
      </c>
      <c r="F2959" t="s">
        <v>6420</v>
      </c>
      <c r="G2959" t="s">
        <v>1661</v>
      </c>
    </row>
    <row r="2960" spans="5:7" x14ac:dyDescent="0.35">
      <c r="E2960" t="s">
        <v>3803</v>
      </c>
      <c r="F2960" t="s">
        <v>6421</v>
      </c>
      <c r="G2960" t="s">
        <v>1661</v>
      </c>
    </row>
    <row r="2961" spans="5:7" x14ac:dyDescent="0.35">
      <c r="E2961" t="s">
        <v>3803</v>
      </c>
      <c r="F2961" t="s">
        <v>6422</v>
      </c>
      <c r="G2961" t="s">
        <v>1661</v>
      </c>
    </row>
    <row r="2962" spans="5:7" x14ac:dyDescent="0.35">
      <c r="E2962" t="s">
        <v>3803</v>
      </c>
      <c r="F2962" t="s">
        <v>2991</v>
      </c>
      <c r="G2962" t="s">
        <v>1666</v>
      </c>
    </row>
    <row r="2963" spans="5:7" x14ac:dyDescent="0.35">
      <c r="E2963" t="s">
        <v>3803</v>
      </c>
      <c r="F2963" t="s">
        <v>2994</v>
      </c>
      <c r="G2963" t="s">
        <v>1666</v>
      </c>
    </row>
    <row r="2964" spans="5:7" x14ac:dyDescent="0.35">
      <c r="E2964" t="s">
        <v>3803</v>
      </c>
      <c r="F2964" t="s">
        <v>691</v>
      </c>
      <c r="G2964" t="s">
        <v>1666</v>
      </c>
    </row>
    <row r="2965" spans="5:7" x14ac:dyDescent="0.35">
      <c r="E2965" t="s">
        <v>3803</v>
      </c>
      <c r="F2965" t="s">
        <v>6423</v>
      </c>
      <c r="G2965" t="s">
        <v>1666</v>
      </c>
    </row>
    <row r="2966" spans="5:7" x14ac:dyDescent="0.35">
      <c r="E2966" t="s">
        <v>3803</v>
      </c>
      <c r="F2966" t="s">
        <v>6424</v>
      </c>
      <c r="G2966" t="s">
        <v>1666</v>
      </c>
    </row>
    <row r="2967" spans="5:7" x14ac:dyDescent="0.35">
      <c r="E2967" t="s">
        <v>3803</v>
      </c>
      <c r="F2967" t="s">
        <v>6425</v>
      </c>
      <c r="G2967" t="s">
        <v>1666</v>
      </c>
    </row>
    <row r="2968" spans="5:7" x14ac:dyDescent="0.35">
      <c r="E2968" t="s">
        <v>3803</v>
      </c>
      <c r="F2968" t="s">
        <v>2997</v>
      </c>
      <c r="G2968" t="s">
        <v>1666</v>
      </c>
    </row>
    <row r="2969" spans="5:7" x14ac:dyDescent="0.35">
      <c r="E2969" t="s">
        <v>3803</v>
      </c>
      <c r="F2969" t="s">
        <v>901</v>
      </c>
      <c r="G2969" t="s">
        <v>1666</v>
      </c>
    </row>
    <row r="2970" spans="5:7" x14ac:dyDescent="0.35">
      <c r="E2970" t="s">
        <v>3803</v>
      </c>
      <c r="F2970" t="s">
        <v>6426</v>
      </c>
      <c r="G2970" t="s">
        <v>1666</v>
      </c>
    </row>
    <row r="2971" spans="5:7" x14ac:dyDescent="0.35">
      <c r="E2971" t="s">
        <v>3803</v>
      </c>
      <c r="F2971" t="s">
        <v>6427</v>
      </c>
      <c r="G2971" t="s">
        <v>1666</v>
      </c>
    </row>
    <row r="2972" spans="5:7" x14ac:dyDescent="0.35">
      <c r="E2972" t="s">
        <v>3803</v>
      </c>
      <c r="F2972" t="s">
        <v>6428</v>
      </c>
      <c r="G2972" t="s">
        <v>1666</v>
      </c>
    </row>
    <row r="2973" spans="5:7" x14ac:dyDescent="0.35">
      <c r="E2973" t="s">
        <v>3803</v>
      </c>
      <c r="F2973" t="s">
        <v>6429</v>
      </c>
      <c r="G2973" t="s">
        <v>1666</v>
      </c>
    </row>
    <row r="2974" spans="5:7" x14ac:dyDescent="0.35">
      <c r="E2974" t="s">
        <v>3803</v>
      </c>
      <c r="F2974" t="s">
        <v>6430</v>
      </c>
      <c r="G2974" t="s">
        <v>1666</v>
      </c>
    </row>
    <row r="2975" spans="5:7" x14ac:dyDescent="0.35">
      <c r="E2975" t="s">
        <v>3803</v>
      </c>
      <c r="F2975" t="s">
        <v>6431</v>
      </c>
      <c r="G2975" t="s">
        <v>1666</v>
      </c>
    </row>
    <row r="2976" spans="5:7" x14ac:dyDescent="0.35">
      <c r="E2976" t="s">
        <v>3803</v>
      </c>
      <c r="F2976" t="s">
        <v>6432</v>
      </c>
      <c r="G2976" t="s">
        <v>1666</v>
      </c>
    </row>
    <row r="2977" spans="5:7" x14ac:dyDescent="0.35">
      <c r="E2977" t="s">
        <v>3803</v>
      </c>
      <c r="F2977" t="s">
        <v>2999</v>
      </c>
      <c r="G2977" t="s">
        <v>1666</v>
      </c>
    </row>
    <row r="2978" spans="5:7" x14ac:dyDescent="0.35">
      <c r="E2978" t="s">
        <v>3803</v>
      </c>
      <c r="F2978" t="s">
        <v>1057</v>
      </c>
      <c r="G2978" t="s">
        <v>1666</v>
      </c>
    </row>
    <row r="2979" spans="5:7" x14ac:dyDescent="0.35">
      <c r="E2979" t="s">
        <v>3803</v>
      </c>
      <c r="F2979" t="s">
        <v>6433</v>
      </c>
      <c r="G2979" t="s">
        <v>1666</v>
      </c>
    </row>
    <row r="2980" spans="5:7" x14ac:dyDescent="0.35">
      <c r="E2980" t="s">
        <v>3803</v>
      </c>
      <c r="F2980" t="s">
        <v>6434</v>
      </c>
      <c r="G2980" t="s">
        <v>1666</v>
      </c>
    </row>
    <row r="2981" spans="5:7" x14ac:dyDescent="0.35">
      <c r="E2981" t="s">
        <v>3803</v>
      </c>
      <c r="F2981" t="s">
        <v>6435</v>
      </c>
      <c r="G2981" t="s">
        <v>1666</v>
      </c>
    </row>
    <row r="2982" spans="5:7" x14ac:dyDescent="0.35">
      <c r="E2982" t="s">
        <v>3803</v>
      </c>
      <c r="F2982" t="s">
        <v>6436</v>
      </c>
      <c r="G2982" t="s">
        <v>1666</v>
      </c>
    </row>
    <row r="2983" spans="5:7" x14ac:dyDescent="0.35">
      <c r="E2983" t="s">
        <v>3803</v>
      </c>
      <c r="F2983" t="s">
        <v>6437</v>
      </c>
      <c r="G2983" t="s">
        <v>1666</v>
      </c>
    </row>
    <row r="2984" spans="5:7" x14ac:dyDescent="0.35">
      <c r="E2984" t="s">
        <v>3803</v>
      </c>
      <c r="F2984" t="s">
        <v>6438</v>
      </c>
      <c r="G2984" t="s">
        <v>1666</v>
      </c>
    </row>
    <row r="2985" spans="5:7" x14ac:dyDescent="0.35">
      <c r="E2985" t="s">
        <v>3803</v>
      </c>
      <c r="F2985" t="s">
        <v>6439</v>
      </c>
      <c r="G2985" t="s">
        <v>1666</v>
      </c>
    </row>
    <row r="2986" spans="5:7" x14ac:dyDescent="0.35">
      <c r="E2986" t="s">
        <v>3803</v>
      </c>
      <c r="F2986" t="s">
        <v>6440</v>
      </c>
      <c r="G2986" t="s">
        <v>1666</v>
      </c>
    </row>
    <row r="2987" spans="5:7" x14ac:dyDescent="0.35">
      <c r="E2987" t="s">
        <v>3803</v>
      </c>
      <c r="F2987" t="s">
        <v>6441</v>
      </c>
      <c r="G2987" t="s">
        <v>1666</v>
      </c>
    </row>
    <row r="2988" spans="5:7" x14ac:dyDescent="0.35">
      <c r="E2988" t="s">
        <v>3803</v>
      </c>
      <c r="F2988" t="s">
        <v>6442</v>
      </c>
      <c r="G2988" t="s">
        <v>1666</v>
      </c>
    </row>
    <row r="2989" spans="5:7" x14ac:dyDescent="0.35">
      <c r="E2989" t="s">
        <v>3803</v>
      </c>
      <c r="F2989" t="s">
        <v>6443</v>
      </c>
      <c r="G2989" t="s">
        <v>1666</v>
      </c>
    </row>
    <row r="2990" spans="5:7" x14ac:dyDescent="0.35">
      <c r="E2990" t="s">
        <v>3803</v>
      </c>
      <c r="F2990" t="s">
        <v>6444</v>
      </c>
      <c r="G2990" t="s">
        <v>1666</v>
      </c>
    </row>
    <row r="2991" spans="5:7" x14ac:dyDescent="0.35">
      <c r="E2991" t="s">
        <v>3803</v>
      </c>
      <c r="F2991" t="s">
        <v>1151</v>
      </c>
      <c r="G2991" t="s">
        <v>1666</v>
      </c>
    </row>
    <row r="2992" spans="5:7" x14ac:dyDescent="0.35">
      <c r="E2992" t="s">
        <v>3803</v>
      </c>
      <c r="F2992" t="s">
        <v>6445</v>
      </c>
      <c r="G2992" t="s">
        <v>1666</v>
      </c>
    </row>
    <row r="2993" spans="5:7" x14ac:dyDescent="0.35">
      <c r="E2993" t="s">
        <v>3803</v>
      </c>
      <c r="F2993" t="s">
        <v>6446</v>
      </c>
      <c r="G2993" t="s">
        <v>1666</v>
      </c>
    </row>
    <row r="2994" spans="5:7" x14ac:dyDescent="0.35">
      <c r="E2994" t="s">
        <v>3803</v>
      </c>
      <c r="F2994" t="s">
        <v>6447</v>
      </c>
      <c r="G2994" t="s">
        <v>1666</v>
      </c>
    </row>
    <row r="2995" spans="5:7" x14ac:dyDescent="0.35">
      <c r="E2995" t="s">
        <v>3803</v>
      </c>
      <c r="F2995" t="s">
        <v>6448</v>
      </c>
      <c r="G2995" t="s">
        <v>1666</v>
      </c>
    </row>
    <row r="2996" spans="5:7" x14ac:dyDescent="0.35">
      <c r="E2996" t="s">
        <v>3803</v>
      </c>
      <c r="F2996" t="s">
        <v>6449</v>
      </c>
      <c r="G2996" t="s">
        <v>1666</v>
      </c>
    </row>
    <row r="2997" spans="5:7" x14ac:dyDescent="0.35">
      <c r="E2997" t="s">
        <v>3803</v>
      </c>
      <c r="F2997" t="s">
        <v>6450</v>
      </c>
      <c r="G2997" t="s">
        <v>1666</v>
      </c>
    </row>
    <row r="2998" spans="5:7" x14ac:dyDescent="0.35">
      <c r="E2998" t="s">
        <v>3803</v>
      </c>
      <c r="F2998" t="s">
        <v>6451</v>
      </c>
      <c r="G2998" t="s">
        <v>1666</v>
      </c>
    </row>
    <row r="2999" spans="5:7" x14ac:dyDescent="0.35">
      <c r="E2999" t="s">
        <v>3803</v>
      </c>
      <c r="F2999" t="s">
        <v>6452</v>
      </c>
      <c r="G2999" t="s">
        <v>1666</v>
      </c>
    </row>
    <row r="3000" spans="5:7" x14ac:dyDescent="0.35">
      <c r="E3000" t="s">
        <v>3803</v>
      </c>
      <c r="F3000" t="s">
        <v>6453</v>
      </c>
      <c r="G3000" t="s">
        <v>1666</v>
      </c>
    </row>
    <row r="3001" spans="5:7" x14ac:dyDescent="0.35">
      <c r="E3001" t="s">
        <v>3803</v>
      </c>
      <c r="F3001" t="s">
        <v>6454</v>
      </c>
      <c r="G3001" t="s">
        <v>1666</v>
      </c>
    </row>
    <row r="3002" spans="5:7" x14ac:dyDescent="0.35">
      <c r="E3002" t="s">
        <v>3803</v>
      </c>
      <c r="F3002" t="s">
        <v>6455</v>
      </c>
      <c r="G3002" t="s">
        <v>1666</v>
      </c>
    </row>
    <row r="3003" spans="5:7" x14ac:dyDescent="0.35">
      <c r="E3003" t="s">
        <v>3803</v>
      </c>
      <c r="F3003" t="s">
        <v>6456</v>
      </c>
      <c r="G3003" t="s">
        <v>1666</v>
      </c>
    </row>
    <row r="3004" spans="5:7" x14ac:dyDescent="0.35">
      <c r="E3004" t="s">
        <v>3803</v>
      </c>
      <c r="F3004" t="s">
        <v>6457</v>
      </c>
      <c r="G3004" t="s">
        <v>1666</v>
      </c>
    </row>
    <row r="3005" spans="5:7" x14ac:dyDescent="0.35">
      <c r="E3005" t="s">
        <v>3803</v>
      </c>
      <c r="F3005" t="s">
        <v>6458</v>
      </c>
      <c r="G3005" t="s">
        <v>1666</v>
      </c>
    </row>
    <row r="3006" spans="5:7" x14ac:dyDescent="0.35">
      <c r="E3006" t="s">
        <v>3803</v>
      </c>
      <c r="F3006" t="s">
        <v>6459</v>
      </c>
      <c r="G3006" t="s">
        <v>1666</v>
      </c>
    </row>
    <row r="3007" spans="5:7" x14ac:dyDescent="0.35">
      <c r="E3007" t="s">
        <v>3803</v>
      </c>
      <c r="F3007" t="s">
        <v>6460</v>
      </c>
      <c r="G3007" t="s">
        <v>1666</v>
      </c>
    </row>
    <row r="3008" spans="5:7" x14ac:dyDescent="0.35">
      <c r="E3008" t="s">
        <v>3803</v>
      </c>
      <c r="F3008" t="s">
        <v>6461</v>
      </c>
      <c r="G3008" t="s">
        <v>1666</v>
      </c>
    </row>
    <row r="3009" spans="5:7" x14ac:dyDescent="0.35">
      <c r="E3009" t="s">
        <v>3803</v>
      </c>
      <c r="F3009" t="s">
        <v>6462</v>
      </c>
      <c r="G3009" t="s">
        <v>1666</v>
      </c>
    </row>
    <row r="3010" spans="5:7" x14ac:dyDescent="0.35">
      <c r="E3010" t="s">
        <v>3803</v>
      </c>
      <c r="F3010" t="s">
        <v>6463</v>
      </c>
      <c r="G3010" t="s">
        <v>1666</v>
      </c>
    </row>
    <row r="3011" spans="5:7" x14ac:dyDescent="0.35">
      <c r="E3011" t="s">
        <v>3803</v>
      </c>
      <c r="F3011" t="s">
        <v>6464</v>
      </c>
      <c r="G3011" t="s">
        <v>1666</v>
      </c>
    </row>
    <row r="3012" spans="5:7" x14ac:dyDescent="0.35">
      <c r="E3012" t="s">
        <v>3803</v>
      </c>
      <c r="F3012" t="s">
        <v>6465</v>
      </c>
      <c r="G3012" t="s">
        <v>1666</v>
      </c>
    </row>
    <row r="3013" spans="5:7" x14ac:dyDescent="0.35">
      <c r="E3013" t="s">
        <v>3803</v>
      </c>
      <c r="F3013" t="s">
        <v>6466</v>
      </c>
      <c r="G3013" t="s">
        <v>1666</v>
      </c>
    </row>
    <row r="3014" spans="5:7" x14ac:dyDescent="0.35">
      <c r="E3014" t="s">
        <v>3803</v>
      </c>
      <c r="F3014" t="s">
        <v>6467</v>
      </c>
      <c r="G3014" t="s">
        <v>1666</v>
      </c>
    </row>
    <row r="3015" spans="5:7" x14ac:dyDescent="0.35">
      <c r="E3015" t="s">
        <v>3803</v>
      </c>
      <c r="F3015" t="s">
        <v>6468</v>
      </c>
      <c r="G3015" t="s">
        <v>1666</v>
      </c>
    </row>
    <row r="3016" spans="5:7" x14ac:dyDescent="0.35">
      <c r="E3016" t="s">
        <v>3803</v>
      </c>
      <c r="F3016" t="s">
        <v>6469</v>
      </c>
      <c r="G3016" t="s">
        <v>1666</v>
      </c>
    </row>
    <row r="3017" spans="5:7" x14ac:dyDescent="0.35">
      <c r="E3017" t="s">
        <v>3803</v>
      </c>
      <c r="F3017" t="s">
        <v>1270</v>
      </c>
      <c r="G3017" t="s">
        <v>1666</v>
      </c>
    </row>
    <row r="3018" spans="5:7" x14ac:dyDescent="0.35">
      <c r="E3018" t="s">
        <v>3803</v>
      </c>
      <c r="F3018" t="s">
        <v>6470</v>
      </c>
      <c r="G3018" t="s">
        <v>1666</v>
      </c>
    </row>
    <row r="3019" spans="5:7" x14ac:dyDescent="0.35">
      <c r="E3019" t="s">
        <v>3803</v>
      </c>
      <c r="F3019" t="s">
        <v>6471</v>
      </c>
      <c r="G3019" t="s">
        <v>1666</v>
      </c>
    </row>
    <row r="3020" spans="5:7" x14ac:dyDescent="0.35">
      <c r="E3020" t="s">
        <v>3803</v>
      </c>
      <c r="F3020" t="s">
        <v>6472</v>
      </c>
      <c r="G3020" t="s">
        <v>1666</v>
      </c>
    </row>
    <row r="3021" spans="5:7" x14ac:dyDescent="0.35">
      <c r="E3021" t="s">
        <v>3803</v>
      </c>
      <c r="F3021" t="s">
        <v>6473</v>
      </c>
      <c r="G3021" t="s">
        <v>1666</v>
      </c>
    </row>
    <row r="3022" spans="5:7" x14ac:dyDescent="0.35">
      <c r="E3022" t="s">
        <v>3803</v>
      </c>
      <c r="F3022" t="s">
        <v>6474</v>
      </c>
      <c r="G3022" t="s">
        <v>1666</v>
      </c>
    </row>
    <row r="3023" spans="5:7" x14ac:dyDescent="0.35">
      <c r="E3023" t="s">
        <v>3803</v>
      </c>
      <c r="F3023" t="s">
        <v>6475</v>
      </c>
      <c r="G3023" t="s">
        <v>1666</v>
      </c>
    </row>
    <row r="3024" spans="5:7" x14ac:dyDescent="0.35">
      <c r="E3024" t="s">
        <v>3803</v>
      </c>
      <c r="F3024" t="s">
        <v>6476</v>
      </c>
      <c r="G3024" t="s">
        <v>1666</v>
      </c>
    </row>
    <row r="3025" spans="5:7" x14ac:dyDescent="0.35">
      <c r="E3025" t="s">
        <v>3803</v>
      </c>
      <c r="F3025" t="s">
        <v>6477</v>
      </c>
      <c r="G3025" t="s">
        <v>1666</v>
      </c>
    </row>
    <row r="3026" spans="5:7" x14ac:dyDescent="0.35">
      <c r="E3026" t="s">
        <v>3803</v>
      </c>
      <c r="F3026" t="s">
        <v>6478</v>
      </c>
      <c r="G3026" t="s">
        <v>1666</v>
      </c>
    </row>
    <row r="3027" spans="5:7" x14ac:dyDescent="0.35">
      <c r="E3027" t="s">
        <v>3803</v>
      </c>
      <c r="F3027" t="s">
        <v>6479</v>
      </c>
      <c r="G3027" t="s">
        <v>1666</v>
      </c>
    </row>
    <row r="3028" spans="5:7" x14ac:dyDescent="0.35">
      <c r="E3028" t="s">
        <v>3803</v>
      </c>
      <c r="F3028" t="s">
        <v>6480</v>
      </c>
      <c r="G3028" t="s">
        <v>1666</v>
      </c>
    </row>
    <row r="3029" spans="5:7" x14ac:dyDescent="0.35">
      <c r="E3029" t="s">
        <v>3803</v>
      </c>
      <c r="F3029" t="s">
        <v>6481</v>
      </c>
      <c r="G3029" t="s">
        <v>1666</v>
      </c>
    </row>
    <row r="3030" spans="5:7" x14ac:dyDescent="0.35">
      <c r="E3030" t="s">
        <v>3803</v>
      </c>
      <c r="F3030" t="s">
        <v>6482</v>
      </c>
      <c r="G3030" t="s">
        <v>1666</v>
      </c>
    </row>
    <row r="3031" spans="5:7" x14ac:dyDescent="0.35">
      <c r="E3031" t="s">
        <v>3803</v>
      </c>
      <c r="F3031" t="s">
        <v>6483</v>
      </c>
      <c r="G3031" t="s">
        <v>1666</v>
      </c>
    </row>
    <row r="3032" spans="5:7" x14ac:dyDescent="0.35">
      <c r="E3032" t="s">
        <v>3803</v>
      </c>
      <c r="F3032" t="s">
        <v>6484</v>
      </c>
      <c r="G3032" t="s">
        <v>1666</v>
      </c>
    </row>
    <row r="3033" spans="5:7" x14ac:dyDescent="0.35">
      <c r="E3033" t="s">
        <v>3803</v>
      </c>
      <c r="F3033" t="s">
        <v>6485</v>
      </c>
      <c r="G3033" t="s">
        <v>1666</v>
      </c>
    </row>
    <row r="3034" spans="5:7" x14ac:dyDescent="0.35">
      <c r="E3034" t="s">
        <v>3803</v>
      </c>
      <c r="F3034" t="s">
        <v>6486</v>
      </c>
      <c r="G3034" t="s">
        <v>1666</v>
      </c>
    </row>
    <row r="3035" spans="5:7" x14ac:dyDescent="0.35">
      <c r="E3035" t="s">
        <v>3803</v>
      </c>
      <c r="F3035" t="s">
        <v>6487</v>
      </c>
      <c r="G3035" t="s">
        <v>1666</v>
      </c>
    </row>
    <row r="3036" spans="5:7" x14ac:dyDescent="0.35">
      <c r="E3036" t="s">
        <v>3803</v>
      </c>
      <c r="F3036" t="s">
        <v>6488</v>
      </c>
      <c r="G3036" t="s">
        <v>1666</v>
      </c>
    </row>
    <row r="3037" spans="5:7" x14ac:dyDescent="0.35">
      <c r="E3037" t="s">
        <v>3803</v>
      </c>
      <c r="F3037" t="s">
        <v>6489</v>
      </c>
      <c r="G3037" t="s">
        <v>1666</v>
      </c>
    </row>
    <row r="3038" spans="5:7" x14ac:dyDescent="0.35">
      <c r="E3038" t="s">
        <v>3803</v>
      </c>
      <c r="F3038" t="s">
        <v>6490</v>
      </c>
      <c r="G3038" t="s">
        <v>1666</v>
      </c>
    </row>
    <row r="3039" spans="5:7" x14ac:dyDescent="0.35">
      <c r="E3039" t="s">
        <v>3803</v>
      </c>
      <c r="F3039" t="s">
        <v>6491</v>
      </c>
      <c r="G3039" t="s">
        <v>1666</v>
      </c>
    </row>
    <row r="3040" spans="5:7" x14ac:dyDescent="0.35">
      <c r="E3040" t="s">
        <v>3803</v>
      </c>
      <c r="F3040" t="s">
        <v>6492</v>
      </c>
      <c r="G3040" t="s">
        <v>1666</v>
      </c>
    </row>
    <row r="3041" spans="5:7" x14ac:dyDescent="0.35">
      <c r="E3041" t="s">
        <v>3803</v>
      </c>
      <c r="F3041" t="s">
        <v>6493</v>
      </c>
      <c r="G3041" t="s">
        <v>1666</v>
      </c>
    </row>
    <row r="3042" spans="5:7" x14ac:dyDescent="0.35">
      <c r="E3042" t="s">
        <v>3803</v>
      </c>
      <c r="F3042" t="s">
        <v>6494</v>
      </c>
      <c r="G3042" t="s">
        <v>1666</v>
      </c>
    </row>
    <row r="3043" spans="5:7" x14ac:dyDescent="0.35">
      <c r="E3043" t="s">
        <v>3803</v>
      </c>
      <c r="F3043" t="s">
        <v>6495</v>
      </c>
      <c r="G3043" t="s">
        <v>1666</v>
      </c>
    </row>
    <row r="3044" spans="5:7" x14ac:dyDescent="0.35">
      <c r="E3044" t="s">
        <v>3803</v>
      </c>
      <c r="F3044" t="s">
        <v>6496</v>
      </c>
      <c r="G3044" t="s">
        <v>1666</v>
      </c>
    </row>
    <row r="3045" spans="5:7" x14ac:dyDescent="0.35">
      <c r="E3045" t="s">
        <v>3803</v>
      </c>
      <c r="F3045" t="s">
        <v>6497</v>
      </c>
      <c r="G3045" t="s">
        <v>1666</v>
      </c>
    </row>
    <row r="3046" spans="5:7" x14ac:dyDescent="0.35">
      <c r="E3046" t="s">
        <v>3803</v>
      </c>
      <c r="F3046" t="s">
        <v>6498</v>
      </c>
      <c r="G3046" t="s">
        <v>1666</v>
      </c>
    </row>
    <row r="3047" spans="5:7" x14ac:dyDescent="0.35">
      <c r="E3047" t="s">
        <v>3803</v>
      </c>
      <c r="F3047" t="s">
        <v>6499</v>
      </c>
      <c r="G3047" t="s">
        <v>1666</v>
      </c>
    </row>
    <row r="3048" spans="5:7" x14ac:dyDescent="0.35">
      <c r="E3048" t="s">
        <v>3803</v>
      </c>
      <c r="F3048" t="s">
        <v>6500</v>
      </c>
      <c r="G3048" t="s">
        <v>1666</v>
      </c>
    </row>
    <row r="3049" spans="5:7" x14ac:dyDescent="0.35">
      <c r="E3049" t="s">
        <v>3803</v>
      </c>
      <c r="F3049" t="s">
        <v>6501</v>
      </c>
      <c r="G3049" t="s">
        <v>1666</v>
      </c>
    </row>
    <row r="3050" spans="5:7" x14ac:dyDescent="0.35">
      <c r="E3050" t="s">
        <v>3803</v>
      </c>
      <c r="F3050" t="s">
        <v>6502</v>
      </c>
      <c r="G3050" t="s">
        <v>1666</v>
      </c>
    </row>
    <row r="3051" spans="5:7" x14ac:dyDescent="0.35">
      <c r="E3051" t="s">
        <v>3803</v>
      </c>
      <c r="F3051" t="s">
        <v>6503</v>
      </c>
      <c r="G3051" t="s">
        <v>1666</v>
      </c>
    </row>
    <row r="3052" spans="5:7" x14ac:dyDescent="0.35">
      <c r="E3052" t="s">
        <v>3803</v>
      </c>
      <c r="F3052" t="s">
        <v>6504</v>
      </c>
      <c r="G3052" t="s">
        <v>1666</v>
      </c>
    </row>
    <row r="3053" spans="5:7" x14ac:dyDescent="0.35">
      <c r="E3053" t="s">
        <v>3803</v>
      </c>
      <c r="F3053" t="s">
        <v>6505</v>
      </c>
      <c r="G3053" t="s">
        <v>1666</v>
      </c>
    </row>
    <row r="3054" spans="5:7" x14ac:dyDescent="0.35">
      <c r="E3054" t="s">
        <v>3803</v>
      </c>
      <c r="F3054" t="s">
        <v>6506</v>
      </c>
      <c r="G3054" t="s">
        <v>1666</v>
      </c>
    </row>
    <row r="3055" spans="5:7" x14ac:dyDescent="0.35">
      <c r="E3055" t="s">
        <v>3803</v>
      </c>
      <c r="F3055" t="s">
        <v>6507</v>
      </c>
      <c r="G3055" t="s">
        <v>1666</v>
      </c>
    </row>
    <row r="3056" spans="5:7" x14ac:dyDescent="0.35">
      <c r="E3056" t="s">
        <v>3803</v>
      </c>
      <c r="F3056" t="s">
        <v>6508</v>
      </c>
      <c r="G3056" t="s">
        <v>1666</v>
      </c>
    </row>
    <row r="3057" spans="5:7" x14ac:dyDescent="0.35">
      <c r="E3057" t="s">
        <v>3803</v>
      </c>
      <c r="F3057" t="s">
        <v>6509</v>
      </c>
      <c r="G3057" t="s">
        <v>1666</v>
      </c>
    </row>
    <row r="3058" spans="5:7" x14ac:dyDescent="0.35">
      <c r="E3058" t="s">
        <v>3803</v>
      </c>
      <c r="F3058" t="s">
        <v>6510</v>
      </c>
      <c r="G3058" t="s">
        <v>1666</v>
      </c>
    </row>
    <row r="3059" spans="5:7" x14ac:dyDescent="0.35">
      <c r="E3059" t="s">
        <v>3803</v>
      </c>
      <c r="F3059" t="s">
        <v>1386</v>
      </c>
      <c r="G3059" t="s">
        <v>1666</v>
      </c>
    </row>
    <row r="3060" spans="5:7" x14ac:dyDescent="0.35">
      <c r="E3060" t="s">
        <v>3803</v>
      </c>
      <c r="F3060" t="s">
        <v>6511</v>
      </c>
      <c r="G3060" t="s">
        <v>1666</v>
      </c>
    </row>
    <row r="3061" spans="5:7" x14ac:dyDescent="0.35">
      <c r="E3061" t="s">
        <v>3803</v>
      </c>
      <c r="F3061" t="s">
        <v>6512</v>
      </c>
      <c r="G3061" t="s">
        <v>1666</v>
      </c>
    </row>
    <row r="3062" spans="5:7" x14ac:dyDescent="0.35">
      <c r="E3062" t="s">
        <v>3803</v>
      </c>
      <c r="F3062" t="s">
        <v>6513</v>
      </c>
      <c r="G3062" t="s">
        <v>1666</v>
      </c>
    </row>
    <row r="3063" spans="5:7" x14ac:dyDescent="0.35">
      <c r="E3063" t="s">
        <v>3803</v>
      </c>
      <c r="F3063" t="s">
        <v>6514</v>
      </c>
      <c r="G3063" t="s">
        <v>1666</v>
      </c>
    </row>
    <row r="3064" spans="5:7" x14ac:dyDescent="0.35">
      <c r="E3064" t="s">
        <v>3803</v>
      </c>
      <c r="F3064" t="s">
        <v>6515</v>
      </c>
      <c r="G3064" t="s">
        <v>1666</v>
      </c>
    </row>
    <row r="3065" spans="5:7" x14ac:dyDescent="0.35">
      <c r="E3065" t="s">
        <v>3803</v>
      </c>
      <c r="F3065" t="s">
        <v>6516</v>
      </c>
      <c r="G3065" t="s">
        <v>1666</v>
      </c>
    </row>
    <row r="3066" spans="5:7" x14ac:dyDescent="0.35">
      <c r="E3066" t="s">
        <v>3803</v>
      </c>
      <c r="F3066" t="s">
        <v>6517</v>
      </c>
      <c r="G3066" t="s">
        <v>1666</v>
      </c>
    </row>
    <row r="3067" spans="5:7" x14ac:dyDescent="0.35">
      <c r="E3067" t="s">
        <v>3803</v>
      </c>
      <c r="F3067" t="s">
        <v>6518</v>
      </c>
      <c r="G3067" t="s">
        <v>1666</v>
      </c>
    </row>
    <row r="3068" spans="5:7" x14ac:dyDescent="0.35">
      <c r="E3068" t="s">
        <v>3803</v>
      </c>
      <c r="F3068" t="s">
        <v>6519</v>
      </c>
      <c r="G3068" t="s">
        <v>1666</v>
      </c>
    </row>
    <row r="3069" spans="5:7" x14ac:dyDescent="0.35">
      <c r="E3069" t="s">
        <v>3803</v>
      </c>
      <c r="F3069" t="s">
        <v>6520</v>
      </c>
      <c r="G3069" t="s">
        <v>1666</v>
      </c>
    </row>
    <row r="3070" spans="5:7" x14ac:dyDescent="0.35">
      <c r="E3070" t="s">
        <v>3803</v>
      </c>
      <c r="F3070" t="s">
        <v>6521</v>
      </c>
      <c r="G3070" t="s">
        <v>1666</v>
      </c>
    </row>
    <row r="3071" spans="5:7" x14ac:dyDescent="0.35">
      <c r="E3071" t="s">
        <v>3803</v>
      </c>
      <c r="F3071" t="s">
        <v>593</v>
      </c>
      <c r="G3071" t="s">
        <v>1675</v>
      </c>
    </row>
    <row r="3072" spans="5:7" x14ac:dyDescent="0.35">
      <c r="E3072" t="s">
        <v>3803</v>
      </c>
      <c r="F3072" t="s">
        <v>6522</v>
      </c>
      <c r="G3072" t="s">
        <v>1675</v>
      </c>
    </row>
    <row r="3073" spans="5:7" x14ac:dyDescent="0.35">
      <c r="E3073" t="s">
        <v>3803</v>
      </c>
      <c r="F3073" t="s">
        <v>6523</v>
      </c>
      <c r="G3073" t="s">
        <v>1675</v>
      </c>
    </row>
    <row r="3074" spans="5:7" x14ac:dyDescent="0.35">
      <c r="E3074" t="s">
        <v>3803</v>
      </c>
      <c r="F3074" t="s">
        <v>6524</v>
      </c>
      <c r="G3074" t="s">
        <v>1675</v>
      </c>
    </row>
    <row r="3075" spans="5:7" x14ac:dyDescent="0.35">
      <c r="E3075" t="s">
        <v>3803</v>
      </c>
      <c r="F3075" t="s">
        <v>6525</v>
      </c>
      <c r="G3075" t="s">
        <v>1675</v>
      </c>
    </row>
    <row r="3076" spans="5:7" x14ac:dyDescent="0.35">
      <c r="E3076" t="s">
        <v>3803</v>
      </c>
      <c r="F3076" t="s">
        <v>6526</v>
      </c>
      <c r="G3076" t="s">
        <v>1675</v>
      </c>
    </row>
    <row r="3077" spans="5:7" x14ac:dyDescent="0.35">
      <c r="E3077" t="s">
        <v>3803</v>
      </c>
      <c r="F3077" t="s">
        <v>6527</v>
      </c>
      <c r="G3077" t="s">
        <v>1675</v>
      </c>
    </row>
    <row r="3078" spans="5:7" x14ac:dyDescent="0.35">
      <c r="E3078" t="s">
        <v>3803</v>
      </c>
      <c r="F3078" t="s">
        <v>6528</v>
      </c>
      <c r="G3078" t="s">
        <v>1675</v>
      </c>
    </row>
    <row r="3079" spans="5:7" x14ac:dyDescent="0.35">
      <c r="E3079" t="s">
        <v>3803</v>
      </c>
      <c r="F3079" t="s">
        <v>6529</v>
      </c>
      <c r="G3079" t="s">
        <v>1675</v>
      </c>
    </row>
    <row r="3080" spans="5:7" x14ac:dyDescent="0.35">
      <c r="E3080" t="s">
        <v>3803</v>
      </c>
      <c r="F3080" t="s">
        <v>3006</v>
      </c>
      <c r="G3080" t="s">
        <v>1675</v>
      </c>
    </row>
    <row r="3081" spans="5:7" x14ac:dyDescent="0.35">
      <c r="E3081" t="s">
        <v>3803</v>
      </c>
      <c r="F3081" t="s">
        <v>726</v>
      </c>
      <c r="G3081" t="s">
        <v>1675</v>
      </c>
    </row>
    <row r="3082" spans="5:7" x14ac:dyDescent="0.35">
      <c r="E3082" t="s">
        <v>3803</v>
      </c>
      <c r="F3082" t="s">
        <v>6530</v>
      </c>
      <c r="G3082" t="s">
        <v>1675</v>
      </c>
    </row>
    <row r="3083" spans="5:7" x14ac:dyDescent="0.35">
      <c r="E3083" t="s">
        <v>3803</v>
      </c>
      <c r="F3083" t="s">
        <v>6531</v>
      </c>
      <c r="G3083" t="s">
        <v>1675</v>
      </c>
    </row>
    <row r="3084" spans="5:7" x14ac:dyDescent="0.35">
      <c r="E3084" t="s">
        <v>3803</v>
      </c>
      <c r="F3084" t="s">
        <v>6532</v>
      </c>
      <c r="G3084" t="s">
        <v>1675</v>
      </c>
    </row>
    <row r="3085" spans="5:7" x14ac:dyDescent="0.35">
      <c r="E3085" t="s">
        <v>3803</v>
      </c>
      <c r="F3085" t="s">
        <v>6533</v>
      </c>
      <c r="G3085" t="s">
        <v>1675</v>
      </c>
    </row>
    <row r="3086" spans="5:7" x14ac:dyDescent="0.35">
      <c r="E3086" t="s">
        <v>3803</v>
      </c>
      <c r="F3086" t="s">
        <v>6534</v>
      </c>
      <c r="G3086" t="s">
        <v>1675</v>
      </c>
    </row>
    <row r="3087" spans="5:7" x14ac:dyDescent="0.35">
      <c r="E3087" t="s">
        <v>3803</v>
      </c>
      <c r="F3087" t="s">
        <v>6535</v>
      </c>
      <c r="G3087" t="s">
        <v>1675</v>
      </c>
    </row>
    <row r="3088" spans="5:7" x14ac:dyDescent="0.35">
      <c r="E3088" t="s">
        <v>3803</v>
      </c>
      <c r="F3088" t="s">
        <v>6536</v>
      </c>
      <c r="G3088" t="s">
        <v>1675</v>
      </c>
    </row>
    <row r="3089" spans="5:7" x14ac:dyDescent="0.35">
      <c r="E3089" t="s">
        <v>3803</v>
      </c>
      <c r="F3089" t="s">
        <v>6537</v>
      </c>
      <c r="G3089" t="s">
        <v>1675</v>
      </c>
    </row>
    <row r="3090" spans="5:7" x14ac:dyDescent="0.35">
      <c r="E3090" t="s">
        <v>3803</v>
      </c>
      <c r="F3090" t="s">
        <v>6538</v>
      </c>
      <c r="G3090" t="s">
        <v>1675</v>
      </c>
    </row>
    <row r="3091" spans="5:7" x14ac:dyDescent="0.35">
      <c r="E3091" t="s">
        <v>3803</v>
      </c>
      <c r="F3091" t="s">
        <v>6539</v>
      </c>
      <c r="G3091" t="s">
        <v>1675</v>
      </c>
    </row>
    <row r="3092" spans="5:7" x14ac:dyDescent="0.35">
      <c r="E3092" t="s">
        <v>3803</v>
      </c>
      <c r="F3092" t="s">
        <v>6540</v>
      </c>
      <c r="G3092" t="s">
        <v>1675</v>
      </c>
    </row>
    <row r="3093" spans="5:7" x14ac:dyDescent="0.35">
      <c r="E3093" t="s">
        <v>3803</v>
      </c>
      <c r="F3093" t="s">
        <v>6541</v>
      </c>
      <c r="G3093" t="s">
        <v>1675</v>
      </c>
    </row>
    <row r="3094" spans="5:7" x14ac:dyDescent="0.35">
      <c r="E3094" t="s">
        <v>3803</v>
      </c>
      <c r="F3094" t="s">
        <v>6542</v>
      </c>
      <c r="G3094" t="s">
        <v>1675</v>
      </c>
    </row>
    <row r="3095" spans="5:7" x14ac:dyDescent="0.35">
      <c r="E3095" t="s">
        <v>3803</v>
      </c>
      <c r="F3095" t="s">
        <v>6543</v>
      </c>
      <c r="G3095" t="s">
        <v>1675</v>
      </c>
    </row>
    <row r="3096" spans="5:7" x14ac:dyDescent="0.35">
      <c r="E3096" t="s">
        <v>3803</v>
      </c>
      <c r="F3096" t="s">
        <v>6544</v>
      </c>
      <c r="G3096" t="s">
        <v>1675</v>
      </c>
    </row>
    <row r="3097" spans="5:7" x14ac:dyDescent="0.35">
      <c r="E3097" t="s">
        <v>3803</v>
      </c>
      <c r="F3097" t="s">
        <v>929</v>
      </c>
      <c r="G3097" t="s">
        <v>1675</v>
      </c>
    </row>
    <row r="3098" spans="5:7" x14ac:dyDescent="0.35">
      <c r="E3098" t="s">
        <v>3803</v>
      </c>
      <c r="F3098" t="s">
        <v>6545</v>
      </c>
      <c r="G3098" t="s">
        <v>1675</v>
      </c>
    </row>
    <row r="3099" spans="5:7" x14ac:dyDescent="0.35">
      <c r="E3099" t="s">
        <v>3803</v>
      </c>
      <c r="F3099" t="s">
        <v>6546</v>
      </c>
      <c r="G3099" t="s">
        <v>1675</v>
      </c>
    </row>
    <row r="3100" spans="5:7" x14ac:dyDescent="0.35">
      <c r="E3100" t="s">
        <v>3803</v>
      </c>
      <c r="F3100" t="s">
        <v>6547</v>
      </c>
      <c r="G3100" t="s">
        <v>1675</v>
      </c>
    </row>
    <row r="3101" spans="5:7" x14ac:dyDescent="0.35">
      <c r="E3101" t="s">
        <v>3803</v>
      </c>
      <c r="F3101" t="s">
        <v>6548</v>
      </c>
      <c r="G3101" t="s">
        <v>1675</v>
      </c>
    </row>
    <row r="3102" spans="5:7" x14ac:dyDescent="0.35">
      <c r="E3102" t="s">
        <v>3803</v>
      </c>
      <c r="F3102" t="s">
        <v>6549</v>
      </c>
      <c r="G3102" t="s">
        <v>1675</v>
      </c>
    </row>
    <row r="3103" spans="5:7" x14ac:dyDescent="0.35">
      <c r="E3103" t="s">
        <v>3803</v>
      </c>
      <c r="F3103" t="s">
        <v>6550</v>
      </c>
      <c r="G3103" t="s">
        <v>1675</v>
      </c>
    </row>
    <row r="3104" spans="5:7" x14ac:dyDescent="0.35">
      <c r="E3104" t="s">
        <v>3803</v>
      </c>
      <c r="F3104" t="s">
        <v>6551</v>
      </c>
      <c r="G3104" t="s">
        <v>1675</v>
      </c>
    </row>
    <row r="3105" spans="5:7" x14ac:dyDescent="0.35">
      <c r="E3105" t="s">
        <v>3803</v>
      </c>
      <c r="F3105" t="s">
        <v>6552</v>
      </c>
      <c r="G3105" t="s">
        <v>1675</v>
      </c>
    </row>
    <row r="3106" spans="5:7" x14ac:dyDescent="0.35">
      <c r="E3106" t="s">
        <v>3803</v>
      </c>
      <c r="F3106" t="s">
        <v>6553</v>
      </c>
      <c r="G3106" t="s">
        <v>1675</v>
      </c>
    </row>
    <row r="3107" spans="5:7" x14ac:dyDescent="0.35">
      <c r="E3107" t="s">
        <v>3803</v>
      </c>
      <c r="F3107" t="s">
        <v>6554</v>
      </c>
      <c r="G3107" t="s">
        <v>1675</v>
      </c>
    </row>
    <row r="3108" spans="5:7" x14ac:dyDescent="0.35">
      <c r="E3108" t="s">
        <v>3803</v>
      </c>
      <c r="F3108" t="s">
        <v>6555</v>
      </c>
      <c r="G3108" t="s">
        <v>1675</v>
      </c>
    </row>
    <row r="3109" spans="5:7" x14ac:dyDescent="0.35">
      <c r="E3109" t="s">
        <v>3803</v>
      </c>
      <c r="F3109" t="s">
        <v>6556</v>
      </c>
      <c r="G3109" t="s">
        <v>1675</v>
      </c>
    </row>
    <row r="3110" spans="5:7" x14ac:dyDescent="0.35">
      <c r="E3110" t="s">
        <v>3803</v>
      </c>
      <c r="F3110" t="s">
        <v>6557</v>
      </c>
      <c r="G3110" t="s">
        <v>1675</v>
      </c>
    </row>
    <row r="3111" spans="5:7" x14ac:dyDescent="0.35">
      <c r="E3111" t="s">
        <v>3803</v>
      </c>
      <c r="F3111" t="s">
        <v>6558</v>
      </c>
      <c r="G3111" t="s">
        <v>1675</v>
      </c>
    </row>
    <row r="3112" spans="5:7" x14ac:dyDescent="0.35">
      <c r="E3112" t="s">
        <v>3803</v>
      </c>
      <c r="F3112" t="s">
        <v>6559</v>
      </c>
      <c r="G3112" t="s">
        <v>1675</v>
      </c>
    </row>
    <row r="3113" spans="5:7" x14ac:dyDescent="0.35">
      <c r="E3113" t="s">
        <v>3803</v>
      </c>
      <c r="F3113" t="s">
        <v>6560</v>
      </c>
      <c r="G3113" t="s">
        <v>1675</v>
      </c>
    </row>
    <row r="3114" spans="5:7" x14ac:dyDescent="0.35">
      <c r="E3114" t="s">
        <v>3803</v>
      </c>
      <c r="F3114" t="s">
        <v>6561</v>
      </c>
      <c r="G3114" t="s">
        <v>1675</v>
      </c>
    </row>
    <row r="3115" spans="5:7" x14ac:dyDescent="0.35">
      <c r="E3115" t="s">
        <v>3803</v>
      </c>
      <c r="F3115" t="s">
        <v>6562</v>
      </c>
      <c r="G3115" t="s">
        <v>1675</v>
      </c>
    </row>
    <row r="3116" spans="5:7" x14ac:dyDescent="0.35">
      <c r="E3116" t="s">
        <v>3803</v>
      </c>
      <c r="F3116" t="s">
        <v>6563</v>
      </c>
      <c r="G3116" t="s">
        <v>1675</v>
      </c>
    </row>
    <row r="3117" spans="5:7" x14ac:dyDescent="0.35">
      <c r="E3117" t="s">
        <v>3803</v>
      </c>
      <c r="F3117" t="s">
        <v>6564</v>
      </c>
      <c r="G3117" t="s">
        <v>1675</v>
      </c>
    </row>
    <row r="3118" spans="5:7" x14ac:dyDescent="0.35">
      <c r="E3118" t="s">
        <v>3803</v>
      </c>
      <c r="F3118" t="s">
        <v>6565</v>
      </c>
      <c r="G3118" t="s">
        <v>1675</v>
      </c>
    </row>
    <row r="3119" spans="5:7" x14ac:dyDescent="0.35">
      <c r="E3119" t="s">
        <v>3803</v>
      </c>
      <c r="F3119" t="s">
        <v>6566</v>
      </c>
      <c r="G3119" t="s">
        <v>1675</v>
      </c>
    </row>
    <row r="3120" spans="5:7" x14ac:dyDescent="0.35">
      <c r="E3120" t="s">
        <v>3803</v>
      </c>
      <c r="F3120" t="s">
        <v>6567</v>
      </c>
      <c r="G3120" t="s">
        <v>1675</v>
      </c>
    </row>
    <row r="3121" spans="5:7" x14ac:dyDescent="0.35">
      <c r="E3121" t="s">
        <v>3803</v>
      </c>
      <c r="F3121" t="s">
        <v>6568</v>
      </c>
      <c r="G3121" t="s">
        <v>1675</v>
      </c>
    </row>
    <row r="3122" spans="5:7" x14ac:dyDescent="0.35">
      <c r="E3122" t="s">
        <v>3803</v>
      </c>
      <c r="F3122" t="s">
        <v>6569</v>
      </c>
      <c r="G3122" t="s">
        <v>1675</v>
      </c>
    </row>
    <row r="3123" spans="5:7" x14ac:dyDescent="0.35">
      <c r="E3123" t="s">
        <v>3803</v>
      </c>
      <c r="F3123" t="s">
        <v>6570</v>
      </c>
      <c r="G3123" t="s">
        <v>1675</v>
      </c>
    </row>
    <row r="3124" spans="5:7" x14ac:dyDescent="0.35">
      <c r="E3124" t="s">
        <v>3803</v>
      </c>
      <c r="F3124" t="s">
        <v>6571</v>
      </c>
      <c r="G3124" t="s">
        <v>1675</v>
      </c>
    </row>
    <row r="3125" spans="5:7" x14ac:dyDescent="0.35">
      <c r="E3125" t="s">
        <v>3803</v>
      </c>
      <c r="F3125" t="s">
        <v>6572</v>
      </c>
      <c r="G3125" t="s">
        <v>1675</v>
      </c>
    </row>
    <row r="3126" spans="5:7" x14ac:dyDescent="0.35">
      <c r="E3126" t="s">
        <v>3803</v>
      </c>
      <c r="F3126" t="s">
        <v>6573</v>
      </c>
      <c r="G3126" t="s">
        <v>1675</v>
      </c>
    </row>
    <row r="3127" spans="5:7" x14ac:dyDescent="0.35">
      <c r="E3127" t="s">
        <v>3803</v>
      </c>
      <c r="F3127" t="s">
        <v>6574</v>
      </c>
      <c r="G3127" t="s">
        <v>1675</v>
      </c>
    </row>
    <row r="3128" spans="5:7" x14ac:dyDescent="0.35">
      <c r="E3128" t="s">
        <v>3803</v>
      </c>
      <c r="F3128" t="s">
        <v>6575</v>
      </c>
      <c r="G3128" t="s">
        <v>1675</v>
      </c>
    </row>
    <row r="3129" spans="5:7" x14ac:dyDescent="0.35">
      <c r="E3129" t="s">
        <v>3803</v>
      </c>
      <c r="F3129" t="s">
        <v>6576</v>
      </c>
      <c r="G3129" t="s">
        <v>1675</v>
      </c>
    </row>
    <row r="3130" spans="5:7" x14ac:dyDescent="0.35">
      <c r="E3130" t="s">
        <v>3803</v>
      </c>
      <c r="F3130" t="s">
        <v>3009</v>
      </c>
      <c r="G3130" t="s">
        <v>1675</v>
      </c>
    </row>
    <row r="3131" spans="5:7" x14ac:dyDescent="0.35">
      <c r="E3131" t="s">
        <v>3803</v>
      </c>
      <c r="F3131" t="s">
        <v>6577</v>
      </c>
      <c r="G3131" t="s">
        <v>1675</v>
      </c>
    </row>
    <row r="3132" spans="5:7" x14ac:dyDescent="0.35">
      <c r="E3132" t="s">
        <v>3803</v>
      </c>
      <c r="F3132" t="s">
        <v>6578</v>
      </c>
      <c r="G3132" t="s">
        <v>1675</v>
      </c>
    </row>
    <row r="3133" spans="5:7" x14ac:dyDescent="0.35">
      <c r="E3133" t="s">
        <v>3803</v>
      </c>
      <c r="F3133" t="s">
        <v>6579</v>
      </c>
      <c r="G3133" t="s">
        <v>1675</v>
      </c>
    </row>
    <row r="3134" spans="5:7" x14ac:dyDescent="0.35">
      <c r="E3134" t="s">
        <v>3803</v>
      </c>
      <c r="F3134" t="s">
        <v>6580</v>
      </c>
      <c r="G3134" t="s">
        <v>1675</v>
      </c>
    </row>
    <row r="3135" spans="5:7" x14ac:dyDescent="0.35">
      <c r="E3135" t="s">
        <v>3803</v>
      </c>
      <c r="F3135" t="s">
        <v>6581</v>
      </c>
      <c r="G3135" t="s">
        <v>1675</v>
      </c>
    </row>
    <row r="3136" spans="5:7" x14ac:dyDescent="0.35">
      <c r="E3136" t="s">
        <v>3803</v>
      </c>
      <c r="F3136" t="s">
        <v>6582</v>
      </c>
      <c r="G3136" t="s">
        <v>1675</v>
      </c>
    </row>
    <row r="3137" spans="5:7" x14ac:dyDescent="0.35">
      <c r="E3137" t="s">
        <v>3803</v>
      </c>
      <c r="F3137" t="s">
        <v>6583</v>
      </c>
      <c r="G3137" t="s">
        <v>1675</v>
      </c>
    </row>
    <row r="3138" spans="5:7" x14ac:dyDescent="0.35">
      <c r="E3138" t="s">
        <v>3803</v>
      </c>
      <c r="F3138" t="s">
        <v>6584</v>
      </c>
      <c r="G3138" t="s">
        <v>1675</v>
      </c>
    </row>
    <row r="3139" spans="5:7" x14ac:dyDescent="0.35">
      <c r="E3139" t="s">
        <v>3803</v>
      </c>
      <c r="F3139" t="s">
        <v>6585</v>
      </c>
      <c r="G3139" t="s">
        <v>1675</v>
      </c>
    </row>
    <row r="3140" spans="5:7" x14ac:dyDescent="0.35">
      <c r="E3140" t="s">
        <v>3803</v>
      </c>
      <c r="F3140" t="s">
        <v>6586</v>
      </c>
      <c r="G3140" t="s">
        <v>1675</v>
      </c>
    </row>
    <row r="3141" spans="5:7" x14ac:dyDescent="0.35">
      <c r="E3141" t="s">
        <v>3803</v>
      </c>
      <c r="F3141" t="s">
        <v>6587</v>
      </c>
      <c r="G3141" t="s">
        <v>1675</v>
      </c>
    </row>
    <row r="3142" spans="5:7" x14ac:dyDescent="0.35">
      <c r="E3142" t="s">
        <v>3803</v>
      </c>
      <c r="F3142" t="s">
        <v>6588</v>
      </c>
      <c r="G3142" t="s">
        <v>1675</v>
      </c>
    </row>
    <row r="3143" spans="5:7" x14ac:dyDescent="0.35">
      <c r="E3143" t="s">
        <v>3803</v>
      </c>
      <c r="F3143" t="s">
        <v>6589</v>
      </c>
      <c r="G3143" t="s">
        <v>1675</v>
      </c>
    </row>
    <row r="3144" spans="5:7" x14ac:dyDescent="0.35">
      <c r="E3144" t="s">
        <v>3803</v>
      </c>
      <c r="F3144" t="s">
        <v>6590</v>
      </c>
      <c r="G3144" t="s">
        <v>1675</v>
      </c>
    </row>
    <row r="3145" spans="5:7" x14ac:dyDescent="0.35">
      <c r="E3145" t="s">
        <v>3803</v>
      </c>
      <c r="F3145" t="s">
        <v>6591</v>
      </c>
      <c r="G3145" t="s">
        <v>1675</v>
      </c>
    </row>
    <row r="3146" spans="5:7" x14ac:dyDescent="0.35">
      <c r="E3146" t="s">
        <v>3803</v>
      </c>
      <c r="F3146" t="s">
        <v>6592</v>
      </c>
      <c r="G3146" t="s">
        <v>1675</v>
      </c>
    </row>
    <row r="3147" spans="5:7" x14ac:dyDescent="0.35">
      <c r="E3147" t="s">
        <v>3803</v>
      </c>
      <c r="F3147" t="s">
        <v>6593</v>
      </c>
      <c r="G3147" t="s">
        <v>1675</v>
      </c>
    </row>
    <row r="3148" spans="5:7" x14ac:dyDescent="0.35">
      <c r="E3148" t="s">
        <v>3803</v>
      </c>
      <c r="F3148" t="s">
        <v>6594</v>
      </c>
      <c r="G3148" t="s">
        <v>1675</v>
      </c>
    </row>
    <row r="3149" spans="5:7" x14ac:dyDescent="0.35">
      <c r="E3149" t="s">
        <v>3803</v>
      </c>
      <c r="F3149" t="s">
        <v>6595</v>
      </c>
      <c r="G3149" t="s">
        <v>1675</v>
      </c>
    </row>
    <row r="3150" spans="5:7" x14ac:dyDescent="0.35">
      <c r="E3150" t="s">
        <v>3803</v>
      </c>
      <c r="F3150" t="s">
        <v>6596</v>
      </c>
      <c r="G3150" t="s">
        <v>1675</v>
      </c>
    </row>
    <row r="3151" spans="5:7" x14ac:dyDescent="0.35">
      <c r="E3151" t="s">
        <v>3803</v>
      </c>
      <c r="F3151" t="s">
        <v>6597</v>
      </c>
      <c r="G3151" t="s">
        <v>1675</v>
      </c>
    </row>
    <row r="3152" spans="5:7" x14ac:dyDescent="0.35">
      <c r="E3152" t="s">
        <v>3803</v>
      </c>
      <c r="F3152" t="s">
        <v>6598</v>
      </c>
      <c r="G3152" t="s">
        <v>1675</v>
      </c>
    </row>
    <row r="3153" spans="5:7" x14ac:dyDescent="0.35">
      <c r="E3153" t="s">
        <v>3803</v>
      </c>
      <c r="F3153" t="s">
        <v>6599</v>
      </c>
      <c r="G3153" t="s">
        <v>1675</v>
      </c>
    </row>
    <row r="3154" spans="5:7" x14ac:dyDescent="0.35">
      <c r="E3154" t="s">
        <v>3803</v>
      </c>
      <c r="F3154" t="s">
        <v>6600</v>
      </c>
      <c r="G3154" t="s">
        <v>1675</v>
      </c>
    </row>
    <row r="3155" spans="5:7" x14ac:dyDescent="0.35">
      <c r="E3155" t="s">
        <v>3803</v>
      </c>
      <c r="F3155" t="s">
        <v>6601</v>
      </c>
      <c r="G3155" t="s">
        <v>1675</v>
      </c>
    </row>
    <row r="3156" spans="5:7" x14ac:dyDescent="0.35">
      <c r="E3156" t="s">
        <v>3803</v>
      </c>
      <c r="F3156" t="s">
        <v>6602</v>
      </c>
      <c r="G3156" t="s">
        <v>1675</v>
      </c>
    </row>
    <row r="3157" spans="5:7" x14ac:dyDescent="0.35">
      <c r="E3157" t="s">
        <v>3803</v>
      </c>
      <c r="F3157" t="s">
        <v>6603</v>
      </c>
      <c r="G3157" t="s">
        <v>1675</v>
      </c>
    </row>
    <row r="3158" spans="5:7" x14ac:dyDescent="0.35">
      <c r="E3158" t="s">
        <v>3803</v>
      </c>
      <c r="F3158" t="s">
        <v>6604</v>
      </c>
      <c r="G3158" t="s">
        <v>1675</v>
      </c>
    </row>
    <row r="3159" spans="5:7" x14ac:dyDescent="0.35">
      <c r="E3159" t="s">
        <v>3803</v>
      </c>
      <c r="F3159" t="s">
        <v>6605</v>
      </c>
      <c r="G3159" t="s">
        <v>1675</v>
      </c>
    </row>
    <row r="3160" spans="5:7" x14ac:dyDescent="0.35">
      <c r="E3160" t="s">
        <v>3803</v>
      </c>
      <c r="F3160" t="s">
        <v>6606</v>
      </c>
      <c r="G3160" t="s">
        <v>1675</v>
      </c>
    </row>
    <row r="3161" spans="5:7" x14ac:dyDescent="0.35">
      <c r="E3161" t="s">
        <v>3803</v>
      </c>
      <c r="F3161" t="s">
        <v>1078</v>
      </c>
      <c r="G3161" t="s">
        <v>1675</v>
      </c>
    </row>
    <row r="3162" spans="5:7" x14ac:dyDescent="0.35">
      <c r="E3162" t="s">
        <v>3803</v>
      </c>
      <c r="F3162" t="s">
        <v>6607</v>
      </c>
      <c r="G3162" t="s">
        <v>1675</v>
      </c>
    </row>
    <row r="3163" spans="5:7" x14ac:dyDescent="0.35">
      <c r="E3163" t="s">
        <v>3803</v>
      </c>
      <c r="F3163" t="s">
        <v>6608</v>
      </c>
      <c r="G3163" t="s">
        <v>1675</v>
      </c>
    </row>
    <row r="3164" spans="5:7" x14ac:dyDescent="0.35">
      <c r="E3164" t="s">
        <v>3803</v>
      </c>
      <c r="F3164" t="s">
        <v>6609</v>
      </c>
      <c r="G3164" t="s">
        <v>1675</v>
      </c>
    </row>
    <row r="3165" spans="5:7" x14ac:dyDescent="0.35">
      <c r="E3165" t="s">
        <v>3803</v>
      </c>
      <c r="F3165" t="s">
        <v>6610</v>
      </c>
      <c r="G3165" t="s">
        <v>1675</v>
      </c>
    </row>
    <row r="3166" spans="5:7" x14ac:dyDescent="0.35">
      <c r="E3166" t="s">
        <v>3803</v>
      </c>
      <c r="F3166" t="s">
        <v>6611</v>
      </c>
      <c r="G3166" t="s">
        <v>1675</v>
      </c>
    </row>
    <row r="3167" spans="5:7" x14ac:dyDescent="0.35">
      <c r="E3167" t="s">
        <v>3803</v>
      </c>
      <c r="F3167" t="s">
        <v>6612</v>
      </c>
      <c r="G3167" t="s">
        <v>1675</v>
      </c>
    </row>
    <row r="3168" spans="5:7" x14ac:dyDescent="0.35">
      <c r="E3168" t="s">
        <v>3803</v>
      </c>
      <c r="F3168" t="s">
        <v>3011</v>
      </c>
      <c r="G3168" t="s">
        <v>1675</v>
      </c>
    </row>
    <row r="3169" spans="5:7" x14ac:dyDescent="0.35">
      <c r="E3169" t="s">
        <v>3803</v>
      </c>
      <c r="F3169" t="s">
        <v>6613</v>
      </c>
      <c r="G3169" t="s">
        <v>1675</v>
      </c>
    </row>
    <row r="3170" spans="5:7" x14ac:dyDescent="0.35">
      <c r="E3170" t="s">
        <v>3803</v>
      </c>
      <c r="F3170" t="s">
        <v>6614</v>
      </c>
      <c r="G3170" t="s">
        <v>1675</v>
      </c>
    </row>
    <row r="3171" spans="5:7" x14ac:dyDescent="0.35">
      <c r="E3171" t="s">
        <v>3803</v>
      </c>
      <c r="F3171" t="s">
        <v>3014</v>
      </c>
      <c r="G3171" t="s">
        <v>1675</v>
      </c>
    </row>
    <row r="3172" spans="5:7" x14ac:dyDescent="0.35">
      <c r="E3172" t="s">
        <v>3803</v>
      </c>
      <c r="F3172" t="s">
        <v>3017</v>
      </c>
      <c r="G3172" t="s">
        <v>1675</v>
      </c>
    </row>
    <row r="3173" spans="5:7" x14ac:dyDescent="0.35">
      <c r="E3173" t="s">
        <v>3803</v>
      </c>
      <c r="F3173" t="s">
        <v>3023</v>
      </c>
      <c r="G3173" t="s">
        <v>1680</v>
      </c>
    </row>
    <row r="3174" spans="5:7" x14ac:dyDescent="0.35">
      <c r="E3174" t="s">
        <v>3803</v>
      </c>
      <c r="F3174" t="s">
        <v>3025</v>
      </c>
      <c r="G3174" t="s">
        <v>1680</v>
      </c>
    </row>
    <row r="3175" spans="5:7" x14ac:dyDescent="0.35">
      <c r="E3175" t="s">
        <v>3803</v>
      </c>
      <c r="F3175" t="s">
        <v>3027</v>
      </c>
      <c r="G3175" t="s">
        <v>1680</v>
      </c>
    </row>
    <row r="3176" spans="5:7" x14ac:dyDescent="0.35">
      <c r="E3176" t="s">
        <v>3803</v>
      </c>
      <c r="F3176" t="s">
        <v>3030</v>
      </c>
      <c r="G3176" t="s">
        <v>1680</v>
      </c>
    </row>
    <row r="3177" spans="5:7" x14ac:dyDescent="0.35">
      <c r="E3177" t="s">
        <v>3803</v>
      </c>
      <c r="F3177" t="s">
        <v>3033</v>
      </c>
      <c r="G3177" t="s">
        <v>1680</v>
      </c>
    </row>
    <row r="3178" spans="5:7" x14ac:dyDescent="0.35">
      <c r="E3178" t="s">
        <v>3803</v>
      </c>
      <c r="F3178" t="s">
        <v>3035</v>
      </c>
      <c r="G3178" t="s">
        <v>1685</v>
      </c>
    </row>
    <row r="3179" spans="5:7" x14ac:dyDescent="0.35">
      <c r="E3179" t="s">
        <v>3803</v>
      </c>
      <c r="F3179" t="s">
        <v>3037</v>
      </c>
      <c r="G3179" t="s">
        <v>1685</v>
      </c>
    </row>
    <row r="3180" spans="5:7" x14ac:dyDescent="0.35">
      <c r="E3180" t="s">
        <v>3803</v>
      </c>
      <c r="F3180" t="s">
        <v>3039</v>
      </c>
      <c r="G3180" t="s">
        <v>1685</v>
      </c>
    </row>
    <row r="3181" spans="5:7" x14ac:dyDescent="0.35">
      <c r="E3181" t="s">
        <v>3803</v>
      </c>
      <c r="F3181" t="s">
        <v>3041</v>
      </c>
      <c r="G3181" t="s">
        <v>1685</v>
      </c>
    </row>
    <row r="3182" spans="5:7" x14ac:dyDescent="0.35">
      <c r="E3182" t="s">
        <v>3803</v>
      </c>
      <c r="F3182" t="s">
        <v>3043</v>
      </c>
      <c r="G3182" t="s">
        <v>1685</v>
      </c>
    </row>
    <row r="3183" spans="5:7" x14ac:dyDescent="0.35">
      <c r="E3183" t="s">
        <v>3803</v>
      </c>
      <c r="F3183" t="s">
        <v>3045</v>
      </c>
      <c r="G3183" t="s">
        <v>1685</v>
      </c>
    </row>
    <row r="3184" spans="5:7" x14ac:dyDescent="0.35">
      <c r="E3184" t="s">
        <v>3803</v>
      </c>
      <c r="F3184" t="s">
        <v>3049</v>
      </c>
      <c r="G3184" t="s">
        <v>1685</v>
      </c>
    </row>
    <row r="3185" spans="5:7" x14ac:dyDescent="0.35">
      <c r="E3185" t="s">
        <v>3803</v>
      </c>
      <c r="F3185" t="s">
        <v>3052</v>
      </c>
      <c r="G3185" t="s">
        <v>1685</v>
      </c>
    </row>
    <row r="3186" spans="5:7" x14ac:dyDescent="0.35">
      <c r="E3186" t="s">
        <v>3803</v>
      </c>
      <c r="F3186" t="s">
        <v>3055</v>
      </c>
      <c r="G3186" t="s">
        <v>6615</v>
      </c>
    </row>
    <row r="3187" spans="5:7" x14ac:dyDescent="0.35">
      <c r="E3187" t="s">
        <v>3803</v>
      </c>
      <c r="F3187" t="s">
        <v>3059</v>
      </c>
      <c r="G3187" t="s">
        <v>6615</v>
      </c>
    </row>
    <row r="3188" spans="5:7" x14ac:dyDescent="0.35">
      <c r="E3188" t="s">
        <v>3803</v>
      </c>
      <c r="F3188" t="s">
        <v>3063</v>
      </c>
      <c r="G3188" t="s">
        <v>6615</v>
      </c>
    </row>
    <row r="3189" spans="5:7" x14ac:dyDescent="0.35">
      <c r="E3189" t="s">
        <v>3803</v>
      </c>
      <c r="F3189" t="s">
        <v>3067</v>
      </c>
      <c r="G3189" t="s">
        <v>6615</v>
      </c>
    </row>
    <row r="3190" spans="5:7" x14ac:dyDescent="0.35">
      <c r="E3190" t="s">
        <v>3803</v>
      </c>
      <c r="F3190" t="s">
        <v>3071</v>
      </c>
      <c r="G3190" t="s">
        <v>6615</v>
      </c>
    </row>
    <row r="3191" spans="5:7" x14ac:dyDescent="0.35">
      <c r="E3191" t="s">
        <v>3803</v>
      </c>
      <c r="F3191" t="s">
        <v>3075</v>
      </c>
      <c r="G3191" t="s">
        <v>6615</v>
      </c>
    </row>
    <row r="3192" spans="5:7" x14ac:dyDescent="0.35">
      <c r="E3192" t="s">
        <v>3803</v>
      </c>
      <c r="F3192" t="s">
        <v>3079</v>
      </c>
      <c r="G3192" t="s">
        <v>6615</v>
      </c>
    </row>
    <row r="3193" spans="5:7" x14ac:dyDescent="0.35">
      <c r="E3193" t="s">
        <v>3803</v>
      </c>
      <c r="F3193" t="s">
        <v>3083</v>
      </c>
      <c r="G3193" t="s">
        <v>1690</v>
      </c>
    </row>
    <row r="3194" spans="5:7" x14ac:dyDescent="0.35">
      <c r="E3194" t="s">
        <v>3803</v>
      </c>
      <c r="F3194" t="s">
        <v>3087</v>
      </c>
      <c r="G3194" t="s">
        <v>1695</v>
      </c>
    </row>
    <row r="3195" spans="5:7" x14ac:dyDescent="0.35">
      <c r="E3195" t="s">
        <v>3803</v>
      </c>
      <c r="F3195" t="s">
        <v>3090</v>
      </c>
      <c r="G3195" t="s">
        <v>1695</v>
      </c>
    </row>
    <row r="3196" spans="5:7" x14ac:dyDescent="0.35">
      <c r="E3196" t="s">
        <v>3803</v>
      </c>
      <c r="F3196" t="s">
        <v>3093</v>
      </c>
      <c r="G3196" t="s">
        <v>1695</v>
      </c>
    </row>
    <row r="3197" spans="5:7" x14ac:dyDescent="0.35">
      <c r="E3197" t="s">
        <v>3803</v>
      </c>
      <c r="F3197" t="s">
        <v>3096</v>
      </c>
      <c r="G3197" t="s">
        <v>1695</v>
      </c>
    </row>
    <row r="3198" spans="5:7" x14ac:dyDescent="0.35">
      <c r="E3198" t="s">
        <v>3803</v>
      </c>
      <c r="F3198" t="s">
        <v>3099</v>
      </c>
      <c r="G3198" t="s">
        <v>1695</v>
      </c>
    </row>
    <row r="3199" spans="5:7" x14ac:dyDescent="0.35">
      <c r="E3199" t="s">
        <v>3803</v>
      </c>
      <c r="F3199" t="s">
        <v>3102</v>
      </c>
      <c r="G3199" t="s">
        <v>2338</v>
      </c>
    </row>
    <row r="3200" spans="5:7" x14ac:dyDescent="0.35">
      <c r="E3200" t="s">
        <v>3803</v>
      </c>
      <c r="F3200" t="s">
        <v>3105</v>
      </c>
      <c r="G3200" t="s">
        <v>2338</v>
      </c>
    </row>
    <row r="3201" spans="5:7" x14ac:dyDescent="0.35">
      <c r="E3201" t="s">
        <v>3803</v>
      </c>
      <c r="F3201" t="s">
        <v>3108</v>
      </c>
      <c r="G3201" t="s">
        <v>2338</v>
      </c>
    </row>
    <row r="3202" spans="5:7" x14ac:dyDescent="0.35">
      <c r="E3202" t="s">
        <v>3803</v>
      </c>
      <c r="F3202" t="s">
        <v>3110</v>
      </c>
      <c r="G3202" t="s">
        <v>2338</v>
      </c>
    </row>
    <row r="3203" spans="5:7" x14ac:dyDescent="0.35">
      <c r="E3203" t="s">
        <v>3803</v>
      </c>
      <c r="F3203" t="s">
        <v>3112</v>
      </c>
      <c r="G3203" t="s">
        <v>2338</v>
      </c>
    </row>
    <row r="3204" spans="5:7" x14ac:dyDescent="0.35">
      <c r="E3204" t="s">
        <v>3803</v>
      </c>
      <c r="F3204" t="s">
        <v>3118</v>
      </c>
      <c r="G3204" t="s">
        <v>1700</v>
      </c>
    </row>
    <row r="3205" spans="5:7" x14ac:dyDescent="0.35">
      <c r="E3205" t="s">
        <v>3803</v>
      </c>
      <c r="F3205" t="s">
        <v>3121</v>
      </c>
      <c r="G3205" t="s">
        <v>1700</v>
      </c>
    </row>
    <row r="3206" spans="5:7" x14ac:dyDescent="0.35">
      <c r="E3206" t="s">
        <v>3803</v>
      </c>
      <c r="F3206" t="s">
        <v>3124</v>
      </c>
      <c r="G3206" t="s">
        <v>1700</v>
      </c>
    </row>
    <row r="3207" spans="5:7" x14ac:dyDescent="0.35">
      <c r="E3207" t="s">
        <v>3803</v>
      </c>
      <c r="F3207" t="s">
        <v>1073</v>
      </c>
      <c r="G3207" t="s">
        <v>1700</v>
      </c>
    </row>
    <row r="3208" spans="5:7" x14ac:dyDescent="0.35">
      <c r="E3208" t="s">
        <v>3803</v>
      </c>
      <c r="F3208" t="s">
        <v>6616</v>
      </c>
      <c r="G3208" t="s">
        <v>1700</v>
      </c>
    </row>
    <row r="3209" spans="5:7" x14ac:dyDescent="0.35">
      <c r="E3209" t="s">
        <v>3803</v>
      </c>
      <c r="F3209" t="s">
        <v>6617</v>
      </c>
      <c r="G3209" t="s">
        <v>1700</v>
      </c>
    </row>
    <row r="3210" spans="5:7" x14ac:dyDescent="0.35">
      <c r="E3210" t="s">
        <v>3803</v>
      </c>
      <c r="F3210" t="s">
        <v>6618</v>
      </c>
      <c r="G3210" t="s">
        <v>1700</v>
      </c>
    </row>
    <row r="3211" spans="5:7" x14ac:dyDescent="0.35">
      <c r="E3211" t="s">
        <v>3803</v>
      </c>
      <c r="F3211" t="s">
        <v>6619</v>
      </c>
      <c r="G3211" t="s">
        <v>1700</v>
      </c>
    </row>
    <row r="3212" spans="5:7" x14ac:dyDescent="0.35">
      <c r="E3212" t="s">
        <v>3803</v>
      </c>
      <c r="F3212" t="s">
        <v>6620</v>
      </c>
      <c r="G3212" t="s">
        <v>1700</v>
      </c>
    </row>
    <row r="3213" spans="5:7" x14ac:dyDescent="0.35">
      <c r="E3213" t="s">
        <v>3803</v>
      </c>
      <c r="F3213" t="s">
        <v>6621</v>
      </c>
      <c r="G3213" t="s">
        <v>1700</v>
      </c>
    </row>
    <row r="3214" spans="5:7" x14ac:dyDescent="0.35">
      <c r="E3214" t="s">
        <v>3803</v>
      </c>
      <c r="F3214" t="s">
        <v>3127</v>
      </c>
      <c r="G3214" t="s">
        <v>1700</v>
      </c>
    </row>
    <row r="3215" spans="5:7" x14ac:dyDescent="0.35">
      <c r="E3215" t="s">
        <v>3803</v>
      </c>
      <c r="F3215" t="s">
        <v>1166</v>
      </c>
      <c r="G3215" t="s">
        <v>1700</v>
      </c>
    </row>
    <row r="3216" spans="5:7" x14ac:dyDescent="0.35">
      <c r="E3216" t="s">
        <v>3803</v>
      </c>
      <c r="F3216" t="s">
        <v>6622</v>
      </c>
      <c r="G3216" t="s">
        <v>1700</v>
      </c>
    </row>
    <row r="3217" spans="5:7" x14ac:dyDescent="0.35">
      <c r="E3217" t="s">
        <v>3803</v>
      </c>
      <c r="F3217" t="s">
        <v>6623</v>
      </c>
      <c r="G3217" t="s">
        <v>1700</v>
      </c>
    </row>
    <row r="3218" spans="5:7" x14ac:dyDescent="0.35">
      <c r="E3218" t="s">
        <v>3803</v>
      </c>
      <c r="F3218" t="s">
        <v>6624</v>
      </c>
      <c r="G3218" t="s">
        <v>1700</v>
      </c>
    </row>
    <row r="3219" spans="5:7" x14ac:dyDescent="0.35">
      <c r="E3219" t="s">
        <v>3803</v>
      </c>
      <c r="F3219" t="s">
        <v>6625</v>
      </c>
      <c r="G3219" t="s">
        <v>1700</v>
      </c>
    </row>
    <row r="3220" spans="5:7" x14ac:dyDescent="0.35">
      <c r="E3220" t="s">
        <v>3803</v>
      </c>
      <c r="F3220" t="s">
        <v>6626</v>
      </c>
      <c r="G3220" t="s">
        <v>1700</v>
      </c>
    </row>
    <row r="3221" spans="5:7" x14ac:dyDescent="0.35">
      <c r="E3221" t="s">
        <v>3803</v>
      </c>
      <c r="F3221" t="s">
        <v>6627</v>
      </c>
      <c r="G3221" t="s">
        <v>1700</v>
      </c>
    </row>
    <row r="3222" spans="5:7" x14ac:dyDescent="0.35">
      <c r="E3222" t="s">
        <v>3803</v>
      </c>
      <c r="F3222" t="s">
        <v>6628</v>
      </c>
      <c r="G3222" t="s">
        <v>1700</v>
      </c>
    </row>
    <row r="3223" spans="5:7" x14ac:dyDescent="0.35">
      <c r="E3223" t="s">
        <v>3803</v>
      </c>
      <c r="F3223" t="s">
        <v>668</v>
      </c>
      <c r="G3223" t="s">
        <v>1705</v>
      </c>
    </row>
    <row r="3224" spans="5:7" x14ac:dyDescent="0.35">
      <c r="E3224" t="s">
        <v>3803</v>
      </c>
      <c r="F3224" t="s">
        <v>6629</v>
      </c>
      <c r="G3224" t="s">
        <v>1705</v>
      </c>
    </row>
    <row r="3225" spans="5:7" x14ac:dyDescent="0.35">
      <c r="E3225" t="s">
        <v>3803</v>
      </c>
      <c r="F3225" t="s">
        <v>6630</v>
      </c>
      <c r="G3225" t="s">
        <v>1705</v>
      </c>
    </row>
    <row r="3226" spans="5:7" x14ac:dyDescent="0.35">
      <c r="E3226" t="s">
        <v>3803</v>
      </c>
      <c r="F3226" t="s">
        <v>6631</v>
      </c>
      <c r="G3226" t="s">
        <v>1705</v>
      </c>
    </row>
    <row r="3227" spans="5:7" x14ac:dyDescent="0.35">
      <c r="E3227" t="s">
        <v>3803</v>
      </c>
      <c r="F3227" t="s">
        <v>6632</v>
      </c>
      <c r="G3227" t="s">
        <v>1705</v>
      </c>
    </row>
    <row r="3228" spans="5:7" x14ac:dyDescent="0.35">
      <c r="E3228" t="s">
        <v>3803</v>
      </c>
      <c r="F3228" t="s">
        <v>6633</v>
      </c>
      <c r="G3228" t="s">
        <v>1705</v>
      </c>
    </row>
    <row r="3229" spans="5:7" x14ac:dyDescent="0.35">
      <c r="E3229" t="s">
        <v>3803</v>
      </c>
      <c r="F3229" t="s">
        <v>3134</v>
      </c>
      <c r="G3229" t="s">
        <v>1705</v>
      </c>
    </row>
    <row r="3230" spans="5:7" x14ac:dyDescent="0.35">
      <c r="E3230" t="s">
        <v>3803</v>
      </c>
      <c r="F3230" t="s">
        <v>910</v>
      </c>
      <c r="G3230" t="s">
        <v>1705</v>
      </c>
    </row>
    <row r="3231" spans="5:7" x14ac:dyDescent="0.35">
      <c r="E3231" t="s">
        <v>3803</v>
      </c>
      <c r="F3231" t="s">
        <v>6634</v>
      </c>
      <c r="G3231" t="s">
        <v>1705</v>
      </c>
    </row>
    <row r="3232" spans="5:7" x14ac:dyDescent="0.35">
      <c r="E3232" t="s">
        <v>3803</v>
      </c>
      <c r="F3232" t="s">
        <v>3136</v>
      </c>
      <c r="G3232" t="s">
        <v>1705</v>
      </c>
    </row>
    <row r="3233" spans="5:7" x14ac:dyDescent="0.35">
      <c r="E3233" t="s">
        <v>3803</v>
      </c>
      <c r="F3233" t="s">
        <v>999</v>
      </c>
      <c r="G3233" t="s">
        <v>1705</v>
      </c>
    </row>
    <row r="3234" spans="5:7" x14ac:dyDescent="0.35">
      <c r="E3234" t="s">
        <v>3803</v>
      </c>
      <c r="F3234" t="s">
        <v>6635</v>
      </c>
      <c r="G3234" t="s">
        <v>1705</v>
      </c>
    </row>
    <row r="3235" spans="5:7" x14ac:dyDescent="0.35">
      <c r="E3235" t="s">
        <v>3803</v>
      </c>
      <c r="F3235" t="s">
        <v>6636</v>
      </c>
      <c r="G3235" t="s">
        <v>1705</v>
      </c>
    </row>
    <row r="3236" spans="5:7" x14ac:dyDescent="0.35">
      <c r="E3236" t="s">
        <v>3803</v>
      </c>
      <c r="F3236" t="s">
        <v>6637</v>
      </c>
      <c r="G3236" t="s">
        <v>1705</v>
      </c>
    </row>
    <row r="3237" spans="5:7" x14ac:dyDescent="0.35">
      <c r="E3237" t="s">
        <v>3803</v>
      </c>
      <c r="F3237" t="s">
        <v>6638</v>
      </c>
      <c r="G3237" t="s">
        <v>1705</v>
      </c>
    </row>
    <row r="3238" spans="5:7" x14ac:dyDescent="0.35">
      <c r="E3238" t="s">
        <v>3803</v>
      </c>
      <c r="F3238" t="s">
        <v>6639</v>
      </c>
      <c r="G3238" t="s">
        <v>1705</v>
      </c>
    </row>
    <row r="3239" spans="5:7" x14ac:dyDescent="0.35">
      <c r="E3239" t="s">
        <v>3803</v>
      </c>
      <c r="F3239" t="s">
        <v>3139</v>
      </c>
      <c r="G3239" t="s">
        <v>1705</v>
      </c>
    </row>
    <row r="3240" spans="5:7" x14ac:dyDescent="0.35">
      <c r="E3240" t="s">
        <v>3803</v>
      </c>
      <c r="F3240" t="s">
        <v>6640</v>
      </c>
      <c r="G3240" t="s">
        <v>1705</v>
      </c>
    </row>
    <row r="3241" spans="5:7" x14ac:dyDescent="0.35">
      <c r="E3241" t="s">
        <v>3803</v>
      </c>
      <c r="F3241" t="s">
        <v>6641</v>
      </c>
      <c r="G3241" t="s">
        <v>1705</v>
      </c>
    </row>
    <row r="3242" spans="5:7" x14ac:dyDescent="0.35">
      <c r="E3242" t="s">
        <v>3803</v>
      </c>
      <c r="F3242" t="s">
        <v>6642</v>
      </c>
      <c r="G3242" t="s">
        <v>1705</v>
      </c>
    </row>
    <row r="3243" spans="5:7" x14ac:dyDescent="0.35">
      <c r="E3243" t="s">
        <v>3803</v>
      </c>
      <c r="F3243" t="s">
        <v>6643</v>
      </c>
      <c r="G3243" t="s">
        <v>1705</v>
      </c>
    </row>
    <row r="3244" spans="5:7" x14ac:dyDescent="0.35">
      <c r="E3244" t="s">
        <v>3803</v>
      </c>
      <c r="F3244" t="s">
        <v>6644</v>
      </c>
      <c r="G3244" t="s">
        <v>1705</v>
      </c>
    </row>
    <row r="3245" spans="5:7" x14ac:dyDescent="0.35">
      <c r="E3245" t="s">
        <v>3803</v>
      </c>
      <c r="F3245" t="s">
        <v>6645</v>
      </c>
      <c r="G3245" t="s">
        <v>1705</v>
      </c>
    </row>
    <row r="3246" spans="5:7" x14ac:dyDescent="0.35">
      <c r="E3246" t="s">
        <v>3803</v>
      </c>
      <c r="F3246" t="s">
        <v>6646</v>
      </c>
      <c r="G3246" t="s">
        <v>1705</v>
      </c>
    </row>
    <row r="3247" spans="5:7" x14ac:dyDescent="0.35">
      <c r="E3247" t="s">
        <v>3803</v>
      </c>
      <c r="F3247" t="s">
        <v>6647</v>
      </c>
      <c r="G3247" t="s">
        <v>1705</v>
      </c>
    </row>
    <row r="3248" spans="5:7" x14ac:dyDescent="0.35">
      <c r="E3248" t="s">
        <v>3803</v>
      </c>
      <c r="F3248" t="s">
        <v>6648</v>
      </c>
      <c r="G3248" t="s">
        <v>1705</v>
      </c>
    </row>
    <row r="3249" spans="5:7" x14ac:dyDescent="0.35">
      <c r="E3249" t="s">
        <v>3803</v>
      </c>
      <c r="F3249" t="s">
        <v>6649</v>
      </c>
      <c r="G3249" t="s">
        <v>1705</v>
      </c>
    </row>
    <row r="3250" spans="5:7" x14ac:dyDescent="0.35">
      <c r="E3250" t="s">
        <v>3803</v>
      </c>
      <c r="F3250" t="s">
        <v>6650</v>
      </c>
      <c r="G3250" t="s">
        <v>1705</v>
      </c>
    </row>
    <row r="3251" spans="5:7" x14ac:dyDescent="0.35">
      <c r="E3251" t="s">
        <v>3803</v>
      </c>
      <c r="F3251" t="s">
        <v>6651</v>
      </c>
      <c r="G3251" t="s">
        <v>1705</v>
      </c>
    </row>
    <row r="3252" spans="5:7" x14ac:dyDescent="0.35">
      <c r="E3252" t="s">
        <v>3803</v>
      </c>
      <c r="F3252" t="s">
        <v>6652</v>
      </c>
      <c r="G3252" t="s">
        <v>1705</v>
      </c>
    </row>
    <row r="3253" spans="5:7" x14ac:dyDescent="0.35">
      <c r="E3253" t="s">
        <v>3803</v>
      </c>
      <c r="F3253" t="s">
        <v>6653</v>
      </c>
      <c r="G3253" t="s">
        <v>1705</v>
      </c>
    </row>
    <row r="3254" spans="5:7" x14ac:dyDescent="0.35">
      <c r="E3254" t="s">
        <v>3803</v>
      </c>
      <c r="F3254" t="s">
        <v>1157</v>
      </c>
      <c r="G3254" t="s">
        <v>1705</v>
      </c>
    </row>
    <row r="3255" spans="5:7" x14ac:dyDescent="0.35">
      <c r="E3255" t="s">
        <v>3803</v>
      </c>
      <c r="F3255" t="s">
        <v>6654</v>
      </c>
      <c r="G3255" t="s">
        <v>1705</v>
      </c>
    </row>
    <row r="3256" spans="5:7" x14ac:dyDescent="0.35">
      <c r="E3256" t="s">
        <v>3803</v>
      </c>
      <c r="F3256" t="s">
        <v>6655</v>
      </c>
      <c r="G3256" t="s">
        <v>1705</v>
      </c>
    </row>
    <row r="3257" spans="5:7" x14ac:dyDescent="0.35">
      <c r="E3257" t="s">
        <v>3803</v>
      </c>
      <c r="F3257" t="s">
        <v>6656</v>
      </c>
      <c r="G3257" t="s">
        <v>1705</v>
      </c>
    </row>
    <row r="3258" spans="5:7" x14ac:dyDescent="0.35">
      <c r="E3258" t="s">
        <v>3803</v>
      </c>
      <c r="F3258" t="s">
        <v>6657</v>
      </c>
      <c r="G3258" t="s">
        <v>1705</v>
      </c>
    </row>
    <row r="3259" spans="5:7" x14ac:dyDescent="0.35">
      <c r="E3259" t="s">
        <v>3803</v>
      </c>
      <c r="F3259" t="s">
        <v>6658</v>
      </c>
      <c r="G3259" t="s">
        <v>1705</v>
      </c>
    </row>
    <row r="3260" spans="5:7" x14ac:dyDescent="0.35">
      <c r="E3260" t="s">
        <v>3803</v>
      </c>
      <c r="F3260" t="s">
        <v>6659</v>
      </c>
      <c r="G3260" t="s">
        <v>1705</v>
      </c>
    </row>
    <row r="3261" spans="5:7" x14ac:dyDescent="0.35">
      <c r="E3261" t="s">
        <v>3803</v>
      </c>
      <c r="F3261" t="s">
        <v>6660</v>
      </c>
      <c r="G3261" t="s">
        <v>1705</v>
      </c>
    </row>
    <row r="3262" spans="5:7" x14ac:dyDescent="0.35">
      <c r="E3262" t="s">
        <v>3803</v>
      </c>
      <c r="F3262" t="s">
        <v>6661</v>
      </c>
      <c r="G3262" t="s">
        <v>1705</v>
      </c>
    </row>
    <row r="3263" spans="5:7" x14ac:dyDescent="0.35">
      <c r="E3263" t="s">
        <v>3803</v>
      </c>
      <c r="F3263" t="s">
        <v>6662</v>
      </c>
      <c r="G3263" t="s">
        <v>1705</v>
      </c>
    </row>
    <row r="3264" spans="5:7" x14ac:dyDescent="0.35">
      <c r="E3264" t="s">
        <v>3803</v>
      </c>
      <c r="F3264" t="s">
        <v>6663</v>
      </c>
      <c r="G3264" t="s">
        <v>1705</v>
      </c>
    </row>
    <row r="3265" spans="5:7" x14ac:dyDescent="0.35">
      <c r="E3265" t="s">
        <v>3803</v>
      </c>
      <c r="F3265" t="s">
        <v>6664</v>
      </c>
      <c r="G3265" t="s">
        <v>1705</v>
      </c>
    </row>
    <row r="3266" spans="5:7" x14ac:dyDescent="0.35">
      <c r="E3266" t="s">
        <v>3803</v>
      </c>
      <c r="F3266" t="s">
        <v>6665</v>
      </c>
      <c r="G3266" t="s">
        <v>1705</v>
      </c>
    </row>
    <row r="3267" spans="5:7" x14ac:dyDescent="0.35">
      <c r="E3267" t="s">
        <v>3803</v>
      </c>
      <c r="F3267" t="s">
        <v>6666</v>
      </c>
      <c r="G3267" t="s">
        <v>1705</v>
      </c>
    </row>
    <row r="3268" spans="5:7" x14ac:dyDescent="0.35">
      <c r="E3268" t="s">
        <v>3803</v>
      </c>
      <c r="F3268" t="s">
        <v>6667</v>
      </c>
      <c r="G3268" t="s">
        <v>1705</v>
      </c>
    </row>
    <row r="3269" spans="5:7" x14ac:dyDescent="0.35">
      <c r="E3269" t="s">
        <v>3803</v>
      </c>
      <c r="F3269" t="s">
        <v>6668</v>
      </c>
      <c r="G3269" t="s">
        <v>1705</v>
      </c>
    </row>
    <row r="3270" spans="5:7" x14ac:dyDescent="0.35">
      <c r="E3270" t="s">
        <v>3803</v>
      </c>
      <c r="F3270" t="s">
        <v>6669</v>
      </c>
      <c r="G3270" t="s">
        <v>1705</v>
      </c>
    </row>
    <row r="3271" spans="5:7" x14ac:dyDescent="0.35">
      <c r="E3271" t="s">
        <v>3803</v>
      </c>
      <c r="F3271" t="s">
        <v>6670</v>
      </c>
      <c r="G3271" t="s">
        <v>1705</v>
      </c>
    </row>
    <row r="3272" spans="5:7" x14ac:dyDescent="0.35">
      <c r="E3272" t="s">
        <v>3803</v>
      </c>
      <c r="F3272" t="s">
        <v>6671</v>
      </c>
      <c r="G3272" t="s">
        <v>1705</v>
      </c>
    </row>
    <row r="3273" spans="5:7" x14ac:dyDescent="0.35">
      <c r="E3273" t="s">
        <v>3803</v>
      </c>
      <c r="F3273" t="s">
        <v>6672</v>
      </c>
      <c r="G3273" t="s">
        <v>1705</v>
      </c>
    </row>
    <row r="3274" spans="5:7" x14ac:dyDescent="0.35">
      <c r="E3274" t="s">
        <v>3803</v>
      </c>
      <c r="F3274" t="s">
        <v>6673</v>
      </c>
      <c r="G3274" t="s">
        <v>1705</v>
      </c>
    </row>
    <row r="3275" spans="5:7" x14ac:dyDescent="0.35">
      <c r="E3275" t="s">
        <v>3803</v>
      </c>
      <c r="F3275" t="s">
        <v>6674</v>
      </c>
      <c r="G3275" t="s">
        <v>1705</v>
      </c>
    </row>
    <row r="3276" spans="5:7" x14ac:dyDescent="0.35">
      <c r="E3276" t="s">
        <v>3803</v>
      </c>
      <c r="F3276" t="s">
        <v>6675</v>
      </c>
      <c r="G3276" t="s">
        <v>1705</v>
      </c>
    </row>
    <row r="3277" spans="5:7" x14ac:dyDescent="0.35">
      <c r="E3277" t="s">
        <v>3803</v>
      </c>
      <c r="F3277" t="s">
        <v>6676</v>
      </c>
      <c r="G3277" t="s">
        <v>1705</v>
      </c>
    </row>
    <row r="3278" spans="5:7" x14ac:dyDescent="0.35">
      <c r="E3278" t="s">
        <v>3803</v>
      </c>
      <c r="F3278" t="s">
        <v>6677</v>
      </c>
      <c r="G3278" t="s">
        <v>1705</v>
      </c>
    </row>
    <row r="3279" spans="5:7" x14ac:dyDescent="0.35">
      <c r="E3279" t="s">
        <v>3803</v>
      </c>
      <c r="F3279" t="s">
        <v>1273</v>
      </c>
      <c r="G3279" t="s">
        <v>1705</v>
      </c>
    </row>
    <row r="3280" spans="5:7" x14ac:dyDescent="0.35">
      <c r="E3280" t="s">
        <v>3803</v>
      </c>
      <c r="F3280" t="s">
        <v>6678</v>
      </c>
      <c r="G3280" t="s">
        <v>1705</v>
      </c>
    </row>
    <row r="3281" spans="5:7" x14ac:dyDescent="0.35">
      <c r="E3281" t="s">
        <v>3803</v>
      </c>
      <c r="F3281" t="s">
        <v>6679</v>
      </c>
      <c r="G3281" t="s">
        <v>1705</v>
      </c>
    </row>
    <row r="3282" spans="5:7" x14ac:dyDescent="0.35">
      <c r="E3282" t="s">
        <v>3803</v>
      </c>
      <c r="F3282" t="s">
        <v>6680</v>
      </c>
      <c r="G3282" t="s">
        <v>1705</v>
      </c>
    </row>
    <row r="3283" spans="5:7" x14ac:dyDescent="0.35">
      <c r="E3283" t="s">
        <v>3803</v>
      </c>
      <c r="F3283" t="s">
        <v>6681</v>
      </c>
      <c r="G3283" t="s">
        <v>1705</v>
      </c>
    </row>
    <row r="3284" spans="5:7" x14ac:dyDescent="0.35">
      <c r="E3284" t="s">
        <v>3803</v>
      </c>
      <c r="F3284" t="s">
        <v>6682</v>
      </c>
      <c r="G3284" t="s">
        <v>1705</v>
      </c>
    </row>
    <row r="3285" spans="5:7" x14ac:dyDescent="0.35">
      <c r="E3285" t="s">
        <v>3803</v>
      </c>
      <c r="F3285" t="s">
        <v>6683</v>
      </c>
      <c r="G3285" t="s">
        <v>1705</v>
      </c>
    </row>
    <row r="3286" spans="5:7" x14ac:dyDescent="0.35">
      <c r="E3286" t="s">
        <v>3803</v>
      </c>
      <c r="F3286" t="s">
        <v>6684</v>
      </c>
      <c r="G3286" t="s">
        <v>1705</v>
      </c>
    </row>
    <row r="3287" spans="5:7" x14ac:dyDescent="0.35">
      <c r="E3287" t="s">
        <v>3803</v>
      </c>
      <c r="F3287" t="s">
        <v>6685</v>
      </c>
      <c r="G3287" t="s">
        <v>1705</v>
      </c>
    </row>
    <row r="3288" spans="5:7" x14ac:dyDescent="0.35">
      <c r="E3288" t="s">
        <v>3803</v>
      </c>
      <c r="F3288" t="s">
        <v>6686</v>
      </c>
      <c r="G3288" t="s">
        <v>1705</v>
      </c>
    </row>
    <row r="3289" spans="5:7" x14ac:dyDescent="0.35">
      <c r="E3289" t="s">
        <v>3803</v>
      </c>
      <c r="F3289" t="s">
        <v>6687</v>
      </c>
      <c r="G3289" t="s">
        <v>1705</v>
      </c>
    </row>
    <row r="3290" spans="5:7" x14ac:dyDescent="0.35">
      <c r="E3290" t="s">
        <v>3803</v>
      </c>
      <c r="F3290" t="s">
        <v>6688</v>
      </c>
      <c r="G3290" t="s">
        <v>1705</v>
      </c>
    </row>
    <row r="3291" spans="5:7" x14ac:dyDescent="0.35">
      <c r="E3291" t="s">
        <v>3803</v>
      </c>
      <c r="F3291" t="s">
        <v>6689</v>
      </c>
      <c r="G3291" t="s">
        <v>1705</v>
      </c>
    </row>
    <row r="3292" spans="5:7" x14ac:dyDescent="0.35">
      <c r="E3292" t="s">
        <v>3803</v>
      </c>
      <c r="F3292" t="s">
        <v>6690</v>
      </c>
      <c r="G3292" t="s">
        <v>1705</v>
      </c>
    </row>
    <row r="3293" spans="5:7" x14ac:dyDescent="0.35">
      <c r="E3293" t="s">
        <v>3803</v>
      </c>
      <c r="F3293" t="s">
        <v>6691</v>
      </c>
      <c r="G3293" t="s">
        <v>1705</v>
      </c>
    </row>
    <row r="3294" spans="5:7" x14ac:dyDescent="0.35">
      <c r="E3294" t="s">
        <v>3803</v>
      </c>
      <c r="F3294" t="s">
        <v>6692</v>
      </c>
      <c r="G3294" t="s">
        <v>1705</v>
      </c>
    </row>
    <row r="3295" spans="5:7" x14ac:dyDescent="0.35">
      <c r="E3295" t="s">
        <v>3803</v>
      </c>
      <c r="F3295" t="s">
        <v>6693</v>
      </c>
      <c r="G3295" t="s">
        <v>1705</v>
      </c>
    </row>
    <row r="3296" spans="5:7" x14ac:dyDescent="0.35">
      <c r="E3296" t="s">
        <v>3803</v>
      </c>
      <c r="F3296" t="s">
        <v>6694</v>
      </c>
      <c r="G3296" t="s">
        <v>1705</v>
      </c>
    </row>
    <row r="3297" spans="5:7" x14ac:dyDescent="0.35">
      <c r="E3297" t="s">
        <v>3803</v>
      </c>
      <c r="F3297" t="s">
        <v>6695</v>
      </c>
      <c r="G3297" t="s">
        <v>1705</v>
      </c>
    </row>
    <row r="3298" spans="5:7" x14ac:dyDescent="0.35">
      <c r="E3298" t="s">
        <v>3803</v>
      </c>
      <c r="F3298" t="s">
        <v>6696</v>
      </c>
      <c r="G3298" t="s">
        <v>1705</v>
      </c>
    </row>
    <row r="3299" spans="5:7" x14ac:dyDescent="0.35">
      <c r="E3299" t="s">
        <v>3803</v>
      </c>
      <c r="F3299" t="s">
        <v>6697</v>
      </c>
      <c r="G3299" t="s">
        <v>1705</v>
      </c>
    </row>
    <row r="3300" spans="5:7" x14ac:dyDescent="0.35">
      <c r="E3300" t="s">
        <v>3803</v>
      </c>
      <c r="F3300" t="s">
        <v>6698</v>
      </c>
      <c r="G3300" t="s">
        <v>1705</v>
      </c>
    </row>
    <row r="3301" spans="5:7" x14ac:dyDescent="0.35">
      <c r="E3301" t="s">
        <v>3803</v>
      </c>
      <c r="F3301" t="s">
        <v>6699</v>
      </c>
      <c r="G3301" t="s">
        <v>1705</v>
      </c>
    </row>
    <row r="3302" spans="5:7" x14ac:dyDescent="0.35">
      <c r="E3302" t="s">
        <v>3803</v>
      </c>
      <c r="F3302" t="s">
        <v>6700</v>
      </c>
      <c r="G3302" t="s">
        <v>1705</v>
      </c>
    </row>
    <row r="3303" spans="5:7" x14ac:dyDescent="0.35">
      <c r="E3303" t="s">
        <v>3803</v>
      </c>
      <c r="F3303" t="s">
        <v>6701</v>
      </c>
      <c r="G3303" t="s">
        <v>1705</v>
      </c>
    </row>
    <row r="3304" spans="5:7" x14ac:dyDescent="0.35">
      <c r="E3304" t="s">
        <v>3803</v>
      </c>
      <c r="F3304" t="s">
        <v>6702</v>
      </c>
      <c r="G3304" t="s">
        <v>1705</v>
      </c>
    </row>
    <row r="3305" spans="5:7" x14ac:dyDescent="0.35">
      <c r="E3305" t="s">
        <v>3803</v>
      </c>
      <c r="F3305" t="s">
        <v>6703</v>
      </c>
      <c r="G3305" t="s">
        <v>1705</v>
      </c>
    </row>
    <row r="3306" spans="5:7" x14ac:dyDescent="0.35">
      <c r="E3306" t="s">
        <v>3803</v>
      </c>
      <c r="F3306" t="s">
        <v>6704</v>
      </c>
      <c r="G3306" t="s">
        <v>1705</v>
      </c>
    </row>
    <row r="3307" spans="5:7" x14ac:dyDescent="0.35">
      <c r="E3307" t="s">
        <v>3803</v>
      </c>
      <c r="F3307" t="s">
        <v>6705</v>
      </c>
      <c r="G3307" t="s">
        <v>1705</v>
      </c>
    </row>
    <row r="3308" spans="5:7" x14ac:dyDescent="0.35">
      <c r="E3308" t="s">
        <v>3803</v>
      </c>
      <c r="F3308" t="s">
        <v>6706</v>
      </c>
      <c r="G3308" t="s">
        <v>1705</v>
      </c>
    </row>
    <row r="3309" spans="5:7" x14ac:dyDescent="0.35">
      <c r="E3309" t="s">
        <v>3803</v>
      </c>
      <c r="F3309" t="s">
        <v>6707</v>
      </c>
      <c r="G3309" t="s">
        <v>1705</v>
      </c>
    </row>
    <row r="3310" spans="5:7" x14ac:dyDescent="0.35">
      <c r="E3310" t="s">
        <v>3803</v>
      </c>
      <c r="F3310" t="s">
        <v>6708</v>
      </c>
      <c r="G3310" t="s">
        <v>1705</v>
      </c>
    </row>
    <row r="3311" spans="5:7" x14ac:dyDescent="0.35">
      <c r="E3311" t="s">
        <v>3803</v>
      </c>
      <c r="F3311" t="s">
        <v>6709</v>
      </c>
      <c r="G3311" t="s">
        <v>1705</v>
      </c>
    </row>
    <row r="3312" spans="5:7" x14ac:dyDescent="0.35">
      <c r="E3312" t="s">
        <v>3803</v>
      </c>
      <c r="F3312" t="s">
        <v>6710</v>
      </c>
      <c r="G3312" t="s">
        <v>1705</v>
      </c>
    </row>
    <row r="3313" spans="5:7" x14ac:dyDescent="0.35">
      <c r="E3313" t="s">
        <v>3803</v>
      </c>
      <c r="F3313" t="s">
        <v>6711</v>
      </c>
      <c r="G3313" t="s">
        <v>1705</v>
      </c>
    </row>
    <row r="3314" spans="5:7" x14ac:dyDescent="0.35">
      <c r="E3314" t="s">
        <v>3803</v>
      </c>
      <c r="F3314" t="s">
        <v>6712</v>
      </c>
      <c r="G3314" t="s">
        <v>1705</v>
      </c>
    </row>
    <row r="3315" spans="5:7" x14ac:dyDescent="0.35">
      <c r="E3315" t="s">
        <v>3803</v>
      </c>
      <c r="F3315" t="s">
        <v>6713</v>
      </c>
      <c r="G3315" t="s">
        <v>1705</v>
      </c>
    </row>
    <row r="3316" spans="5:7" x14ac:dyDescent="0.35">
      <c r="E3316" t="s">
        <v>3803</v>
      </c>
      <c r="F3316" t="s">
        <v>6714</v>
      </c>
      <c r="G3316" t="s">
        <v>1705</v>
      </c>
    </row>
    <row r="3317" spans="5:7" x14ac:dyDescent="0.35">
      <c r="E3317" t="s">
        <v>3803</v>
      </c>
      <c r="F3317" t="s">
        <v>6715</v>
      </c>
      <c r="G3317" t="s">
        <v>1705</v>
      </c>
    </row>
    <row r="3318" spans="5:7" x14ac:dyDescent="0.35">
      <c r="E3318" t="s">
        <v>3803</v>
      </c>
      <c r="F3318" t="s">
        <v>6716</v>
      </c>
      <c r="G3318" t="s">
        <v>1705</v>
      </c>
    </row>
    <row r="3319" spans="5:7" x14ac:dyDescent="0.35">
      <c r="E3319" t="s">
        <v>3803</v>
      </c>
      <c r="F3319" t="s">
        <v>6717</v>
      </c>
      <c r="G3319" t="s">
        <v>1705</v>
      </c>
    </row>
    <row r="3320" spans="5:7" x14ac:dyDescent="0.35">
      <c r="E3320" t="s">
        <v>3803</v>
      </c>
      <c r="F3320" t="s">
        <v>6718</v>
      </c>
      <c r="G3320" t="s">
        <v>1705</v>
      </c>
    </row>
    <row r="3321" spans="5:7" x14ac:dyDescent="0.35">
      <c r="E3321" t="s">
        <v>3803</v>
      </c>
      <c r="F3321" t="s">
        <v>1389</v>
      </c>
      <c r="G3321" t="s">
        <v>1705</v>
      </c>
    </row>
    <row r="3322" spans="5:7" x14ac:dyDescent="0.35">
      <c r="E3322" t="s">
        <v>3803</v>
      </c>
      <c r="F3322" t="s">
        <v>6719</v>
      </c>
      <c r="G3322" t="s">
        <v>1705</v>
      </c>
    </row>
    <row r="3323" spans="5:7" x14ac:dyDescent="0.35">
      <c r="E3323" t="s">
        <v>3803</v>
      </c>
      <c r="F3323" t="s">
        <v>6720</v>
      </c>
      <c r="G3323" t="s">
        <v>1705</v>
      </c>
    </row>
    <row r="3324" spans="5:7" x14ac:dyDescent="0.35">
      <c r="E3324" t="s">
        <v>3803</v>
      </c>
      <c r="F3324" t="s">
        <v>6721</v>
      </c>
      <c r="G3324" t="s">
        <v>1705</v>
      </c>
    </row>
    <row r="3325" spans="5:7" x14ac:dyDescent="0.35">
      <c r="E3325" t="s">
        <v>3803</v>
      </c>
      <c r="F3325" t="s">
        <v>6722</v>
      </c>
      <c r="G3325" t="s">
        <v>1705</v>
      </c>
    </row>
    <row r="3326" spans="5:7" x14ac:dyDescent="0.35">
      <c r="E3326" t="s">
        <v>3803</v>
      </c>
      <c r="F3326" t="s">
        <v>6723</v>
      </c>
      <c r="G3326" t="s">
        <v>1705</v>
      </c>
    </row>
    <row r="3327" spans="5:7" x14ac:dyDescent="0.35">
      <c r="E3327" t="s">
        <v>3803</v>
      </c>
      <c r="F3327" t="s">
        <v>6724</v>
      </c>
      <c r="G3327" t="s">
        <v>1705</v>
      </c>
    </row>
    <row r="3328" spans="5:7" x14ac:dyDescent="0.35">
      <c r="E3328" t="s">
        <v>3803</v>
      </c>
      <c r="F3328" t="s">
        <v>6725</v>
      </c>
      <c r="G3328" t="s">
        <v>1705</v>
      </c>
    </row>
    <row r="3329" spans="5:7" x14ac:dyDescent="0.35">
      <c r="E3329" t="s">
        <v>3803</v>
      </c>
      <c r="F3329" t="s">
        <v>6726</v>
      </c>
      <c r="G3329" t="s">
        <v>1705</v>
      </c>
    </row>
    <row r="3330" spans="5:7" x14ac:dyDescent="0.35">
      <c r="E3330" t="s">
        <v>3803</v>
      </c>
      <c r="F3330" t="s">
        <v>6727</v>
      </c>
      <c r="G3330" t="s">
        <v>1705</v>
      </c>
    </row>
    <row r="3331" spans="5:7" x14ac:dyDescent="0.35">
      <c r="E3331" t="s">
        <v>3803</v>
      </c>
      <c r="F3331" t="s">
        <v>6728</v>
      </c>
      <c r="G3331" t="s">
        <v>1705</v>
      </c>
    </row>
    <row r="3332" spans="5:7" x14ac:dyDescent="0.35">
      <c r="E3332" t="s">
        <v>3803</v>
      </c>
      <c r="F3332" t="s">
        <v>6729</v>
      </c>
      <c r="G3332" t="s">
        <v>1705</v>
      </c>
    </row>
    <row r="3333" spans="5:7" x14ac:dyDescent="0.35">
      <c r="E3333" t="s">
        <v>3803</v>
      </c>
      <c r="F3333" t="s">
        <v>3142</v>
      </c>
      <c r="G3333" t="s">
        <v>1710</v>
      </c>
    </row>
    <row r="3334" spans="5:7" x14ac:dyDescent="0.35">
      <c r="E3334" t="s">
        <v>3803</v>
      </c>
      <c r="F3334" t="s">
        <v>3144</v>
      </c>
      <c r="G3334" t="s">
        <v>1710</v>
      </c>
    </row>
    <row r="3335" spans="5:7" x14ac:dyDescent="0.35">
      <c r="E3335" t="s">
        <v>3803</v>
      </c>
      <c r="F3335" t="s">
        <v>3146</v>
      </c>
      <c r="G3335" t="s">
        <v>1710</v>
      </c>
    </row>
    <row r="3336" spans="5:7" x14ac:dyDescent="0.35">
      <c r="E3336" t="s">
        <v>3803</v>
      </c>
      <c r="F3336" t="s">
        <v>3148</v>
      </c>
      <c r="G3336" t="s">
        <v>1710</v>
      </c>
    </row>
    <row r="3337" spans="5:7" x14ac:dyDescent="0.35">
      <c r="E3337" t="s">
        <v>3803</v>
      </c>
      <c r="F3337" t="s">
        <v>3150</v>
      </c>
      <c r="G3337" t="s">
        <v>1710</v>
      </c>
    </row>
    <row r="3338" spans="5:7" x14ac:dyDescent="0.35">
      <c r="E3338" t="s">
        <v>3803</v>
      </c>
      <c r="F3338" t="s">
        <v>3152</v>
      </c>
      <c r="G3338" t="s">
        <v>1710</v>
      </c>
    </row>
    <row r="3339" spans="5:7" x14ac:dyDescent="0.35">
      <c r="E3339" t="s">
        <v>3803</v>
      </c>
      <c r="F3339" t="s">
        <v>3155</v>
      </c>
      <c r="G3339" t="s">
        <v>2341</v>
      </c>
    </row>
    <row r="3340" spans="5:7" x14ac:dyDescent="0.35">
      <c r="E3340" t="s">
        <v>3803</v>
      </c>
      <c r="F3340" t="s">
        <v>3158</v>
      </c>
      <c r="G3340" t="s">
        <v>2341</v>
      </c>
    </row>
    <row r="3341" spans="5:7" x14ac:dyDescent="0.35">
      <c r="E3341" t="s">
        <v>3803</v>
      </c>
      <c r="F3341" t="s">
        <v>3160</v>
      </c>
      <c r="G3341" t="s">
        <v>2341</v>
      </c>
    </row>
    <row r="3342" spans="5:7" x14ac:dyDescent="0.35">
      <c r="E3342" t="s">
        <v>3803</v>
      </c>
      <c r="F3342" t="s">
        <v>3163</v>
      </c>
      <c r="G3342" t="s">
        <v>2341</v>
      </c>
    </row>
    <row r="3343" spans="5:7" x14ac:dyDescent="0.35">
      <c r="E3343" t="s">
        <v>3803</v>
      </c>
      <c r="F3343" t="s">
        <v>3166</v>
      </c>
      <c r="G3343" t="s">
        <v>1715</v>
      </c>
    </row>
    <row r="3344" spans="5:7" x14ac:dyDescent="0.35">
      <c r="E3344" t="s">
        <v>3803</v>
      </c>
      <c r="F3344" t="s">
        <v>866</v>
      </c>
      <c r="G3344" t="s">
        <v>1715</v>
      </c>
    </row>
    <row r="3345" spans="5:7" x14ac:dyDescent="0.35">
      <c r="E3345" t="s">
        <v>3803</v>
      </c>
      <c r="F3345" t="s">
        <v>6730</v>
      </c>
      <c r="G3345" t="s">
        <v>1715</v>
      </c>
    </row>
    <row r="3346" spans="5:7" x14ac:dyDescent="0.35">
      <c r="E3346" t="s">
        <v>3803</v>
      </c>
      <c r="F3346" t="s">
        <v>6731</v>
      </c>
      <c r="G3346" t="s">
        <v>1715</v>
      </c>
    </row>
    <row r="3347" spans="5:7" x14ac:dyDescent="0.35">
      <c r="E3347" t="s">
        <v>3803</v>
      </c>
      <c r="F3347" t="s">
        <v>6732</v>
      </c>
      <c r="G3347" t="s">
        <v>1715</v>
      </c>
    </row>
    <row r="3348" spans="5:7" x14ac:dyDescent="0.35">
      <c r="E3348" t="s">
        <v>3803</v>
      </c>
      <c r="F3348" t="s">
        <v>3168</v>
      </c>
      <c r="G3348" t="s">
        <v>1715</v>
      </c>
    </row>
    <row r="3349" spans="5:7" x14ac:dyDescent="0.35">
      <c r="E3349" t="s">
        <v>3803</v>
      </c>
      <c r="F3349" t="s">
        <v>1060</v>
      </c>
      <c r="G3349" t="s">
        <v>1715</v>
      </c>
    </row>
    <row r="3350" spans="5:7" x14ac:dyDescent="0.35">
      <c r="E3350" t="s">
        <v>3803</v>
      </c>
      <c r="F3350" t="s">
        <v>6733</v>
      </c>
      <c r="G3350" t="s">
        <v>1715</v>
      </c>
    </row>
    <row r="3351" spans="5:7" x14ac:dyDescent="0.35">
      <c r="E3351" t="s">
        <v>3803</v>
      </c>
      <c r="F3351" t="s">
        <v>6734</v>
      </c>
      <c r="G3351" t="s">
        <v>1715</v>
      </c>
    </row>
    <row r="3352" spans="5:7" x14ac:dyDescent="0.35">
      <c r="E3352" t="s">
        <v>3803</v>
      </c>
      <c r="F3352" t="s">
        <v>6735</v>
      </c>
      <c r="G3352" t="s">
        <v>1715</v>
      </c>
    </row>
    <row r="3353" spans="5:7" x14ac:dyDescent="0.35">
      <c r="E3353" t="s">
        <v>3803</v>
      </c>
      <c r="F3353" t="s">
        <v>6736</v>
      </c>
      <c r="G3353" t="s">
        <v>1715</v>
      </c>
    </row>
    <row r="3354" spans="5:7" x14ac:dyDescent="0.35">
      <c r="E3354" t="s">
        <v>3803</v>
      </c>
      <c r="F3354" t="s">
        <v>6737</v>
      </c>
      <c r="G3354" t="s">
        <v>1715</v>
      </c>
    </row>
    <row r="3355" spans="5:7" x14ac:dyDescent="0.35">
      <c r="E3355" t="s">
        <v>3803</v>
      </c>
      <c r="F3355" t="s">
        <v>6738</v>
      </c>
      <c r="G3355" t="s">
        <v>1715</v>
      </c>
    </row>
    <row r="3356" spans="5:7" x14ac:dyDescent="0.35">
      <c r="E3356" t="s">
        <v>3803</v>
      </c>
      <c r="F3356" t="s">
        <v>6739</v>
      </c>
      <c r="G3356" t="s">
        <v>1715</v>
      </c>
    </row>
    <row r="3357" spans="5:7" x14ac:dyDescent="0.35">
      <c r="E3357" t="s">
        <v>3803</v>
      </c>
      <c r="F3357" t="s">
        <v>6740</v>
      </c>
      <c r="G3357" t="s">
        <v>1715</v>
      </c>
    </row>
    <row r="3358" spans="5:7" x14ac:dyDescent="0.35">
      <c r="E3358" t="s">
        <v>3803</v>
      </c>
      <c r="F3358" t="s">
        <v>6741</v>
      </c>
      <c r="G3358" t="s">
        <v>1715</v>
      </c>
    </row>
    <row r="3359" spans="5:7" x14ac:dyDescent="0.35">
      <c r="E3359" t="s">
        <v>3803</v>
      </c>
      <c r="F3359" t="s">
        <v>6742</v>
      </c>
      <c r="G3359" t="s">
        <v>1715</v>
      </c>
    </row>
    <row r="3360" spans="5:7" x14ac:dyDescent="0.35">
      <c r="E3360" t="s">
        <v>3803</v>
      </c>
      <c r="F3360" t="s">
        <v>6743</v>
      </c>
      <c r="G3360" t="s">
        <v>1715</v>
      </c>
    </row>
    <row r="3361" spans="5:7" x14ac:dyDescent="0.35">
      <c r="E3361" t="s">
        <v>3803</v>
      </c>
      <c r="F3361" t="s">
        <v>6744</v>
      </c>
      <c r="G3361" t="s">
        <v>1715</v>
      </c>
    </row>
    <row r="3362" spans="5:7" x14ac:dyDescent="0.35">
      <c r="E3362" t="s">
        <v>3803</v>
      </c>
      <c r="F3362" t="s">
        <v>6745</v>
      </c>
      <c r="G3362" t="s">
        <v>1715</v>
      </c>
    </row>
    <row r="3363" spans="5:7" x14ac:dyDescent="0.35">
      <c r="E3363" t="s">
        <v>3803</v>
      </c>
      <c r="F3363" t="s">
        <v>6746</v>
      </c>
      <c r="G3363" t="s">
        <v>1715</v>
      </c>
    </row>
    <row r="3364" spans="5:7" x14ac:dyDescent="0.35">
      <c r="E3364" t="s">
        <v>3803</v>
      </c>
      <c r="F3364" t="s">
        <v>6747</v>
      </c>
      <c r="G3364" t="s">
        <v>1715</v>
      </c>
    </row>
    <row r="3365" spans="5:7" x14ac:dyDescent="0.35">
      <c r="E3365" t="s">
        <v>3803</v>
      </c>
      <c r="F3365" t="s">
        <v>6748</v>
      </c>
      <c r="G3365" t="s">
        <v>1715</v>
      </c>
    </row>
    <row r="3366" spans="5:7" x14ac:dyDescent="0.35">
      <c r="E3366" t="s">
        <v>3803</v>
      </c>
      <c r="F3366" t="s">
        <v>1154</v>
      </c>
      <c r="G3366" t="s">
        <v>1715</v>
      </c>
    </row>
    <row r="3367" spans="5:7" x14ac:dyDescent="0.35">
      <c r="E3367" t="s">
        <v>3803</v>
      </c>
      <c r="F3367" t="s">
        <v>6749</v>
      </c>
      <c r="G3367" t="s">
        <v>1715</v>
      </c>
    </row>
    <row r="3368" spans="5:7" x14ac:dyDescent="0.35">
      <c r="E3368" t="s">
        <v>3803</v>
      </c>
      <c r="F3368" t="s">
        <v>3170</v>
      </c>
      <c r="G3368" t="s">
        <v>1715</v>
      </c>
    </row>
    <row r="3369" spans="5:7" x14ac:dyDescent="0.35">
      <c r="E3369" t="s">
        <v>3803</v>
      </c>
      <c r="F3369" t="s">
        <v>6750</v>
      </c>
      <c r="G3369" t="s">
        <v>1715</v>
      </c>
    </row>
    <row r="3370" spans="5:7" x14ac:dyDescent="0.35">
      <c r="E3370" t="s">
        <v>3803</v>
      </c>
      <c r="F3370" t="s">
        <v>6751</v>
      </c>
      <c r="G3370" t="s">
        <v>1715</v>
      </c>
    </row>
    <row r="3371" spans="5:7" x14ac:dyDescent="0.35">
      <c r="E3371" t="s">
        <v>3803</v>
      </c>
      <c r="F3371" t="s">
        <v>3173</v>
      </c>
      <c r="G3371" t="s">
        <v>1715</v>
      </c>
    </row>
    <row r="3372" spans="5:7" x14ac:dyDescent="0.35">
      <c r="E3372" t="s">
        <v>3803</v>
      </c>
      <c r="F3372" t="s">
        <v>3177</v>
      </c>
      <c r="G3372" t="s">
        <v>1720</v>
      </c>
    </row>
    <row r="3373" spans="5:7" x14ac:dyDescent="0.35">
      <c r="E3373" t="s">
        <v>3803</v>
      </c>
      <c r="F3373" t="s">
        <v>3179</v>
      </c>
      <c r="G3373" t="s">
        <v>1720</v>
      </c>
    </row>
    <row r="3374" spans="5:7" x14ac:dyDescent="0.35">
      <c r="E3374" t="s">
        <v>3803</v>
      </c>
      <c r="F3374" t="s">
        <v>3182</v>
      </c>
      <c r="G3374" t="s">
        <v>1720</v>
      </c>
    </row>
    <row r="3375" spans="5:7" x14ac:dyDescent="0.35">
      <c r="E3375" t="s">
        <v>3803</v>
      </c>
      <c r="F3375" t="s">
        <v>3185</v>
      </c>
      <c r="G3375" t="s">
        <v>1720</v>
      </c>
    </row>
    <row r="3376" spans="5:7" x14ac:dyDescent="0.35">
      <c r="E3376" t="s">
        <v>3803</v>
      </c>
      <c r="F3376" t="s">
        <v>3188</v>
      </c>
      <c r="G3376" t="s">
        <v>6752</v>
      </c>
    </row>
    <row r="3377" spans="5:7" x14ac:dyDescent="0.35">
      <c r="E3377" t="s">
        <v>3803</v>
      </c>
      <c r="F3377" t="s">
        <v>3191</v>
      </c>
      <c r="G3377" t="s">
        <v>6752</v>
      </c>
    </row>
    <row r="3378" spans="5:7" x14ac:dyDescent="0.35">
      <c r="E3378" t="s">
        <v>3803</v>
      </c>
      <c r="F3378" t="s">
        <v>3194</v>
      </c>
      <c r="G3378" t="s">
        <v>6752</v>
      </c>
    </row>
    <row r="3379" spans="5:7" x14ac:dyDescent="0.35">
      <c r="E3379" t="s">
        <v>3803</v>
      </c>
      <c r="F3379" t="s">
        <v>3197</v>
      </c>
      <c r="G3379" t="s">
        <v>6752</v>
      </c>
    </row>
    <row r="3380" spans="5:7" x14ac:dyDescent="0.35">
      <c r="E3380" t="s">
        <v>3803</v>
      </c>
      <c r="F3380" t="s">
        <v>3200</v>
      </c>
      <c r="G3380" t="s">
        <v>6752</v>
      </c>
    </row>
    <row r="3381" spans="5:7" x14ac:dyDescent="0.35">
      <c r="E3381" t="s">
        <v>3803</v>
      </c>
      <c r="F3381" t="s">
        <v>1173</v>
      </c>
      <c r="G3381" t="s">
        <v>6752</v>
      </c>
    </row>
    <row r="3382" spans="5:7" x14ac:dyDescent="0.35">
      <c r="E3382" t="s">
        <v>3803</v>
      </c>
      <c r="F3382" t="s">
        <v>6753</v>
      </c>
      <c r="G3382" t="s">
        <v>6752</v>
      </c>
    </row>
    <row r="3383" spans="5:7" x14ac:dyDescent="0.35">
      <c r="E3383" t="s">
        <v>3803</v>
      </c>
      <c r="F3383" t="s">
        <v>3203</v>
      </c>
      <c r="G3383" t="s">
        <v>1725</v>
      </c>
    </row>
    <row r="3384" spans="5:7" x14ac:dyDescent="0.35">
      <c r="E3384" t="s">
        <v>3803</v>
      </c>
      <c r="F3384" t="s">
        <v>3206</v>
      </c>
      <c r="G3384" t="s">
        <v>1725</v>
      </c>
    </row>
    <row r="3385" spans="5:7" x14ac:dyDescent="0.35">
      <c r="E3385" t="s">
        <v>3803</v>
      </c>
      <c r="F3385" t="s">
        <v>3209</v>
      </c>
      <c r="G3385" t="s">
        <v>1730</v>
      </c>
    </row>
    <row r="3386" spans="5:7" x14ac:dyDescent="0.35">
      <c r="E3386" t="s">
        <v>3803</v>
      </c>
      <c r="F3386" t="s">
        <v>3212</v>
      </c>
      <c r="G3386" t="s">
        <v>1730</v>
      </c>
    </row>
    <row r="3387" spans="5:7" x14ac:dyDescent="0.35">
      <c r="E3387" t="s">
        <v>3803</v>
      </c>
      <c r="F3387" t="s">
        <v>3215</v>
      </c>
      <c r="G3387" t="s">
        <v>1730</v>
      </c>
    </row>
    <row r="3388" spans="5:7" x14ac:dyDescent="0.35">
      <c r="E3388" t="s">
        <v>3803</v>
      </c>
      <c r="F3388" t="s">
        <v>3218</v>
      </c>
      <c r="G3388" t="s">
        <v>1730</v>
      </c>
    </row>
    <row r="3389" spans="5:7" x14ac:dyDescent="0.35">
      <c r="E3389" t="s">
        <v>3803</v>
      </c>
      <c r="F3389" t="s">
        <v>3221</v>
      </c>
      <c r="G3389" t="s">
        <v>1730</v>
      </c>
    </row>
    <row r="3390" spans="5:7" x14ac:dyDescent="0.35">
      <c r="E3390" t="s">
        <v>3803</v>
      </c>
      <c r="F3390" t="s">
        <v>3224</v>
      </c>
      <c r="G3390" t="s">
        <v>1730</v>
      </c>
    </row>
    <row r="3391" spans="5:7" x14ac:dyDescent="0.35">
      <c r="E3391" t="s">
        <v>3803</v>
      </c>
      <c r="F3391" t="s">
        <v>3227</v>
      </c>
      <c r="G3391" t="s">
        <v>1735</v>
      </c>
    </row>
    <row r="3392" spans="5:7" x14ac:dyDescent="0.35">
      <c r="E3392" t="s">
        <v>3803</v>
      </c>
      <c r="F3392" t="s">
        <v>924</v>
      </c>
      <c r="G3392" t="s">
        <v>1735</v>
      </c>
    </row>
    <row r="3393" spans="5:7" x14ac:dyDescent="0.35">
      <c r="E3393" t="s">
        <v>3803</v>
      </c>
      <c r="F3393" t="s">
        <v>3230</v>
      </c>
      <c r="G3393" t="s">
        <v>1735</v>
      </c>
    </row>
    <row r="3394" spans="5:7" x14ac:dyDescent="0.35">
      <c r="E3394" t="s">
        <v>3803</v>
      </c>
      <c r="F3394" t="s">
        <v>3233</v>
      </c>
      <c r="G3394" t="s">
        <v>1735</v>
      </c>
    </row>
    <row r="3395" spans="5:7" x14ac:dyDescent="0.35">
      <c r="E3395" t="s">
        <v>3803</v>
      </c>
      <c r="F3395" t="s">
        <v>3235</v>
      </c>
      <c r="G3395" t="s">
        <v>1735</v>
      </c>
    </row>
    <row r="3396" spans="5:7" x14ac:dyDescent="0.35">
      <c r="E3396" t="s">
        <v>3803</v>
      </c>
      <c r="F3396" t="s">
        <v>3238</v>
      </c>
      <c r="G3396" t="s">
        <v>1735</v>
      </c>
    </row>
    <row r="3397" spans="5:7" x14ac:dyDescent="0.35">
      <c r="E3397" t="s">
        <v>3803</v>
      </c>
      <c r="F3397" t="s">
        <v>3244</v>
      </c>
      <c r="G3397" t="s">
        <v>1740</v>
      </c>
    </row>
    <row r="3398" spans="5:7" x14ac:dyDescent="0.35">
      <c r="E3398" t="s">
        <v>3803</v>
      </c>
      <c r="F3398" t="s">
        <v>3246</v>
      </c>
      <c r="G3398" t="s">
        <v>1740</v>
      </c>
    </row>
    <row r="3399" spans="5:7" x14ac:dyDescent="0.35">
      <c r="E3399" t="s">
        <v>3803</v>
      </c>
      <c r="F3399" t="s">
        <v>3248</v>
      </c>
      <c r="G3399" t="s">
        <v>1740</v>
      </c>
    </row>
    <row r="3400" spans="5:7" x14ac:dyDescent="0.35">
      <c r="E3400" t="s">
        <v>3803</v>
      </c>
      <c r="F3400" t="s">
        <v>3250</v>
      </c>
      <c r="G3400" t="s">
        <v>1740</v>
      </c>
    </row>
    <row r="3401" spans="5:7" x14ac:dyDescent="0.35">
      <c r="E3401" t="s">
        <v>3803</v>
      </c>
      <c r="F3401" t="s">
        <v>723</v>
      </c>
      <c r="G3401" t="s">
        <v>6754</v>
      </c>
    </row>
    <row r="3402" spans="5:7" x14ac:dyDescent="0.35">
      <c r="E3402" t="s">
        <v>3803</v>
      </c>
      <c r="F3402" t="s">
        <v>6755</v>
      </c>
      <c r="G3402" t="s">
        <v>6754</v>
      </c>
    </row>
    <row r="3403" spans="5:7" x14ac:dyDescent="0.35">
      <c r="E3403" t="s">
        <v>3803</v>
      </c>
      <c r="F3403" t="s">
        <v>3254</v>
      </c>
      <c r="G3403" t="s">
        <v>6756</v>
      </c>
    </row>
    <row r="3404" spans="5:7" x14ac:dyDescent="0.35">
      <c r="E3404" t="s">
        <v>3803</v>
      </c>
      <c r="F3404" t="s">
        <v>960</v>
      </c>
      <c r="G3404" t="s">
        <v>6756</v>
      </c>
    </row>
    <row r="3405" spans="5:7" x14ac:dyDescent="0.35">
      <c r="E3405" t="s">
        <v>3803</v>
      </c>
      <c r="F3405" t="s">
        <v>6757</v>
      </c>
      <c r="G3405" t="s">
        <v>6756</v>
      </c>
    </row>
    <row r="3406" spans="5:7" x14ac:dyDescent="0.35">
      <c r="E3406" t="s">
        <v>3803</v>
      </c>
      <c r="F3406" t="s">
        <v>6758</v>
      </c>
      <c r="G3406" t="s">
        <v>6756</v>
      </c>
    </row>
    <row r="3407" spans="5:7" x14ac:dyDescent="0.35">
      <c r="E3407" t="s">
        <v>3803</v>
      </c>
      <c r="F3407" t="s">
        <v>6759</v>
      </c>
      <c r="G3407" t="s">
        <v>6756</v>
      </c>
    </row>
    <row r="3408" spans="5:7" x14ac:dyDescent="0.35">
      <c r="E3408" t="s">
        <v>3803</v>
      </c>
      <c r="F3408" t="s">
        <v>6760</v>
      </c>
      <c r="G3408" t="s">
        <v>6756</v>
      </c>
    </row>
    <row r="3409" spans="5:7" x14ac:dyDescent="0.35">
      <c r="E3409" t="s">
        <v>3803</v>
      </c>
      <c r="F3409" t="s">
        <v>6761</v>
      </c>
      <c r="G3409" t="s">
        <v>6756</v>
      </c>
    </row>
    <row r="3410" spans="5:7" x14ac:dyDescent="0.35">
      <c r="E3410" t="s">
        <v>3803</v>
      </c>
      <c r="F3410" t="s">
        <v>6762</v>
      </c>
      <c r="G3410" t="s">
        <v>6756</v>
      </c>
    </row>
    <row r="3411" spans="5:7" x14ac:dyDescent="0.35">
      <c r="E3411" t="s">
        <v>3803</v>
      </c>
      <c r="F3411" t="s">
        <v>6763</v>
      </c>
      <c r="G3411" t="s">
        <v>6756</v>
      </c>
    </row>
    <row r="3412" spans="5:7" x14ac:dyDescent="0.35">
      <c r="E3412" t="s">
        <v>3803</v>
      </c>
      <c r="F3412" t="s">
        <v>3257</v>
      </c>
      <c r="G3412" t="s">
        <v>6764</v>
      </c>
    </row>
    <row r="3413" spans="5:7" x14ac:dyDescent="0.35">
      <c r="E3413" t="s">
        <v>3803</v>
      </c>
      <c r="F3413" t="s">
        <v>1003</v>
      </c>
      <c r="G3413" t="s">
        <v>6764</v>
      </c>
    </row>
    <row r="3414" spans="5:7" x14ac:dyDescent="0.35">
      <c r="E3414" t="s">
        <v>3803</v>
      </c>
      <c r="F3414" t="s">
        <v>6765</v>
      </c>
      <c r="G3414" t="s">
        <v>6764</v>
      </c>
    </row>
    <row r="3415" spans="5:7" x14ac:dyDescent="0.35">
      <c r="E3415" t="s">
        <v>3803</v>
      </c>
      <c r="F3415" t="s">
        <v>6766</v>
      </c>
      <c r="G3415" t="s">
        <v>6764</v>
      </c>
    </row>
    <row r="3416" spans="5:7" x14ac:dyDescent="0.35">
      <c r="E3416" t="s">
        <v>3803</v>
      </c>
      <c r="F3416" t="s">
        <v>6767</v>
      </c>
      <c r="G3416" t="s">
        <v>6764</v>
      </c>
    </row>
    <row r="3417" spans="5:7" x14ac:dyDescent="0.35">
      <c r="E3417" t="s">
        <v>3803</v>
      </c>
      <c r="F3417" t="s">
        <v>6768</v>
      </c>
      <c r="G3417" t="s">
        <v>6764</v>
      </c>
    </row>
    <row r="3418" spans="5:7" x14ac:dyDescent="0.35">
      <c r="E3418" t="s">
        <v>3803</v>
      </c>
      <c r="F3418" t="s">
        <v>6769</v>
      </c>
      <c r="G3418" t="s">
        <v>6764</v>
      </c>
    </row>
    <row r="3419" spans="5:7" x14ac:dyDescent="0.35">
      <c r="E3419" t="s">
        <v>3803</v>
      </c>
      <c r="F3419" t="s">
        <v>6770</v>
      </c>
      <c r="G3419" t="s">
        <v>6764</v>
      </c>
    </row>
    <row r="3420" spans="5:7" x14ac:dyDescent="0.35">
      <c r="E3420" t="s">
        <v>3803</v>
      </c>
      <c r="F3420" t="s">
        <v>6771</v>
      </c>
      <c r="G3420" t="s">
        <v>6764</v>
      </c>
    </row>
    <row r="3421" spans="5:7" x14ac:dyDescent="0.35">
      <c r="E3421" t="s">
        <v>3803</v>
      </c>
      <c r="F3421" t="s">
        <v>6772</v>
      </c>
      <c r="G3421" t="s">
        <v>6764</v>
      </c>
    </row>
    <row r="3422" spans="5:7" x14ac:dyDescent="0.35">
      <c r="E3422" t="s">
        <v>3803</v>
      </c>
      <c r="F3422" t="s">
        <v>6773</v>
      </c>
      <c r="G3422" t="s">
        <v>6764</v>
      </c>
    </row>
    <row r="3423" spans="5:7" x14ac:dyDescent="0.35">
      <c r="E3423" t="s">
        <v>3803</v>
      </c>
      <c r="F3423" t="s">
        <v>6774</v>
      </c>
      <c r="G3423" t="s">
        <v>6764</v>
      </c>
    </row>
    <row r="3424" spans="5:7" x14ac:dyDescent="0.35">
      <c r="E3424" t="s">
        <v>3803</v>
      </c>
      <c r="F3424" t="s">
        <v>6775</v>
      </c>
      <c r="G3424" t="s">
        <v>6764</v>
      </c>
    </row>
    <row r="3425" spans="5:7" x14ac:dyDescent="0.35">
      <c r="E3425" t="s">
        <v>3803</v>
      </c>
      <c r="F3425" t="s">
        <v>6776</v>
      </c>
      <c r="G3425" t="s">
        <v>6764</v>
      </c>
    </row>
    <row r="3426" spans="5:7" x14ac:dyDescent="0.35">
      <c r="E3426" t="s">
        <v>3803</v>
      </c>
      <c r="F3426" t="s">
        <v>6777</v>
      </c>
      <c r="G3426" t="s">
        <v>6764</v>
      </c>
    </row>
    <row r="3427" spans="5:7" x14ac:dyDescent="0.35">
      <c r="E3427" t="s">
        <v>3803</v>
      </c>
      <c r="F3427" t="s">
        <v>1084</v>
      </c>
      <c r="G3427" t="s">
        <v>6778</v>
      </c>
    </row>
    <row r="3428" spans="5:7" x14ac:dyDescent="0.35">
      <c r="E3428" t="s">
        <v>3803</v>
      </c>
      <c r="F3428" t="s">
        <v>6779</v>
      </c>
      <c r="G3428" t="s">
        <v>6778</v>
      </c>
    </row>
    <row r="3429" spans="5:7" x14ac:dyDescent="0.35">
      <c r="E3429" t="s">
        <v>3803</v>
      </c>
      <c r="F3429" t="s">
        <v>3260</v>
      </c>
      <c r="G3429" t="s">
        <v>6780</v>
      </c>
    </row>
    <row r="3430" spans="5:7" x14ac:dyDescent="0.35">
      <c r="E3430" t="s">
        <v>3803</v>
      </c>
      <c r="F3430" t="s">
        <v>6781</v>
      </c>
      <c r="G3430" t="s">
        <v>6780</v>
      </c>
    </row>
    <row r="3431" spans="5:7" x14ac:dyDescent="0.35">
      <c r="E3431" t="s">
        <v>3803</v>
      </c>
      <c r="F3431" t="s">
        <v>6782</v>
      </c>
      <c r="G3431" t="s">
        <v>6780</v>
      </c>
    </row>
    <row r="3432" spans="5:7" x14ac:dyDescent="0.35">
      <c r="E3432" t="s">
        <v>3803</v>
      </c>
      <c r="F3432" t="s">
        <v>6783</v>
      </c>
      <c r="G3432" t="s">
        <v>6780</v>
      </c>
    </row>
    <row r="3433" spans="5:7" x14ac:dyDescent="0.35">
      <c r="E3433" t="s">
        <v>3803</v>
      </c>
      <c r="F3433" t="s">
        <v>3263</v>
      </c>
      <c r="G3433" t="s">
        <v>6780</v>
      </c>
    </row>
    <row r="3434" spans="5:7" x14ac:dyDescent="0.35">
      <c r="E3434" t="s">
        <v>3803</v>
      </c>
      <c r="F3434" t="s">
        <v>6784</v>
      </c>
      <c r="G3434" t="s">
        <v>6780</v>
      </c>
    </row>
    <row r="3435" spans="5:7" x14ac:dyDescent="0.35">
      <c r="E3435" t="s">
        <v>3803</v>
      </c>
      <c r="F3435" t="s">
        <v>6785</v>
      </c>
      <c r="G3435" t="s">
        <v>6780</v>
      </c>
    </row>
    <row r="3436" spans="5:7" x14ac:dyDescent="0.35">
      <c r="E3436" t="s">
        <v>3803</v>
      </c>
      <c r="F3436" t="s">
        <v>6786</v>
      </c>
      <c r="G3436" t="s">
        <v>6780</v>
      </c>
    </row>
    <row r="3437" spans="5:7" x14ac:dyDescent="0.35">
      <c r="E3437" t="s">
        <v>3803</v>
      </c>
      <c r="F3437" t="s">
        <v>6787</v>
      </c>
      <c r="G3437" t="s">
        <v>6780</v>
      </c>
    </row>
    <row r="3438" spans="5:7" x14ac:dyDescent="0.35">
      <c r="E3438" t="s">
        <v>3803</v>
      </c>
      <c r="F3438" t="s">
        <v>6788</v>
      </c>
      <c r="G3438" t="s">
        <v>6780</v>
      </c>
    </row>
    <row r="3439" spans="5:7" x14ac:dyDescent="0.35">
      <c r="E3439" t="s">
        <v>3803</v>
      </c>
      <c r="F3439" t="s">
        <v>6789</v>
      </c>
      <c r="G3439" t="s">
        <v>6780</v>
      </c>
    </row>
    <row r="3440" spans="5:7" x14ac:dyDescent="0.35">
      <c r="E3440" t="s">
        <v>3803</v>
      </c>
      <c r="F3440" t="s">
        <v>6790</v>
      </c>
      <c r="G3440" t="s">
        <v>6780</v>
      </c>
    </row>
    <row r="3441" spans="5:7" x14ac:dyDescent="0.35">
      <c r="E3441" t="s">
        <v>3803</v>
      </c>
      <c r="F3441" t="s">
        <v>6791</v>
      </c>
      <c r="G3441" t="s">
        <v>6780</v>
      </c>
    </row>
    <row r="3442" spans="5:7" x14ac:dyDescent="0.35">
      <c r="E3442" t="s">
        <v>3803</v>
      </c>
      <c r="F3442" t="s">
        <v>6792</v>
      </c>
      <c r="G3442" t="s">
        <v>6780</v>
      </c>
    </row>
    <row r="3443" spans="5:7" x14ac:dyDescent="0.35">
      <c r="E3443" t="s">
        <v>3803</v>
      </c>
      <c r="F3443" t="s">
        <v>6793</v>
      </c>
      <c r="G3443" t="s">
        <v>6780</v>
      </c>
    </row>
    <row r="3444" spans="5:7" x14ac:dyDescent="0.35">
      <c r="E3444" t="s">
        <v>3803</v>
      </c>
      <c r="F3444" t="s">
        <v>6794</v>
      </c>
      <c r="G3444" t="s">
        <v>6780</v>
      </c>
    </row>
    <row r="3445" spans="5:7" x14ac:dyDescent="0.35">
      <c r="E3445" t="s">
        <v>3803</v>
      </c>
      <c r="F3445" t="s">
        <v>6795</v>
      </c>
      <c r="G3445" t="s">
        <v>6780</v>
      </c>
    </row>
    <row r="3446" spans="5:7" x14ac:dyDescent="0.35">
      <c r="E3446" t="s">
        <v>3803</v>
      </c>
      <c r="F3446" t="s">
        <v>6796</v>
      </c>
      <c r="G3446" t="s">
        <v>6780</v>
      </c>
    </row>
    <row r="3447" spans="5:7" x14ac:dyDescent="0.35">
      <c r="E3447" t="s">
        <v>3803</v>
      </c>
      <c r="F3447" t="s">
        <v>6797</v>
      </c>
      <c r="G3447" t="s">
        <v>6780</v>
      </c>
    </row>
    <row r="3448" spans="5:7" x14ac:dyDescent="0.35">
      <c r="E3448" t="s">
        <v>3803</v>
      </c>
      <c r="F3448" t="s">
        <v>3266</v>
      </c>
      <c r="G3448" t="s">
        <v>1750</v>
      </c>
    </row>
    <row r="3449" spans="5:7" x14ac:dyDescent="0.35">
      <c r="E3449" t="s">
        <v>3803</v>
      </c>
      <c r="F3449" t="s">
        <v>3269</v>
      </c>
      <c r="G3449" t="s">
        <v>1750</v>
      </c>
    </row>
    <row r="3450" spans="5:7" x14ac:dyDescent="0.35">
      <c r="E3450" t="s">
        <v>3803</v>
      </c>
      <c r="F3450" t="s">
        <v>3272</v>
      </c>
      <c r="G3450" t="s">
        <v>1750</v>
      </c>
    </row>
    <row r="3451" spans="5:7" x14ac:dyDescent="0.35">
      <c r="E3451" t="s">
        <v>3803</v>
      </c>
      <c r="F3451" t="s">
        <v>784</v>
      </c>
      <c r="G3451" t="s">
        <v>1750</v>
      </c>
    </row>
    <row r="3452" spans="5:7" x14ac:dyDescent="0.35">
      <c r="E3452" t="s">
        <v>3803</v>
      </c>
      <c r="F3452" t="s">
        <v>790</v>
      </c>
      <c r="G3452" t="s">
        <v>1750</v>
      </c>
    </row>
    <row r="3453" spans="5:7" x14ac:dyDescent="0.35">
      <c r="E3453" t="s">
        <v>3803</v>
      </c>
      <c r="F3453" t="s">
        <v>793</v>
      </c>
      <c r="G3453" t="s">
        <v>1750</v>
      </c>
    </row>
    <row r="3454" spans="5:7" x14ac:dyDescent="0.35">
      <c r="E3454" t="s">
        <v>3803</v>
      </c>
      <c r="F3454" t="s">
        <v>799</v>
      </c>
      <c r="G3454" t="s">
        <v>1750</v>
      </c>
    </row>
    <row r="3455" spans="5:7" x14ac:dyDescent="0.35">
      <c r="E3455" t="s">
        <v>3803</v>
      </c>
      <c r="F3455" t="s">
        <v>808</v>
      </c>
      <c r="G3455" t="s">
        <v>1750</v>
      </c>
    </row>
    <row r="3456" spans="5:7" x14ac:dyDescent="0.35">
      <c r="E3456" t="s">
        <v>3803</v>
      </c>
      <c r="F3456" t="s">
        <v>817</v>
      </c>
      <c r="G3456" t="s">
        <v>1750</v>
      </c>
    </row>
    <row r="3457" spans="5:7" x14ac:dyDescent="0.35">
      <c r="E3457" t="s">
        <v>3803</v>
      </c>
      <c r="F3457" t="s">
        <v>3275</v>
      </c>
      <c r="G3457" t="s">
        <v>1750</v>
      </c>
    </row>
    <row r="3458" spans="5:7" x14ac:dyDescent="0.35">
      <c r="E3458" t="s">
        <v>3803</v>
      </c>
      <c r="F3458" t="s">
        <v>3278</v>
      </c>
      <c r="G3458" t="s">
        <v>1750</v>
      </c>
    </row>
    <row r="3459" spans="5:7" x14ac:dyDescent="0.35">
      <c r="E3459" t="s">
        <v>3803</v>
      </c>
      <c r="F3459" t="s">
        <v>3281</v>
      </c>
      <c r="G3459" t="s">
        <v>1750</v>
      </c>
    </row>
    <row r="3460" spans="5:7" x14ac:dyDescent="0.35">
      <c r="E3460" t="s">
        <v>3803</v>
      </c>
      <c r="F3460" t="s">
        <v>3283</v>
      </c>
      <c r="G3460" t="s">
        <v>1750</v>
      </c>
    </row>
    <row r="3461" spans="5:7" x14ac:dyDescent="0.35">
      <c r="E3461" t="s">
        <v>3803</v>
      </c>
      <c r="F3461" t="s">
        <v>3286</v>
      </c>
      <c r="G3461" t="s">
        <v>1750</v>
      </c>
    </row>
    <row r="3462" spans="5:7" x14ac:dyDescent="0.35">
      <c r="E3462" t="s">
        <v>3803</v>
      </c>
      <c r="F3462" t="s">
        <v>3288</v>
      </c>
      <c r="G3462" t="s">
        <v>1750</v>
      </c>
    </row>
    <row r="3463" spans="5:7" x14ac:dyDescent="0.35">
      <c r="E3463" t="s">
        <v>3803</v>
      </c>
      <c r="F3463" t="s">
        <v>3291</v>
      </c>
      <c r="G3463" t="s">
        <v>1750</v>
      </c>
    </row>
    <row r="3464" spans="5:7" x14ac:dyDescent="0.35">
      <c r="E3464" t="s">
        <v>3803</v>
      </c>
      <c r="F3464" t="s">
        <v>6798</v>
      </c>
      <c r="G3464" t="s">
        <v>1750</v>
      </c>
    </row>
    <row r="3465" spans="5:7" x14ac:dyDescent="0.35">
      <c r="E3465" t="s">
        <v>3803</v>
      </c>
      <c r="F3465" t="s">
        <v>6799</v>
      </c>
      <c r="G3465" t="s">
        <v>1750</v>
      </c>
    </row>
    <row r="3466" spans="5:7" x14ac:dyDescent="0.35">
      <c r="E3466" t="s">
        <v>3803</v>
      </c>
      <c r="F3466" t="s">
        <v>3294</v>
      </c>
      <c r="G3466" t="s">
        <v>1750</v>
      </c>
    </row>
    <row r="3467" spans="5:7" x14ac:dyDescent="0.35">
      <c r="E3467" t="s">
        <v>3803</v>
      </c>
      <c r="F3467" t="s">
        <v>3300</v>
      </c>
      <c r="G3467" t="s">
        <v>1750</v>
      </c>
    </row>
    <row r="3468" spans="5:7" x14ac:dyDescent="0.35">
      <c r="E3468" t="s">
        <v>3803</v>
      </c>
      <c r="F3468" t="s">
        <v>3304</v>
      </c>
      <c r="G3468" t="s">
        <v>1750</v>
      </c>
    </row>
    <row r="3469" spans="5:7" x14ac:dyDescent="0.35">
      <c r="E3469" t="s">
        <v>3803</v>
      </c>
      <c r="F3469" t="s">
        <v>3307</v>
      </c>
      <c r="G3469" t="s">
        <v>1750</v>
      </c>
    </row>
    <row r="3470" spans="5:7" x14ac:dyDescent="0.35">
      <c r="E3470" t="s">
        <v>3803</v>
      </c>
      <c r="F3470" t="s">
        <v>3310</v>
      </c>
      <c r="G3470" t="s">
        <v>1750</v>
      </c>
    </row>
    <row r="3471" spans="5:7" x14ac:dyDescent="0.35">
      <c r="E3471" t="s">
        <v>3803</v>
      </c>
      <c r="F3471" t="s">
        <v>3313</v>
      </c>
      <c r="G3471" t="s">
        <v>1750</v>
      </c>
    </row>
    <row r="3472" spans="5:7" x14ac:dyDescent="0.35">
      <c r="E3472" t="s">
        <v>3803</v>
      </c>
      <c r="F3472" t="s">
        <v>3316</v>
      </c>
      <c r="G3472" t="s">
        <v>1750</v>
      </c>
    </row>
    <row r="3473" spans="5:7" x14ac:dyDescent="0.35">
      <c r="E3473" t="s">
        <v>3803</v>
      </c>
      <c r="F3473" t="s">
        <v>3320</v>
      </c>
      <c r="G3473" t="s">
        <v>1750</v>
      </c>
    </row>
    <row r="3474" spans="5:7" x14ac:dyDescent="0.35">
      <c r="E3474" t="s">
        <v>3803</v>
      </c>
      <c r="F3474" t="s">
        <v>976</v>
      </c>
      <c r="G3474" t="s">
        <v>1750</v>
      </c>
    </row>
    <row r="3475" spans="5:7" x14ac:dyDescent="0.35">
      <c r="E3475" t="s">
        <v>3803</v>
      </c>
      <c r="F3475" t="s">
        <v>6800</v>
      </c>
      <c r="G3475" t="s">
        <v>1750</v>
      </c>
    </row>
    <row r="3476" spans="5:7" x14ac:dyDescent="0.35">
      <c r="E3476" t="s">
        <v>3803</v>
      </c>
      <c r="F3476" t="s">
        <v>6801</v>
      </c>
      <c r="G3476" t="s">
        <v>1750</v>
      </c>
    </row>
    <row r="3477" spans="5:7" x14ac:dyDescent="0.35">
      <c r="E3477" t="s">
        <v>3803</v>
      </c>
      <c r="F3477" t="s">
        <v>6802</v>
      </c>
      <c r="G3477" t="s">
        <v>1750</v>
      </c>
    </row>
    <row r="3478" spans="5:7" x14ac:dyDescent="0.35">
      <c r="E3478" t="s">
        <v>3803</v>
      </c>
      <c r="F3478" t="s">
        <v>6803</v>
      </c>
      <c r="G3478" t="s">
        <v>1750</v>
      </c>
    </row>
    <row r="3479" spans="5:7" x14ac:dyDescent="0.35">
      <c r="E3479" t="s">
        <v>3803</v>
      </c>
      <c r="F3479" t="s">
        <v>6804</v>
      </c>
      <c r="G3479" t="s">
        <v>1750</v>
      </c>
    </row>
    <row r="3480" spans="5:7" x14ac:dyDescent="0.35">
      <c r="E3480" t="s">
        <v>3803</v>
      </c>
      <c r="F3480" t="s">
        <v>6805</v>
      </c>
      <c r="G3480" t="s">
        <v>1750</v>
      </c>
    </row>
    <row r="3481" spans="5:7" x14ac:dyDescent="0.35">
      <c r="E3481" t="s">
        <v>3803</v>
      </c>
      <c r="F3481" t="s">
        <v>6806</v>
      </c>
      <c r="G3481" t="s">
        <v>1750</v>
      </c>
    </row>
    <row r="3482" spans="5:7" x14ac:dyDescent="0.35">
      <c r="E3482" t="s">
        <v>3803</v>
      </c>
      <c r="F3482" t="s">
        <v>6807</v>
      </c>
      <c r="G3482" t="s">
        <v>1750</v>
      </c>
    </row>
    <row r="3483" spans="5:7" x14ac:dyDescent="0.35">
      <c r="E3483" t="s">
        <v>3803</v>
      </c>
      <c r="F3483" t="s">
        <v>6808</v>
      </c>
      <c r="G3483" t="s">
        <v>1750</v>
      </c>
    </row>
    <row r="3484" spans="5:7" x14ac:dyDescent="0.35">
      <c r="E3484" t="s">
        <v>3803</v>
      </c>
      <c r="F3484" t="s">
        <v>6809</v>
      </c>
      <c r="G3484" t="s">
        <v>1750</v>
      </c>
    </row>
    <row r="3485" spans="5:7" x14ac:dyDescent="0.35">
      <c r="E3485" t="s">
        <v>3803</v>
      </c>
      <c r="F3485" t="s">
        <v>6810</v>
      </c>
      <c r="G3485" t="s">
        <v>1750</v>
      </c>
    </row>
    <row r="3486" spans="5:7" x14ac:dyDescent="0.35">
      <c r="E3486" t="s">
        <v>3803</v>
      </c>
      <c r="F3486" t="s">
        <v>1012</v>
      </c>
      <c r="G3486" t="s">
        <v>1750</v>
      </c>
    </row>
    <row r="3487" spans="5:7" x14ac:dyDescent="0.35">
      <c r="E3487" t="s">
        <v>3803</v>
      </c>
      <c r="F3487" t="s">
        <v>6811</v>
      </c>
      <c r="G3487" t="s">
        <v>1750</v>
      </c>
    </row>
    <row r="3488" spans="5:7" x14ac:dyDescent="0.35">
      <c r="E3488" t="s">
        <v>3803</v>
      </c>
      <c r="F3488" t="s">
        <v>6812</v>
      </c>
      <c r="G3488" t="s">
        <v>1750</v>
      </c>
    </row>
    <row r="3489" spans="5:7" x14ac:dyDescent="0.35">
      <c r="E3489" t="s">
        <v>3803</v>
      </c>
      <c r="F3489" t="s">
        <v>6813</v>
      </c>
      <c r="G3489" t="s">
        <v>1750</v>
      </c>
    </row>
    <row r="3490" spans="5:7" x14ac:dyDescent="0.35">
      <c r="E3490" t="s">
        <v>3803</v>
      </c>
      <c r="F3490" t="s">
        <v>6814</v>
      </c>
      <c r="G3490" t="s">
        <v>1750</v>
      </c>
    </row>
    <row r="3491" spans="5:7" x14ac:dyDescent="0.35">
      <c r="E3491" t="s">
        <v>3803</v>
      </c>
      <c r="F3491" t="s">
        <v>6815</v>
      </c>
      <c r="G3491" t="s">
        <v>1750</v>
      </c>
    </row>
    <row r="3492" spans="5:7" x14ac:dyDescent="0.35">
      <c r="E3492" t="s">
        <v>3803</v>
      </c>
      <c r="F3492" t="s">
        <v>6816</v>
      </c>
      <c r="G3492" t="s">
        <v>1750</v>
      </c>
    </row>
    <row r="3493" spans="5:7" x14ac:dyDescent="0.35">
      <c r="E3493" t="s">
        <v>3803</v>
      </c>
      <c r="F3493" t="s">
        <v>6817</v>
      </c>
      <c r="G3493" t="s">
        <v>1750</v>
      </c>
    </row>
    <row r="3494" spans="5:7" x14ac:dyDescent="0.35">
      <c r="E3494" t="s">
        <v>3803</v>
      </c>
      <c r="F3494" t="s">
        <v>6818</v>
      </c>
      <c r="G3494" t="s">
        <v>1750</v>
      </c>
    </row>
    <row r="3495" spans="5:7" x14ac:dyDescent="0.35">
      <c r="E3495" t="s">
        <v>3803</v>
      </c>
      <c r="F3495" t="s">
        <v>6819</v>
      </c>
      <c r="G3495" t="s">
        <v>1750</v>
      </c>
    </row>
    <row r="3496" spans="5:7" x14ac:dyDescent="0.35">
      <c r="E3496" t="s">
        <v>3803</v>
      </c>
      <c r="F3496" t="s">
        <v>6820</v>
      </c>
      <c r="G3496" t="s">
        <v>1750</v>
      </c>
    </row>
    <row r="3497" spans="5:7" x14ac:dyDescent="0.35">
      <c r="E3497" t="s">
        <v>3803</v>
      </c>
      <c r="F3497" t="s">
        <v>6821</v>
      </c>
      <c r="G3497" t="s">
        <v>1750</v>
      </c>
    </row>
    <row r="3498" spans="5:7" x14ac:dyDescent="0.35">
      <c r="E3498" t="s">
        <v>3803</v>
      </c>
      <c r="F3498" t="s">
        <v>6822</v>
      </c>
      <c r="G3498" t="s">
        <v>1750</v>
      </c>
    </row>
    <row r="3499" spans="5:7" x14ac:dyDescent="0.35">
      <c r="E3499" t="s">
        <v>3803</v>
      </c>
      <c r="F3499" t="s">
        <v>6823</v>
      </c>
      <c r="G3499" t="s">
        <v>1750</v>
      </c>
    </row>
    <row r="3500" spans="5:7" x14ac:dyDescent="0.35">
      <c r="E3500" t="s">
        <v>3803</v>
      </c>
      <c r="F3500" t="s">
        <v>6824</v>
      </c>
      <c r="G3500" t="s">
        <v>1750</v>
      </c>
    </row>
    <row r="3501" spans="5:7" x14ac:dyDescent="0.35">
      <c r="E3501" t="s">
        <v>3803</v>
      </c>
      <c r="F3501" t="s">
        <v>6825</v>
      </c>
      <c r="G3501" t="s">
        <v>1750</v>
      </c>
    </row>
    <row r="3502" spans="5:7" x14ac:dyDescent="0.35">
      <c r="E3502" t="s">
        <v>3803</v>
      </c>
      <c r="F3502" t="s">
        <v>6826</v>
      </c>
      <c r="G3502" t="s">
        <v>1750</v>
      </c>
    </row>
    <row r="3503" spans="5:7" x14ac:dyDescent="0.35">
      <c r="E3503" t="s">
        <v>3803</v>
      </c>
      <c r="F3503" t="s">
        <v>6827</v>
      </c>
      <c r="G3503" t="s">
        <v>1750</v>
      </c>
    </row>
    <row r="3504" spans="5:7" x14ac:dyDescent="0.35">
      <c r="E3504" t="s">
        <v>3803</v>
      </c>
      <c r="F3504" t="s">
        <v>6828</v>
      </c>
      <c r="G3504" t="s">
        <v>1750</v>
      </c>
    </row>
    <row r="3505" spans="5:7" x14ac:dyDescent="0.35">
      <c r="E3505" t="s">
        <v>3803</v>
      </c>
      <c r="F3505" t="s">
        <v>6829</v>
      </c>
      <c r="G3505" t="s">
        <v>1750</v>
      </c>
    </row>
    <row r="3506" spans="5:7" x14ac:dyDescent="0.35">
      <c r="E3506" t="s">
        <v>3803</v>
      </c>
      <c r="F3506" t="s">
        <v>6830</v>
      </c>
      <c r="G3506" t="s">
        <v>1750</v>
      </c>
    </row>
    <row r="3507" spans="5:7" x14ac:dyDescent="0.35">
      <c r="E3507" t="s">
        <v>3803</v>
      </c>
      <c r="F3507" t="s">
        <v>6831</v>
      </c>
      <c r="G3507" t="s">
        <v>1750</v>
      </c>
    </row>
    <row r="3508" spans="5:7" x14ac:dyDescent="0.35">
      <c r="E3508" t="s">
        <v>3803</v>
      </c>
      <c r="F3508" t="s">
        <v>6832</v>
      </c>
      <c r="G3508" t="s">
        <v>1750</v>
      </c>
    </row>
    <row r="3509" spans="5:7" x14ac:dyDescent="0.35">
      <c r="E3509" t="s">
        <v>3803</v>
      </c>
      <c r="F3509" t="s">
        <v>6833</v>
      </c>
      <c r="G3509" t="s">
        <v>1750</v>
      </c>
    </row>
    <row r="3510" spans="5:7" x14ac:dyDescent="0.35">
      <c r="E3510" t="s">
        <v>3803</v>
      </c>
      <c r="F3510" t="s">
        <v>6834</v>
      </c>
      <c r="G3510" t="s">
        <v>1750</v>
      </c>
    </row>
    <row r="3511" spans="5:7" x14ac:dyDescent="0.35">
      <c r="E3511" t="s">
        <v>3803</v>
      </c>
      <c r="F3511" t="s">
        <v>6835</v>
      </c>
      <c r="G3511" t="s">
        <v>1750</v>
      </c>
    </row>
    <row r="3512" spans="5:7" x14ac:dyDescent="0.35">
      <c r="E3512" t="s">
        <v>3803</v>
      </c>
      <c r="F3512" t="s">
        <v>6836</v>
      </c>
      <c r="G3512" t="s">
        <v>1750</v>
      </c>
    </row>
    <row r="3513" spans="5:7" x14ac:dyDescent="0.35">
      <c r="E3513" t="s">
        <v>3803</v>
      </c>
      <c r="F3513" t="s">
        <v>1097</v>
      </c>
      <c r="G3513" t="s">
        <v>1750</v>
      </c>
    </row>
    <row r="3514" spans="5:7" x14ac:dyDescent="0.35">
      <c r="E3514" t="s">
        <v>3803</v>
      </c>
      <c r="F3514" t="s">
        <v>6837</v>
      </c>
      <c r="G3514" t="s">
        <v>1750</v>
      </c>
    </row>
    <row r="3515" spans="5:7" x14ac:dyDescent="0.35">
      <c r="E3515" t="s">
        <v>3803</v>
      </c>
      <c r="F3515" t="s">
        <v>6838</v>
      </c>
      <c r="G3515" t="s">
        <v>1750</v>
      </c>
    </row>
    <row r="3516" spans="5:7" x14ac:dyDescent="0.35">
      <c r="E3516" t="s">
        <v>3803</v>
      </c>
      <c r="F3516" t="s">
        <v>6839</v>
      </c>
      <c r="G3516" t="s">
        <v>1750</v>
      </c>
    </row>
    <row r="3517" spans="5:7" x14ac:dyDescent="0.35">
      <c r="E3517" t="s">
        <v>3803</v>
      </c>
      <c r="F3517" t="s">
        <v>6840</v>
      </c>
      <c r="G3517" t="s">
        <v>1750</v>
      </c>
    </row>
    <row r="3518" spans="5:7" x14ac:dyDescent="0.35">
      <c r="E3518" t="s">
        <v>3803</v>
      </c>
      <c r="F3518" t="s">
        <v>6841</v>
      </c>
      <c r="G3518" t="s">
        <v>1750</v>
      </c>
    </row>
    <row r="3519" spans="5:7" x14ac:dyDescent="0.35">
      <c r="E3519" t="s">
        <v>3803</v>
      </c>
      <c r="F3519" t="s">
        <v>6842</v>
      </c>
      <c r="G3519" t="s">
        <v>1750</v>
      </c>
    </row>
    <row r="3520" spans="5:7" x14ac:dyDescent="0.35">
      <c r="E3520" t="s">
        <v>3803</v>
      </c>
      <c r="F3520" t="s">
        <v>6843</v>
      </c>
      <c r="G3520" t="s">
        <v>1750</v>
      </c>
    </row>
    <row r="3521" spans="5:7" x14ac:dyDescent="0.35">
      <c r="E3521" t="s">
        <v>3803</v>
      </c>
      <c r="F3521" t="s">
        <v>6844</v>
      </c>
      <c r="G3521" t="s">
        <v>1750</v>
      </c>
    </row>
    <row r="3522" spans="5:7" x14ac:dyDescent="0.35">
      <c r="E3522" t="s">
        <v>3803</v>
      </c>
      <c r="F3522" t="s">
        <v>6845</v>
      </c>
      <c r="G3522" t="s">
        <v>1750</v>
      </c>
    </row>
    <row r="3523" spans="5:7" x14ac:dyDescent="0.35">
      <c r="E3523" t="s">
        <v>3803</v>
      </c>
      <c r="F3523" t="s">
        <v>6846</v>
      </c>
      <c r="G3523" t="s">
        <v>1750</v>
      </c>
    </row>
    <row r="3524" spans="5:7" x14ac:dyDescent="0.35">
      <c r="E3524" t="s">
        <v>3803</v>
      </c>
      <c r="F3524" t="s">
        <v>6847</v>
      </c>
      <c r="G3524" t="s">
        <v>1750</v>
      </c>
    </row>
    <row r="3525" spans="5:7" x14ac:dyDescent="0.35">
      <c r="E3525" t="s">
        <v>3803</v>
      </c>
      <c r="F3525" t="s">
        <v>6848</v>
      </c>
      <c r="G3525" t="s">
        <v>1750</v>
      </c>
    </row>
    <row r="3526" spans="5:7" x14ac:dyDescent="0.35">
      <c r="E3526" t="s">
        <v>3803</v>
      </c>
      <c r="F3526" t="s">
        <v>6849</v>
      </c>
      <c r="G3526" t="s">
        <v>1750</v>
      </c>
    </row>
    <row r="3527" spans="5:7" x14ac:dyDescent="0.35">
      <c r="E3527" t="s">
        <v>3803</v>
      </c>
      <c r="F3527" t="s">
        <v>6850</v>
      </c>
      <c r="G3527" t="s">
        <v>1750</v>
      </c>
    </row>
    <row r="3528" spans="5:7" x14ac:dyDescent="0.35">
      <c r="E3528" t="s">
        <v>3803</v>
      </c>
      <c r="F3528" t="s">
        <v>6851</v>
      </c>
      <c r="G3528" t="s">
        <v>1750</v>
      </c>
    </row>
    <row r="3529" spans="5:7" x14ac:dyDescent="0.35">
      <c r="E3529" t="s">
        <v>3803</v>
      </c>
      <c r="F3529" t="s">
        <v>6852</v>
      </c>
      <c r="G3529" t="s">
        <v>1750</v>
      </c>
    </row>
    <row r="3530" spans="5:7" x14ac:dyDescent="0.35">
      <c r="E3530" t="s">
        <v>3803</v>
      </c>
      <c r="F3530" t="s">
        <v>6853</v>
      </c>
      <c r="G3530" t="s">
        <v>1750</v>
      </c>
    </row>
    <row r="3531" spans="5:7" x14ac:dyDescent="0.35">
      <c r="E3531" t="s">
        <v>3803</v>
      </c>
      <c r="F3531" t="s">
        <v>6854</v>
      </c>
      <c r="G3531" t="s">
        <v>1750</v>
      </c>
    </row>
    <row r="3532" spans="5:7" x14ac:dyDescent="0.35">
      <c r="E3532" t="s">
        <v>3803</v>
      </c>
      <c r="F3532" t="s">
        <v>6855</v>
      </c>
      <c r="G3532" t="s">
        <v>1750</v>
      </c>
    </row>
    <row r="3533" spans="5:7" x14ac:dyDescent="0.35">
      <c r="E3533" t="s">
        <v>3803</v>
      </c>
      <c r="F3533" t="s">
        <v>6856</v>
      </c>
      <c r="G3533" t="s">
        <v>1750</v>
      </c>
    </row>
    <row r="3534" spans="5:7" x14ac:dyDescent="0.35">
      <c r="E3534" t="s">
        <v>3803</v>
      </c>
      <c r="F3534" t="s">
        <v>6857</v>
      </c>
      <c r="G3534" t="s">
        <v>1750</v>
      </c>
    </row>
    <row r="3535" spans="5:7" x14ac:dyDescent="0.35">
      <c r="E3535" t="s">
        <v>3803</v>
      </c>
      <c r="F3535" t="s">
        <v>6858</v>
      </c>
      <c r="G3535" t="s">
        <v>1750</v>
      </c>
    </row>
    <row r="3536" spans="5:7" x14ac:dyDescent="0.35">
      <c r="E3536" t="s">
        <v>3803</v>
      </c>
      <c r="F3536" t="s">
        <v>6859</v>
      </c>
      <c r="G3536" t="s">
        <v>1750</v>
      </c>
    </row>
    <row r="3537" spans="5:7" x14ac:dyDescent="0.35">
      <c r="E3537" t="s">
        <v>3803</v>
      </c>
      <c r="F3537" t="s">
        <v>6860</v>
      </c>
      <c r="G3537" t="s">
        <v>1750</v>
      </c>
    </row>
    <row r="3538" spans="5:7" x14ac:dyDescent="0.35">
      <c r="E3538" t="s">
        <v>3803</v>
      </c>
      <c r="F3538" t="s">
        <v>6861</v>
      </c>
      <c r="G3538" t="s">
        <v>1750</v>
      </c>
    </row>
    <row r="3539" spans="5:7" x14ac:dyDescent="0.35">
      <c r="E3539" t="s">
        <v>3803</v>
      </c>
      <c r="F3539" t="s">
        <v>6862</v>
      </c>
      <c r="G3539" t="s">
        <v>1750</v>
      </c>
    </row>
    <row r="3540" spans="5:7" x14ac:dyDescent="0.35">
      <c r="E3540" t="s">
        <v>3803</v>
      </c>
      <c r="F3540" t="s">
        <v>6863</v>
      </c>
      <c r="G3540" t="s">
        <v>1750</v>
      </c>
    </row>
    <row r="3541" spans="5:7" x14ac:dyDescent="0.35">
      <c r="E3541" t="s">
        <v>3803</v>
      </c>
      <c r="F3541" t="s">
        <v>6864</v>
      </c>
      <c r="G3541" t="s">
        <v>1750</v>
      </c>
    </row>
    <row r="3542" spans="5:7" x14ac:dyDescent="0.35">
      <c r="E3542" t="s">
        <v>3803</v>
      </c>
      <c r="F3542" t="s">
        <v>6865</v>
      </c>
      <c r="G3542" t="s">
        <v>1750</v>
      </c>
    </row>
    <row r="3543" spans="5:7" x14ac:dyDescent="0.35">
      <c r="E3543" t="s">
        <v>3803</v>
      </c>
      <c r="F3543" t="s">
        <v>6866</v>
      </c>
      <c r="G3543" t="s">
        <v>1750</v>
      </c>
    </row>
    <row r="3544" spans="5:7" x14ac:dyDescent="0.35">
      <c r="E3544" t="s">
        <v>3803</v>
      </c>
      <c r="F3544" t="s">
        <v>6867</v>
      </c>
      <c r="G3544" t="s">
        <v>1750</v>
      </c>
    </row>
    <row r="3545" spans="5:7" x14ac:dyDescent="0.35">
      <c r="E3545" t="s">
        <v>3803</v>
      </c>
      <c r="F3545" t="s">
        <v>6868</v>
      </c>
      <c r="G3545" t="s">
        <v>1750</v>
      </c>
    </row>
    <row r="3546" spans="5:7" x14ac:dyDescent="0.35">
      <c r="E3546" t="s">
        <v>3803</v>
      </c>
      <c r="F3546" t="s">
        <v>6869</v>
      </c>
      <c r="G3546" t="s">
        <v>1750</v>
      </c>
    </row>
    <row r="3547" spans="5:7" x14ac:dyDescent="0.35">
      <c r="E3547" t="s">
        <v>3803</v>
      </c>
      <c r="F3547" t="s">
        <v>6870</v>
      </c>
      <c r="G3547" t="s">
        <v>1750</v>
      </c>
    </row>
    <row r="3548" spans="5:7" x14ac:dyDescent="0.35">
      <c r="E3548" t="s">
        <v>3803</v>
      </c>
      <c r="F3548" t="s">
        <v>6871</v>
      </c>
      <c r="G3548" t="s">
        <v>1750</v>
      </c>
    </row>
    <row r="3549" spans="5:7" x14ac:dyDescent="0.35">
      <c r="E3549" t="s">
        <v>3803</v>
      </c>
      <c r="F3549" t="s">
        <v>6872</v>
      </c>
      <c r="G3549" t="s">
        <v>1750</v>
      </c>
    </row>
    <row r="3550" spans="5:7" x14ac:dyDescent="0.35">
      <c r="E3550" t="s">
        <v>3803</v>
      </c>
      <c r="F3550" t="s">
        <v>6873</v>
      </c>
      <c r="G3550" t="s">
        <v>1750</v>
      </c>
    </row>
    <row r="3551" spans="5:7" x14ac:dyDescent="0.35">
      <c r="E3551" t="s">
        <v>3803</v>
      </c>
      <c r="F3551" t="s">
        <v>1205</v>
      </c>
      <c r="G3551" t="s">
        <v>1750</v>
      </c>
    </row>
    <row r="3552" spans="5:7" x14ac:dyDescent="0.35">
      <c r="E3552" t="s">
        <v>3803</v>
      </c>
      <c r="F3552" t="s">
        <v>3324</v>
      </c>
    </row>
    <row r="3553" spans="5:7" x14ac:dyDescent="0.35">
      <c r="E3553" t="s">
        <v>3803</v>
      </c>
      <c r="F3553" t="s">
        <v>6874</v>
      </c>
      <c r="G3553" t="s">
        <v>1750</v>
      </c>
    </row>
    <row r="3554" spans="5:7" x14ac:dyDescent="0.35">
      <c r="E3554" t="s">
        <v>3803</v>
      </c>
      <c r="F3554" t="s">
        <v>6875</v>
      </c>
      <c r="G3554" t="s">
        <v>1750</v>
      </c>
    </row>
    <row r="3555" spans="5:7" x14ac:dyDescent="0.35">
      <c r="E3555" t="s">
        <v>3803</v>
      </c>
      <c r="F3555" t="s">
        <v>6876</v>
      </c>
      <c r="G3555" t="s">
        <v>1750</v>
      </c>
    </row>
    <row r="3556" spans="5:7" x14ac:dyDescent="0.35">
      <c r="E3556" t="s">
        <v>3803</v>
      </c>
      <c r="F3556" t="s">
        <v>6877</v>
      </c>
      <c r="G3556" t="s">
        <v>1750</v>
      </c>
    </row>
    <row r="3557" spans="5:7" x14ac:dyDescent="0.35">
      <c r="E3557" t="s">
        <v>3803</v>
      </c>
      <c r="F3557" t="s">
        <v>6878</v>
      </c>
      <c r="G3557" t="s">
        <v>1750</v>
      </c>
    </row>
    <row r="3558" spans="5:7" x14ac:dyDescent="0.35">
      <c r="E3558" t="s">
        <v>3803</v>
      </c>
      <c r="F3558" t="s">
        <v>6879</v>
      </c>
      <c r="G3558" t="s">
        <v>1750</v>
      </c>
    </row>
    <row r="3559" spans="5:7" x14ac:dyDescent="0.35">
      <c r="E3559" t="s">
        <v>3803</v>
      </c>
      <c r="F3559" t="s">
        <v>6880</v>
      </c>
      <c r="G3559" t="s">
        <v>1750</v>
      </c>
    </row>
    <row r="3560" spans="5:7" x14ac:dyDescent="0.35">
      <c r="E3560" t="s">
        <v>3803</v>
      </c>
      <c r="F3560" t="s">
        <v>6881</v>
      </c>
      <c r="G3560" t="s">
        <v>1750</v>
      </c>
    </row>
    <row r="3561" spans="5:7" x14ac:dyDescent="0.35">
      <c r="E3561" t="s">
        <v>3803</v>
      </c>
      <c r="F3561" t="s">
        <v>6882</v>
      </c>
      <c r="G3561" t="s">
        <v>1750</v>
      </c>
    </row>
    <row r="3562" spans="5:7" x14ac:dyDescent="0.35">
      <c r="E3562" t="s">
        <v>3803</v>
      </c>
      <c r="F3562" t="s">
        <v>6883</v>
      </c>
      <c r="G3562" t="s">
        <v>1750</v>
      </c>
    </row>
    <row r="3563" spans="5:7" x14ac:dyDescent="0.35">
      <c r="E3563" t="s">
        <v>3803</v>
      </c>
      <c r="F3563" t="s">
        <v>6884</v>
      </c>
      <c r="G3563" t="s">
        <v>1750</v>
      </c>
    </row>
    <row r="3564" spans="5:7" x14ac:dyDescent="0.35">
      <c r="E3564" t="s">
        <v>3803</v>
      </c>
      <c r="F3564" t="s">
        <v>6885</v>
      </c>
      <c r="G3564" t="s">
        <v>1750</v>
      </c>
    </row>
    <row r="3565" spans="5:7" x14ac:dyDescent="0.35">
      <c r="E3565" t="s">
        <v>3803</v>
      </c>
      <c r="F3565" t="s">
        <v>6886</v>
      </c>
      <c r="G3565" t="s">
        <v>1750</v>
      </c>
    </row>
    <row r="3566" spans="5:7" x14ac:dyDescent="0.35">
      <c r="E3566" t="s">
        <v>3803</v>
      </c>
      <c r="F3566" t="s">
        <v>6887</v>
      </c>
      <c r="G3566" t="s">
        <v>1750</v>
      </c>
    </row>
    <row r="3567" spans="5:7" x14ac:dyDescent="0.35">
      <c r="E3567" t="s">
        <v>3803</v>
      </c>
      <c r="F3567" t="s">
        <v>6888</v>
      </c>
      <c r="G3567" t="s">
        <v>1750</v>
      </c>
    </row>
    <row r="3568" spans="5:7" x14ac:dyDescent="0.35">
      <c r="E3568" t="s">
        <v>3803</v>
      </c>
      <c r="F3568" t="s">
        <v>6889</v>
      </c>
      <c r="G3568" t="s">
        <v>1750</v>
      </c>
    </row>
    <row r="3569" spans="5:7" x14ac:dyDescent="0.35">
      <c r="E3569" t="s">
        <v>3803</v>
      </c>
      <c r="F3569" t="s">
        <v>6890</v>
      </c>
      <c r="G3569" t="s">
        <v>1750</v>
      </c>
    </row>
    <row r="3570" spans="5:7" x14ac:dyDescent="0.35">
      <c r="E3570" t="s">
        <v>3803</v>
      </c>
      <c r="F3570" t="s">
        <v>6891</v>
      </c>
      <c r="G3570" t="s">
        <v>1750</v>
      </c>
    </row>
    <row r="3571" spans="5:7" x14ac:dyDescent="0.35">
      <c r="E3571" t="s">
        <v>3803</v>
      </c>
      <c r="F3571" t="s">
        <v>6892</v>
      </c>
      <c r="G3571" t="s">
        <v>1750</v>
      </c>
    </row>
    <row r="3572" spans="5:7" x14ac:dyDescent="0.35">
      <c r="E3572" t="s">
        <v>3803</v>
      </c>
      <c r="F3572" t="s">
        <v>6893</v>
      </c>
      <c r="G3572" t="s">
        <v>1750</v>
      </c>
    </row>
    <row r="3573" spans="5:7" x14ac:dyDescent="0.35">
      <c r="E3573" t="s">
        <v>3803</v>
      </c>
      <c r="F3573" t="s">
        <v>6894</v>
      </c>
      <c r="G3573" t="s">
        <v>1750</v>
      </c>
    </row>
    <row r="3574" spans="5:7" x14ac:dyDescent="0.35">
      <c r="E3574" t="s">
        <v>3803</v>
      </c>
      <c r="F3574" t="s">
        <v>6895</v>
      </c>
      <c r="G3574" t="s">
        <v>1750</v>
      </c>
    </row>
    <row r="3575" spans="5:7" x14ac:dyDescent="0.35">
      <c r="E3575" t="s">
        <v>3803</v>
      </c>
      <c r="F3575" t="s">
        <v>6896</v>
      </c>
      <c r="G3575" t="s">
        <v>1750</v>
      </c>
    </row>
    <row r="3576" spans="5:7" x14ac:dyDescent="0.35">
      <c r="E3576" t="s">
        <v>3803</v>
      </c>
      <c r="F3576" t="s">
        <v>6897</v>
      </c>
      <c r="G3576" t="s">
        <v>1750</v>
      </c>
    </row>
    <row r="3577" spans="5:7" x14ac:dyDescent="0.35">
      <c r="E3577" t="s">
        <v>3803</v>
      </c>
      <c r="F3577" t="s">
        <v>6898</v>
      </c>
      <c r="G3577" t="s">
        <v>1750</v>
      </c>
    </row>
    <row r="3578" spans="5:7" x14ac:dyDescent="0.35">
      <c r="E3578" t="s">
        <v>3803</v>
      </c>
      <c r="F3578" t="s">
        <v>6899</v>
      </c>
      <c r="G3578" t="s">
        <v>1750</v>
      </c>
    </row>
    <row r="3579" spans="5:7" x14ac:dyDescent="0.35">
      <c r="E3579" t="s">
        <v>3803</v>
      </c>
      <c r="F3579" t="s">
        <v>6900</v>
      </c>
      <c r="G3579" t="s">
        <v>1750</v>
      </c>
    </row>
    <row r="3580" spans="5:7" x14ac:dyDescent="0.35">
      <c r="E3580" t="s">
        <v>3803</v>
      </c>
      <c r="F3580" t="s">
        <v>6901</v>
      </c>
      <c r="G3580" t="s">
        <v>1750</v>
      </c>
    </row>
    <row r="3581" spans="5:7" x14ac:dyDescent="0.35">
      <c r="E3581" t="s">
        <v>3803</v>
      </c>
      <c r="F3581" t="s">
        <v>6902</v>
      </c>
      <c r="G3581" t="s">
        <v>1750</v>
      </c>
    </row>
    <row r="3582" spans="5:7" x14ac:dyDescent="0.35">
      <c r="E3582" t="s">
        <v>3803</v>
      </c>
      <c r="F3582" t="s">
        <v>6903</v>
      </c>
      <c r="G3582" t="s">
        <v>1750</v>
      </c>
    </row>
    <row r="3583" spans="5:7" x14ac:dyDescent="0.35">
      <c r="E3583" t="s">
        <v>3803</v>
      </c>
      <c r="F3583" t="s">
        <v>6904</v>
      </c>
      <c r="G3583" t="s">
        <v>1750</v>
      </c>
    </row>
    <row r="3584" spans="5:7" x14ac:dyDescent="0.35">
      <c r="E3584" t="s">
        <v>3803</v>
      </c>
      <c r="F3584" t="s">
        <v>6905</v>
      </c>
      <c r="G3584" t="s">
        <v>1750</v>
      </c>
    </row>
    <row r="3585" spans="5:7" x14ac:dyDescent="0.35">
      <c r="E3585" t="s">
        <v>3803</v>
      </c>
      <c r="F3585" t="s">
        <v>6906</v>
      </c>
      <c r="G3585" t="s">
        <v>1750</v>
      </c>
    </row>
    <row r="3586" spans="5:7" x14ac:dyDescent="0.35">
      <c r="E3586" t="s">
        <v>3803</v>
      </c>
      <c r="F3586" t="s">
        <v>6907</v>
      </c>
      <c r="G3586" t="s">
        <v>1750</v>
      </c>
    </row>
    <row r="3587" spans="5:7" x14ac:dyDescent="0.35">
      <c r="E3587" t="s">
        <v>3803</v>
      </c>
      <c r="F3587" t="s">
        <v>6908</v>
      </c>
      <c r="G3587" t="s">
        <v>1750</v>
      </c>
    </row>
    <row r="3588" spans="5:7" x14ac:dyDescent="0.35">
      <c r="E3588" t="s">
        <v>3803</v>
      </c>
      <c r="F3588" t="s">
        <v>6909</v>
      </c>
      <c r="G3588" t="s">
        <v>1750</v>
      </c>
    </row>
    <row r="3589" spans="5:7" x14ac:dyDescent="0.35">
      <c r="E3589" t="s">
        <v>3803</v>
      </c>
      <c r="F3589" t="s">
        <v>6910</v>
      </c>
      <c r="G3589" t="s">
        <v>1750</v>
      </c>
    </row>
    <row r="3590" spans="5:7" x14ac:dyDescent="0.35">
      <c r="E3590" t="s">
        <v>3803</v>
      </c>
      <c r="F3590" t="s">
        <v>6911</v>
      </c>
      <c r="G3590" t="s">
        <v>1750</v>
      </c>
    </row>
    <row r="3591" spans="5:7" x14ac:dyDescent="0.35">
      <c r="E3591" t="s">
        <v>3803</v>
      </c>
      <c r="F3591" t="s">
        <v>6912</v>
      </c>
      <c r="G3591" t="s">
        <v>1750</v>
      </c>
    </row>
    <row r="3592" spans="5:7" x14ac:dyDescent="0.35">
      <c r="E3592" t="s">
        <v>3803</v>
      </c>
      <c r="F3592" t="s">
        <v>6913</v>
      </c>
      <c r="G3592" t="s">
        <v>1750</v>
      </c>
    </row>
    <row r="3593" spans="5:7" x14ac:dyDescent="0.35">
      <c r="E3593" t="s">
        <v>3803</v>
      </c>
      <c r="F3593" t="s">
        <v>6914</v>
      </c>
      <c r="G3593" t="s">
        <v>1750</v>
      </c>
    </row>
    <row r="3594" spans="5:7" x14ac:dyDescent="0.35">
      <c r="E3594" t="s">
        <v>3803</v>
      </c>
      <c r="F3594" t="s">
        <v>6915</v>
      </c>
      <c r="G3594" t="s">
        <v>1750</v>
      </c>
    </row>
    <row r="3595" spans="5:7" x14ac:dyDescent="0.35">
      <c r="E3595" t="s">
        <v>3803</v>
      </c>
      <c r="F3595" t="s">
        <v>6916</v>
      </c>
      <c r="G3595" t="s">
        <v>1750</v>
      </c>
    </row>
    <row r="3596" spans="5:7" x14ac:dyDescent="0.35">
      <c r="E3596" t="s">
        <v>3803</v>
      </c>
      <c r="F3596" t="s">
        <v>6917</v>
      </c>
      <c r="G3596" t="s">
        <v>1750</v>
      </c>
    </row>
    <row r="3597" spans="5:7" x14ac:dyDescent="0.35">
      <c r="E3597" t="s">
        <v>3803</v>
      </c>
      <c r="F3597" t="s">
        <v>6918</v>
      </c>
      <c r="G3597" t="s">
        <v>1750</v>
      </c>
    </row>
    <row r="3598" spans="5:7" x14ac:dyDescent="0.35">
      <c r="E3598" t="s">
        <v>3803</v>
      </c>
      <c r="F3598" t="s">
        <v>6919</v>
      </c>
      <c r="G3598" t="s">
        <v>1750</v>
      </c>
    </row>
    <row r="3599" spans="5:7" x14ac:dyDescent="0.35">
      <c r="E3599" t="s">
        <v>3803</v>
      </c>
      <c r="F3599" t="s">
        <v>6920</v>
      </c>
      <c r="G3599" t="s">
        <v>1750</v>
      </c>
    </row>
    <row r="3600" spans="5:7" x14ac:dyDescent="0.35">
      <c r="E3600" t="s">
        <v>3803</v>
      </c>
      <c r="F3600" t="s">
        <v>6921</v>
      </c>
      <c r="G3600" t="s">
        <v>1750</v>
      </c>
    </row>
    <row r="3601" spans="5:7" x14ac:dyDescent="0.35">
      <c r="E3601" t="s">
        <v>3803</v>
      </c>
      <c r="F3601" t="s">
        <v>6922</v>
      </c>
      <c r="G3601" t="s">
        <v>1750</v>
      </c>
    </row>
    <row r="3602" spans="5:7" x14ac:dyDescent="0.35">
      <c r="E3602" t="s">
        <v>3803</v>
      </c>
      <c r="F3602" t="s">
        <v>6923</v>
      </c>
      <c r="G3602" t="s">
        <v>1750</v>
      </c>
    </row>
    <row r="3603" spans="5:7" x14ac:dyDescent="0.35">
      <c r="E3603" t="s">
        <v>3803</v>
      </c>
      <c r="F3603" t="s">
        <v>6924</v>
      </c>
      <c r="G3603" t="s">
        <v>1750</v>
      </c>
    </row>
    <row r="3604" spans="5:7" x14ac:dyDescent="0.35">
      <c r="E3604" t="s">
        <v>3803</v>
      </c>
      <c r="F3604" t="s">
        <v>6925</v>
      </c>
      <c r="G3604" t="s">
        <v>1750</v>
      </c>
    </row>
    <row r="3605" spans="5:7" x14ac:dyDescent="0.35">
      <c r="E3605" t="s">
        <v>3803</v>
      </c>
      <c r="F3605" t="s">
        <v>6926</v>
      </c>
      <c r="G3605" t="s">
        <v>1750</v>
      </c>
    </row>
    <row r="3606" spans="5:7" x14ac:dyDescent="0.35">
      <c r="E3606" t="s">
        <v>3803</v>
      </c>
      <c r="F3606" t="s">
        <v>6927</v>
      </c>
      <c r="G3606" t="s">
        <v>1750</v>
      </c>
    </row>
    <row r="3607" spans="5:7" x14ac:dyDescent="0.35">
      <c r="E3607" t="s">
        <v>3803</v>
      </c>
      <c r="F3607" t="s">
        <v>6928</v>
      </c>
      <c r="G3607" t="s">
        <v>1750</v>
      </c>
    </row>
    <row r="3608" spans="5:7" x14ac:dyDescent="0.35">
      <c r="E3608" t="s">
        <v>3803</v>
      </c>
      <c r="F3608" t="s">
        <v>6929</v>
      </c>
      <c r="G3608" t="s">
        <v>1750</v>
      </c>
    </row>
    <row r="3609" spans="5:7" x14ac:dyDescent="0.35">
      <c r="E3609" t="s">
        <v>3803</v>
      </c>
      <c r="F3609" t="s">
        <v>6930</v>
      </c>
      <c r="G3609" t="s">
        <v>1750</v>
      </c>
    </row>
    <row r="3610" spans="5:7" x14ac:dyDescent="0.35">
      <c r="E3610" t="s">
        <v>3803</v>
      </c>
      <c r="F3610" t="s">
        <v>6931</v>
      </c>
      <c r="G3610" t="s">
        <v>1750</v>
      </c>
    </row>
    <row r="3611" spans="5:7" x14ac:dyDescent="0.35">
      <c r="E3611" t="s">
        <v>3803</v>
      </c>
      <c r="F3611" t="s">
        <v>6932</v>
      </c>
      <c r="G3611" t="s">
        <v>1750</v>
      </c>
    </row>
    <row r="3612" spans="5:7" x14ac:dyDescent="0.35">
      <c r="E3612" t="s">
        <v>3803</v>
      </c>
      <c r="F3612" t="s">
        <v>6933</v>
      </c>
      <c r="G3612" t="s">
        <v>1750</v>
      </c>
    </row>
    <row r="3613" spans="5:7" x14ac:dyDescent="0.35">
      <c r="E3613" t="s">
        <v>3803</v>
      </c>
      <c r="F3613" t="s">
        <v>3327</v>
      </c>
    </row>
    <row r="3614" spans="5:7" x14ac:dyDescent="0.35">
      <c r="E3614" t="s">
        <v>3803</v>
      </c>
      <c r="F3614" t="s">
        <v>6934</v>
      </c>
      <c r="G3614" t="s">
        <v>1750</v>
      </c>
    </row>
    <row r="3615" spans="5:7" x14ac:dyDescent="0.35">
      <c r="E3615" t="s">
        <v>3803</v>
      </c>
      <c r="F3615" t="s">
        <v>6935</v>
      </c>
      <c r="G3615" t="s">
        <v>1750</v>
      </c>
    </row>
    <row r="3616" spans="5:7" x14ac:dyDescent="0.35">
      <c r="E3616" t="s">
        <v>3803</v>
      </c>
      <c r="F3616" t="s">
        <v>6936</v>
      </c>
      <c r="G3616" t="s">
        <v>1750</v>
      </c>
    </row>
    <row r="3617" spans="5:7" x14ac:dyDescent="0.35">
      <c r="E3617" t="s">
        <v>3803</v>
      </c>
      <c r="F3617" t="s">
        <v>6937</v>
      </c>
      <c r="G3617" t="s">
        <v>1750</v>
      </c>
    </row>
    <row r="3618" spans="5:7" x14ac:dyDescent="0.35">
      <c r="E3618" t="s">
        <v>3803</v>
      </c>
      <c r="F3618" t="s">
        <v>6938</v>
      </c>
      <c r="G3618" t="s">
        <v>1750</v>
      </c>
    </row>
    <row r="3619" spans="5:7" x14ac:dyDescent="0.35">
      <c r="E3619" t="s">
        <v>3803</v>
      </c>
      <c r="F3619" t="s">
        <v>6939</v>
      </c>
      <c r="G3619" t="s">
        <v>1750</v>
      </c>
    </row>
    <row r="3620" spans="5:7" x14ac:dyDescent="0.35">
      <c r="E3620" t="s">
        <v>3803</v>
      </c>
      <c r="F3620" t="s">
        <v>6940</v>
      </c>
      <c r="G3620" t="s">
        <v>1750</v>
      </c>
    </row>
    <row r="3621" spans="5:7" x14ac:dyDescent="0.35">
      <c r="E3621" t="s">
        <v>3803</v>
      </c>
      <c r="F3621" t="s">
        <v>6941</v>
      </c>
      <c r="G3621" t="s">
        <v>1750</v>
      </c>
    </row>
    <row r="3622" spans="5:7" x14ac:dyDescent="0.35">
      <c r="E3622" t="s">
        <v>3803</v>
      </c>
      <c r="F3622" t="s">
        <v>6942</v>
      </c>
      <c r="G3622" t="s">
        <v>1750</v>
      </c>
    </row>
    <row r="3623" spans="5:7" x14ac:dyDescent="0.35">
      <c r="E3623" t="s">
        <v>3803</v>
      </c>
      <c r="F3623" t="s">
        <v>6943</v>
      </c>
      <c r="G3623" t="s">
        <v>1750</v>
      </c>
    </row>
    <row r="3624" spans="5:7" x14ac:dyDescent="0.35">
      <c r="E3624" t="s">
        <v>3803</v>
      </c>
      <c r="F3624" t="s">
        <v>6944</v>
      </c>
      <c r="G3624" t="s">
        <v>1750</v>
      </c>
    </row>
    <row r="3625" spans="5:7" x14ac:dyDescent="0.35">
      <c r="E3625" t="s">
        <v>3803</v>
      </c>
      <c r="F3625" t="s">
        <v>6945</v>
      </c>
      <c r="G3625" t="s">
        <v>1750</v>
      </c>
    </row>
    <row r="3626" spans="5:7" x14ac:dyDescent="0.35">
      <c r="E3626" t="s">
        <v>3803</v>
      </c>
      <c r="F3626" t="s">
        <v>6946</v>
      </c>
      <c r="G3626" t="s">
        <v>1750</v>
      </c>
    </row>
    <row r="3627" spans="5:7" x14ac:dyDescent="0.35">
      <c r="E3627" t="s">
        <v>3803</v>
      </c>
      <c r="F3627" t="s">
        <v>6947</v>
      </c>
      <c r="G3627" t="s">
        <v>1750</v>
      </c>
    </row>
    <row r="3628" spans="5:7" x14ac:dyDescent="0.35">
      <c r="E3628" t="s">
        <v>3803</v>
      </c>
      <c r="F3628" t="s">
        <v>6948</v>
      </c>
      <c r="G3628" t="s">
        <v>1750</v>
      </c>
    </row>
    <row r="3629" spans="5:7" x14ac:dyDescent="0.35">
      <c r="E3629" t="s">
        <v>3803</v>
      </c>
      <c r="F3629" t="s">
        <v>6949</v>
      </c>
      <c r="G3629" t="s">
        <v>1750</v>
      </c>
    </row>
    <row r="3630" spans="5:7" x14ac:dyDescent="0.35">
      <c r="E3630" t="s">
        <v>3803</v>
      </c>
      <c r="F3630" t="s">
        <v>6950</v>
      </c>
      <c r="G3630" t="s">
        <v>1750</v>
      </c>
    </row>
    <row r="3631" spans="5:7" x14ac:dyDescent="0.35">
      <c r="E3631" t="s">
        <v>3803</v>
      </c>
      <c r="F3631" t="s">
        <v>6951</v>
      </c>
      <c r="G3631" t="s">
        <v>1750</v>
      </c>
    </row>
    <row r="3632" spans="5:7" x14ac:dyDescent="0.35">
      <c r="E3632" t="s">
        <v>3803</v>
      </c>
      <c r="F3632" t="s">
        <v>1334</v>
      </c>
      <c r="G3632" t="s">
        <v>1750</v>
      </c>
    </row>
    <row r="3633" spans="5:7" x14ac:dyDescent="0.35">
      <c r="E3633" t="s">
        <v>3803</v>
      </c>
      <c r="F3633" t="s">
        <v>6952</v>
      </c>
      <c r="G3633" t="s">
        <v>1750</v>
      </c>
    </row>
    <row r="3634" spans="5:7" x14ac:dyDescent="0.35">
      <c r="E3634" t="s">
        <v>3803</v>
      </c>
      <c r="F3634" t="s">
        <v>6953</v>
      </c>
      <c r="G3634" t="s">
        <v>1750</v>
      </c>
    </row>
    <row r="3635" spans="5:7" x14ac:dyDescent="0.35">
      <c r="E3635" t="s">
        <v>3803</v>
      </c>
      <c r="F3635" t="s">
        <v>6954</v>
      </c>
      <c r="G3635" t="s">
        <v>1750</v>
      </c>
    </row>
    <row r="3636" spans="5:7" x14ac:dyDescent="0.35">
      <c r="E3636" t="s">
        <v>3803</v>
      </c>
      <c r="F3636" t="s">
        <v>6955</v>
      </c>
      <c r="G3636" t="s">
        <v>1750</v>
      </c>
    </row>
    <row r="3637" spans="5:7" x14ac:dyDescent="0.35">
      <c r="E3637" t="s">
        <v>3803</v>
      </c>
      <c r="F3637" t="s">
        <v>6956</v>
      </c>
      <c r="G3637" t="s">
        <v>1750</v>
      </c>
    </row>
    <row r="3638" spans="5:7" x14ac:dyDescent="0.35">
      <c r="E3638" t="s">
        <v>3803</v>
      </c>
      <c r="F3638" t="s">
        <v>6957</v>
      </c>
      <c r="G3638" t="s">
        <v>1750</v>
      </c>
    </row>
    <row r="3639" spans="5:7" x14ac:dyDescent="0.35">
      <c r="E3639" t="s">
        <v>3803</v>
      </c>
      <c r="F3639" t="s">
        <v>6958</v>
      </c>
      <c r="G3639" t="s">
        <v>1750</v>
      </c>
    </row>
    <row r="3640" spans="5:7" x14ac:dyDescent="0.35">
      <c r="E3640" t="s">
        <v>3803</v>
      </c>
      <c r="F3640" t="s">
        <v>6959</v>
      </c>
      <c r="G3640" t="s">
        <v>1750</v>
      </c>
    </row>
    <row r="3641" spans="5:7" x14ac:dyDescent="0.35">
      <c r="E3641" t="s">
        <v>3803</v>
      </c>
      <c r="F3641" t="s">
        <v>6960</v>
      </c>
      <c r="G3641" t="s">
        <v>1750</v>
      </c>
    </row>
    <row r="3642" spans="5:7" x14ac:dyDescent="0.35">
      <c r="E3642" t="s">
        <v>3803</v>
      </c>
      <c r="F3642" t="s">
        <v>6961</v>
      </c>
      <c r="G3642" t="s">
        <v>1750</v>
      </c>
    </row>
    <row r="3643" spans="5:7" x14ac:dyDescent="0.35">
      <c r="E3643" t="s">
        <v>3803</v>
      </c>
      <c r="F3643" t="s">
        <v>6962</v>
      </c>
      <c r="G3643" t="s">
        <v>1750</v>
      </c>
    </row>
    <row r="3644" spans="5:7" x14ac:dyDescent="0.35">
      <c r="E3644" t="s">
        <v>3803</v>
      </c>
      <c r="F3644" t="s">
        <v>6963</v>
      </c>
      <c r="G3644" t="s">
        <v>1750</v>
      </c>
    </row>
    <row r="3645" spans="5:7" x14ac:dyDescent="0.35">
      <c r="E3645" t="s">
        <v>3803</v>
      </c>
      <c r="F3645" t="s">
        <v>6964</v>
      </c>
      <c r="G3645" t="s">
        <v>1750</v>
      </c>
    </row>
    <row r="3646" spans="5:7" x14ac:dyDescent="0.35">
      <c r="E3646" t="s">
        <v>3803</v>
      </c>
      <c r="F3646" t="s">
        <v>3331</v>
      </c>
      <c r="G3646" t="s">
        <v>1755</v>
      </c>
    </row>
    <row r="3647" spans="5:7" x14ac:dyDescent="0.35">
      <c r="E3647" t="s">
        <v>3803</v>
      </c>
      <c r="F3647" t="s">
        <v>3334</v>
      </c>
      <c r="G3647" t="s">
        <v>1755</v>
      </c>
    </row>
    <row r="3648" spans="5:7" x14ac:dyDescent="0.35">
      <c r="E3648" t="s">
        <v>3803</v>
      </c>
      <c r="F3648" t="s">
        <v>3337</v>
      </c>
      <c r="G3648" t="s">
        <v>1755</v>
      </c>
    </row>
    <row r="3649" spans="5:7" x14ac:dyDescent="0.35">
      <c r="E3649" t="s">
        <v>3803</v>
      </c>
      <c r="F3649" t="s">
        <v>3340</v>
      </c>
      <c r="G3649" t="s">
        <v>1755</v>
      </c>
    </row>
    <row r="3650" spans="5:7" x14ac:dyDescent="0.35">
      <c r="E3650" t="s">
        <v>3803</v>
      </c>
      <c r="F3650" t="s">
        <v>1160</v>
      </c>
      <c r="G3650" t="s">
        <v>1755</v>
      </c>
    </row>
    <row r="3651" spans="5:7" x14ac:dyDescent="0.35">
      <c r="E3651" t="s">
        <v>3803</v>
      </c>
      <c r="F3651" t="s">
        <v>6965</v>
      </c>
      <c r="G3651" t="s">
        <v>1755</v>
      </c>
    </row>
    <row r="3652" spans="5:7" x14ac:dyDescent="0.35">
      <c r="E3652" t="s">
        <v>3803</v>
      </c>
      <c r="F3652" t="s">
        <v>6966</v>
      </c>
      <c r="G3652" t="s">
        <v>1755</v>
      </c>
    </row>
    <row r="3653" spans="5:7" x14ac:dyDescent="0.35">
      <c r="E3653" t="s">
        <v>3803</v>
      </c>
      <c r="F3653" t="s">
        <v>6967</v>
      </c>
      <c r="G3653" t="s">
        <v>1755</v>
      </c>
    </row>
    <row r="3654" spans="5:7" x14ac:dyDescent="0.35">
      <c r="E3654" t="s">
        <v>3803</v>
      </c>
      <c r="F3654" t="s">
        <v>3343</v>
      </c>
      <c r="G3654" t="s">
        <v>1755</v>
      </c>
    </row>
    <row r="3655" spans="5:7" x14ac:dyDescent="0.35">
      <c r="E3655" t="s">
        <v>3803</v>
      </c>
      <c r="F3655" t="s">
        <v>796</v>
      </c>
      <c r="G3655" t="s">
        <v>1760</v>
      </c>
    </row>
    <row r="3656" spans="5:7" x14ac:dyDescent="0.35">
      <c r="E3656" t="s">
        <v>3803</v>
      </c>
      <c r="F3656" t="s">
        <v>6968</v>
      </c>
      <c r="G3656" t="s">
        <v>1760</v>
      </c>
    </row>
    <row r="3657" spans="5:7" x14ac:dyDescent="0.35">
      <c r="E3657" t="s">
        <v>3803</v>
      </c>
      <c r="F3657" t="s">
        <v>6969</v>
      </c>
      <c r="G3657" t="s">
        <v>1760</v>
      </c>
    </row>
    <row r="3658" spans="5:7" x14ac:dyDescent="0.35">
      <c r="E3658" t="s">
        <v>3803</v>
      </c>
      <c r="F3658" t="s">
        <v>6970</v>
      </c>
      <c r="G3658" t="s">
        <v>1760</v>
      </c>
    </row>
    <row r="3659" spans="5:7" x14ac:dyDescent="0.35">
      <c r="E3659" t="s">
        <v>3803</v>
      </c>
      <c r="F3659" t="s">
        <v>6971</v>
      </c>
      <c r="G3659" t="s">
        <v>1760</v>
      </c>
    </row>
    <row r="3660" spans="5:7" x14ac:dyDescent="0.35">
      <c r="E3660" t="s">
        <v>3803</v>
      </c>
      <c r="F3660" t="s">
        <v>6972</v>
      </c>
      <c r="G3660" t="s">
        <v>1760</v>
      </c>
    </row>
    <row r="3661" spans="5:7" x14ac:dyDescent="0.35">
      <c r="E3661" t="s">
        <v>3803</v>
      </c>
      <c r="F3661" t="s">
        <v>6973</v>
      </c>
      <c r="G3661" t="s">
        <v>1760</v>
      </c>
    </row>
    <row r="3662" spans="5:7" x14ac:dyDescent="0.35">
      <c r="E3662" t="s">
        <v>3803</v>
      </c>
      <c r="F3662" t="s">
        <v>6974</v>
      </c>
      <c r="G3662" t="s">
        <v>1760</v>
      </c>
    </row>
    <row r="3663" spans="5:7" x14ac:dyDescent="0.35">
      <c r="E3663" t="s">
        <v>3803</v>
      </c>
      <c r="F3663" t="s">
        <v>6975</v>
      </c>
      <c r="G3663" t="s">
        <v>1760</v>
      </c>
    </row>
    <row r="3664" spans="5:7" x14ac:dyDescent="0.35">
      <c r="E3664" t="s">
        <v>3803</v>
      </c>
      <c r="F3664" t="s">
        <v>6976</v>
      </c>
      <c r="G3664" t="s">
        <v>1760</v>
      </c>
    </row>
    <row r="3665" spans="5:7" x14ac:dyDescent="0.35">
      <c r="E3665" t="s">
        <v>3803</v>
      </c>
      <c r="F3665" t="s">
        <v>6977</v>
      </c>
      <c r="G3665" t="s">
        <v>1760</v>
      </c>
    </row>
    <row r="3666" spans="5:7" x14ac:dyDescent="0.35">
      <c r="E3666" t="s">
        <v>3803</v>
      </c>
      <c r="F3666" t="s">
        <v>6978</v>
      </c>
      <c r="G3666" t="s">
        <v>1760</v>
      </c>
    </row>
    <row r="3667" spans="5:7" x14ac:dyDescent="0.35">
      <c r="E3667" t="s">
        <v>3803</v>
      </c>
      <c r="F3667" t="s">
        <v>6979</v>
      </c>
      <c r="G3667" t="s">
        <v>1760</v>
      </c>
    </row>
    <row r="3668" spans="5:7" x14ac:dyDescent="0.35">
      <c r="E3668" t="s">
        <v>3803</v>
      </c>
      <c r="F3668" t="s">
        <v>6980</v>
      </c>
      <c r="G3668" t="s">
        <v>1760</v>
      </c>
    </row>
    <row r="3669" spans="5:7" x14ac:dyDescent="0.35">
      <c r="E3669" t="s">
        <v>3803</v>
      </c>
      <c r="F3669" t="s">
        <v>6981</v>
      </c>
      <c r="G3669" t="s">
        <v>1760</v>
      </c>
    </row>
    <row r="3670" spans="5:7" x14ac:dyDescent="0.35">
      <c r="E3670" t="s">
        <v>3803</v>
      </c>
      <c r="F3670" t="s">
        <v>3346</v>
      </c>
      <c r="G3670" t="s">
        <v>1760</v>
      </c>
    </row>
    <row r="3671" spans="5:7" x14ac:dyDescent="0.35">
      <c r="E3671" t="s">
        <v>3803</v>
      </c>
      <c r="F3671" t="s">
        <v>3349</v>
      </c>
      <c r="G3671" t="s">
        <v>1760</v>
      </c>
    </row>
    <row r="3672" spans="5:7" x14ac:dyDescent="0.35">
      <c r="E3672" t="s">
        <v>3803</v>
      </c>
      <c r="F3672" t="s">
        <v>1094</v>
      </c>
      <c r="G3672" t="s">
        <v>1760</v>
      </c>
    </row>
    <row r="3673" spans="5:7" x14ac:dyDescent="0.35">
      <c r="E3673" t="s">
        <v>3803</v>
      </c>
      <c r="F3673" t="s">
        <v>6982</v>
      </c>
      <c r="G3673" t="s">
        <v>1760</v>
      </c>
    </row>
    <row r="3674" spans="5:7" x14ac:dyDescent="0.35">
      <c r="E3674" t="s">
        <v>3803</v>
      </c>
      <c r="F3674" t="s">
        <v>6983</v>
      </c>
      <c r="G3674" t="s">
        <v>1760</v>
      </c>
    </row>
    <row r="3675" spans="5:7" x14ac:dyDescent="0.35">
      <c r="E3675" t="s">
        <v>3803</v>
      </c>
      <c r="F3675" t="s">
        <v>6984</v>
      </c>
      <c r="G3675" t="s">
        <v>1760</v>
      </c>
    </row>
    <row r="3676" spans="5:7" x14ac:dyDescent="0.35">
      <c r="E3676" t="s">
        <v>3803</v>
      </c>
      <c r="F3676" t="s">
        <v>6985</v>
      </c>
      <c r="G3676" t="s">
        <v>1760</v>
      </c>
    </row>
    <row r="3677" spans="5:7" x14ac:dyDescent="0.35">
      <c r="E3677" t="s">
        <v>3803</v>
      </c>
      <c r="F3677" t="s">
        <v>6986</v>
      </c>
      <c r="G3677" t="s">
        <v>1760</v>
      </c>
    </row>
    <row r="3678" spans="5:7" x14ac:dyDescent="0.35">
      <c r="E3678" t="s">
        <v>3803</v>
      </c>
      <c r="F3678" t="s">
        <v>6987</v>
      </c>
      <c r="G3678" t="s">
        <v>1760</v>
      </c>
    </row>
    <row r="3679" spans="5:7" x14ac:dyDescent="0.35">
      <c r="E3679" t="s">
        <v>3803</v>
      </c>
      <c r="F3679" t="s">
        <v>6988</v>
      </c>
      <c r="G3679" t="s">
        <v>1760</v>
      </c>
    </row>
    <row r="3680" spans="5:7" x14ac:dyDescent="0.35">
      <c r="E3680" t="s">
        <v>3803</v>
      </c>
      <c r="F3680" t="s">
        <v>6989</v>
      </c>
      <c r="G3680" t="s">
        <v>1760</v>
      </c>
    </row>
    <row r="3681" spans="5:7" x14ac:dyDescent="0.35">
      <c r="E3681" t="s">
        <v>3803</v>
      </c>
      <c r="F3681" t="s">
        <v>6990</v>
      </c>
      <c r="G3681" t="s">
        <v>1760</v>
      </c>
    </row>
    <row r="3682" spans="5:7" x14ac:dyDescent="0.35">
      <c r="E3682" t="s">
        <v>3803</v>
      </c>
      <c r="F3682" t="s">
        <v>6991</v>
      </c>
      <c r="G3682" t="s">
        <v>1760</v>
      </c>
    </row>
    <row r="3683" spans="5:7" x14ac:dyDescent="0.35">
      <c r="E3683" t="s">
        <v>3803</v>
      </c>
      <c r="F3683" t="s">
        <v>6992</v>
      </c>
      <c r="G3683" t="s">
        <v>1760</v>
      </c>
    </row>
    <row r="3684" spans="5:7" x14ac:dyDescent="0.35">
      <c r="E3684" t="s">
        <v>3803</v>
      </c>
      <c r="F3684" t="s">
        <v>6993</v>
      </c>
      <c r="G3684" t="s">
        <v>1760</v>
      </c>
    </row>
    <row r="3685" spans="5:7" x14ac:dyDescent="0.35">
      <c r="E3685" t="s">
        <v>3803</v>
      </c>
      <c r="F3685" t="s">
        <v>6994</v>
      </c>
      <c r="G3685" t="s">
        <v>1760</v>
      </c>
    </row>
    <row r="3686" spans="5:7" x14ac:dyDescent="0.35">
      <c r="E3686" t="s">
        <v>3803</v>
      </c>
      <c r="F3686" t="s">
        <v>6995</v>
      </c>
      <c r="G3686" t="s">
        <v>1760</v>
      </c>
    </row>
    <row r="3687" spans="5:7" x14ac:dyDescent="0.35">
      <c r="E3687" t="s">
        <v>3803</v>
      </c>
      <c r="F3687" t="s">
        <v>6996</v>
      </c>
      <c r="G3687" t="s">
        <v>1760</v>
      </c>
    </row>
    <row r="3688" spans="5:7" x14ac:dyDescent="0.35">
      <c r="E3688" t="s">
        <v>3803</v>
      </c>
      <c r="F3688" t="s">
        <v>6997</v>
      </c>
      <c r="G3688" t="s">
        <v>1760</v>
      </c>
    </row>
    <row r="3689" spans="5:7" x14ac:dyDescent="0.35">
      <c r="E3689" t="s">
        <v>3803</v>
      </c>
      <c r="F3689" t="s">
        <v>6998</v>
      </c>
      <c r="G3689" t="s">
        <v>1760</v>
      </c>
    </row>
    <row r="3690" spans="5:7" x14ac:dyDescent="0.35">
      <c r="E3690" t="s">
        <v>3803</v>
      </c>
      <c r="F3690" t="s">
        <v>6999</v>
      </c>
      <c r="G3690" t="s">
        <v>1760</v>
      </c>
    </row>
    <row r="3691" spans="5:7" x14ac:dyDescent="0.35">
      <c r="E3691" t="s">
        <v>3803</v>
      </c>
      <c r="F3691" t="s">
        <v>7000</v>
      </c>
      <c r="G3691" t="s">
        <v>1760</v>
      </c>
    </row>
    <row r="3692" spans="5:7" x14ac:dyDescent="0.35">
      <c r="E3692" t="s">
        <v>3803</v>
      </c>
      <c r="F3692" t="s">
        <v>7001</v>
      </c>
      <c r="G3692" t="s">
        <v>1760</v>
      </c>
    </row>
    <row r="3693" spans="5:7" x14ac:dyDescent="0.35">
      <c r="E3693" t="s">
        <v>3803</v>
      </c>
      <c r="F3693" t="s">
        <v>1190</v>
      </c>
      <c r="G3693" t="s">
        <v>1760</v>
      </c>
    </row>
    <row r="3694" spans="5:7" x14ac:dyDescent="0.35">
      <c r="E3694" t="s">
        <v>3803</v>
      </c>
      <c r="F3694" t="s">
        <v>7002</v>
      </c>
      <c r="G3694" t="s">
        <v>1760</v>
      </c>
    </row>
    <row r="3695" spans="5:7" x14ac:dyDescent="0.35">
      <c r="E3695" t="s">
        <v>3803</v>
      </c>
      <c r="F3695" t="s">
        <v>7003</v>
      </c>
      <c r="G3695" t="s">
        <v>1760</v>
      </c>
    </row>
    <row r="3696" spans="5:7" x14ac:dyDescent="0.35">
      <c r="E3696" t="s">
        <v>3803</v>
      </c>
      <c r="F3696" t="s">
        <v>7004</v>
      </c>
      <c r="G3696" t="s">
        <v>1760</v>
      </c>
    </row>
    <row r="3697" spans="5:7" x14ac:dyDescent="0.35">
      <c r="E3697" t="s">
        <v>3803</v>
      </c>
      <c r="F3697" t="s">
        <v>7005</v>
      </c>
      <c r="G3697" t="s">
        <v>1760</v>
      </c>
    </row>
    <row r="3698" spans="5:7" x14ac:dyDescent="0.35">
      <c r="E3698" t="s">
        <v>3803</v>
      </c>
      <c r="F3698" t="s">
        <v>7006</v>
      </c>
      <c r="G3698" t="s">
        <v>1760</v>
      </c>
    </row>
    <row r="3699" spans="5:7" x14ac:dyDescent="0.35">
      <c r="E3699" t="s">
        <v>3803</v>
      </c>
      <c r="F3699" t="s">
        <v>7007</v>
      </c>
      <c r="G3699" t="s">
        <v>1760</v>
      </c>
    </row>
    <row r="3700" spans="5:7" x14ac:dyDescent="0.35">
      <c r="E3700" t="s">
        <v>3803</v>
      </c>
      <c r="F3700" t="s">
        <v>7008</v>
      </c>
      <c r="G3700" t="s">
        <v>1760</v>
      </c>
    </row>
    <row r="3701" spans="5:7" x14ac:dyDescent="0.35">
      <c r="E3701" t="s">
        <v>3803</v>
      </c>
      <c r="F3701" t="s">
        <v>7009</v>
      </c>
      <c r="G3701" t="s">
        <v>1760</v>
      </c>
    </row>
    <row r="3702" spans="5:7" x14ac:dyDescent="0.35">
      <c r="E3702" t="s">
        <v>3803</v>
      </c>
      <c r="F3702" t="s">
        <v>7010</v>
      </c>
      <c r="G3702" t="s">
        <v>1760</v>
      </c>
    </row>
    <row r="3703" spans="5:7" x14ac:dyDescent="0.35">
      <c r="E3703" t="s">
        <v>3803</v>
      </c>
      <c r="F3703" t="s">
        <v>7011</v>
      </c>
      <c r="G3703" t="s">
        <v>1760</v>
      </c>
    </row>
    <row r="3704" spans="5:7" x14ac:dyDescent="0.35">
      <c r="E3704" t="s">
        <v>3803</v>
      </c>
      <c r="F3704" t="s">
        <v>7012</v>
      </c>
      <c r="G3704" t="s">
        <v>1760</v>
      </c>
    </row>
    <row r="3705" spans="5:7" x14ac:dyDescent="0.35">
      <c r="E3705" t="s">
        <v>3803</v>
      </c>
      <c r="F3705" t="s">
        <v>7013</v>
      </c>
      <c r="G3705" t="s">
        <v>1760</v>
      </c>
    </row>
    <row r="3706" spans="5:7" x14ac:dyDescent="0.35">
      <c r="E3706" t="s">
        <v>3803</v>
      </c>
      <c r="F3706" t="s">
        <v>7014</v>
      </c>
      <c r="G3706" t="s">
        <v>1760</v>
      </c>
    </row>
    <row r="3707" spans="5:7" x14ac:dyDescent="0.35">
      <c r="E3707" t="s">
        <v>3803</v>
      </c>
      <c r="F3707" t="s">
        <v>7015</v>
      </c>
      <c r="G3707" t="s">
        <v>1760</v>
      </c>
    </row>
    <row r="3708" spans="5:7" x14ac:dyDescent="0.35">
      <c r="E3708" t="s">
        <v>3803</v>
      </c>
      <c r="F3708" t="s">
        <v>7016</v>
      </c>
      <c r="G3708" t="s">
        <v>1760</v>
      </c>
    </row>
    <row r="3709" spans="5:7" x14ac:dyDescent="0.35">
      <c r="E3709" t="s">
        <v>3803</v>
      </c>
      <c r="F3709" t="s">
        <v>7017</v>
      </c>
      <c r="G3709" t="s">
        <v>1760</v>
      </c>
    </row>
    <row r="3710" spans="5:7" x14ac:dyDescent="0.35">
      <c r="E3710" t="s">
        <v>3803</v>
      </c>
      <c r="F3710" t="s">
        <v>7018</v>
      </c>
      <c r="G3710" t="s">
        <v>1760</v>
      </c>
    </row>
    <row r="3711" spans="5:7" x14ac:dyDescent="0.35">
      <c r="E3711" t="s">
        <v>3803</v>
      </c>
      <c r="F3711" t="s">
        <v>7019</v>
      </c>
      <c r="G3711" t="s">
        <v>1760</v>
      </c>
    </row>
    <row r="3712" spans="5:7" x14ac:dyDescent="0.35">
      <c r="E3712" t="s">
        <v>3803</v>
      </c>
      <c r="F3712" t="s">
        <v>7020</v>
      </c>
      <c r="G3712" t="s">
        <v>1760</v>
      </c>
    </row>
    <row r="3713" spans="5:7" x14ac:dyDescent="0.35">
      <c r="E3713" t="s">
        <v>3803</v>
      </c>
      <c r="F3713" t="s">
        <v>7021</v>
      </c>
      <c r="G3713" t="s">
        <v>1760</v>
      </c>
    </row>
    <row r="3714" spans="5:7" x14ac:dyDescent="0.35">
      <c r="E3714" t="s">
        <v>3803</v>
      </c>
      <c r="F3714" t="s">
        <v>7022</v>
      </c>
      <c r="G3714" t="s">
        <v>1760</v>
      </c>
    </row>
    <row r="3715" spans="5:7" x14ac:dyDescent="0.35">
      <c r="E3715" t="s">
        <v>3803</v>
      </c>
      <c r="F3715" t="s">
        <v>7023</v>
      </c>
      <c r="G3715" t="s">
        <v>1760</v>
      </c>
    </row>
    <row r="3716" spans="5:7" x14ac:dyDescent="0.35">
      <c r="E3716" t="s">
        <v>3803</v>
      </c>
      <c r="F3716" t="s">
        <v>7024</v>
      </c>
      <c r="G3716" t="s">
        <v>1760</v>
      </c>
    </row>
    <row r="3717" spans="5:7" x14ac:dyDescent="0.35">
      <c r="E3717" t="s">
        <v>3803</v>
      </c>
      <c r="F3717" t="s">
        <v>7025</v>
      </c>
      <c r="G3717" t="s">
        <v>1760</v>
      </c>
    </row>
    <row r="3718" spans="5:7" x14ac:dyDescent="0.35">
      <c r="E3718" t="s">
        <v>3803</v>
      </c>
      <c r="F3718" t="s">
        <v>7026</v>
      </c>
      <c r="G3718" t="s">
        <v>1760</v>
      </c>
    </row>
    <row r="3719" spans="5:7" x14ac:dyDescent="0.35">
      <c r="E3719" t="s">
        <v>3803</v>
      </c>
      <c r="F3719" t="s">
        <v>7027</v>
      </c>
      <c r="G3719" t="s">
        <v>1760</v>
      </c>
    </row>
    <row r="3720" spans="5:7" x14ac:dyDescent="0.35">
      <c r="E3720" t="s">
        <v>3803</v>
      </c>
      <c r="F3720" t="s">
        <v>1331</v>
      </c>
      <c r="G3720" t="s">
        <v>1760</v>
      </c>
    </row>
    <row r="3721" spans="5:7" x14ac:dyDescent="0.35">
      <c r="E3721" t="s">
        <v>3803</v>
      </c>
      <c r="F3721" t="s">
        <v>7028</v>
      </c>
      <c r="G3721" t="s">
        <v>1760</v>
      </c>
    </row>
    <row r="3722" spans="5:7" x14ac:dyDescent="0.35">
      <c r="E3722" t="s">
        <v>3803</v>
      </c>
      <c r="F3722" t="s">
        <v>7029</v>
      </c>
      <c r="G3722" t="s">
        <v>1760</v>
      </c>
    </row>
    <row r="3723" spans="5:7" x14ac:dyDescent="0.35">
      <c r="E3723" t="s">
        <v>3803</v>
      </c>
      <c r="F3723" t="s">
        <v>7030</v>
      </c>
      <c r="G3723" t="s">
        <v>1760</v>
      </c>
    </row>
    <row r="3724" spans="5:7" x14ac:dyDescent="0.35">
      <c r="E3724" t="s">
        <v>3803</v>
      </c>
      <c r="F3724" t="s">
        <v>7031</v>
      </c>
      <c r="G3724" t="s">
        <v>1760</v>
      </c>
    </row>
    <row r="3725" spans="5:7" x14ac:dyDescent="0.35">
      <c r="E3725" t="s">
        <v>3803</v>
      </c>
      <c r="F3725" t="s">
        <v>7032</v>
      </c>
      <c r="G3725" t="s">
        <v>1760</v>
      </c>
    </row>
    <row r="3726" spans="5:7" x14ac:dyDescent="0.35">
      <c r="E3726" t="s">
        <v>3803</v>
      </c>
      <c r="F3726" t="s">
        <v>7033</v>
      </c>
      <c r="G3726" t="s">
        <v>1760</v>
      </c>
    </row>
    <row r="3727" spans="5:7" x14ac:dyDescent="0.35">
      <c r="E3727" t="s">
        <v>3803</v>
      </c>
      <c r="F3727" t="s">
        <v>7034</v>
      </c>
      <c r="G3727" t="s">
        <v>1760</v>
      </c>
    </row>
    <row r="3728" spans="5:7" x14ac:dyDescent="0.35">
      <c r="E3728" t="s">
        <v>3803</v>
      </c>
      <c r="F3728" t="s">
        <v>7035</v>
      </c>
      <c r="G3728" t="s">
        <v>1760</v>
      </c>
    </row>
    <row r="3729" spans="5:7" x14ac:dyDescent="0.35">
      <c r="E3729" t="s">
        <v>3803</v>
      </c>
      <c r="F3729" t="s">
        <v>7036</v>
      </c>
      <c r="G3729" t="s">
        <v>1760</v>
      </c>
    </row>
    <row r="3730" spans="5:7" x14ac:dyDescent="0.35">
      <c r="E3730" t="s">
        <v>3803</v>
      </c>
      <c r="F3730" t="s">
        <v>7037</v>
      </c>
      <c r="G3730" t="s">
        <v>1760</v>
      </c>
    </row>
    <row r="3731" spans="5:7" x14ac:dyDescent="0.35">
      <c r="E3731" t="s">
        <v>3803</v>
      </c>
      <c r="F3731" t="s">
        <v>7038</v>
      </c>
      <c r="G3731" t="s">
        <v>1760</v>
      </c>
    </row>
    <row r="3732" spans="5:7" x14ac:dyDescent="0.35">
      <c r="E3732" t="s">
        <v>3803</v>
      </c>
      <c r="F3732" t="s">
        <v>7039</v>
      </c>
      <c r="G3732" t="s">
        <v>1760</v>
      </c>
    </row>
    <row r="3733" spans="5:7" x14ac:dyDescent="0.35">
      <c r="E3733" t="s">
        <v>3803</v>
      </c>
      <c r="F3733" t="s">
        <v>7040</v>
      </c>
      <c r="G3733" t="s">
        <v>1760</v>
      </c>
    </row>
    <row r="3734" spans="5:7" x14ac:dyDescent="0.35">
      <c r="E3734" t="s">
        <v>3803</v>
      </c>
      <c r="F3734" t="s">
        <v>7041</v>
      </c>
      <c r="G3734" t="s">
        <v>1760</v>
      </c>
    </row>
    <row r="3735" spans="5:7" x14ac:dyDescent="0.35">
      <c r="E3735" t="s">
        <v>3803</v>
      </c>
      <c r="F3735" t="s">
        <v>7042</v>
      </c>
      <c r="G3735" t="s">
        <v>1760</v>
      </c>
    </row>
    <row r="3736" spans="5:7" x14ac:dyDescent="0.35">
      <c r="E3736" t="s">
        <v>3803</v>
      </c>
      <c r="F3736" t="s">
        <v>7043</v>
      </c>
      <c r="G3736" t="s">
        <v>1760</v>
      </c>
    </row>
    <row r="3737" spans="5:7" x14ac:dyDescent="0.35">
      <c r="E3737" t="s">
        <v>3803</v>
      </c>
      <c r="F3737" t="s">
        <v>7044</v>
      </c>
      <c r="G3737" t="s">
        <v>1760</v>
      </c>
    </row>
    <row r="3738" spans="5:7" x14ac:dyDescent="0.35">
      <c r="E3738" t="s">
        <v>3803</v>
      </c>
      <c r="F3738" t="s">
        <v>3352</v>
      </c>
      <c r="G3738" t="s">
        <v>1765</v>
      </c>
    </row>
    <row r="3739" spans="5:7" x14ac:dyDescent="0.35">
      <c r="E3739" t="s">
        <v>3803</v>
      </c>
      <c r="F3739" t="s">
        <v>3355</v>
      </c>
      <c r="G3739" t="s">
        <v>1765</v>
      </c>
    </row>
    <row r="3740" spans="5:7" x14ac:dyDescent="0.35">
      <c r="E3740" t="s">
        <v>3803</v>
      </c>
      <c r="F3740" t="s">
        <v>3357</v>
      </c>
      <c r="G3740" t="s">
        <v>1765</v>
      </c>
    </row>
    <row r="3741" spans="5:7" x14ac:dyDescent="0.35">
      <c r="E3741" t="s">
        <v>3803</v>
      </c>
      <c r="F3741" t="s">
        <v>3360</v>
      </c>
      <c r="G3741" t="s">
        <v>1765</v>
      </c>
    </row>
    <row r="3742" spans="5:7" x14ac:dyDescent="0.35">
      <c r="E3742" t="s">
        <v>3803</v>
      </c>
      <c r="F3742" t="s">
        <v>3363</v>
      </c>
      <c r="G3742" t="s">
        <v>1765</v>
      </c>
    </row>
    <row r="3743" spans="5:7" x14ac:dyDescent="0.35">
      <c r="E3743" t="s">
        <v>3803</v>
      </c>
      <c r="F3743" t="s">
        <v>3366</v>
      </c>
      <c r="G3743" t="s">
        <v>1765</v>
      </c>
    </row>
    <row r="3744" spans="5:7" x14ac:dyDescent="0.35">
      <c r="E3744" t="s">
        <v>3803</v>
      </c>
      <c r="F3744" t="s">
        <v>3368</v>
      </c>
      <c r="G3744" t="s">
        <v>1770</v>
      </c>
    </row>
    <row r="3745" spans="5:7" x14ac:dyDescent="0.35">
      <c r="E3745" t="s">
        <v>3803</v>
      </c>
      <c r="F3745" t="s">
        <v>3371</v>
      </c>
      <c r="G3745" t="s">
        <v>1770</v>
      </c>
    </row>
    <row r="3746" spans="5:7" x14ac:dyDescent="0.35">
      <c r="E3746" t="s">
        <v>3803</v>
      </c>
      <c r="F3746" t="s">
        <v>1066</v>
      </c>
      <c r="G3746" t="s">
        <v>1770</v>
      </c>
    </row>
    <row r="3747" spans="5:7" x14ac:dyDescent="0.35">
      <c r="E3747" t="s">
        <v>3803</v>
      </c>
      <c r="F3747" t="s">
        <v>3374</v>
      </c>
      <c r="G3747" t="s">
        <v>1770</v>
      </c>
    </row>
    <row r="3748" spans="5:7" x14ac:dyDescent="0.35">
      <c r="E3748" t="s">
        <v>3803</v>
      </c>
      <c r="F3748" t="s">
        <v>3377</v>
      </c>
      <c r="G3748" t="s">
        <v>1770</v>
      </c>
    </row>
    <row r="3749" spans="5:7" x14ac:dyDescent="0.35">
      <c r="E3749" t="s">
        <v>3803</v>
      </c>
      <c r="F3749" t="s">
        <v>787</v>
      </c>
      <c r="G3749" t="s">
        <v>1775</v>
      </c>
    </row>
    <row r="3750" spans="5:7" x14ac:dyDescent="0.35">
      <c r="E3750" t="s">
        <v>3803</v>
      </c>
      <c r="F3750" t="s">
        <v>7045</v>
      </c>
      <c r="G3750" t="s">
        <v>1775</v>
      </c>
    </row>
    <row r="3751" spans="5:7" x14ac:dyDescent="0.35">
      <c r="E3751" t="s">
        <v>3803</v>
      </c>
      <c r="F3751" t="s">
        <v>7046</v>
      </c>
      <c r="G3751" t="s">
        <v>1775</v>
      </c>
    </row>
    <row r="3752" spans="5:7" x14ac:dyDescent="0.35">
      <c r="E3752" t="s">
        <v>3803</v>
      </c>
      <c r="F3752" t="s">
        <v>3384</v>
      </c>
      <c r="G3752" t="s">
        <v>1775</v>
      </c>
    </row>
    <row r="3753" spans="5:7" x14ac:dyDescent="0.35">
      <c r="E3753" t="s">
        <v>3803</v>
      </c>
      <c r="F3753" t="s">
        <v>981</v>
      </c>
      <c r="G3753" t="s">
        <v>1775</v>
      </c>
    </row>
    <row r="3754" spans="5:7" x14ac:dyDescent="0.35">
      <c r="E3754" t="s">
        <v>3803</v>
      </c>
      <c r="F3754" t="s">
        <v>7047</v>
      </c>
      <c r="G3754" t="s">
        <v>1775</v>
      </c>
    </row>
    <row r="3755" spans="5:7" x14ac:dyDescent="0.35">
      <c r="E3755" t="s">
        <v>3803</v>
      </c>
      <c r="F3755" t="s">
        <v>3387</v>
      </c>
      <c r="G3755" t="s">
        <v>1775</v>
      </c>
    </row>
    <row r="3756" spans="5:7" x14ac:dyDescent="0.35">
      <c r="E3756" t="s">
        <v>3803</v>
      </c>
      <c r="F3756" t="s">
        <v>1063</v>
      </c>
      <c r="G3756" t="s">
        <v>1775</v>
      </c>
    </row>
    <row r="3757" spans="5:7" x14ac:dyDescent="0.35">
      <c r="E3757" t="s">
        <v>3803</v>
      </c>
      <c r="F3757" t="s">
        <v>3390</v>
      </c>
      <c r="G3757" t="s">
        <v>1775</v>
      </c>
    </row>
    <row r="3758" spans="5:7" x14ac:dyDescent="0.35">
      <c r="E3758" t="s">
        <v>3803</v>
      </c>
      <c r="F3758" t="s">
        <v>1163</v>
      </c>
      <c r="G3758" t="s">
        <v>1775</v>
      </c>
    </row>
    <row r="3759" spans="5:7" x14ac:dyDescent="0.35">
      <c r="E3759" t="s">
        <v>3803</v>
      </c>
      <c r="F3759" t="s">
        <v>3393</v>
      </c>
      <c r="G3759" t="s">
        <v>1775</v>
      </c>
    </row>
    <row r="3760" spans="5:7" x14ac:dyDescent="0.35">
      <c r="E3760" t="s">
        <v>3803</v>
      </c>
      <c r="F3760" t="s">
        <v>3396</v>
      </c>
      <c r="G3760" t="s">
        <v>1780</v>
      </c>
    </row>
    <row r="3761" spans="5:7" x14ac:dyDescent="0.35">
      <c r="E3761" t="s">
        <v>3803</v>
      </c>
      <c r="F3761" t="s">
        <v>3399</v>
      </c>
      <c r="G3761" t="s">
        <v>1780</v>
      </c>
    </row>
    <row r="3762" spans="5:7" x14ac:dyDescent="0.35">
      <c r="E3762" t="s">
        <v>3803</v>
      </c>
      <c r="F3762" t="s">
        <v>3402</v>
      </c>
      <c r="G3762" t="s">
        <v>1780</v>
      </c>
    </row>
    <row r="3763" spans="5:7" x14ac:dyDescent="0.35">
      <c r="E3763" t="s">
        <v>3803</v>
      </c>
      <c r="F3763" t="s">
        <v>1091</v>
      </c>
      <c r="G3763" t="s">
        <v>1780</v>
      </c>
    </row>
    <row r="3764" spans="5:7" x14ac:dyDescent="0.35">
      <c r="E3764" t="s">
        <v>3803</v>
      </c>
      <c r="F3764" t="s">
        <v>7048</v>
      </c>
      <c r="G3764" t="s">
        <v>1780</v>
      </c>
    </row>
    <row r="3765" spans="5:7" x14ac:dyDescent="0.35">
      <c r="E3765" t="s">
        <v>3803</v>
      </c>
      <c r="F3765" t="s">
        <v>7049</v>
      </c>
      <c r="G3765" t="s">
        <v>1780</v>
      </c>
    </row>
    <row r="3766" spans="5:7" x14ac:dyDescent="0.35">
      <c r="E3766" t="s">
        <v>3803</v>
      </c>
      <c r="F3766" t="s">
        <v>7050</v>
      </c>
      <c r="G3766" t="s">
        <v>1780</v>
      </c>
    </row>
    <row r="3767" spans="5:7" x14ac:dyDescent="0.35">
      <c r="E3767" t="s">
        <v>3803</v>
      </c>
      <c r="F3767" t="s">
        <v>7051</v>
      </c>
      <c r="G3767" t="s">
        <v>1780</v>
      </c>
    </row>
    <row r="3768" spans="5:7" x14ac:dyDescent="0.35">
      <c r="E3768" t="s">
        <v>3803</v>
      </c>
      <c r="F3768" t="s">
        <v>7052</v>
      </c>
      <c r="G3768" t="s">
        <v>1780</v>
      </c>
    </row>
    <row r="3769" spans="5:7" x14ac:dyDescent="0.35">
      <c r="E3769" t="s">
        <v>3803</v>
      </c>
      <c r="F3769" t="s">
        <v>7053</v>
      </c>
      <c r="G3769" t="s">
        <v>1780</v>
      </c>
    </row>
    <row r="3770" spans="5:7" x14ac:dyDescent="0.35">
      <c r="E3770" t="s">
        <v>3803</v>
      </c>
      <c r="F3770" t="s">
        <v>7054</v>
      </c>
      <c r="G3770" t="s">
        <v>1780</v>
      </c>
    </row>
    <row r="3771" spans="5:7" x14ac:dyDescent="0.35">
      <c r="E3771" t="s">
        <v>3803</v>
      </c>
      <c r="F3771" t="s">
        <v>7055</v>
      </c>
      <c r="G3771" t="s">
        <v>1780</v>
      </c>
    </row>
    <row r="3772" spans="5:7" x14ac:dyDescent="0.35">
      <c r="E3772" t="s">
        <v>3803</v>
      </c>
      <c r="F3772" t="s">
        <v>7056</v>
      </c>
      <c r="G3772" t="s">
        <v>1780</v>
      </c>
    </row>
    <row r="3773" spans="5:7" x14ac:dyDescent="0.35">
      <c r="E3773" t="s">
        <v>3803</v>
      </c>
      <c r="F3773" t="s">
        <v>7057</v>
      </c>
      <c r="G3773" t="s">
        <v>1780</v>
      </c>
    </row>
    <row r="3774" spans="5:7" x14ac:dyDescent="0.35">
      <c r="E3774" t="s">
        <v>3803</v>
      </c>
      <c r="F3774" t="s">
        <v>3405</v>
      </c>
      <c r="G3774" t="s">
        <v>1785</v>
      </c>
    </row>
    <row r="3775" spans="5:7" x14ac:dyDescent="0.35">
      <c r="E3775" t="s">
        <v>3803</v>
      </c>
      <c r="F3775" t="s">
        <v>984</v>
      </c>
      <c r="G3775" t="s">
        <v>1785</v>
      </c>
    </row>
    <row r="3776" spans="5:7" x14ac:dyDescent="0.35">
      <c r="E3776" t="s">
        <v>3803</v>
      </c>
      <c r="F3776" t="s">
        <v>7058</v>
      </c>
      <c r="G3776" t="s">
        <v>1785</v>
      </c>
    </row>
    <row r="3777" spans="5:7" x14ac:dyDescent="0.35">
      <c r="E3777" t="s">
        <v>3803</v>
      </c>
      <c r="F3777" t="s">
        <v>7059</v>
      </c>
      <c r="G3777" t="s">
        <v>1785</v>
      </c>
    </row>
    <row r="3778" spans="5:7" x14ac:dyDescent="0.35">
      <c r="E3778" t="s">
        <v>3803</v>
      </c>
      <c r="F3778" t="s">
        <v>7060</v>
      </c>
      <c r="G3778" t="s">
        <v>1785</v>
      </c>
    </row>
    <row r="3779" spans="5:7" x14ac:dyDescent="0.35">
      <c r="E3779" t="s">
        <v>3803</v>
      </c>
      <c r="F3779" t="s">
        <v>7061</v>
      </c>
      <c r="G3779" t="s">
        <v>1785</v>
      </c>
    </row>
    <row r="3780" spans="5:7" x14ac:dyDescent="0.35">
      <c r="E3780" t="s">
        <v>3803</v>
      </c>
      <c r="F3780" t="s">
        <v>7062</v>
      </c>
      <c r="G3780" t="s">
        <v>1785</v>
      </c>
    </row>
    <row r="3781" spans="5:7" x14ac:dyDescent="0.35">
      <c r="E3781" t="s">
        <v>3803</v>
      </c>
      <c r="F3781" t="s">
        <v>3407</v>
      </c>
      <c r="G3781" t="s">
        <v>1785</v>
      </c>
    </row>
    <row r="3782" spans="5:7" x14ac:dyDescent="0.35">
      <c r="E3782" t="s">
        <v>3803</v>
      </c>
      <c r="F3782" t="s">
        <v>1015</v>
      </c>
      <c r="G3782" t="s">
        <v>1785</v>
      </c>
    </row>
    <row r="3783" spans="5:7" x14ac:dyDescent="0.35">
      <c r="E3783" t="s">
        <v>3803</v>
      </c>
      <c r="F3783" t="s">
        <v>7063</v>
      </c>
      <c r="G3783" t="s">
        <v>1785</v>
      </c>
    </row>
    <row r="3784" spans="5:7" x14ac:dyDescent="0.35">
      <c r="E3784" t="s">
        <v>3803</v>
      </c>
      <c r="F3784" t="s">
        <v>7064</v>
      </c>
      <c r="G3784" t="s">
        <v>1785</v>
      </c>
    </row>
    <row r="3785" spans="5:7" x14ac:dyDescent="0.35">
      <c r="E3785" t="s">
        <v>3803</v>
      </c>
      <c r="F3785" t="s">
        <v>7065</v>
      </c>
      <c r="G3785" t="s">
        <v>1785</v>
      </c>
    </row>
    <row r="3786" spans="5:7" x14ac:dyDescent="0.35">
      <c r="E3786" t="s">
        <v>3803</v>
      </c>
      <c r="F3786" t="s">
        <v>7066</v>
      </c>
      <c r="G3786" t="s">
        <v>1785</v>
      </c>
    </row>
    <row r="3787" spans="5:7" x14ac:dyDescent="0.35">
      <c r="E3787" t="s">
        <v>3803</v>
      </c>
      <c r="F3787" t="s">
        <v>7067</v>
      </c>
      <c r="G3787" t="s">
        <v>1785</v>
      </c>
    </row>
    <row r="3788" spans="5:7" x14ac:dyDescent="0.35">
      <c r="E3788" t="s">
        <v>3803</v>
      </c>
      <c r="F3788" t="s">
        <v>7068</v>
      </c>
      <c r="G3788" t="s">
        <v>1785</v>
      </c>
    </row>
    <row r="3789" spans="5:7" x14ac:dyDescent="0.35">
      <c r="E3789" t="s">
        <v>3803</v>
      </c>
      <c r="F3789" t="s">
        <v>3410</v>
      </c>
      <c r="G3789" t="s">
        <v>1785</v>
      </c>
    </row>
    <row r="3790" spans="5:7" x14ac:dyDescent="0.35">
      <c r="E3790" t="s">
        <v>3803</v>
      </c>
      <c r="F3790" t="s">
        <v>1100</v>
      </c>
      <c r="G3790" t="s">
        <v>1785</v>
      </c>
    </row>
    <row r="3791" spans="5:7" x14ac:dyDescent="0.35">
      <c r="E3791" t="s">
        <v>3803</v>
      </c>
      <c r="F3791" t="s">
        <v>7069</v>
      </c>
      <c r="G3791" t="s">
        <v>1785</v>
      </c>
    </row>
    <row r="3792" spans="5:7" x14ac:dyDescent="0.35">
      <c r="E3792" t="s">
        <v>3803</v>
      </c>
      <c r="F3792" t="s">
        <v>7070</v>
      </c>
      <c r="G3792" t="s">
        <v>1785</v>
      </c>
    </row>
    <row r="3793" spans="5:7" x14ac:dyDescent="0.35">
      <c r="E3793" t="s">
        <v>3803</v>
      </c>
      <c r="F3793" t="s">
        <v>7071</v>
      </c>
      <c r="G3793" t="s">
        <v>1785</v>
      </c>
    </row>
    <row r="3794" spans="5:7" x14ac:dyDescent="0.35">
      <c r="E3794" t="s">
        <v>3803</v>
      </c>
      <c r="F3794" t="s">
        <v>7072</v>
      </c>
      <c r="G3794" t="s">
        <v>1785</v>
      </c>
    </row>
    <row r="3795" spans="5:7" x14ac:dyDescent="0.35">
      <c r="E3795" t="s">
        <v>3803</v>
      </c>
      <c r="F3795" t="s">
        <v>3413</v>
      </c>
      <c r="G3795" t="s">
        <v>1785</v>
      </c>
    </row>
    <row r="3796" spans="5:7" x14ac:dyDescent="0.35">
      <c r="E3796" t="s">
        <v>3803</v>
      </c>
      <c r="F3796" t="s">
        <v>3416</v>
      </c>
      <c r="G3796" t="s">
        <v>1790</v>
      </c>
    </row>
    <row r="3797" spans="5:7" x14ac:dyDescent="0.35">
      <c r="E3797" t="s">
        <v>3803</v>
      </c>
      <c r="F3797" t="s">
        <v>3419</v>
      </c>
      <c r="G3797" t="s">
        <v>1790</v>
      </c>
    </row>
    <row r="3798" spans="5:7" x14ac:dyDescent="0.35">
      <c r="E3798" t="s">
        <v>3803</v>
      </c>
      <c r="F3798" t="s">
        <v>3422</v>
      </c>
      <c r="G3798" t="s">
        <v>1790</v>
      </c>
    </row>
    <row r="3799" spans="5:7" x14ac:dyDescent="0.35">
      <c r="E3799" t="s">
        <v>3803</v>
      </c>
      <c r="F3799" t="s">
        <v>3425</v>
      </c>
      <c r="G3799" t="s">
        <v>1790</v>
      </c>
    </row>
    <row r="3800" spans="5:7" x14ac:dyDescent="0.35">
      <c r="E3800" t="s">
        <v>3803</v>
      </c>
      <c r="F3800" t="s">
        <v>3428</v>
      </c>
      <c r="G3800" t="s">
        <v>1795</v>
      </c>
    </row>
    <row r="3801" spans="5:7" x14ac:dyDescent="0.35">
      <c r="E3801" t="s">
        <v>3803</v>
      </c>
      <c r="F3801" t="s">
        <v>3431</v>
      </c>
      <c r="G3801" t="s">
        <v>1795</v>
      </c>
    </row>
    <row r="3802" spans="5:7" x14ac:dyDescent="0.35">
      <c r="E3802" t="s">
        <v>3803</v>
      </c>
      <c r="F3802" t="s">
        <v>3434</v>
      </c>
      <c r="G3802" t="s">
        <v>1795</v>
      </c>
    </row>
    <row r="3803" spans="5:7" x14ac:dyDescent="0.35">
      <c r="E3803" t="s">
        <v>3803</v>
      </c>
      <c r="F3803" t="s">
        <v>3436</v>
      </c>
      <c r="G3803" t="s">
        <v>1795</v>
      </c>
    </row>
    <row r="3804" spans="5:7" x14ac:dyDescent="0.35">
      <c r="E3804" t="s">
        <v>3803</v>
      </c>
      <c r="F3804" t="s">
        <v>3438</v>
      </c>
      <c r="G3804" t="s">
        <v>1795</v>
      </c>
    </row>
    <row r="3805" spans="5:7" x14ac:dyDescent="0.35">
      <c r="E3805" t="s">
        <v>3803</v>
      </c>
      <c r="F3805" t="s">
        <v>913</v>
      </c>
      <c r="G3805" t="s">
        <v>1800</v>
      </c>
    </row>
    <row r="3806" spans="5:7" x14ac:dyDescent="0.35">
      <c r="E3806" t="s">
        <v>3803</v>
      </c>
      <c r="F3806" t="s">
        <v>7073</v>
      </c>
      <c r="G3806" t="s">
        <v>1800</v>
      </c>
    </row>
    <row r="3807" spans="5:7" x14ac:dyDescent="0.35">
      <c r="E3807" t="s">
        <v>3803</v>
      </c>
      <c r="F3807" t="s">
        <v>7074</v>
      </c>
      <c r="G3807" t="s">
        <v>1800</v>
      </c>
    </row>
    <row r="3808" spans="5:7" x14ac:dyDescent="0.35">
      <c r="E3808" t="s">
        <v>3803</v>
      </c>
      <c r="F3808" t="s">
        <v>7075</v>
      </c>
      <c r="G3808" t="s">
        <v>1800</v>
      </c>
    </row>
    <row r="3809" spans="5:7" x14ac:dyDescent="0.35">
      <c r="E3809" t="s">
        <v>3803</v>
      </c>
      <c r="F3809" t="s">
        <v>7076</v>
      </c>
      <c r="G3809" t="s">
        <v>1800</v>
      </c>
    </row>
    <row r="3810" spans="5:7" x14ac:dyDescent="0.35">
      <c r="E3810" t="s">
        <v>3803</v>
      </c>
      <c r="F3810" t="s">
        <v>7077</v>
      </c>
      <c r="G3810" t="s">
        <v>1800</v>
      </c>
    </row>
    <row r="3811" spans="5:7" x14ac:dyDescent="0.35">
      <c r="E3811" t="s">
        <v>3803</v>
      </c>
      <c r="F3811" t="s">
        <v>7078</v>
      </c>
      <c r="G3811" t="s">
        <v>1800</v>
      </c>
    </row>
    <row r="3812" spans="5:7" x14ac:dyDescent="0.35">
      <c r="E3812" t="s">
        <v>3803</v>
      </c>
      <c r="F3812" t="s">
        <v>3441</v>
      </c>
      <c r="G3812" t="s">
        <v>1800</v>
      </c>
    </row>
    <row r="3813" spans="5:7" x14ac:dyDescent="0.35">
      <c r="E3813" t="s">
        <v>3803</v>
      </c>
      <c r="F3813" t="s">
        <v>987</v>
      </c>
      <c r="G3813" t="s">
        <v>1800</v>
      </c>
    </row>
    <row r="3814" spans="5:7" x14ac:dyDescent="0.35">
      <c r="E3814" t="s">
        <v>3803</v>
      </c>
      <c r="F3814" t="s">
        <v>7079</v>
      </c>
      <c r="G3814" t="s">
        <v>1800</v>
      </c>
    </row>
    <row r="3815" spans="5:7" x14ac:dyDescent="0.35">
      <c r="E3815" t="s">
        <v>3803</v>
      </c>
      <c r="F3815" t="s">
        <v>7080</v>
      </c>
      <c r="G3815" t="s">
        <v>1800</v>
      </c>
    </row>
    <row r="3816" spans="5:7" x14ac:dyDescent="0.35">
      <c r="E3816" t="s">
        <v>3803</v>
      </c>
      <c r="F3816" t="s">
        <v>7081</v>
      </c>
      <c r="G3816" t="s">
        <v>1800</v>
      </c>
    </row>
    <row r="3817" spans="5:7" x14ac:dyDescent="0.35">
      <c r="E3817" t="s">
        <v>3803</v>
      </c>
      <c r="F3817" t="s">
        <v>7082</v>
      </c>
      <c r="G3817" t="s">
        <v>1800</v>
      </c>
    </row>
    <row r="3818" spans="5:7" x14ac:dyDescent="0.35">
      <c r="E3818" t="s">
        <v>3803</v>
      </c>
      <c r="F3818" t="s">
        <v>7083</v>
      </c>
      <c r="G3818" t="s">
        <v>1800</v>
      </c>
    </row>
    <row r="3819" spans="5:7" x14ac:dyDescent="0.35">
      <c r="E3819" t="s">
        <v>3803</v>
      </c>
      <c r="F3819" t="s">
        <v>7084</v>
      </c>
      <c r="G3819" t="s">
        <v>1800</v>
      </c>
    </row>
    <row r="3820" spans="5:7" x14ac:dyDescent="0.35">
      <c r="E3820" t="s">
        <v>3803</v>
      </c>
      <c r="F3820" t="s">
        <v>7085</v>
      </c>
      <c r="G3820" t="s">
        <v>1800</v>
      </c>
    </row>
    <row r="3821" spans="5:7" x14ac:dyDescent="0.35">
      <c r="E3821" t="s">
        <v>3803</v>
      </c>
      <c r="F3821" t="s">
        <v>7086</v>
      </c>
      <c r="G3821" t="s">
        <v>1800</v>
      </c>
    </row>
    <row r="3822" spans="5:7" x14ac:dyDescent="0.35">
      <c r="E3822" t="s">
        <v>3803</v>
      </c>
      <c r="F3822" t="s">
        <v>7087</v>
      </c>
      <c r="G3822" t="s">
        <v>1800</v>
      </c>
    </row>
    <row r="3823" spans="5:7" x14ac:dyDescent="0.35">
      <c r="E3823" t="s">
        <v>3803</v>
      </c>
      <c r="F3823" t="s">
        <v>7088</v>
      </c>
      <c r="G3823" t="s">
        <v>1800</v>
      </c>
    </row>
    <row r="3824" spans="5:7" x14ac:dyDescent="0.35">
      <c r="E3824" t="s">
        <v>3803</v>
      </c>
      <c r="F3824" t="s">
        <v>7089</v>
      </c>
      <c r="G3824" t="s">
        <v>1800</v>
      </c>
    </row>
    <row r="3825" spans="5:7" x14ac:dyDescent="0.35">
      <c r="E3825" t="s">
        <v>3803</v>
      </c>
      <c r="F3825" t="s">
        <v>7090</v>
      </c>
      <c r="G3825" t="s">
        <v>1800</v>
      </c>
    </row>
    <row r="3826" spans="5:7" x14ac:dyDescent="0.35">
      <c r="E3826" t="s">
        <v>3803</v>
      </c>
      <c r="F3826" t="s">
        <v>3444</v>
      </c>
      <c r="G3826" t="s">
        <v>1800</v>
      </c>
    </row>
    <row r="3827" spans="5:7" x14ac:dyDescent="0.35">
      <c r="E3827" t="s">
        <v>3803</v>
      </c>
      <c r="F3827" t="s">
        <v>7091</v>
      </c>
      <c r="G3827" t="s">
        <v>1800</v>
      </c>
    </row>
    <row r="3828" spans="5:7" x14ac:dyDescent="0.35">
      <c r="E3828" t="s">
        <v>3803</v>
      </c>
      <c r="F3828" t="s">
        <v>7092</v>
      </c>
      <c r="G3828" t="s">
        <v>1800</v>
      </c>
    </row>
    <row r="3829" spans="5:7" x14ac:dyDescent="0.35">
      <c r="E3829" t="s">
        <v>3803</v>
      </c>
      <c r="F3829" t="s">
        <v>7093</v>
      </c>
      <c r="G3829" t="s">
        <v>1800</v>
      </c>
    </row>
    <row r="3830" spans="5:7" x14ac:dyDescent="0.35">
      <c r="E3830" t="s">
        <v>3803</v>
      </c>
      <c r="F3830" t="s">
        <v>7094</v>
      </c>
      <c r="G3830" t="s">
        <v>1800</v>
      </c>
    </row>
    <row r="3831" spans="5:7" x14ac:dyDescent="0.35">
      <c r="E3831" t="s">
        <v>3803</v>
      </c>
      <c r="F3831" t="s">
        <v>7095</v>
      </c>
      <c r="G3831" t="s">
        <v>1800</v>
      </c>
    </row>
    <row r="3832" spans="5:7" x14ac:dyDescent="0.35">
      <c r="E3832" t="s">
        <v>3803</v>
      </c>
      <c r="F3832" t="s">
        <v>7096</v>
      </c>
      <c r="G3832" t="s">
        <v>1800</v>
      </c>
    </row>
    <row r="3833" spans="5:7" x14ac:dyDescent="0.35">
      <c r="E3833" t="s">
        <v>3803</v>
      </c>
      <c r="F3833" t="s">
        <v>7097</v>
      </c>
      <c r="G3833" t="s">
        <v>1800</v>
      </c>
    </row>
    <row r="3834" spans="5:7" x14ac:dyDescent="0.35">
      <c r="E3834" t="s">
        <v>3803</v>
      </c>
      <c r="F3834" t="s">
        <v>7098</v>
      </c>
      <c r="G3834" t="s">
        <v>1800</v>
      </c>
    </row>
    <row r="3835" spans="5:7" x14ac:dyDescent="0.35">
      <c r="E3835" t="s">
        <v>3803</v>
      </c>
      <c r="F3835" t="s">
        <v>7099</v>
      </c>
      <c r="G3835" t="s">
        <v>1800</v>
      </c>
    </row>
    <row r="3836" spans="5:7" x14ac:dyDescent="0.35">
      <c r="E3836" t="s">
        <v>3803</v>
      </c>
      <c r="F3836" t="s">
        <v>1109</v>
      </c>
      <c r="G3836" t="s">
        <v>1800</v>
      </c>
    </row>
    <row r="3837" spans="5:7" x14ac:dyDescent="0.35">
      <c r="E3837" t="s">
        <v>3803</v>
      </c>
      <c r="F3837" t="s">
        <v>7100</v>
      </c>
      <c r="G3837" t="s">
        <v>1800</v>
      </c>
    </row>
    <row r="3838" spans="5:7" x14ac:dyDescent="0.35">
      <c r="E3838" t="s">
        <v>3803</v>
      </c>
      <c r="F3838" t="s">
        <v>7101</v>
      </c>
      <c r="G3838" t="s">
        <v>1800</v>
      </c>
    </row>
    <row r="3839" spans="5:7" x14ac:dyDescent="0.35">
      <c r="E3839" t="s">
        <v>3803</v>
      </c>
      <c r="F3839" t="s">
        <v>7102</v>
      </c>
      <c r="G3839" t="s">
        <v>1800</v>
      </c>
    </row>
    <row r="3840" spans="5:7" x14ac:dyDescent="0.35">
      <c r="E3840" t="s">
        <v>3803</v>
      </c>
      <c r="F3840" t="s">
        <v>7103</v>
      </c>
      <c r="G3840" t="s">
        <v>1800</v>
      </c>
    </row>
    <row r="3841" spans="5:7" x14ac:dyDescent="0.35">
      <c r="E3841" t="s">
        <v>3803</v>
      </c>
      <c r="F3841" t="s">
        <v>7104</v>
      </c>
      <c r="G3841" t="s">
        <v>1800</v>
      </c>
    </row>
    <row r="3842" spans="5:7" x14ac:dyDescent="0.35">
      <c r="E3842" t="s">
        <v>3803</v>
      </c>
      <c r="F3842" t="s">
        <v>7105</v>
      </c>
      <c r="G3842" t="s">
        <v>1800</v>
      </c>
    </row>
    <row r="3843" spans="5:7" x14ac:dyDescent="0.35">
      <c r="E3843" t="s">
        <v>3803</v>
      </c>
      <c r="F3843" t="s">
        <v>7106</v>
      </c>
      <c r="G3843" t="s">
        <v>1800</v>
      </c>
    </row>
    <row r="3844" spans="5:7" x14ac:dyDescent="0.35">
      <c r="E3844" t="s">
        <v>3803</v>
      </c>
      <c r="F3844" t="s">
        <v>7107</v>
      </c>
      <c r="G3844" t="s">
        <v>1800</v>
      </c>
    </row>
    <row r="3845" spans="5:7" x14ac:dyDescent="0.35">
      <c r="E3845" t="s">
        <v>3803</v>
      </c>
      <c r="F3845" t="s">
        <v>7108</v>
      </c>
      <c r="G3845" t="s">
        <v>1800</v>
      </c>
    </row>
    <row r="3846" spans="5:7" x14ac:dyDescent="0.35">
      <c r="E3846" t="s">
        <v>3803</v>
      </c>
      <c r="F3846" t="s">
        <v>7109</v>
      </c>
      <c r="G3846" t="s">
        <v>1800</v>
      </c>
    </row>
    <row r="3847" spans="5:7" x14ac:dyDescent="0.35">
      <c r="E3847" t="s">
        <v>3803</v>
      </c>
      <c r="F3847" t="s">
        <v>7110</v>
      </c>
      <c r="G3847" t="s">
        <v>1800</v>
      </c>
    </row>
    <row r="3848" spans="5:7" x14ac:dyDescent="0.35">
      <c r="E3848" t="s">
        <v>3803</v>
      </c>
      <c r="F3848" t="s">
        <v>7111</v>
      </c>
      <c r="G3848" t="s">
        <v>1800</v>
      </c>
    </row>
    <row r="3849" spans="5:7" x14ac:dyDescent="0.35">
      <c r="E3849" t="s">
        <v>3803</v>
      </c>
      <c r="F3849" t="s">
        <v>7112</v>
      </c>
      <c r="G3849" t="s">
        <v>1800</v>
      </c>
    </row>
    <row r="3850" spans="5:7" x14ac:dyDescent="0.35">
      <c r="E3850" t="s">
        <v>3803</v>
      </c>
      <c r="F3850" t="s">
        <v>7113</v>
      </c>
      <c r="G3850" t="s">
        <v>1800</v>
      </c>
    </row>
    <row r="3851" spans="5:7" x14ac:dyDescent="0.35">
      <c r="E3851" t="s">
        <v>3803</v>
      </c>
      <c r="F3851" t="s">
        <v>7114</v>
      </c>
      <c r="G3851" t="s">
        <v>1800</v>
      </c>
    </row>
    <row r="3852" spans="5:7" x14ac:dyDescent="0.35">
      <c r="E3852" t="s">
        <v>3803</v>
      </c>
      <c r="F3852" t="s">
        <v>7115</v>
      </c>
      <c r="G3852" t="s">
        <v>1800</v>
      </c>
    </row>
    <row r="3853" spans="5:7" x14ac:dyDescent="0.35">
      <c r="E3853" t="s">
        <v>3803</v>
      </c>
      <c r="F3853" t="s">
        <v>7116</v>
      </c>
      <c r="G3853" t="s">
        <v>1800</v>
      </c>
    </row>
    <row r="3854" spans="5:7" x14ac:dyDescent="0.35">
      <c r="E3854" t="s">
        <v>3803</v>
      </c>
      <c r="F3854" t="s">
        <v>7117</v>
      </c>
      <c r="G3854" t="s">
        <v>1800</v>
      </c>
    </row>
    <row r="3855" spans="5:7" x14ac:dyDescent="0.35">
      <c r="E3855" t="s">
        <v>3803</v>
      </c>
      <c r="F3855" t="s">
        <v>7118</v>
      </c>
      <c r="G3855" t="s">
        <v>1800</v>
      </c>
    </row>
    <row r="3856" spans="5:7" x14ac:dyDescent="0.35">
      <c r="E3856" t="s">
        <v>3803</v>
      </c>
      <c r="F3856" t="s">
        <v>7119</v>
      </c>
      <c r="G3856" t="s">
        <v>1800</v>
      </c>
    </row>
    <row r="3857" spans="5:7" x14ac:dyDescent="0.35">
      <c r="E3857" t="s">
        <v>3803</v>
      </c>
      <c r="F3857" t="s">
        <v>7120</v>
      </c>
      <c r="G3857" t="s">
        <v>1800</v>
      </c>
    </row>
    <row r="3858" spans="5:7" x14ac:dyDescent="0.35">
      <c r="E3858" t="s">
        <v>3803</v>
      </c>
      <c r="F3858" t="s">
        <v>7121</v>
      </c>
      <c r="G3858" t="s">
        <v>1800</v>
      </c>
    </row>
    <row r="3859" spans="5:7" x14ac:dyDescent="0.35">
      <c r="E3859" t="s">
        <v>3803</v>
      </c>
      <c r="F3859" t="s">
        <v>7122</v>
      </c>
      <c r="G3859" t="s">
        <v>1800</v>
      </c>
    </row>
    <row r="3860" spans="5:7" x14ac:dyDescent="0.35">
      <c r="E3860" t="s">
        <v>3803</v>
      </c>
      <c r="F3860" t="s">
        <v>7123</v>
      </c>
      <c r="G3860" t="s">
        <v>1800</v>
      </c>
    </row>
    <row r="3861" spans="5:7" x14ac:dyDescent="0.35">
      <c r="E3861" t="s">
        <v>3803</v>
      </c>
      <c r="F3861" t="s">
        <v>3447</v>
      </c>
      <c r="G3861" t="s">
        <v>1800</v>
      </c>
    </row>
    <row r="3862" spans="5:7" x14ac:dyDescent="0.35">
      <c r="E3862" t="s">
        <v>3803</v>
      </c>
      <c r="F3862" t="s">
        <v>1276</v>
      </c>
      <c r="G3862" t="s">
        <v>1800</v>
      </c>
    </row>
    <row r="3863" spans="5:7" x14ac:dyDescent="0.35">
      <c r="E3863" t="s">
        <v>3803</v>
      </c>
      <c r="F3863" t="s">
        <v>7124</v>
      </c>
      <c r="G3863" t="s">
        <v>1800</v>
      </c>
    </row>
    <row r="3864" spans="5:7" x14ac:dyDescent="0.35">
      <c r="E3864" t="s">
        <v>3803</v>
      </c>
      <c r="F3864" t="s">
        <v>7125</v>
      </c>
      <c r="G3864" t="s">
        <v>1800</v>
      </c>
    </row>
    <row r="3865" spans="5:7" x14ac:dyDescent="0.35">
      <c r="E3865" t="s">
        <v>3803</v>
      </c>
      <c r="F3865" t="s">
        <v>7126</v>
      </c>
      <c r="G3865" t="s">
        <v>1800</v>
      </c>
    </row>
    <row r="3866" spans="5:7" x14ac:dyDescent="0.35">
      <c r="E3866" t="s">
        <v>3803</v>
      </c>
      <c r="F3866" t="s">
        <v>7127</v>
      </c>
      <c r="G3866" t="s">
        <v>1800</v>
      </c>
    </row>
    <row r="3867" spans="5:7" x14ac:dyDescent="0.35">
      <c r="E3867" t="s">
        <v>3803</v>
      </c>
      <c r="F3867" t="s">
        <v>7128</v>
      </c>
      <c r="G3867" t="s">
        <v>1800</v>
      </c>
    </row>
    <row r="3868" spans="5:7" x14ac:dyDescent="0.35">
      <c r="E3868" t="s">
        <v>3803</v>
      </c>
      <c r="F3868" t="s">
        <v>7129</v>
      </c>
      <c r="G3868" t="s">
        <v>1800</v>
      </c>
    </row>
    <row r="3869" spans="5:7" x14ac:dyDescent="0.35">
      <c r="E3869" t="s">
        <v>3803</v>
      </c>
      <c r="F3869" t="s">
        <v>7130</v>
      </c>
      <c r="G3869" t="s">
        <v>1800</v>
      </c>
    </row>
    <row r="3870" spans="5:7" x14ac:dyDescent="0.35">
      <c r="E3870" t="s">
        <v>3803</v>
      </c>
      <c r="F3870" t="s">
        <v>7131</v>
      </c>
      <c r="G3870" t="s">
        <v>1800</v>
      </c>
    </row>
    <row r="3871" spans="5:7" x14ac:dyDescent="0.35">
      <c r="E3871" t="s">
        <v>3803</v>
      </c>
      <c r="F3871" t="s">
        <v>7132</v>
      </c>
      <c r="G3871" t="s">
        <v>1800</v>
      </c>
    </row>
    <row r="3872" spans="5:7" x14ac:dyDescent="0.35">
      <c r="E3872" t="s">
        <v>3803</v>
      </c>
      <c r="F3872" t="s">
        <v>7133</v>
      </c>
      <c r="G3872" t="s">
        <v>1800</v>
      </c>
    </row>
    <row r="3873" spans="5:7" x14ac:dyDescent="0.35">
      <c r="E3873" t="s">
        <v>3803</v>
      </c>
      <c r="F3873" t="s">
        <v>7134</v>
      </c>
      <c r="G3873" t="s">
        <v>1800</v>
      </c>
    </row>
    <row r="3874" spans="5:7" x14ac:dyDescent="0.35">
      <c r="E3874" t="s">
        <v>3803</v>
      </c>
      <c r="F3874" t="s">
        <v>7135</v>
      </c>
      <c r="G3874" t="s">
        <v>1800</v>
      </c>
    </row>
    <row r="3875" spans="5:7" x14ac:dyDescent="0.35">
      <c r="E3875" t="s">
        <v>3803</v>
      </c>
      <c r="F3875" t="s">
        <v>3450</v>
      </c>
      <c r="G3875" t="s">
        <v>1800</v>
      </c>
    </row>
    <row r="3876" spans="5:7" x14ac:dyDescent="0.35">
      <c r="E3876" t="s">
        <v>3803</v>
      </c>
      <c r="F3876" t="s">
        <v>7136</v>
      </c>
      <c r="G3876" t="s">
        <v>1800</v>
      </c>
    </row>
    <row r="3877" spans="5:7" x14ac:dyDescent="0.35">
      <c r="E3877" t="s">
        <v>3803</v>
      </c>
      <c r="F3877" t="s">
        <v>7137</v>
      </c>
      <c r="G3877" t="s">
        <v>1800</v>
      </c>
    </row>
    <row r="3878" spans="5:7" x14ac:dyDescent="0.35">
      <c r="E3878" t="s">
        <v>3803</v>
      </c>
      <c r="F3878" t="s">
        <v>7138</v>
      </c>
      <c r="G3878" t="s">
        <v>1800</v>
      </c>
    </row>
    <row r="3879" spans="5:7" x14ac:dyDescent="0.35">
      <c r="E3879" t="s">
        <v>3803</v>
      </c>
      <c r="F3879" t="s">
        <v>7139</v>
      </c>
      <c r="G3879" t="s">
        <v>1800</v>
      </c>
    </row>
    <row r="3880" spans="5:7" x14ac:dyDescent="0.35">
      <c r="E3880" t="s">
        <v>3803</v>
      </c>
      <c r="F3880" t="s">
        <v>7140</v>
      </c>
      <c r="G3880" t="s">
        <v>1800</v>
      </c>
    </row>
    <row r="3881" spans="5:7" x14ac:dyDescent="0.35">
      <c r="E3881" t="s">
        <v>3803</v>
      </c>
      <c r="F3881" t="s">
        <v>7141</v>
      </c>
      <c r="G3881" t="s">
        <v>1800</v>
      </c>
    </row>
    <row r="3882" spans="5:7" x14ac:dyDescent="0.35">
      <c r="E3882" t="s">
        <v>3803</v>
      </c>
      <c r="F3882" t="s">
        <v>7142</v>
      </c>
      <c r="G3882" t="s">
        <v>1800</v>
      </c>
    </row>
    <row r="3883" spans="5:7" x14ac:dyDescent="0.35">
      <c r="E3883" t="s">
        <v>3803</v>
      </c>
      <c r="F3883" t="s">
        <v>7143</v>
      </c>
      <c r="G3883" t="s">
        <v>1800</v>
      </c>
    </row>
    <row r="3884" spans="5:7" x14ac:dyDescent="0.35">
      <c r="E3884" t="s">
        <v>3803</v>
      </c>
      <c r="F3884" t="s">
        <v>7144</v>
      </c>
      <c r="G3884" t="s">
        <v>1800</v>
      </c>
    </row>
    <row r="3885" spans="5:7" x14ac:dyDescent="0.35">
      <c r="E3885" t="s">
        <v>3803</v>
      </c>
      <c r="F3885" t="s">
        <v>3453</v>
      </c>
      <c r="G3885" t="s">
        <v>1800</v>
      </c>
    </row>
    <row r="3886" spans="5:7" x14ac:dyDescent="0.35">
      <c r="E3886" t="s">
        <v>3803</v>
      </c>
      <c r="F3886" t="s">
        <v>7145</v>
      </c>
      <c r="G3886" t="s">
        <v>1800</v>
      </c>
    </row>
    <row r="3887" spans="5:7" x14ac:dyDescent="0.35">
      <c r="E3887" t="s">
        <v>3803</v>
      </c>
      <c r="F3887" t="s">
        <v>7146</v>
      </c>
      <c r="G3887" t="s">
        <v>1800</v>
      </c>
    </row>
    <row r="3888" spans="5:7" x14ac:dyDescent="0.35">
      <c r="E3888" t="s">
        <v>3803</v>
      </c>
      <c r="F3888" t="s">
        <v>7147</v>
      </c>
      <c r="G3888" t="s">
        <v>1800</v>
      </c>
    </row>
    <row r="3889" spans="5:7" x14ac:dyDescent="0.35">
      <c r="E3889" t="s">
        <v>3803</v>
      </c>
      <c r="F3889" t="s">
        <v>3456</v>
      </c>
      <c r="G3889" t="s">
        <v>1805</v>
      </c>
    </row>
    <row r="3890" spans="5:7" x14ac:dyDescent="0.35">
      <c r="E3890" t="s">
        <v>3803</v>
      </c>
      <c r="F3890" t="s">
        <v>3459</v>
      </c>
      <c r="G3890" t="s">
        <v>1805</v>
      </c>
    </row>
    <row r="3891" spans="5:7" x14ac:dyDescent="0.35">
      <c r="E3891" t="s">
        <v>3803</v>
      </c>
      <c r="F3891" t="s">
        <v>3461</v>
      </c>
      <c r="G3891" t="s">
        <v>1805</v>
      </c>
    </row>
    <row r="3892" spans="5:7" x14ac:dyDescent="0.35">
      <c r="E3892" t="s">
        <v>3803</v>
      </c>
      <c r="F3892" t="s">
        <v>3464</v>
      </c>
      <c r="G3892" t="s">
        <v>1805</v>
      </c>
    </row>
    <row r="3893" spans="5:7" x14ac:dyDescent="0.35">
      <c r="E3893" t="s">
        <v>3803</v>
      </c>
      <c r="F3893" t="s">
        <v>3468</v>
      </c>
      <c r="G3893" t="s">
        <v>1810</v>
      </c>
    </row>
    <row r="3894" spans="5:7" x14ac:dyDescent="0.35">
      <c r="E3894" t="s">
        <v>3803</v>
      </c>
      <c r="F3894" t="s">
        <v>1018</v>
      </c>
      <c r="G3894" t="s">
        <v>1810</v>
      </c>
    </row>
    <row r="3895" spans="5:7" x14ac:dyDescent="0.35">
      <c r="E3895" t="s">
        <v>3803</v>
      </c>
      <c r="F3895" t="s">
        <v>7148</v>
      </c>
      <c r="G3895" t="s">
        <v>1810</v>
      </c>
    </row>
    <row r="3896" spans="5:7" x14ac:dyDescent="0.35">
      <c r="E3896" t="s">
        <v>3803</v>
      </c>
      <c r="F3896" t="s">
        <v>7149</v>
      </c>
      <c r="G3896" t="s">
        <v>1810</v>
      </c>
    </row>
    <row r="3897" spans="5:7" x14ac:dyDescent="0.35">
      <c r="E3897" t="s">
        <v>3803</v>
      </c>
      <c r="F3897" t="s">
        <v>7150</v>
      </c>
      <c r="G3897" t="s">
        <v>1810</v>
      </c>
    </row>
    <row r="3898" spans="5:7" x14ac:dyDescent="0.35">
      <c r="E3898" t="s">
        <v>3803</v>
      </c>
      <c r="F3898" t="s">
        <v>7151</v>
      </c>
      <c r="G3898" t="s">
        <v>1810</v>
      </c>
    </row>
    <row r="3899" spans="5:7" x14ac:dyDescent="0.35">
      <c r="E3899" t="s">
        <v>3803</v>
      </c>
      <c r="F3899" t="s">
        <v>7152</v>
      </c>
      <c r="G3899" t="s">
        <v>1810</v>
      </c>
    </row>
    <row r="3900" spans="5:7" x14ac:dyDescent="0.35">
      <c r="E3900" t="s">
        <v>3803</v>
      </c>
      <c r="F3900" t="s">
        <v>7153</v>
      </c>
      <c r="G3900" t="s">
        <v>1810</v>
      </c>
    </row>
    <row r="3901" spans="5:7" x14ac:dyDescent="0.35">
      <c r="E3901" t="s">
        <v>3803</v>
      </c>
      <c r="F3901" t="s">
        <v>7154</v>
      </c>
      <c r="G3901" t="s">
        <v>1810</v>
      </c>
    </row>
    <row r="3902" spans="5:7" x14ac:dyDescent="0.35">
      <c r="E3902" t="s">
        <v>3803</v>
      </c>
      <c r="F3902" t="s">
        <v>3470</v>
      </c>
      <c r="G3902" t="s">
        <v>1810</v>
      </c>
    </row>
    <row r="3903" spans="5:7" x14ac:dyDescent="0.35">
      <c r="E3903" t="s">
        <v>3803</v>
      </c>
      <c r="F3903" t="s">
        <v>1323</v>
      </c>
      <c r="G3903" t="s">
        <v>1810</v>
      </c>
    </row>
    <row r="3904" spans="5:7" x14ac:dyDescent="0.35">
      <c r="E3904" t="s">
        <v>3803</v>
      </c>
      <c r="F3904" t="s">
        <v>7155</v>
      </c>
      <c r="G3904" t="s">
        <v>1810</v>
      </c>
    </row>
    <row r="3905" spans="5:7" x14ac:dyDescent="0.35">
      <c r="E3905" t="s">
        <v>3803</v>
      </c>
      <c r="F3905" t="s">
        <v>7156</v>
      </c>
      <c r="G3905" t="s">
        <v>1810</v>
      </c>
    </row>
    <row r="3906" spans="5:7" x14ac:dyDescent="0.35">
      <c r="E3906" t="s">
        <v>3803</v>
      </c>
      <c r="F3906" t="s">
        <v>3472</v>
      </c>
      <c r="G3906" t="s">
        <v>1810</v>
      </c>
    </row>
    <row r="3907" spans="5:7" x14ac:dyDescent="0.35">
      <c r="E3907" t="s">
        <v>3803</v>
      </c>
      <c r="F3907" t="s">
        <v>956</v>
      </c>
      <c r="G3907" t="s">
        <v>1815</v>
      </c>
    </row>
    <row r="3908" spans="5:7" x14ac:dyDescent="0.35">
      <c r="E3908" t="s">
        <v>3803</v>
      </c>
      <c r="F3908" t="s">
        <v>3476</v>
      </c>
      <c r="G3908" t="s">
        <v>1815</v>
      </c>
    </row>
    <row r="3909" spans="5:7" x14ac:dyDescent="0.35">
      <c r="E3909" t="s">
        <v>3803</v>
      </c>
      <c r="F3909" t="s">
        <v>3479</v>
      </c>
      <c r="G3909" t="s">
        <v>1815</v>
      </c>
    </row>
    <row r="3910" spans="5:7" x14ac:dyDescent="0.35">
      <c r="E3910" t="s">
        <v>3803</v>
      </c>
      <c r="F3910" t="s">
        <v>3481</v>
      </c>
      <c r="G3910" t="s">
        <v>1815</v>
      </c>
    </row>
    <row r="3911" spans="5:7" x14ac:dyDescent="0.35">
      <c r="E3911" t="s">
        <v>3803</v>
      </c>
      <c r="F3911" t="s">
        <v>1170</v>
      </c>
      <c r="G3911" t="s">
        <v>1815</v>
      </c>
    </row>
    <row r="3912" spans="5:7" x14ac:dyDescent="0.35">
      <c r="E3912" t="s">
        <v>3803</v>
      </c>
      <c r="F3912" t="s">
        <v>3484</v>
      </c>
      <c r="G3912" t="s">
        <v>1815</v>
      </c>
    </row>
    <row r="3913" spans="5:7" x14ac:dyDescent="0.35">
      <c r="E3913" t="s">
        <v>3803</v>
      </c>
      <c r="F3913" t="s">
        <v>3486</v>
      </c>
      <c r="G3913" t="s">
        <v>7157</v>
      </c>
    </row>
    <row r="3914" spans="5:7" x14ac:dyDescent="0.35">
      <c r="E3914" t="s">
        <v>3803</v>
      </c>
      <c r="F3914" t="s">
        <v>3490</v>
      </c>
      <c r="G3914" t="s">
        <v>1820</v>
      </c>
    </row>
    <row r="3915" spans="5:7" x14ac:dyDescent="0.35">
      <c r="E3915" t="s">
        <v>3803</v>
      </c>
      <c r="F3915" t="s">
        <v>7158</v>
      </c>
      <c r="G3915" t="s">
        <v>1820</v>
      </c>
    </row>
    <row r="3916" spans="5:7" x14ac:dyDescent="0.35">
      <c r="E3916" t="s">
        <v>3803</v>
      </c>
      <c r="F3916" t="s">
        <v>3493</v>
      </c>
      <c r="G3916" t="s">
        <v>1825</v>
      </c>
    </row>
    <row r="3917" spans="5:7" x14ac:dyDescent="0.35">
      <c r="E3917" t="s">
        <v>3803</v>
      </c>
      <c r="F3917" t="s">
        <v>1338</v>
      </c>
      <c r="G3917" t="s">
        <v>1825</v>
      </c>
    </row>
    <row r="3918" spans="5:7" x14ac:dyDescent="0.35">
      <c r="E3918" t="s">
        <v>3803</v>
      </c>
      <c r="F3918" t="s">
        <v>7159</v>
      </c>
      <c r="G3918" t="s">
        <v>1825</v>
      </c>
    </row>
    <row r="3919" spans="5:7" x14ac:dyDescent="0.35">
      <c r="E3919" t="s">
        <v>3803</v>
      </c>
      <c r="F3919" t="s">
        <v>7160</v>
      </c>
      <c r="G3919" t="s">
        <v>1825</v>
      </c>
    </row>
    <row r="3920" spans="5:7" x14ac:dyDescent="0.35">
      <c r="E3920" t="s">
        <v>3803</v>
      </c>
      <c r="F3920" t="s">
        <v>7161</v>
      </c>
      <c r="G3920" t="s">
        <v>1825</v>
      </c>
    </row>
    <row r="3921" spans="5:7" x14ac:dyDescent="0.35">
      <c r="E3921" t="s">
        <v>3803</v>
      </c>
      <c r="F3921" t="s">
        <v>1284</v>
      </c>
      <c r="G3921" t="s">
        <v>1830</v>
      </c>
    </row>
    <row r="3922" spans="5:7" x14ac:dyDescent="0.35">
      <c r="E3922" t="s">
        <v>3803</v>
      </c>
      <c r="F3922" t="s">
        <v>3496</v>
      </c>
      <c r="G3922" t="s">
        <v>7162</v>
      </c>
    </row>
    <row r="3923" spans="5:7" x14ac:dyDescent="0.35">
      <c r="E3923" t="s">
        <v>3803</v>
      </c>
      <c r="F3923" t="s">
        <v>1311</v>
      </c>
      <c r="G3923" t="s">
        <v>7162</v>
      </c>
    </row>
    <row r="3924" spans="5:7" x14ac:dyDescent="0.35">
      <c r="E3924" t="s">
        <v>3803</v>
      </c>
      <c r="F3924" t="s">
        <v>3499</v>
      </c>
      <c r="G3924" t="s">
        <v>1830</v>
      </c>
    </row>
    <row r="3925" spans="5:7" x14ac:dyDescent="0.35">
      <c r="E3925" t="s">
        <v>3803</v>
      </c>
      <c r="F3925" t="s">
        <v>3502</v>
      </c>
      <c r="G3925" t="s">
        <v>1830</v>
      </c>
    </row>
    <row r="3926" spans="5:7" x14ac:dyDescent="0.35">
      <c r="E3926" t="s">
        <v>3803</v>
      </c>
      <c r="F3926" t="s">
        <v>3505</v>
      </c>
      <c r="G3926" t="s">
        <v>1835</v>
      </c>
    </row>
    <row r="3927" spans="5:7" x14ac:dyDescent="0.35">
      <c r="E3927" t="s">
        <v>3803</v>
      </c>
      <c r="F3927" t="s">
        <v>3508</v>
      </c>
      <c r="G3927" t="s">
        <v>1840</v>
      </c>
    </row>
    <row r="3928" spans="5:7" x14ac:dyDescent="0.35">
      <c r="E3928" t="s">
        <v>3803</v>
      </c>
      <c r="F3928" t="s">
        <v>3511</v>
      </c>
      <c r="G3928" t="s">
        <v>1845</v>
      </c>
    </row>
    <row r="3929" spans="5:7" x14ac:dyDescent="0.35">
      <c r="E3929" t="s">
        <v>3803</v>
      </c>
      <c r="F3929" t="s">
        <v>1341</v>
      </c>
      <c r="G3929" t="s">
        <v>1845</v>
      </c>
    </row>
    <row r="3930" spans="5:7" x14ac:dyDescent="0.35">
      <c r="E3930" t="s">
        <v>3803</v>
      </c>
      <c r="F3930" t="s">
        <v>7163</v>
      </c>
      <c r="G3930" t="s">
        <v>1845</v>
      </c>
    </row>
    <row r="3931" spans="5:7" x14ac:dyDescent="0.35">
      <c r="E3931" t="s">
        <v>3803</v>
      </c>
      <c r="F3931" t="s">
        <v>7164</v>
      </c>
      <c r="G3931" t="s">
        <v>1845</v>
      </c>
    </row>
    <row r="3932" spans="5:7" x14ac:dyDescent="0.35">
      <c r="E3932" t="s">
        <v>3803</v>
      </c>
      <c r="F3932" t="s">
        <v>7165</v>
      </c>
      <c r="G3932" t="s">
        <v>1845</v>
      </c>
    </row>
    <row r="3933" spans="5:7" x14ac:dyDescent="0.35">
      <c r="E3933" t="s">
        <v>3803</v>
      </c>
      <c r="F3933" t="s">
        <v>3514</v>
      </c>
      <c r="G3933" t="s">
        <v>1850</v>
      </c>
    </row>
    <row r="3934" spans="5:7" x14ac:dyDescent="0.35">
      <c r="E3934" t="s">
        <v>3803</v>
      </c>
      <c r="F3934" t="s">
        <v>1299</v>
      </c>
      <c r="G3934" t="s">
        <v>1855</v>
      </c>
    </row>
    <row r="3935" spans="5:7" x14ac:dyDescent="0.35">
      <c r="E3935" t="s">
        <v>3803</v>
      </c>
      <c r="F3935" t="s">
        <v>7166</v>
      </c>
      <c r="G3935" t="s">
        <v>1855</v>
      </c>
    </row>
    <row r="3936" spans="5:7" x14ac:dyDescent="0.35">
      <c r="E3936" t="s">
        <v>3803</v>
      </c>
      <c r="F3936" t="s">
        <v>7167</v>
      </c>
      <c r="G3936" t="s">
        <v>1855</v>
      </c>
    </row>
    <row r="3937" spans="5:7" x14ac:dyDescent="0.35">
      <c r="E3937" t="s">
        <v>3803</v>
      </c>
      <c r="F3937" t="s">
        <v>3517</v>
      </c>
      <c r="G3937" t="s">
        <v>1855</v>
      </c>
    </row>
    <row r="3938" spans="5:7" x14ac:dyDescent="0.35">
      <c r="E3938" t="s">
        <v>3803</v>
      </c>
      <c r="F3938" t="s">
        <v>1392</v>
      </c>
      <c r="G3938" t="s">
        <v>1855</v>
      </c>
    </row>
    <row r="3939" spans="5:7" x14ac:dyDescent="0.35">
      <c r="E3939" t="s">
        <v>3803</v>
      </c>
      <c r="F3939" t="s">
        <v>7168</v>
      </c>
      <c r="G3939" t="s">
        <v>1855</v>
      </c>
    </row>
    <row r="3940" spans="5:7" x14ac:dyDescent="0.35">
      <c r="E3940" t="s">
        <v>3803</v>
      </c>
      <c r="F3940" t="s">
        <v>7169</v>
      </c>
      <c r="G3940" t="s">
        <v>1855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669F-69A1-4C27-B5BA-FEF1D08816D9}">
  <dimension ref="A1:AE73"/>
  <sheetViews>
    <sheetView topLeftCell="M12" workbookViewId="0">
      <selection activeCell="N51" sqref="N51"/>
    </sheetView>
  </sheetViews>
  <sheetFormatPr defaultRowHeight="14.5" x14ac:dyDescent="0.35"/>
  <cols>
    <col min="1" max="1" width="17.1796875" bestFit="1" customWidth="1"/>
    <col min="2" max="2" width="16.7265625" bestFit="1" customWidth="1"/>
    <col min="3" max="3" width="14.90625" bestFit="1" customWidth="1"/>
    <col min="4" max="4" width="20.81640625" bestFit="1" customWidth="1"/>
    <col min="5" max="5" width="21.08984375" bestFit="1" customWidth="1"/>
    <col min="6" max="6" width="17.7265625" bestFit="1" customWidth="1"/>
    <col min="7" max="7" width="16.08984375" bestFit="1" customWidth="1"/>
    <col min="8" max="8" width="20.7265625" bestFit="1" customWidth="1"/>
    <col min="9" max="9" width="20" bestFit="1" customWidth="1"/>
    <col min="10" max="10" width="20.453125" bestFit="1" customWidth="1"/>
    <col min="11" max="11" width="28.6328125" bestFit="1" customWidth="1"/>
    <col min="12" max="12" width="26.6328125" bestFit="1" customWidth="1"/>
    <col min="13" max="13" width="25.453125" bestFit="1" customWidth="1"/>
    <col min="14" max="14" width="27.7265625" bestFit="1" customWidth="1"/>
    <col min="15" max="15" width="34.6328125" bestFit="1" customWidth="1"/>
    <col min="16" max="16" width="24.90625" bestFit="1" customWidth="1"/>
    <col min="17" max="17" width="35.453125" bestFit="1" customWidth="1"/>
    <col min="18" max="18" width="20.453125" bestFit="1" customWidth="1"/>
    <col min="19" max="19" width="29.1796875" bestFit="1" customWidth="1"/>
    <col min="20" max="20" width="25.54296875" bestFit="1" customWidth="1"/>
    <col min="21" max="21" width="23.81640625" bestFit="1" customWidth="1"/>
    <col min="22" max="22" width="29.36328125" bestFit="1" customWidth="1"/>
    <col min="23" max="23" width="34.90625" bestFit="1" customWidth="1"/>
    <col min="24" max="24" width="21.7265625" bestFit="1" customWidth="1"/>
    <col min="25" max="25" width="21.6328125" bestFit="1" customWidth="1"/>
    <col min="26" max="26" width="20.54296875" bestFit="1" customWidth="1"/>
    <col min="27" max="27" width="19.81640625" bestFit="1" customWidth="1"/>
    <col min="28" max="28" width="25.08984375" bestFit="1" customWidth="1"/>
    <col min="29" max="29" width="25.36328125" bestFit="1" customWidth="1"/>
    <col min="30" max="30" width="18.90625" bestFit="1" customWidth="1"/>
    <col min="31" max="31" width="19.7265625" customWidth="1"/>
  </cols>
  <sheetData>
    <row r="1" spans="1:31" x14ac:dyDescent="0.35">
      <c r="A1" t="s">
        <v>3761</v>
      </c>
      <c r="B1" t="s">
        <v>1537</v>
      </c>
      <c r="C1" t="s">
        <v>1538</v>
      </c>
      <c r="D1" t="s">
        <v>1539</v>
      </c>
      <c r="E1" t="s">
        <v>1540</v>
      </c>
      <c r="F1" t="s">
        <v>1541</v>
      </c>
      <c r="G1" t="s">
        <v>1542</v>
      </c>
      <c r="H1" t="s">
        <v>1543</v>
      </c>
      <c r="I1" t="s">
        <v>1544</v>
      </c>
      <c r="J1" t="s">
        <v>1545</v>
      </c>
      <c r="K1" t="s">
        <v>1546</v>
      </c>
      <c r="L1" t="s">
        <v>1547</v>
      </c>
      <c r="M1" t="s">
        <v>1548</v>
      </c>
      <c r="N1" t="s">
        <v>1549</v>
      </c>
      <c r="O1" t="s">
        <v>1550</v>
      </c>
      <c r="P1" t="s">
        <v>1551</v>
      </c>
      <c r="Q1" t="s">
        <v>1552</v>
      </c>
      <c r="R1" t="s">
        <v>1553</v>
      </c>
      <c r="S1" s="11" t="s">
        <v>1554</v>
      </c>
      <c r="T1" t="s">
        <v>1555</v>
      </c>
      <c r="U1" t="s">
        <v>1556</v>
      </c>
      <c r="V1" t="s">
        <v>1557</v>
      </c>
      <c r="W1" t="s">
        <v>1558</v>
      </c>
      <c r="X1" t="s">
        <v>0</v>
      </c>
      <c r="Y1" t="s">
        <v>1559</v>
      </c>
      <c r="Z1" t="s">
        <v>1560</v>
      </c>
      <c r="AA1" t="s">
        <v>1561</v>
      </c>
      <c r="AB1" t="s">
        <v>1562</v>
      </c>
      <c r="AC1" t="s">
        <v>1904</v>
      </c>
      <c r="AD1" t="s">
        <v>3764</v>
      </c>
      <c r="AE1" t="s">
        <v>3765</v>
      </c>
    </row>
    <row r="2" spans="1:31" x14ac:dyDescent="0.35">
      <c r="A2" s="18" t="s">
        <v>3543</v>
      </c>
      <c r="B2" t="s">
        <v>1566</v>
      </c>
      <c r="C2" t="s">
        <v>1563</v>
      </c>
      <c r="D2" s="2">
        <v>45163</v>
      </c>
      <c r="E2" s="2">
        <v>45170</v>
      </c>
      <c r="F2" s="2">
        <v>45229</v>
      </c>
      <c r="G2">
        <v>99</v>
      </c>
      <c r="H2">
        <v>75</v>
      </c>
      <c r="I2">
        <v>99</v>
      </c>
      <c r="J2">
        <v>30</v>
      </c>
      <c r="M2">
        <v>0</v>
      </c>
      <c r="N2">
        <v>2</v>
      </c>
      <c r="O2">
        <v>3</v>
      </c>
      <c r="P2" t="s">
        <v>69</v>
      </c>
      <c r="Q2" t="s">
        <v>147</v>
      </c>
      <c r="R2" t="s">
        <v>67</v>
      </c>
      <c r="S2" t="b">
        <v>0</v>
      </c>
      <c r="T2" t="b">
        <v>0</v>
      </c>
      <c r="U2" t="s">
        <v>1567</v>
      </c>
      <c r="V2" t="s">
        <v>1568</v>
      </c>
      <c r="W2" t="s">
        <v>1569</v>
      </c>
      <c r="X2" t="s">
        <v>112</v>
      </c>
      <c r="Y2" t="s">
        <v>1570</v>
      </c>
      <c r="Z2" t="s">
        <v>1564</v>
      </c>
      <c r="AC2" t="s">
        <v>1905</v>
      </c>
      <c r="AD2" t="b">
        <v>0</v>
      </c>
      <c r="AE2" t="b">
        <v>0</v>
      </c>
    </row>
    <row r="3" spans="1:31" x14ac:dyDescent="0.35">
      <c r="A3" s="18" t="s">
        <v>3546</v>
      </c>
      <c r="B3" t="s">
        <v>1572</v>
      </c>
      <c r="C3" t="s">
        <v>1563</v>
      </c>
      <c r="D3" s="2">
        <v>45392</v>
      </c>
      <c r="E3" s="2"/>
      <c r="F3" s="2">
        <v>45442</v>
      </c>
      <c r="G3">
        <v>99</v>
      </c>
      <c r="H3">
        <v>79</v>
      </c>
      <c r="I3">
        <v>99</v>
      </c>
      <c r="J3">
        <v>30</v>
      </c>
      <c r="M3">
        <v>0</v>
      </c>
      <c r="N3">
        <v>1</v>
      </c>
      <c r="O3">
        <v>1</v>
      </c>
      <c r="P3" t="s">
        <v>69</v>
      </c>
      <c r="Q3" t="s">
        <v>158</v>
      </c>
      <c r="R3" t="s">
        <v>67</v>
      </c>
      <c r="S3" t="b">
        <v>0</v>
      </c>
      <c r="T3" t="b">
        <v>0</v>
      </c>
      <c r="U3" t="s">
        <v>1573</v>
      </c>
      <c r="V3" t="s">
        <v>1574</v>
      </c>
      <c r="W3" t="s">
        <v>1575</v>
      </c>
      <c r="X3" t="s">
        <v>159</v>
      </c>
      <c r="Y3" t="s">
        <v>1576</v>
      </c>
      <c r="Z3" t="s">
        <v>1564</v>
      </c>
      <c r="AC3" t="s">
        <v>1905</v>
      </c>
      <c r="AD3" t="b">
        <v>0</v>
      </c>
      <c r="AE3" t="b">
        <v>0</v>
      </c>
    </row>
    <row r="4" spans="1:31" x14ac:dyDescent="0.35">
      <c r="A4" s="18" t="s">
        <v>3547</v>
      </c>
      <c r="B4" t="s">
        <v>1577</v>
      </c>
      <c r="C4" t="s">
        <v>1563</v>
      </c>
      <c r="D4" s="2">
        <v>45546</v>
      </c>
      <c r="E4" s="2"/>
      <c r="F4" s="2">
        <v>45595</v>
      </c>
      <c r="G4">
        <v>99</v>
      </c>
      <c r="H4">
        <v>79</v>
      </c>
      <c r="I4">
        <v>99</v>
      </c>
      <c r="J4">
        <v>30</v>
      </c>
      <c r="M4">
        <v>0</v>
      </c>
      <c r="N4">
        <v>5</v>
      </c>
      <c r="O4">
        <v>5</v>
      </c>
      <c r="P4" t="s">
        <v>69</v>
      </c>
      <c r="Q4" t="s">
        <v>165</v>
      </c>
      <c r="R4" t="s">
        <v>67</v>
      </c>
      <c r="S4" t="b">
        <v>0</v>
      </c>
      <c r="T4" t="b">
        <v>0</v>
      </c>
      <c r="U4" t="s">
        <v>1578</v>
      </c>
      <c r="V4" t="s">
        <v>1579</v>
      </c>
      <c r="W4" t="s">
        <v>1580</v>
      </c>
      <c r="X4" t="s">
        <v>179</v>
      </c>
      <c r="Y4" t="s">
        <v>1581</v>
      </c>
      <c r="Z4" t="s">
        <v>1564</v>
      </c>
      <c r="AC4" t="s">
        <v>1905</v>
      </c>
      <c r="AD4" t="b">
        <v>0</v>
      </c>
      <c r="AE4" t="b">
        <v>0</v>
      </c>
    </row>
    <row r="5" spans="1:31" x14ac:dyDescent="0.35">
      <c r="A5" s="18" t="s">
        <v>3549</v>
      </c>
      <c r="B5" t="s">
        <v>1582</v>
      </c>
      <c r="C5" t="s">
        <v>1563</v>
      </c>
      <c r="D5" s="2">
        <v>45589</v>
      </c>
      <c r="E5" s="2"/>
      <c r="F5" s="2">
        <v>45626</v>
      </c>
      <c r="G5">
        <v>119</v>
      </c>
      <c r="H5">
        <v>75</v>
      </c>
      <c r="I5">
        <v>99</v>
      </c>
      <c r="J5">
        <v>30</v>
      </c>
      <c r="M5">
        <v>0</v>
      </c>
      <c r="N5">
        <v>5</v>
      </c>
      <c r="O5">
        <v>5</v>
      </c>
      <c r="P5" t="s">
        <v>69</v>
      </c>
      <c r="Q5" t="s">
        <v>202</v>
      </c>
      <c r="R5" t="s">
        <v>67</v>
      </c>
      <c r="S5" t="b">
        <v>0</v>
      </c>
      <c r="T5" t="b">
        <v>0</v>
      </c>
      <c r="U5" t="s">
        <v>1583</v>
      </c>
      <c r="V5" t="s">
        <v>1584</v>
      </c>
      <c r="W5" t="s">
        <v>1585</v>
      </c>
      <c r="X5" t="s">
        <v>197</v>
      </c>
      <c r="Y5" t="s">
        <v>1586</v>
      </c>
      <c r="Z5" t="s">
        <v>1564</v>
      </c>
      <c r="AC5" t="s">
        <v>1905</v>
      </c>
      <c r="AD5" t="b">
        <v>0</v>
      </c>
      <c r="AE5" t="b">
        <v>0</v>
      </c>
    </row>
    <row r="6" spans="1:31" x14ac:dyDescent="0.35">
      <c r="A6" s="18" t="s">
        <v>3692</v>
      </c>
      <c r="B6" t="s">
        <v>2334</v>
      </c>
      <c r="C6" t="s">
        <v>1563</v>
      </c>
      <c r="D6" s="2">
        <v>45702</v>
      </c>
      <c r="E6" s="2">
        <v>45716</v>
      </c>
      <c r="F6" s="2">
        <v>45746</v>
      </c>
      <c r="G6">
        <v>99</v>
      </c>
      <c r="H6">
        <v>79</v>
      </c>
      <c r="I6">
        <v>99</v>
      </c>
      <c r="J6">
        <v>30</v>
      </c>
      <c r="M6">
        <v>0</v>
      </c>
      <c r="N6">
        <v>5</v>
      </c>
      <c r="O6">
        <v>5</v>
      </c>
      <c r="P6" t="s">
        <v>69</v>
      </c>
      <c r="Q6" t="s">
        <v>219</v>
      </c>
      <c r="R6" t="s">
        <v>67</v>
      </c>
      <c r="S6" t="b">
        <v>1</v>
      </c>
      <c r="T6" t="b">
        <v>0</v>
      </c>
      <c r="U6" t="s">
        <v>2335</v>
      </c>
      <c r="V6" t="s">
        <v>1984</v>
      </c>
      <c r="W6" t="s">
        <v>2336</v>
      </c>
      <c r="X6" t="s">
        <v>220</v>
      </c>
      <c r="Y6" t="s">
        <v>1988</v>
      </c>
      <c r="Z6" t="s">
        <v>1564</v>
      </c>
      <c r="AC6" t="s">
        <v>1905</v>
      </c>
      <c r="AD6" t="b">
        <v>0</v>
      </c>
      <c r="AE6" t="b">
        <v>0</v>
      </c>
    </row>
    <row r="7" spans="1:31" x14ac:dyDescent="0.35">
      <c r="A7" s="18" t="s">
        <v>3695</v>
      </c>
      <c r="B7" t="s">
        <v>1587</v>
      </c>
      <c r="C7" t="s">
        <v>1563</v>
      </c>
      <c r="D7" s="2">
        <v>45702</v>
      </c>
      <c r="E7" s="2"/>
      <c r="F7" s="2">
        <v>45746</v>
      </c>
      <c r="G7">
        <v>99</v>
      </c>
      <c r="H7">
        <v>79</v>
      </c>
      <c r="I7">
        <v>99</v>
      </c>
      <c r="J7">
        <v>30</v>
      </c>
      <c r="M7">
        <v>0</v>
      </c>
      <c r="N7">
        <v>5</v>
      </c>
      <c r="O7">
        <v>5</v>
      </c>
      <c r="P7" t="s">
        <v>69</v>
      </c>
      <c r="Q7" t="s">
        <v>240</v>
      </c>
      <c r="R7" t="s">
        <v>67</v>
      </c>
      <c r="S7" t="b">
        <v>0</v>
      </c>
      <c r="T7" t="b">
        <v>0</v>
      </c>
      <c r="U7" t="s">
        <v>1588</v>
      </c>
      <c r="V7" t="s">
        <v>1589</v>
      </c>
      <c r="W7" t="s">
        <v>1590</v>
      </c>
      <c r="X7" t="s">
        <v>235</v>
      </c>
      <c r="Y7" t="s">
        <v>1591</v>
      </c>
      <c r="Z7" t="s">
        <v>1564</v>
      </c>
      <c r="AC7" t="s">
        <v>1905</v>
      </c>
      <c r="AD7" t="b">
        <v>0</v>
      </c>
      <c r="AE7" t="b">
        <v>0</v>
      </c>
    </row>
    <row r="8" spans="1:31" x14ac:dyDescent="0.35">
      <c r="A8" s="18" t="s">
        <v>3699</v>
      </c>
      <c r="B8" t="s">
        <v>1592</v>
      </c>
      <c r="C8" t="s">
        <v>1563</v>
      </c>
      <c r="D8" s="2">
        <v>45723</v>
      </c>
      <c r="E8" s="2"/>
      <c r="F8" s="2">
        <v>45777</v>
      </c>
      <c r="G8">
        <v>159</v>
      </c>
      <c r="H8">
        <v>79</v>
      </c>
      <c r="I8">
        <v>99</v>
      </c>
      <c r="J8">
        <v>30</v>
      </c>
      <c r="M8">
        <v>0</v>
      </c>
      <c r="N8">
        <v>5</v>
      </c>
      <c r="O8">
        <v>5</v>
      </c>
      <c r="P8" t="s">
        <v>69</v>
      </c>
      <c r="Q8" t="s">
        <v>252</v>
      </c>
      <c r="R8" t="s">
        <v>67</v>
      </c>
      <c r="S8" t="b">
        <v>0</v>
      </c>
      <c r="T8" t="b">
        <v>0</v>
      </c>
      <c r="U8" t="s">
        <v>1593</v>
      </c>
      <c r="V8" t="s">
        <v>1594</v>
      </c>
      <c r="W8" t="s">
        <v>1595</v>
      </c>
      <c r="X8" t="s">
        <v>253</v>
      </c>
      <c r="Y8" t="s">
        <v>1596</v>
      </c>
      <c r="Z8" t="s">
        <v>1564</v>
      </c>
      <c r="AC8" t="s">
        <v>1905</v>
      </c>
      <c r="AD8" t="b">
        <v>0</v>
      </c>
      <c r="AE8" t="b">
        <v>0</v>
      </c>
    </row>
    <row r="9" spans="1:31" x14ac:dyDescent="0.35">
      <c r="A9" s="18" t="s">
        <v>3701</v>
      </c>
      <c r="B9" t="s">
        <v>1597</v>
      </c>
      <c r="C9" t="s">
        <v>1563</v>
      </c>
      <c r="D9" s="2">
        <v>45729</v>
      </c>
      <c r="E9" s="2">
        <v>45744</v>
      </c>
      <c r="F9" s="2">
        <v>45777</v>
      </c>
      <c r="G9">
        <v>159</v>
      </c>
      <c r="H9">
        <v>79</v>
      </c>
      <c r="I9">
        <v>99</v>
      </c>
      <c r="J9">
        <v>30</v>
      </c>
      <c r="M9">
        <v>0</v>
      </c>
      <c r="N9">
        <v>5</v>
      </c>
      <c r="O9">
        <v>5</v>
      </c>
      <c r="P9" t="s">
        <v>69</v>
      </c>
      <c r="Q9" t="s">
        <v>264</v>
      </c>
      <c r="R9" t="s">
        <v>67</v>
      </c>
      <c r="S9" t="b">
        <v>0</v>
      </c>
      <c r="T9" t="b">
        <v>0</v>
      </c>
      <c r="U9" t="s">
        <v>1598</v>
      </c>
      <c r="V9" t="s">
        <v>1599</v>
      </c>
      <c r="W9" t="s">
        <v>1600</v>
      </c>
      <c r="X9" t="s">
        <v>265</v>
      </c>
      <c r="Y9" t="s">
        <v>1601</v>
      </c>
      <c r="Z9" t="s">
        <v>1564</v>
      </c>
      <c r="AC9" t="s">
        <v>1905</v>
      </c>
      <c r="AD9" t="b">
        <v>0</v>
      </c>
      <c r="AE9" t="b">
        <v>0</v>
      </c>
    </row>
    <row r="10" spans="1:31" x14ac:dyDescent="0.35">
      <c r="A10" s="18" t="s">
        <v>3785</v>
      </c>
      <c r="B10" t="s">
        <v>1604</v>
      </c>
      <c r="C10" t="s">
        <v>1563</v>
      </c>
      <c r="D10" s="2">
        <v>45790</v>
      </c>
      <c r="E10" s="2"/>
      <c r="F10" s="2">
        <v>45823</v>
      </c>
      <c r="G10">
        <v>139</v>
      </c>
      <c r="H10">
        <v>139</v>
      </c>
      <c r="I10">
        <v>6</v>
      </c>
      <c r="J10">
        <v>15</v>
      </c>
      <c r="M10">
        <v>0</v>
      </c>
      <c r="N10">
        <v>6</v>
      </c>
      <c r="O10">
        <v>7</v>
      </c>
      <c r="P10" t="s">
        <v>69</v>
      </c>
      <c r="R10" t="s">
        <v>98</v>
      </c>
      <c r="S10" t="b">
        <v>0</v>
      </c>
      <c r="T10" t="b">
        <v>0</v>
      </c>
      <c r="U10" t="s">
        <v>1605</v>
      </c>
      <c r="V10" t="s">
        <v>1606</v>
      </c>
      <c r="W10" t="s">
        <v>1607</v>
      </c>
      <c r="X10" t="s">
        <v>1608</v>
      </c>
      <c r="Y10" t="s">
        <v>1609</v>
      </c>
      <c r="Z10" t="s">
        <v>1610</v>
      </c>
      <c r="AC10" t="s">
        <v>1907</v>
      </c>
      <c r="AD10" t="b">
        <v>0</v>
      </c>
      <c r="AE10" t="b">
        <v>0</v>
      </c>
    </row>
    <row r="11" spans="1:31" x14ac:dyDescent="0.35">
      <c r="A11" s="18" t="s">
        <v>3786</v>
      </c>
      <c r="B11" t="s">
        <v>1604</v>
      </c>
      <c r="C11" t="s">
        <v>1563</v>
      </c>
      <c r="D11" s="2">
        <v>45790</v>
      </c>
      <c r="E11" s="2"/>
      <c r="F11" s="2">
        <v>45823</v>
      </c>
      <c r="G11">
        <v>0</v>
      </c>
      <c r="H11">
        <v>0</v>
      </c>
      <c r="I11">
        <v>6</v>
      </c>
      <c r="J11">
        <v>15</v>
      </c>
      <c r="M11">
        <v>0</v>
      </c>
      <c r="N11">
        <v>6</v>
      </c>
      <c r="O11">
        <v>7</v>
      </c>
      <c r="P11" t="s">
        <v>69</v>
      </c>
      <c r="R11" t="s">
        <v>98</v>
      </c>
      <c r="S11" t="b">
        <v>0</v>
      </c>
      <c r="T11" t="b">
        <v>0</v>
      </c>
      <c r="U11" t="s">
        <v>1605</v>
      </c>
      <c r="V11" t="s">
        <v>1606</v>
      </c>
      <c r="W11" t="s">
        <v>1607</v>
      </c>
      <c r="X11" t="s">
        <v>1611</v>
      </c>
      <c r="Y11" t="s">
        <v>1609</v>
      </c>
      <c r="Z11" t="s">
        <v>1564</v>
      </c>
      <c r="AC11" t="s">
        <v>1907</v>
      </c>
      <c r="AD11" t="b">
        <v>0</v>
      </c>
      <c r="AE11" t="b">
        <v>0</v>
      </c>
    </row>
    <row r="12" spans="1:31" x14ac:dyDescent="0.35">
      <c r="A12" s="18" t="s">
        <v>3787</v>
      </c>
      <c r="B12" t="s">
        <v>1604</v>
      </c>
      <c r="C12" t="s">
        <v>1563</v>
      </c>
      <c r="D12" s="2"/>
      <c r="E12" s="2"/>
      <c r="F12" s="2">
        <v>45823</v>
      </c>
      <c r="H12">
        <v>0</v>
      </c>
      <c r="I12">
        <v>0</v>
      </c>
      <c r="J12">
        <v>15</v>
      </c>
      <c r="M12">
        <v>0</v>
      </c>
      <c r="N12">
        <v>1</v>
      </c>
      <c r="O12">
        <v>0</v>
      </c>
      <c r="P12" t="s">
        <v>69</v>
      </c>
      <c r="R12" t="s">
        <v>98</v>
      </c>
      <c r="S12" t="b">
        <v>0</v>
      </c>
      <c r="T12" t="b">
        <v>0</v>
      </c>
      <c r="U12" t="s">
        <v>1605</v>
      </c>
      <c r="V12" t="s">
        <v>1606</v>
      </c>
      <c r="W12" t="s">
        <v>1607</v>
      </c>
      <c r="X12" t="s">
        <v>1612</v>
      </c>
      <c r="Y12" t="s">
        <v>1609</v>
      </c>
      <c r="Z12" t="s">
        <v>1613</v>
      </c>
      <c r="AC12" t="s">
        <v>1907</v>
      </c>
      <c r="AD12" t="b">
        <v>0</v>
      </c>
      <c r="AE12" t="b">
        <v>0</v>
      </c>
    </row>
    <row r="13" spans="1:31" x14ac:dyDescent="0.35">
      <c r="A13" s="18" t="s">
        <v>3788</v>
      </c>
      <c r="B13" t="s">
        <v>1604</v>
      </c>
      <c r="C13" t="s">
        <v>1563</v>
      </c>
      <c r="D13" s="2"/>
      <c r="E13" s="2"/>
      <c r="F13" s="2">
        <v>45823</v>
      </c>
      <c r="H13">
        <v>0</v>
      </c>
      <c r="I13">
        <v>0</v>
      </c>
      <c r="J13">
        <v>15</v>
      </c>
      <c r="M13">
        <v>0</v>
      </c>
      <c r="N13">
        <v>1</v>
      </c>
      <c r="O13">
        <v>0</v>
      </c>
      <c r="P13" t="s">
        <v>69</v>
      </c>
      <c r="R13" t="s">
        <v>98</v>
      </c>
      <c r="S13" t="b">
        <v>0</v>
      </c>
      <c r="T13" t="b">
        <v>0</v>
      </c>
      <c r="U13" t="s">
        <v>1605</v>
      </c>
      <c r="V13" t="s">
        <v>1606</v>
      </c>
      <c r="W13" t="s">
        <v>1607</v>
      </c>
      <c r="X13" t="s">
        <v>1614</v>
      </c>
      <c r="Y13" t="s">
        <v>1609</v>
      </c>
      <c r="Z13" t="s">
        <v>1615</v>
      </c>
      <c r="AC13" t="s">
        <v>1907</v>
      </c>
      <c r="AD13" t="b">
        <v>0</v>
      </c>
      <c r="AE13" t="b">
        <v>0</v>
      </c>
    </row>
    <row r="14" spans="1:31" x14ac:dyDescent="0.35">
      <c r="A14" s="18" t="s">
        <v>3789</v>
      </c>
      <c r="B14" t="s">
        <v>1604</v>
      </c>
      <c r="C14" t="s">
        <v>1563</v>
      </c>
      <c r="D14" s="2"/>
      <c r="E14" s="2"/>
      <c r="F14" s="2">
        <v>45823</v>
      </c>
      <c r="H14">
        <v>0</v>
      </c>
      <c r="I14">
        <v>0</v>
      </c>
      <c r="J14">
        <v>15</v>
      </c>
      <c r="M14">
        <v>0</v>
      </c>
      <c r="N14">
        <v>1</v>
      </c>
      <c r="O14">
        <v>0</v>
      </c>
      <c r="P14" t="s">
        <v>69</v>
      </c>
      <c r="R14" t="s">
        <v>98</v>
      </c>
      <c r="S14" t="b">
        <v>0</v>
      </c>
      <c r="T14" t="b">
        <v>0</v>
      </c>
      <c r="U14" t="s">
        <v>1605</v>
      </c>
      <c r="V14" t="s">
        <v>1606</v>
      </c>
      <c r="W14" t="s">
        <v>1607</v>
      </c>
      <c r="X14" t="s">
        <v>1616</v>
      </c>
      <c r="Y14" t="s">
        <v>1609</v>
      </c>
      <c r="Z14" t="s">
        <v>1617</v>
      </c>
      <c r="AC14" t="s">
        <v>1907</v>
      </c>
      <c r="AD14" t="b">
        <v>0</v>
      </c>
      <c r="AE14" t="b">
        <v>0</v>
      </c>
    </row>
    <row r="15" spans="1:31" x14ac:dyDescent="0.35">
      <c r="A15" s="18" t="s">
        <v>3703</v>
      </c>
      <c r="B15" t="s">
        <v>1620</v>
      </c>
      <c r="C15" t="s">
        <v>1563</v>
      </c>
      <c r="D15" s="2">
        <v>45792</v>
      </c>
      <c r="E15" s="2"/>
      <c r="F15" s="2">
        <v>45823</v>
      </c>
      <c r="G15">
        <v>99</v>
      </c>
      <c r="H15">
        <v>99</v>
      </c>
      <c r="I15">
        <v>99</v>
      </c>
      <c r="J15">
        <v>15</v>
      </c>
      <c r="M15">
        <v>0</v>
      </c>
      <c r="N15">
        <v>4</v>
      </c>
      <c r="O15">
        <v>4</v>
      </c>
      <c r="P15" t="s">
        <v>69</v>
      </c>
      <c r="Q15" t="s">
        <v>331</v>
      </c>
      <c r="R15" t="s">
        <v>107</v>
      </c>
      <c r="S15" t="b">
        <v>0</v>
      </c>
      <c r="T15" t="b">
        <v>0</v>
      </c>
      <c r="U15" t="s">
        <v>1621</v>
      </c>
      <c r="V15" t="s">
        <v>1622</v>
      </c>
      <c r="W15" t="s">
        <v>1623</v>
      </c>
      <c r="X15" t="s">
        <v>332</v>
      </c>
      <c r="Y15" t="s">
        <v>1624</v>
      </c>
      <c r="Z15" t="s">
        <v>1564</v>
      </c>
      <c r="AC15" t="s">
        <v>1905</v>
      </c>
      <c r="AD15" t="b">
        <v>0</v>
      </c>
      <c r="AE15" t="b">
        <v>0</v>
      </c>
    </row>
    <row r="16" spans="1:31" x14ac:dyDescent="0.35">
      <c r="A16" s="18" t="s">
        <v>3704</v>
      </c>
      <c r="B16" t="s">
        <v>1625</v>
      </c>
      <c r="C16" t="s">
        <v>1563</v>
      </c>
      <c r="D16" s="2">
        <v>45812</v>
      </c>
      <c r="E16" s="2"/>
      <c r="F16" s="2">
        <v>45868</v>
      </c>
      <c r="G16">
        <v>159</v>
      </c>
      <c r="H16">
        <v>79</v>
      </c>
      <c r="I16">
        <v>99</v>
      </c>
      <c r="J16">
        <v>30</v>
      </c>
      <c r="M16">
        <v>0</v>
      </c>
      <c r="N16">
        <v>3</v>
      </c>
      <c r="O16">
        <v>3</v>
      </c>
      <c r="P16" t="s">
        <v>69</v>
      </c>
      <c r="Q16" t="s">
        <v>355</v>
      </c>
      <c r="R16" t="s">
        <v>67</v>
      </c>
      <c r="S16" t="b">
        <v>0</v>
      </c>
      <c r="T16" t="b">
        <v>0</v>
      </c>
      <c r="U16" t="s">
        <v>1626</v>
      </c>
      <c r="V16" t="s">
        <v>1627</v>
      </c>
      <c r="W16" t="s">
        <v>1628</v>
      </c>
      <c r="X16" t="s">
        <v>356</v>
      </c>
      <c r="Y16" t="s">
        <v>1629</v>
      </c>
      <c r="Z16" t="s">
        <v>1564</v>
      </c>
      <c r="AC16" t="s">
        <v>1905</v>
      </c>
      <c r="AD16" t="b">
        <v>0</v>
      </c>
      <c r="AE16" t="b">
        <v>0</v>
      </c>
    </row>
    <row r="17" spans="1:31" x14ac:dyDescent="0.35">
      <c r="A17" s="18" t="s">
        <v>3705</v>
      </c>
      <c r="B17" t="s">
        <v>1630</v>
      </c>
      <c r="C17" t="s">
        <v>1563</v>
      </c>
      <c r="D17" s="2">
        <v>45849</v>
      </c>
      <c r="E17" s="2"/>
      <c r="F17" s="2">
        <v>45899</v>
      </c>
      <c r="G17">
        <v>99</v>
      </c>
      <c r="H17">
        <v>79</v>
      </c>
      <c r="I17">
        <v>99</v>
      </c>
      <c r="J17">
        <v>30</v>
      </c>
      <c r="M17">
        <v>0</v>
      </c>
      <c r="N17">
        <v>5</v>
      </c>
      <c r="O17">
        <v>5</v>
      </c>
      <c r="P17" t="s">
        <v>69</v>
      </c>
      <c r="Q17" t="s">
        <v>368</v>
      </c>
      <c r="R17" t="s">
        <v>107</v>
      </c>
      <c r="S17" t="b">
        <v>0</v>
      </c>
      <c r="T17" t="b">
        <v>0</v>
      </c>
      <c r="U17" t="s">
        <v>1631</v>
      </c>
      <c r="V17" t="s">
        <v>1632</v>
      </c>
      <c r="W17" t="s">
        <v>1633</v>
      </c>
      <c r="X17" t="s">
        <v>369</v>
      </c>
      <c r="Y17" t="s">
        <v>1634</v>
      </c>
      <c r="Z17" t="s">
        <v>1564</v>
      </c>
      <c r="AC17" t="s">
        <v>1905</v>
      </c>
      <c r="AD17" t="b">
        <v>0</v>
      </c>
      <c r="AE17" t="b">
        <v>0</v>
      </c>
    </row>
    <row r="18" spans="1:31" x14ac:dyDescent="0.35">
      <c r="A18" s="18" t="s">
        <v>3706</v>
      </c>
      <c r="B18" t="s">
        <v>1635</v>
      </c>
      <c r="C18" t="s">
        <v>1563</v>
      </c>
      <c r="D18" s="2">
        <v>45860</v>
      </c>
      <c r="E18" s="2">
        <v>45891</v>
      </c>
      <c r="F18" s="2">
        <v>45930</v>
      </c>
      <c r="G18">
        <v>159</v>
      </c>
      <c r="H18">
        <v>79</v>
      </c>
      <c r="I18">
        <v>99</v>
      </c>
      <c r="J18">
        <v>30</v>
      </c>
      <c r="M18">
        <v>0</v>
      </c>
      <c r="N18">
        <v>5</v>
      </c>
      <c r="O18">
        <v>4</v>
      </c>
      <c r="P18" t="s">
        <v>69</v>
      </c>
      <c r="Q18" t="s">
        <v>377</v>
      </c>
      <c r="R18" t="s">
        <v>67</v>
      </c>
      <c r="S18" t="b">
        <v>0</v>
      </c>
      <c r="T18" t="b">
        <v>0</v>
      </c>
      <c r="U18" t="s">
        <v>1636</v>
      </c>
      <c r="V18" t="s">
        <v>1637</v>
      </c>
      <c r="W18" t="s">
        <v>1638</v>
      </c>
      <c r="X18" t="s">
        <v>378</v>
      </c>
      <c r="Y18" t="s">
        <v>1639</v>
      </c>
      <c r="Z18" t="s">
        <v>1564</v>
      </c>
      <c r="AC18" t="s">
        <v>1905</v>
      </c>
      <c r="AD18" t="b">
        <v>0</v>
      </c>
      <c r="AE18" t="b">
        <v>0</v>
      </c>
    </row>
    <row r="19" spans="1:31" x14ac:dyDescent="0.35">
      <c r="A19" s="18" t="s">
        <v>3708</v>
      </c>
      <c r="B19" t="s">
        <v>1640</v>
      </c>
      <c r="C19" t="s">
        <v>1563</v>
      </c>
      <c r="D19" s="2">
        <v>45874</v>
      </c>
      <c r="E19" s="2"/>
      <c r="F19" s="2">
        <v>45930</v>
      </c>
      <c r="G19">
        <v>159</v>
      </c>
      <c r="H19">
        <v>79</v>
      </c>
      <c r="I19">
        <v>99</v>
      </c>
      <c r="J19">
        <v>30</v>
      </c>
      <c r="M19">
        <v>0</v>
      </c>
      <c r="N19">
        <v>5</v>
      </c>
      <c r="O19">
        <v>5</v>
      </c>
      <c r="P19" t="s">
        <v>69</v>
      </c>
      <c r="Q19" t="s">
        <v>406</v>
      </c>
      <c r="R19" t="s">
        <v>67</v>
      </c>
      <c r="S19" t="b">
        <v>0</v>
      </c>
      <c r="T19" t="b">
        <v>0</v>
      </c>
      <c r="U19" t="s">
        <v>1641</v>
      </c>
      <c r="V19" t="s">
        <v>1642</v>
      </c>
      <c r="W19" t="s">
        <v>1643</v>
      </c>
      <c r="X19" t="s">
        <v>407</v>
      </c>
      <c r="Y19" t="s">
        <v>1644</v>
      </c>
      <c r="Z19" t="s">
        <v>1564</v>
      </c>
      <c r="AC19" t="s">
        <v>1905</v>
      </c>
      <c r="AD19" t="b">
        <v>0</v>
      </c>
      <c r="AE19" t="b">
        <v>0</v>
      </c>
    </row>
    <row r="20" spans="1:31" x14ac:dyDescent="0.35">
      <c r="A20" s="18" t="s">
        <v>3709</v>
      </c>
      <c r="B20" t="s">
        <v>1645</v>
      </c>
      <c r="C20" t="s">
        <v>1563</v>
      </c>
      <c r="D20" s="2">
        <v>45899</v>
      </c>
      <c r="E20" s="2"/>
      <c r="F20" s="2">
        <v>45930</v>
      </c>
      <c r="G20">
        <v>99</v>
      </c>
      <c r="H20">
        <v>99</v>
      </c>
      <c r="I20">
        <v>99</v>
      </c>
      <c r="J20">
        <v>30</v>
      </c>
      <c r="M20">
        <v>0</v>
      </c>
      <c r="N20">
        <v>4</v>
      </c>
      <c r="O20">
        <v>5</v>
      </c>
      <c r="P20" t="s">
        <v>69</v>
      </c>
      <c r="Q20" t="s">
        <v>414</v>
      </c>
      <c r="R20" t="s">
        <v>67</v>
      </c>
      <c r="S20" t="b">
        <v>0</v>
      </c>
      <c r="T20" t="b">
        <v>0</v>
      </c>
      <c r="U20" t="s">
        <v>1646</v>
      </c>
      <c r="V20" t="s">
        <v>1647</v>
      </c>
      <c r="W20" t="s">
        <v>1648</v>
      </c>
      <c r="X20" t="s">
        <v>415</v>
      </c>
      <c r="Y20" t="s">
        <v>1649</v>
      </c>
      <c r="Z20" t="s">
        <v>1564</v>
      </c>
      <c r="AC20" t="s">
        <v>1905</v>
      </c>
      <c r="AD20" t="b">
        <v>0</v>
      </c>
      <c r="AE20" t="b">
        <v>0</v>
      </c>
    </row>
    <row r="21" spans="1:31" x14ac:dyDescent="0.35">
      <c r="A21" s="18" t="s">
        <v>3710</v>
      </c>
      <c r="B21" t="s">
        <v>1650</v>
      </c>
      <c r="C21" t="s">
        <v>1563</v>
      </c>
      <c r="D21" s="2">
        <v>45894</v>
      </c>
      <c r="E21" s="2"/>
      <c r="F21" s="2">
        <v>45930</v>
      </c>
      <c r="G21">
        <v>119</v>
      </c>
      <c r="H21">
        <v>75</v>
      </c>
      <c r="I21">
        <v>99</v>
      </c>
      <c r="J21">
        <v>1</v>
      </c>
      <c r="K21">
        <v>30</v>
      </c>
      <c r="L21" t="s">
        <v>1571</v>
      </c>
      <c r="M21">
        <v>0</v>
      </c>
      <c r="N21">
        <v>1</v>
      </c>
      <c r="O21">
        <v>1</v>
      </c>
      <c r="P21" t="s">
        <v>69</v>
      </c>
      <c r="Q21" t="s">
        <v>429</v>
      </c>
      <c r="R21" t="s">
        <v>67</v>
      </c>
      <c r="S21" t="b">
        <v>0</v>
      </c>
      <c r="T21" t="b">
        <v>0</v>
      </c>
      <c r="U21" t="s">
        <v>1651</v>
      </c>
      <c r="V21" t="s">
        <v>1652</v>
      </c>
      <c r="W21" t="s">
        <v>1653</v>
      </c>
      <c r="X21" t="s">
        <v>424</v>
      </c>
      <c r="Y21" t="s">
        <v>1654</v>
      </c>
      <c r="Z21" t="s">
        <v>1564</v>
      </c>
      <c r="AC21" t="s">
        <v>1905</v>
      </c>
      <c r="AD21" t="b">
        <v>0</v>
      </c>
      <c r="AE21" t="b">
        <v>0</v>
      </c>
    </row>
    <row r="22" spans="1:31" x14ac:dyDescent="0.35">
      <c r="A22" s="18" t="s">
        <v>3712</v>
      </c>
      <c r="B22" t="s">
        <v>1655</v>
      </c>
      <c r="C22" t="s">
        <v>1563</v>
      </c>
      <c r="D22" s="2">
        <v>45944</v>
      </c>
      <c r="E22" s="2"/>
      <c r="F22" s="2">
        <v>45991</v>
      </c>
      <c r="G22">
        <v>149</v>
      </c>
      <c r="H22">
        <v>69</v>
      </c>
      <c r="I22">
        <v>99</v>
      </c>
      <c r="J22">
        <v>30</v>
      </c>
      <c r="M22">
        <v>0</v>
      </c>
      <c r="N22">
        <v>5</v>
      </c>
      <c r="O22">
        <v>5</v>
      </c>
      <c r="P22" t="s">
        <v>69</v>
      </c>
      <c r="Q22" t="s">
        <v>479</v>
      </c>
      <c r="R22" t="s">
        <v>67</v>
      </c>
      <c r="S22" t="b">
        <v>0</v>
      </c>
      <c r="T22" t="b">
        <v>0</v>
      </c>
      <c r="U22" t="s">
        <v>1656</v>
      </c>
      <c r="V22" t="s">
        <v>1657</v>
      </c>
      <c r="W22" t="s">
        <v>1658</v>
      </c>
      <c r="X22" t="s">
        <v>480</v>
      </c>
      <c r="Y22" t="s">
        <v>1659</v>
      </c>
      <c r="Z22" t="s">
        <v>1564</v>
      </c>
      <c r="AC22" t="s">
        <v>1905</v>
      </c>
      <c r="AD22" t="b">
        <v>0</v>
      </c>
      <c r="AE22" t="b">
        <v>0</v>
      </c>
    </row>
    <row r="23" spans="1:31" x14ac:dyDescent="0.35">
      <c r="A23" s="18" t="s">
        <v>3713</v>
      </c>
      <c r="B23" t="s">
        <v>1660</v>
      </c>
      <c r="C23" t="s">
        <v>1563</v>
      </c>
      <c r="D23" s="2">
        <v>45961</v>
      </c>
      <c r="E23" s="2"/>
      <c r="F23" s="2">
        <v>45991</v>
      </c>
      <c r="G23">
        <v>149</v>
      </c>
      <c r="H23">
        <v>69</v>
      </c>
      <c r="I23">
        <v>99</v>
      </c>
      <c r="J23">
        <v>30</v>
      </c>
      <c r="M23">
        <v>0</v>
      </c>
      <c r="N23">
        <v>5</v>
      </c>
      <c r="O23">
        <v>5</v>
      </c>
      <c r="P23" t="s">
        <v>69</v>
      </c>
      <c r="Q23" t="s">
        <v>489</v>
      </c>
      <c r="R23" t="s">
        <v>107</v>
      </c>
      <c r="S23" t="b">
        <v>0</v>
      </c>
      <c r="T23" t="b">
        <v>0</v>
      </c>
      <c r="U23" t="s">
        <v>1661</v>
      </c>
      <c r="V23" t="s">
        <v>1662</v>
      </c>
      <c r="W23" t="s">
        <v>1663</v>
      </c>
      <c r="X23" t="s">
        <v>490</v>
      </c>
      <c r="Y23" t="s">
        <v>1664</v>
      </c>
      <c r="Z23" t="s">
        <v>1564</v>
      </c>
      <c r="AC23" t="s">
        <v>1905</v>
      </c>
      <c r="AD23" t="b">
        <v>0</v>
      </c>
      <c r="AE23" t="b">
        <v>0</v>
      </c>
    </row>
    <row r="24" spans="1:31" x14ac:dyDescent="0.35">
      <c r="A24" s="18" t="s">
        <v>3714</v>
      </c>
      <c r="B24" t="s">
        <v>1665</v>
      </c>
      <c r="C24" t="s">
        <v>1563</v>
      </c>
      <c r="D24" s="2">
        <v>45974</v>
      </c>
      <c r="E24" s="2">
        <v>45988</v>
      </c>
      <c r="F24" s="2">
        <v>46021</v>
      </c>
      <c r="G24">
        <v>149</v>
      </c>
      <c r="H24">
        <v>69</v>
      </c>
      <c r="I24">
        <v>99</v>
      </c>
      <c r="J24">
        <v>30</v>
      </c>
      <c r="M24">
        <v>0</v>
      </c>
      <c r="N24">
        <v>5</v>
      </c>
      <c r="O24">
        <v>5</v>
      </c>
      <c r="P24" t="s">
        <v>69</v>
      </c>
      <c r="Q24" t="s">
        <v>515</v>
      </c>
      <c r="R24" t="s">
        <v>67</v>
      </c>
      <c r="S24" t="b">
        <v>0</v>
      </c>
      <c r="T24" t="b">
        <v>0</v>
      </c>
      <c r="U24" t="s">
        <v>1666</v>
      </c>
      <c r="V24" t="s">
        <v>1667</v>
      </c>
      <c r="W24" t="s">
        <v>1668</v>
      </c>
      <c r="X24" t="s">
        <v>516</v>
      </c>
      <c r="Y24" t="s">
        <v>1669</v>
      </c>
      <c r="Z24" t="s">
        <v>1564</v>
      </c>
      <c r="AC24" t="s">
        <v>1905</v>
      </c>
      <c r="AD24" t="b">
        <v>0</v>
      </c>
      <c r="AE24" t="b">
        <v>0</v>
      </c>
    </row>
    <row r="25" spans="1:31" x14ac:dyDescent="0.35">
      <c r="A25" s="18" t="s">
        <v>3715</v>
      </c>
      <c r="B25" t="s">
        <v>1674</v>
      </c>
      <c r="C25" t="s">
        <v>1563</v>
      </c>
      <c r="D25" s="2"/>
      <c r="E25" s="2"/>
      <c r="F25" s="2">
        <v>46001</v>
      </c>
      <c r="H25">
        <v>69</v>
      </c>
      <c r="I25">
        <v>99</v>
      </c>
      <c r="J25">
        <v>10</v>
      </c>
      <c r="M25">
        <v>0</v>
      </c>
      <c r="N25">
        <v>1</v>
      </c>
      <c r="O25">
        <v>2</v>
      </c>
      <c r="P25" t="s">
        <v>69</v>
      </c>
      <c r="Q25" t="s">
        <v>562</v>
      </c>
      <c r="R25" t="s">
        <v>67</v>
      </c>
      <c r="S25" t="b">
        <v>0</v>
      </c>
      <c r="T25" t="b">
        <v>0</v>
      </c>
      <c r="U25" t="s">
        <v>1675</v>
      </c>
      <c r="V25" t="s">
        <v>1676</v>
      </c>
      <c r="W25" t="s">
        <v>1677</v>
      </c>
      <c r="X25" t="s">
        <v>563</v>
      </c>
      <c r="Y25" t="s">
        <v>1678</v>
      </c>
      <c r="Z25" t="s">
        <v>1564</v>
      </c>
      <c r="AD25" t="b">
        <v>0</v>
      </c>
      <c r="AE25" t="b">
        <v>0</v>
      </c>
    </row>
    <row r="26" spans="1:31" x14ac:dyDescent="0.35">
      <c r="A26" s="18" t="s">
        <v>3716</v>
      </c>
      <c r="B26" t="s">
        <v>1679</v>
      </c>
      <c r="C26" t="s">
        <v>1563</v>
      </c>
      <c r="D26" s="2"/>
      <c r="E26" s="2"/>
      <c r="F26" s="2">
        <v>46021</v>
      </c>
      <c r="H26">
        <v>69</v>
      </c>
      <c r="I26">
        <v>99</v>
      </c>
      <c r="J26">
        <v>30</v>
      </c>
      <c r="M26">
        <v>0</v>
      </c>
      <c r="N26">
        <v>1</v>
      </c>
      <c r="O26">
        <v>2</v>
      </c>
      <c r="P26" t="s">
        <v>69</v>
      </c>
      <c r="Q26" t="s">
        <v>581</v>
      </c>
      <c r="R26" t="s">
        <v>67</v>
      </c>
      <c r="S26" t="b">
        <v>0</v>
      </c>
      <c r="T26" t="b">
        <v>0</v>
      </c>
      <c r="U26" t="s">
        <v>1680</v>
      </c>
      <c r="V26" t="s">
        <v>1681</v>
      </c>
      <c r="W26" t="s">
        <v>1682</v>
      </c>
      <c r="X26" t="s">
        <v>582</v>
      </c>
      <c r="Y26" t="s">
        <v>1683</v>
      </c>
      <c r="Z26" t="s">
        <v>1564</v>
      </c>
      <c r="AD26" t="b">
        <v>0</v>
      </c>
      <c r="AE26" t="b">
        <v>0</v>
      </c>
    </row>
    <row r="27" spans="1:31" x14ac:dyDescent="0.35">
      <c r="A27" s="18" t="s">
        <v>3717</v>
      </c>
      <c r="B27" t="s">
        <v>1684</v>
      </c>
      <c r="C27" t="s">
        <v>1563</v>
      </c>
      <c r="D27" s="2"/>
      <c r="E27" s="2"/>
      <c r="F27" s="2">
        <v>46021</v>
      </c>
      <c r="H27">
        <v>69</v>
      </c>
      <c r="I27">
        <v>99</v>
      </c>
      <c r="J27">
        <v>30</v>
      </c>
      <c r="M27">
        <v>0</v>
      </c>
      <c r="N27">
        <v>1</v>
      </c>
      <c r="O27">
        <v>-1</v>
      </c>
      <c r="P27" t="s">
        <v>69</v>
      </c>
      <c r="Q27" t="s">
        <v>575</v>
      </c>
      <c r="R27" t="s">
        <v>67</v>
      </c>
      <c r="S27" t="b">
        <v>0</v>
      </c>
      <c r="T27" t="b">
        <v>0</v>
      </c>
      <c r="U27" t="s">
        <v>1685</v>
      </c>
      <c r="V27" t="s">
        <v>1686</v>
      </c>
      <c r="W27" t="s">
        <v>1687</v>
      </c>
      <c r="X27" t="s">
        <v>576</v>
      </c>
      <c r="Y27" t="s">
        <v>1688</v>
      </c>
      <c r="Z27" t="s">
        <v>1564</v>
      </c>
      <c r="AD27" t="b">
        <v>0</v>
      </c>
      <c r="AE27" t="b">
        <v>0</v>
      </c>
    </row>
    <row r="28" spans="1:31" x14ac:dyDescent="0.35">
      <c r="A28" s="18" t="s">
        <v>3718</v>
      </c>
      <c r="B28" t="s">
        <v>1689</v>
      </c>
      <c r="C28" t="s">
        <v>1563</v>
      </c>
      <c r="D28" s="2">
        <v>45993</v>
      </c>
      <c r="E28" s="2"/>
      <c r="F28" s="2">
        <v>46037</v>
      </c>
      <c r="G28">
        <v>149</v>
      </c>
      <c r="H28">
        <v>79</v>
      </c>
      <c r="I28">
        <v>99</v>
      </c>
      <c r="J28">
        <v>15</v>
      </c>
      <c r="M28">
        <v>0</v>
      </c>
      <c r="N28">
        <v>0</v>
      </c>
      <c r="O28">
        <v>-1</v>
      </c>
      <c r="P28" t="s">
        <v>69</v>
      </c>
      <c r="Q28" t="s">
        <v>1398</v>
      </c>
      <c r="R28" t="s">
        <v>67</v>
      </c>
      <c r="S28" t="b">
        <v>0</v>
      </c>
      <c r="T28" t="b">
        <v>0</v>
      </c>
      <c r="U28" t="s">
        <v>1690</v>
      </c>
      <c r="V28" t="s">
        <v>1691</v>
      </c>
      <c r="W28" t="s">
        <v>1692</v>
      </c>
      <c r="X28" t="s">
        <v>1399</v>
      </c>
      <c r="Y28" t="s">
        <v>1693</v>
      </c>
      <c r="Z28" t="s">
        <v>1564</v>
      </c>
      <c r="AC28" t="s">
        <v>1906</v>
      </c>
      <c r="AD28" t="b">
        <v>0</v>
      </c>
      <c r="AE28" t="b">
        <v>0</v>
      </c>
    </row>
    <row r="29" spans="1:31" x14ac:dyDescent="0.35">
      <c r="A29" s="18" t="s">
        <v>3719</v>
      </c>
      <c r="B29" t="s">
        <v>1694</v>
      </c>
      <c r="C29" t="s">
        <v>1563</v>
      </c>
      <c r="D29" s="2">
        <v>46006</v>
      </c>
      <c r="E29" s="2"/>
      <c r="F29" s="2">
        <v>46052</v>
      </c>
      <c r="G29">
        <v>149</v>
      </c>
      <c r="H29">
        <v>79</v>
      </c>
      <c r="I29">
        <v>99</v>
      </c>
      <c r="J29">
        <v>30</v>
      </c>
      <c r="M29">
        <v>0</v>
      </c>
      <c r="N29">
        <v>2</v>
      </c>
      <c r="O29">
        <v>2</v>
      </c>
      <c r="P29" t="s">
        <v>69</v>
      </c>
      <c r="Q29" t="s">
        <v>587</v>
      </c>
      <c r="R29" t="s">
        <v>67</v>
      </c>
      <c r="S29" t="b">
        <v>0</v>
      </c>
      <c r="T29" t="b">
        <v>1</v>
      </c>
      <c r="U29" t="s">
        <v>1695</v>
      </c>
      <c r="V29" t="s">
        <v>1696</v>
      </c>
      <c r="W29" t="s">
        <v>1697</v>
      </c>
      <c r="X29" t="s">
        <v>588</v>
      </c>
      <c r="Y29" t="s">
        <v>1698</v>
      </c>
      <c r="Z29" t="s">
        <v>1564</v>
      </c>
      <c r="AC29" t="s">
        <v>1905</v>
      </c>
      <c r="AD29" t="b">
        <v>0</v>
      </c>
      <c r="AE29" t="b">
        <v>0</v>
      </c>
    </row>
    <row r="30" spans="1:31" x14ac:dyDescent="0.35">
      <c r="A30" s="18" t="s">
        <v>3720</v>
      </c>
      <c r="B30" t="s">
        <v>2337</v>
      </c>
      <c r="C30" t="s">
        <v>1563</v>
      </c>
      <c r="D30" s="2">
        <v>46001</v>
      </c>
      <c r="E30" s="2"/>
      <c r="F30" s="2">
        <v>46052</v>
      </c>
      <c r="G30">
        <v>149</v>
      </c>
      <c r="H30">
        <v>79</v>
      </c>
      <c r="I30">
        <v>99</v>
      </c>
      <c r="J30">
        <v>30</v>
      </c>
      <c r="M30">
        <v>0</v>
      </c>
      <c r="N30">
        <v>2</v>
      </c>
      <c r="O30">
        <v>2</v>
      </c>
      <c r="P30" t="s">
        <v>69</v>
      </c>
      <c r="Q30" t="s">
        <v>596</v>
      </c>
      <c r="R30" t="s">
        <v>67</v>
      </c>
      <c r="S30" t="b">
        <v>1</v>
      </c>
      <c r="T30" t="b">
        <v>0</v>
      </c>
      <c r="U30" t="s">
        <v>2338</v>
      </c>
      <c r="V30" t="s">
        <v>2120</v>
      </c>
      <c r="W30" t="s">
        <v>2339</v>
      </c>
      <c r="X30" t="s">
        <v>597</v>
      </c>
      <c r="Y30" t="s">
        <v>2124</v>
      </c>
      <c r="Z30" t="s">
        <v>1564</v>
      </c>
      <c r="AC30" t="s">
        <v>1905</v>
      </c>
      <c r="AD30" t="b">
        <v>0</v>
      </c>
      <c r="AE30" t="b">
        <v>0</v>
      </c>
    </row>
    <row r="31" spans="1:31" x14ac:dyDescent="0.35">
      <c r="A31" s="18" t="s">
        <v>3721</v>
      </c>
      <c r="B31" t="s">
        <v>1699</v>
      </c>
      <c r="C31" t="s">
        <v>1563</v>
      </c>
      <c r="D31" s="2">
        <v>46041</v>
      </c>
      <c r="E31" s="2">
        <v>46055</v>
      </c>
      <c r="F31" s="2">
        <v>46083</v>
      </c>
      <c r="G31">
        <v>149</v>
      </c>
      <c r="H31">
        <v>79</v>
      </c>
      <c r="I31">
        <v>99</v>
      </c>
      <c r="J31">
        <v>2</v>
      </c>
      <c r="M31">
        <v>0</v>
      </c>
      <c r="N31">
        <v>2</v>
      </c>
      <c r="O31">
        <v>2</v>
      </c>
      <c r="P31" t="s">
        <v>69</v>
      </c>
      <c r="Q31" t="s">
        <v>604</v>
      </c>
      <c r="R31" t="s">
        <v>67</v>
      </c>
      <c r="S31" t="b">
        <v>0</v>
      </c>
      <c r="T31" t="b">
        <v>1</v>
      </c>
      <c r="U31" t="s">
        <v>1700</v>
      </c>
      <c r="V31" t="s">
        <v>1701</v>
      </c>
      <c r="W31" t="s">
        <v>1702</v>
      </c>
      <c r="X31" t="s">
        <v>605</v>
      </c>
      <c r="Y31" t="s">
        <v>1703</v>
      </c>
      <c r="Z31" t="s">
        <v>1564</v>
      </c>
      <c r="AC31" t="s">
        <v>1905</v>
      </c>
      <c r="AD31" t="b">
        <v>0</v>
      </c>
      <c r="AE31" t="b">
        <v>0</v>
      </c>
    </row>
    <row r="32" spans="1:31" x14ac:dyDescent="0.35">
      <c r="A32" s="18" t="s">
        <v>3722</v>
      </c>
      <c r="B32" t="s">
        <v>1704</v>
      </c>
      <c r="C32" t="s">
        <v>1563</v>
      </c>
      <c r="D32" s="2">
        <v>46017</v>
      </c>
      <c r="E32" s="2"/>
      <c r="F32" s="2">
        <v>46052</v>
      </c>
      <c r="G32">
        <v>149</v>
      </c>
      <c r="H32">
        <v>79</v>
      </c>
      <c r="I32">
        <v>99</v>
      </c>
      <c r="J32">
        <v>30</v>
      </c>
      <c r="M32">
        <v>0</v>
      </c>
      <c r="N32">
        <v>4</v>
      </c>
      <c r="O32">
        <v>5</v>
      </c>
      <c r="P32" t="s">
        <v>69</v>
      </c>
      <c r="Q32" t="s">
        <v>616</v>
      </c>
      <c r="R32" t="s">
        <v>67</v>
      </c>
      <c r="S32" t="b">
        <v>0</v>
      </c>
      <c r="T32" t="b">
        <v>0</v>
      </c>
      <c r="U32" t="s">
        <v>1705</v>
      </c>
      <c r="V32" t="s">
        <v>1706</v>
      </c>
      <c r="W32" t="s">
        <v>1707</v>
      </c>
      <c r="X32" t="s">
        <v>617</v>
      </c>
      <c r="Y32" t="s">
        <v>1708</v>
      </c>
      <c r="Z32" t="s">
        <v>1564</v>
      </c>
      <c r="AC32" t="s">
        <v>1905</v>
      </c>
      <c r="AD32" t="b">
        <v>0</v>
      </c>
      <c r="AE32" t="b">
        <v>0</v>
      </c>
    </row>
    <row r="33" spans="1:31" x14ac:dyDescent="0.35">
      <c r="A33" s="18" t="s">
        <v>3723</v>
      </c>
      <c r="B33" t="s">
        <v>1709</v>
      </c>
      <c r="C33" t="s">
        <v>1563</v>
      </c>
      <c r="D33" s="2">
        <v>46008</v>
      </c>
      <c r="E33" s="2"/>
      <c r="F33" s="2">
        <v>46037</v>
      </c>
      <c r="G33">
        <v>149</v>
      </c>
      <c r="H33">
        <v>79</v>
      </c>
      <c r="I33">
        <v>99</v>
      </c>
      <c r="J33">
        <v>15</v>
      </c>
      <c r="M33">
        <v>0</v>
      </c>
      <c r="N33">
        <v>1</v>
      </c>
      <c r="O33">
        <v>1</v>
      </c>
      <c r="P33" t="s">
        <v>69</v>
      </c>
      <c r="Q33" t="s">
        <v>622</v>
      </c>
      <c r="R33" t="s">
        <v>67</v>
      </c>
      <c r="S33" t="b">
        <v>0</v>
      </c>
      <c r="T33" t="b">
        <v>1</v>
      </c>
      <c r="U33" t="s">
        <v>1710</v>
      </c>
      <c r="V33" t="s">
        <v>1711</v>
      </c>
      <c r="W33" t="s">
        <v>1712</v>
      </c>
      <c r="X33" t="s">
        <v>623</v>
      </c>
      <c r="Y33" t="s">
        <v>1713</v>
      </c>
      <c r="Z33" t="s">
        <v>1564</v>
      </c>
      <c r="AC33" t="s">
        <v>1905</v>
      </c>
      <c r="AD33" t="b">
        <v>0</v>
      </c>
      <c r="AE33" t="b">
        <v>0</v>
      </c>
    </row>
    <row r="34" spans="1:31" x14ac:dyDescent="0.35">
      <c r="A34" s="18" t="s">
        <v>3724</v>
      </c>
      <c r="B34" t="s">
        <v>2340</v>
      </c>
      <c r="C34" t="s">
        <v>1563</v>
      </c>
      <c r="D34" s="2">
        <v>46038</v>
      </c>
      <c r="E34" s="2">
        <v>46052</v>
      </c>
      <c r="F34" s="2">
        <v>46069</v>
      </c>
      <c r="G34">
        <v>149</v>
      </c>
      <c r="H34">
        <v>79</v>
      </c>
      <c r="I34">
        <v>99</v>
      </c>
      <c r="J34">
        <v>16</v>
      </c>
      <c r="M34">
        <v>0</v>
      </c>
      <c r="N34">
        <v>3</v>
      </c>
      <c r="O34">
        <v>3</v>
      </c>
      <c r="P34" t="s">
        <v>69</v>
      </c>
      <c r="Q34" t="s">
        <v>634</v>
      </c>
      <c r="R34" t="s">
        <v>67</v>
      </c>
      <c r="S34" t="b">
        <v>1</v>
      </c>
      <c r="T34" t="b">
        <v>0</v>
      </c>
      <c r="U34" t="s">
        <v>2341</v>
      </c>
      <c r="V34" t="s">
        <v>2149</v>
      </c>
      <c r="W34" t="s">
        <v>2342</v>
      </c>
      <c r="X34" t="s">
        <v>635</v>
      </c>
      <c r="Y34" t="s">
        <v>2153</v>
      </c>
      <c r="Z34" t="s">
        <v>1564</v>
      </c>
      <c r="AC34" t="s">
        <v>1905</v>
      </c>
      <c r="AD34" t="b">
        <v>0</v>
      </c>
      <c r="AE34" t="b">
        <v>0</v>
      </c>
    </row>
    <row r="35" spans="1:31" x14ac:dyDescent="0.35">
      <c r="A35" s="18" t="s">
        <v>3725</v>
      </c>
      <c r="B35" t="s">
        <v>1714</v>
      </c>
      <c r="C35" t="s">
        <v>1563</v>
      </c>
      <c r="D35" s="2">
        <v>46017</v>
      </c>
      <c r="E35" s="2"/>
      <c r="F35" s="2">
        <v>46052</v>
      </c>
      <c r="G35">
        <v>119</v>
      </c>
      <c r="H35">
        <v>119</v>
      </c>
      <c r="I35">
        <v>12</v>
      </c>
      <c r="J35">
        <v>30</v>
      </c>
      <c r="M35">
        <v>0</v>
      </c>
      <c r="N35">
        <v>9</v>
      </c>
      <c r="O35">
        <v>3</v>
      </c>
      <c r="P35" t="s">
        <v>69</v>
      </c>
      <c r="Q35" t="s">
        <v>630</v>
      </c>
      <c r="R35" t="s">
        <v>98</v>
      </c>
      <c r="S35" t="b">
        <v>0</v>
      </c>
      <c r="T35" t="b">
        <v>1</v>
      </c>
      <c r="U35" t="s">
        <v>1715</v>
      </c>
      <c r="V35" t="s">
        <v>1716</v>
      </c>
      <c r="W35" t="s">
        <v>1717</v>
      </c>
      <c r="X35" t="s">
        <v>631</v>
      </c>
      <c r="Y35" t="s">
        <v>1718</v>
      </c>
      <c r="Z35" t="s">
        <v>1564</v>
      </c>
      <c r="AC35" t="s">
        <v>1905</v>
      </c>
      <c r="AD35" t="b">
        <v>0</v>
      </c>
      <c r="AE35" t="b">
        <v>0</v>
      </c>
    </row>
    <row r="36" spans="1:31" x14ac:dyDescent="0.35">
      <c r="A36" s="18" t="s">
        <v>3726</v>
      </c>
      <c r="B36" t="s">
        <v>1719</v>
      </c>
      <c r="C36" t="s">
        <v>1563</v>
      </c>
      <c r="D36" s="2">
        <v>46052</v>
      </c>
      <c r="E36" s="2"/>
      <c r="F36" s="2">
        <v>46080</v>
      </c>
      <c r="G36">
        <v>119</v>
      </c>
      <c r="H36">
        <v>119</v>
      </c>
      <c r="I36">
        <v>12</v>
      </c>
      <c r="J36">
        <v>27</v>
      </c>
      <c r="M36">
        <v>0</v>
      </c>
      <c r="N36">
        <v>9</v>
      </c>
      <c r="O36">
        <v>2</v>
      </c>
      <c r="P36" t="s">
        <v>69</v>
      </c>
      <c r="Q36" t="s">
        <v>644</v>
      </c>
      <c r="R36" t="s">
        <v>98</v>
      </c>
      <c r="S36" t="b">
        <v>0</v>
      </c>
      <c r="T36" t="b">
        <v>1</v>
      </c>
      <c r="U36" t="s">
        <v>1720</v>
      </c>
      <c r="V36" t="s">
        <v>1721</v>
      </c>
      <c r="W36" t="s">
        <v>1722</v>
      </c>
      <c r="X36" t="s">
        <v>645</v>
      </c>
      <c r="Y36" t="s">
        <v>1723</v>
      </c>
      <c r="Z36" t="s">
        <v>1564</v>
      </c>
      <c r="AC36" t="s">
        <v>1905</v>
      </c>
      <c r="AD36" t="b">
        <v>0</v>
      </c>
      <c r="AE36" t="b">
        <v>0</v>
      </c>
    </row>
    <row r="37" spans="1:31" x14ac:dyDescent="0.35">
      <c r="A37" s="18" t="s">
        <v>3727</v>
      </c>
      <c r="B37" t="s">
        <v>1724</v>
      </c>
      <c r="C37" t="s">
        <v>1563</v>
      </c>
      <c r="D37" s="2">
        <v>46009</v>
      </c>
      <c r="E37" s="2"/>
      <c r="F37" s="2">
        <v>46040</v>
      </c>
      <c r="G37">
        <v>149</v>
      </c>
      <c r="H37">
        <v>79</v>
      </c>
      <c r="I37">
        <v>79</v>
      </c>
      <c r="J37">
        <v>30</v>
      </c>
      <c r="K37">
        <v>18</v>
      </c>
      <c r="L37" t="s">
        <v>1571</v>
      </c>
      <c r="M37">
        <v>0</v>
      </c>
      <c r="N37">
        <v>0</v>
      </c>
      <c r="O37">
        <v>0</v>
      </c>
      <c r="P37" t="s">
        <v>69</v>
      </c>
      <c r="Q37" t="s">
        <v>650</v>
      </c>
      <c r="R37" t="s">
        <v>67</v>
      </c>
      <c r="S37" t="b">
        <v>0</v>
      </c>
      <c r="T37" t="b">
        <v>0</v>
      </c>
      <c r="U37" t="s">
        <v>1725</v>
      </c>
      <c r="V37" t="s">
        <v>1726</v>
      </c>
      <c r="W37" t="s">
        <v>1727</v>
      </c>
      <c r="X37" t="s">
        <v>651</v>
      </c>
      <c r="Y37" t="s">
        <v>1728</v>
      </c>
      <c r="Z37" t="s">
        <v>1564</v>
      </c>
      <c r="AC37" t="s">
        <v>1906</v>
      </c>
      <c r="AD37" t="b">
        <v>0</v>
      </c>
      <c r="AE37" t="b">
        <v>0</v>
      </c>
    </row>
    <row r="38" spans="1:31" x14ac:dyDescent="0.35">
      <c r="A38" s="18" t="s">
        <v>3728</v>
      </c>
      <c r="B38" t="s">
        <v>1729</v>
      </c>
      <c r="C38" t="s">
        <v>1563</v>
      </c>
      <c r="D38" s="2">
        <v>46021</v>
      </c>
      <c r="E38" s="2"/>
      <c r="F38" s="2">
        <v>46031</v>
      </c>
      <c r="G38">
        <v>25</v>
      </c>
      <c r="H38">
        <v>99</v>
      </c>
      <c r="I38">
        <v>99</v>
      </c>
      <c r="J38">
        <v>9</v>
      </c>
      <c r="M38">
        <v>0</v>
      </c>
      <c r="N38">
        <v>1</v>
      </c>
      <c r="O38">
        <v>1</v>
      </c>
      <c r="P38" t="s">
        <v>69</v>
      </c>
      <c r="Q38" t="s">
        <v>694</v>
      </c>
      <c r="R38" t="s">
        <v>67</v>
      </c>
      <c r="S38" t="b">
        <v>0</v>
      </c>
      <c r="T38" t="b">
        <v>1</v>
      </c>
      <c r="U38" t="s">
        <v>1730</v>
      </c>
      <c r="V38" t="s">
        <v>1731</v>
      </c>
      <c r="W38" t="s">
        <v>1732</v>
      </c>
      <c r="X38" t="s">
        <v>695</v>
      </c>
      <c r="Y38" t="s">
        <v>1733</v>
      </c>
      <c r="Z38" t="s">
        <v>1564</v>
      </c>
      <c r="AC38" t="s">
        <v>1905</v>
      </c>
      <c r="AD38" t="b">
        <v>0</v>
      </c>
      <c r="AE38" t="b">
        <v>0</v>
      </c>
    </row>
    <row r="39" spans="1:31" x14ac:dyDescent="0.35">
      <c r="A39" s="18" t="s">
        <v>3729</v>
      </c>
      <c r="B39" t="s">
        <v>1734</v>
      </c>
      <c r="C39" t="s">
        <v>1563</v>
      </c>
      <c r="D39" s="2">
        <v>46024</v>
      </c>
      <c r="E39" s="2"/>
      <c r="F39" s="2">
        <v>46059</v>
      </c>
      <c r="G39">
        <v>99</v>
      </c>
      <c r="H39">
        <v>99</v>
      </c>
      <c r="I39">
        <v>99</v>
      </c>
      <c r="J39">
        <v>6</v>
      </c>
      <c r="M39">
        <v>0</v>
      </c>
      <c r="N39">
        <v>1</v>
      </c>
      <c r="O39">
        <v>1</v>
      </c>
      <c r="P39" t="s">
        <v>69</v>
      </c>
      <c r="Q39" t="s">
        <v>702</v>
      </c>
      <c r="R39" t="s">
        <v>67</v>
      </c>
      <c r="S39" t="b">
        <v>0</v>
      </c>
      <c r="T39" t="b">
        <v>1</v>
      </c>
      <c r="U39" t="s">
        <v>1735</v>
      </c>
      <c r="V39" t="s">
        <v>1736</v>
      </c>
      <c r="W39" t="s">
        <v>1737</v>
      </c>
      <c r="X39" t="s">
        <v>703</v>
      </c>
      <c r="Y39" t="s">
        <v>1738</v>
      </c>
      <c r="Z39" t="s">
        <v>1564</v>
      </c>
      <c r="AC39" t="s">
        <v>1905</v>
      </c>
      <c r="AD39" t="b">
        <v>0</v>
      </c>
      <c r="AE39" t="b">
        <v>0</v>
      </c>
    </row>
    <row r="40" spans="1:31" x14ac:dyDescent="0.35">
      <c r="A40" s="18" t="s">
        <v>3730</v>
      </c>
      <c r="B40" t="s">
        <v>1739</v>
      </c>
      <c r="C40" t="s">
        <v>1563</v>
      </c>
      <c r="D40" s="2">
        <v>46052</v>
      </c>
      <c r="E40" s="2"/>
      <c r="F40" s="2">
        <v>46081</v>
      </c>
      <c r="G40">
        <v>99</v>
      </c>
      <c r="H40">
        <v>99</v>
      </c>
      <c r="I40">
        <v>99</v>
      </c>
      <c r="J40">
        <v>28</v>
      </c>
      <c r="M40">
        <v>0</v>
      </c>
      <c r="N40">
        <v>2</v>
      </c>
      <c r="O40">
        <v>2</v>
      </c>
      <c r="P40" t="s">
        <v>69</v>
      </c>
      <c r="Q40" t="s">
        <v>710</v>
      </c>
      <c r="R40" t="s">
        <v>67</v>
      </c>
      <c r="S40" t="b">
        <v>0</v>
      </c>
      <c r="T40" t="b">
        <v>1</v>
      </c>
      <c r="U40" t="s">
        <v>1740</v>
      </c>
      <c r="V40" t="s">
        <v>1741</v>
      </c>
      <c r="W40" t="s">
        <v>1742</v>
      </c>
      <c r="X40" t="s">
        <v>711</v>
      </c>
      <c r="Y40" t="s">
        <v>1743</v>
      </c>
      <c r="Z40" t="s">
        <v>1564</v>
      </c>
      <c r="AC40" t="s">
        <v>1905</v>
      </c>
      <c r="AD40" t="b">
        <v>0</v>
      </c>
      <c r="AE40" t="b">
        <v>0</v>
      </c>
    </row>
    <row r="41" spans="1:31" x14ac:dyDescent="0.35">
      <c r="A41" s="18" t="s">
        <v>3731</v>
      </c>
      <c r="B41" t="s">
        <v>1744</v>
      </c>
      <c r="C41" t="s">
        <v>1563</v>
      </c>
      <c r="D41" s="2">
        <v>46031</v>
      </c>
      <c r="E41" s="2"/>
      <c r="F41" s="2">
        <v>46068</v>
      </c>
      <c r="G41">
        <v>99</v>
      </c>
      <c r="H41">
        <v>99</v>
      </c>
      <c r="I41">
        <v>99</v>
      </c>
      <c r="J41">
        <v>15</v>
      </c>
      <c r="M41">
        <v>0</v>
      </c>
      <c r="N41">
        <v>2</v>
      </c>
      <c r="O41">
        <v>3</v>
      </c>
      <c r="P41" t="s">
        <v>69</v>
      </c>
      <c r="Q41" t="s">
        <v>1002</v>
      </c>
      <c r="R41" t="s">
        <v>107</v>
      </c>
      <c r="S41" t="b">
        <v>0</v>
      </c>
      <c r="T41" t="b">
        <v>0</v>
      </c>
      <c r="U41" t="s">
        <v>1745</v>
      </c>
      <c r="V41" t="s">
        <v>1746</v>
      </c>
      <c r="W41" t="s">
        <v>1747</v>
      </c>
      <c r="X41" t="s">
        <v>717</v>
      </c>
      <c r="Y41" t="s">
        <v>1748</v>
      </c>
      <c r="Z41" t="s">
        <v>1564</v>
      </c>
      <c r="AC41" t="s">
        <v>1905</v>
      </c>
      <c r="AD41" t="b">
        <v>0</v>
      </c>
      <c r="AE41" t="b">
        <v>0</v>
      </c>
    </row>
    <row r="42" spans="1:31" x14ac:dyDescent="0.35">
      <c r="A42" s="18" t="s">
        <v>3732</v>
      </c>
      <c r="B42" t="s">
        <v>1749</v>
      </c>
      <c r="C42" t="s">
        <v>1563</v>
      </c>
      <c r="D42" s="2">
        <v>46038</v>
      </c>
      <c r="E42" s="2">
        <v>46052</v>
      </c>
      <c r="F42" s="2">
        <v>46080</v>
      </c>
      <c r="G42">
        <v>299</v>
      </c>
      <c r="H42">
        <v>49</v>
      </c>
      <c r="I42">
        <v>99</v>
      </c>
      <c r="J42">
        <v>27</v>
      </c>
      <c r="M42">
        <v>0</v>
      </c>
      <c r="N42">
        <v>5</v>
      </c>
      <c r="O42">
        <v>5</v>
      </c>
      <c r="P42" t="s">
        <v>69</v>
      </c>
      <c r="Q42" t="s">
        <v>731</v>
      </c>
      <c r="R42" t="s">
        <v>67</v>
      </c>
      <c r="S42" t="b">
        <v>0</v>
      </c>
      <c r="T42" t="b">
        <v>0</v>
      </c>
      <c r="U42" t="s">
        <v>1750</v>
      </c>
      <c r="V42" t="s">
        <v>1751</v>
      </c>
      <c r="W42" t="s">
        <v>1752</v>
      </c>
      <c r="X42" t="s">
        <v>732</v>
      </c>
      <c r="Y42" t="s">
        <v>1753</v>
      </c>
      <c r="Z42" t="s">
        <v>1564</v>
      </c>
      <c r="AC42" t="s">
        <v>1907</v>
      </c>
      <c r="AD42" t="b">
        <v>0</v>
      </c>
      <c r="AE42" t="b">
        <v>0</v>
      </c>
    </row>
    <row r="43" spans="1:31" x14ac:dyDescent="0.35">
      <c r="A43" s="18" t="s">
        <v>3733</v>
      </c>
      <c r="B43" t="s">
        <v>1754</v>
      </c>
      <c r="C43" t="s">
        <v>1563</v>
      </c>
      <c r="D43" s="2">
        <v>46036</v>
      </c>
      <c r="E43" s="2">
        <v>46045</v>
      </c>
      <c r="F43" s="2">
        <v>46080</v>
      </c>
      <c r="G43">
        <v>99</v>
      </c>
      <c r="H43">
        <v>99</v>
      </c>
      <c r="I43">
        <v>99</v>
      </c>
      <c r="J43">
        <v>30</v>
      </c>
      <c r="M43">
        <v>0</v>
      </c>
      <c r="N43">
        <v>2</v>
      </c>
      <c r="O43">
        <v>2</v>
      </c>
      <c r="P43" t="s">
        <v>69</v>
      </c>
      <c r="Q43" t="s">
        <v>744</v>
      </c>
      <c r="R43" t="s">
        <v>67</v>
      </c>
      <c r="S43" t="b">
        <v>0</v>
      </c>
      <c r="T43" t="b">
        <v>1</v>
      </c>
      <c r="U43" t="s">
        <v>1755</v>
      </c>
      <c r="V43" t="s">
        <v>1756</v>
      </c>
      <c r="W43" t="s">
        <v>1757</v>
      </c>
      <c r="X43" t="s">
        <v>745</v>
      </c>
      <c r="Y43" t="s">
        <v>1758</v>
      </c>
      <c r="Z43" t="s">
        <v>1564</v>
      </c>
      <c r="AC43" t="s">
        <v>1905</v>
      </c>
      <c r="AD43" t="b">
        <v>0</v>
      </c>
      <c r="AE43" t="b">
        <v>0</v>
      </c>
    </row>
    <row r="44" spans="1:31" x14ac:dyDescent="0.35">
      <c r="A44" s="18" t="s">
        <v>3734</v>
      </c>
      <c r="B44" t="s">
        <v>1759</v>
      </c>
      <c r="C44" t="s">
        <v>1563</v>
      </c>
      <c r="D44" s="2">
        <v>46043</v>
      </c>
      <c r="E44" s="2"/>
      <c r="F44" s="2">
        <v>46078</v>
      </c>
      <c r="G44">
        <v>99</v>
      </c>
      <c r="H44">
        <v>99</v>
      </c>
      <c r="I44">
        <v>99</v>
      </c>
      <c r="J44">
        <v>25</v>
      </c>
      <c r="M44">
        <v>0</v>
      </c>
      <c r="N44">
        <v>4</v>
      </c>
      <c r="O44">
        <v>5</v>
      </c>
      <c r="P44" t="s">
        <v>69</v>
      </c>
      <c r="Q44" t="s">
        <v>755</v>
      </c>
      <c r="R44" t="s">
        <v>67</v>
      </c>
      <c r="S44" t="b">
        <v>0</v>
      </c>
      <c r="T44" t="b">
        <v>0</v>
      </c>
      <c r="U44" t="s">
        <v>1760</v>
      </c>
      <c r="V44" t="s">
        <v>1761</v>
      </c>
      <c r="W44" t="s">
        <v>1762</v>
      </c>
      <c r="X44" t="s">
        <v>752</v>
      </c>
      <c r="Y44" t="s">
        <v>1763</v>
      </c>
      <c r="Z44" t="s">
        <v>1564</v>
      </c>
      <c r="AC44" t="s">
        <v>1905</v>
      </c>
      <c r="AD44" t="b">
        <v>0</v>
      </c>
      <c r="AE44" t="b">
        <v>0</v>
      </c>
    </row>
    <row r="45" spans="1:31" x14ac:dyDescent="0.35">
      <c r="A45" s="18" t="s">
        <v>3735</v>
      </c>
      <c r="B45" t="s">
        <v>1764</v>
      </c>
      <c r="C45" t="s">
        <v>1563</v>
      </c>
      <c r="D45" s="2">
        <v>46037</v>
      </c>
      <c r="E45" s="2">
        <v>46048</v>
      </c>
      <c r="F45" s="2">
        <v>46081</v>
      </c>
      <c r="G45">
        <v>99</v>
      </c>
      <c r="H45">
        <v>99</v>
      </c>
      <c r="I45">
        <v>99</v>
      </c>
      <c r="J45">
        <v>30</v>
      </c>
      <c r="M45">
        <v>0</v>
      </c>
      <c r="N45">
        <v>1</v>
      </c>
      <c r="O45">
        <v>1</v>
      </c>
      <c r="P45" t="s">
        <v>69</v>
      </c>
      <c r="Q45" t="s">
        <v>760</v>
      </c>
      <c r="R45" t="s">
        <v>67</v>
      </c>
      <c r="S45" t="b">
        <v>0</v>
      </c>
      <c r="T45" t="b">
        <v>1</v>
      </c>
      <c r="U45" t="s">
        <v>1765</v>
      </c>
      <c r="V45" t="s">
        <v>1766</v>
      </c>
      <c r="W45" t="s">
        <v>1767</v>
      </c>
      <c r="X45" t="s">
        <v>761</v>
      </c>
      <c r="Y45" t="s">
        <v>1768</v>
      </c>
      <c r="Z45" t="s">
        <v>1564</v>
      </c>
      <c r="AC45" t="s">
        <v>1905</v>
      </c>
      <c r="AD45" t="b">
        <v>0</v>
      </c>
      <c r="AE45" t="b">
        <v>0</v>
      </c>
    </row>
    <row r="46" spans="1:31" x14ac:dyDescent="0.35">
      <c r="A46" s="18" t="s">
        <v>3736</v>
      </c>
      <c r="B46" t="s">
        <v>1769</v>
      </c>
      <c r="C46" t="s">
        <v>1563</v>
      </c>
      <c r="D46" s="2">
        <v>46052</v>
      </c>
      <c r="E46" s="2">
        <v>46066</v>
      </c>
      <c r="F46" s="2">
        <v>46111</v>
      </c>
      <c r="G46">
        <v>99</v>
      </c>
      <c r="H46">
        <v>99</v>
      </c>
      <c r="I46">
        <v>99</v>
      </c>
      <c r="J46">
        <v>30</v>
      </c>
      <c r="M46">
        <v>0</v>
      </c>
      <c r="N46">
        <v>2</v>
      </c>
      <c r="O46">
        <v>2</v>
      </c>
      <c r="P46" t="s">
        <v>69</v>
      </c>
      <c r="Q46" t="s">
        <v>768</v>
      </c>
      <c r="R46" t="s">
        <v>67</v>
      </c>
      <c r="S46" t="b">
        <v>0</v>
      </c>
      <c r="T46" t="b">
        <v>1</v>
      </c>
      <c r="U46" t="s">
        <v>1770</v>
      </c>
      <c r="V46" t="s">
        <v>1771</v>
      </c>
      <c r="W46" t="s">
        <v>1772</v>
      </c>
      <c r="X46" t="s">
        <v>769</v>
      </c>
      <c r="Y46" t="s">
        <v>1773</v>
      </c>
      <c r="Z46" t="s">
        <v>1564</v>
      </c>
      <c r="AC46" t="s">
        <v>1905</v>
      </c>
      <c r="AD46" t="b">
        <v>0</v>
      </c>
      <c r="AE46" t="b">
        <v>0</v>
      </c>
    </row>
    <row r="47" spans="1:31" x14ac:dyDescent="0.35">
      <c r="A47" s="18" t="s">
        <v>3737</v>
      </c>
      <c r="B47" t="s">
        <v>1774</v>
      </c>
      <c r="C47" t="s">
        <v>1563</v>
      </c>
      <c r="D47" s="2">
        <v>46042</v>
      </c>
      <c r="E47" s="2"/>
      <c r="F47" s="2">
        <v>46081</v>
      </c>
      <c r="G47">
        <v>99</v>
      </c>
      <c r="H47">
        <v>99</v>
      </c>
      <c r="I47">
        <v>99</v>
      </c>
      <c r="J47">
        <v>30</v>
      </c>
      <c r="M47">
        <v>0</v>
      </c>
      <c r="N47">
        <v>2</v>
      </c>
      <c r="O47">
        <v>3</v>
      </c>
      <c r="P47" t="s">
        <v>69</v>
      </c>
      <c r="Q47" t="s">
        <v>778</v>
      </c>
      <c r="R47" t="s">
        <v>67</v>
      </c>
      <c r="S47" t="b">
        <v>0</v>
      </c>
      <c r="T47" t="b">
        <v>1</v>
      </c>
      <c r="U47" t="s">
        <v>1775</v>
      </c>
      <c r="V47" t="s">
        <v>1776</v>
      </c>
      <c r="W47" t="s">
        <v>1777</v>
      </c>
      <c r="X47" t="s">
        <v>779</v>
      </c>
      <c r="Y47" t="s">
        <v>1778</v>
      </c>
      <c r="Z47" t="s">
        <v>1564</v>
      </c>
      <c r="AC47" t="s">
        <v>1905</v>
      </c>
      <c r="AD47" t="b">
        <v>0</v>
      </c>
      <c r="AE47" t="b">
        <v>0</v>
      </c>
    </row>
    <row r="48" spans="1:31" x14ac:dyDescent="0.35">
      <c r="A48" s="18" t="s">
        <v>3738</v>
      </c>
      <c r="B48" t="s">
        <v>1779</v>
      </c>
      <c r="C48" t="s">
        <v>1563</v>
      </c>
      <c r="D48" s="2">
        <v>46050</v>
      </c>
      <c r="E48" s="2"/>
      <c r="F48" s="2">
        <v>46078</v>
      </c>
      <c r="G48">
        <v>139</v>
      </c>
      <c r="H48">
        <v>139</v>
      </c>
      <c r="I48">
        <v>12</v>
      </c>
      <c r="J48">
        <v>25</v>
      </c>
      <c r="M48">
        <v>0</v>
      </c>
      <c r="N48">
        <v>10</v>
      </c>
      <c r="O48">
        <v>3</v>
      </c>
      <c r="P48" t="s">
        <v>69</v>
      </c>
      <c r="Q48" t="s">
        <v>802</v>
      </c>
      <c r="R48" t="s">
        <v>98</v>
      </c>
      <c r="S48" t="b">
        <v>0</v>
      </c>
      <c r="T48" t="b">
        <v>1</v>
      </c>
      <c r="U48" t="s">
        <v>1780</v>
      </c>
      <c r="V48" t="s">
        <v>1781</v>
      </c>
      <c r="W48" t="s">
        <v>1782</v>
      </c>
      <c r="X48" t="s">
        <v>803</v>
      </c>
      <c r="Y48" t="s">
        <v>1783</v>
      </c>
      <c r="Z48" t="s">
        <v>1564</v>
      </c>
      <c r="AC48" t="s">
        <v>1905</v>
      </c>
      <c r="AD48" t="b">
        <v>0</v>
      </c>
      <c r="AE48" t="b">
        <v>0</v>
      </c>
    </row>
    <row r="49" spans="1:31" x14ac:dyDescent="0.35">
      <c r="A49" s="18" t="s">
        <v>3739</v>
      </c>
      <c r="B49" t="s">
        <v>1784</v>
      </c>
      <c r="C49" t="s">
        <v>1563</v>
      </c>
      <c r="D49" s="2">
        <v>46049</v>
      </c>
      <c r="E49" s="2"/>
      <c r="F49" s="2">
        <v>46080</v>
      </c>
      <c r="G49">
        <v>99</v>
      </c>
      <c r="H49">
        <v>99</v>
      </c>
      <c r="I49">
        <v>99</v>
      </c>
      <c r="J49">
        <v>27</v>
      </c>
      <c r="M49">
        <v>0</v>
      </c>
      <c r="N49">
        <v>2</v>
      </c>
      <c r="O49">
        <v>2</v>
      </c>
      <c r="P49" t="s">
        <v>69</v>
      </c>
      <c r="Q49" t="s">
        <v>811</v>
      </c>
      <c r="R49" t="s">
        <v>67</v>
      </c>
      <c r="S49" t="b">
        <v>0</v>
      </c>
      <c r="T49" t="b">
        <v>1</v>
      </c>
      <c r="U49" t="s">
        <v>1785</v>
      </c>
      <c r="V49" t="s">
        <v>1786</v>
      </c>
      <c r="W49" t="s">
        <v>1787</v>
      </c>
      <c r="X49" t="s">
        <v>812</v>
      </c>
      <c r="Y49" t="s">
        <v>1788</v>
      </c>
      <c r="Z49" t="s">
        <v>1564</v>
      </c>
      <c r="AC49" t="s">
        <v>1905</v>
      </c>
      <c r="AD49" t="b">
        <v>0</v>
      </c>
      <c r="AE49" t="b">
        <v>0</v>
      </c>
    </row>
    <row r="50" spans="1:31" x14ac:dyDescent="0.35">
      <c r="A50" s="18" t="s">
        <v>3740</v>
      </c>
      <c r="B50" t="s">
        <v>1789</v>
      </c>
      <c r="C50" t="s">
        <v>1563</v>
      </c>
      <c r="D50" s="2">
        <v>46052</v>
      </c>
      <c r="E50" s="2"/>
      <c r="F50" s="2">
        <v>46081</v>
      </c>
      <c r="G50">
        <v>99</v>
      </c>
      <c r="H50">
        <v>99</v>
      </c>
      <c r="I50">
        <v>99</v>
      </c>
      <c r="J50">
        <v>28</v>
      </c>
      <c r="M50">
        <v>0</v>
      </c>
      <c r="N50">
        <v>2</v>
      </c>
      <c r="O50">
        <v>2</v>
      </c>
      <c r="P50" t="s">
        <v>69</v>
      </c>
      <c r="Q50" t="s">
        <v>820</v>
      </c>
      <c r="R50" t="s">
        <v>67</v>
      </c>
      <c r="S50" t="b">
        <v>0</v>
      </c>
      <c r="T50" t="b">
        <v>1</v>
      </c>
      <c r="U50" t="s">
        <v>1790</v>
      </c>
      <c r="V50" t="s">
        <v>1791</v>
      </c>
      <c r="W50" t="s">
        <v>1792</v>
      </c>
      <c r="X50" t="s">
        <v>821</v>
      </c>
      <c r="Y50" t="s">
        <v>1793</v>
      </c>
      <c r="Z50" t="s">
        <v>1564</v>
      </c>
      <c r="AC50" t="s">
        <v>1905</v>
      </c>
      <c r="AD50" t="b">
        <v>0</v>
      </c>
      <c r="AE50" t="b">
        <v>0</v>
      </c>
    </row>
    <row r="51" spans="1:31" x14ac:dyDescent="0.35">
      <c r="A51" s="18" t="s">
        <v>3741</v>
      </c>
      <c r="B51" t="s">
        <v>1794</v>
      </c>
      <c r="C51" t="s">
        <v>1563</v>
      </c>
      <c r="D51" s="2">
        <v>46048</v>
      </c>
      <c r="E51" s="2">
        <v>46068</v>
      </c>
      <c r="F51" s="2">
        <v>46096</v>
      </c>
      <c r="G51">
        <v>99</v>
      </c>
      <c r="H51">
        <v>99</v>
      </c>
      <c r="I51">
        <v>99</v>
      </c>
      <c r="J51">
        <v>15</v>
      </c>
      <c r="M51">
        <v>0</v>
      </c>
      <c r="N51">
        <v>1</v>
      </c>
      <c r="O51">
        <v>1</v>
      </c>
      <c r="P51" t="s">
        <v>69</v>
      </c>
      <c r="Q51" t="s">
        <v>836</v>
      </c>
      <c r="R51" t="s">
        <v>67</v>
      </c>
      <c r="S51" t="b">
        <v>0</v>
      </c>
      <c r="T51" t="b">
        <v>1</v>
      </c>
      <c r="U51" t="s">
        <v>1795</v>
      </c>
      <c r="V51" t="s">
        <v>1796</v>
      </c>
      <c r="W51" t="s">
        <v>1797</v>
      </c>
      <c r="X51" t="s">
        <v>837</v>
      </c>
      <c r="Y51" t="s">
        <v>1798</v>
      </c>
      <c r="Z51" t="s">
        <v>1564</v>
      </c>
      <c r="AC51" t="s">
        <v>1905</v>
      </c>
      <c r="AD51" t="b">
        <v>0</v>
      </c>
      <c r="AE51" t="b">
        <v>0</v>
      </c>
    </row>
    <row r="52" spans="1:31" x14ac:dyDescent="0.35">
      <c r="A52" s="18" t="s">
        <v>3742</v>
      </c>
      <c r="B52" t="s">
        <v>1799</v>
      </c>
      <c r="C52" t="s">
        <v>1563</v>
      </c>
      <c r="D52" s="2">
        <v>46052</v>
      </c>
      <c r="E52" s="2"/>
      <c r="F52" s="2">
        <v>46081</v>
      </c>
      <c r="G52">
        <v>99</v>
      </c>
      <c r="H52">
        <v>99</v>
      </c>
      <c r="I52">
        <v>99</v>
      </c>
      <c r="J52">
        <v>30</v>
      </c>
      <c r="M52">
        <v>0</v>
      </c>
      <c r="N52">
        <v>1</v>
      </c>
      <c r="O52">
        <v>2</v>
      </c>
      <c r="P52" t="s">
        <v>69</v>
      </c>
      <c r="Q52" t="s">
        <v>849</v>
      </c>
      <c r="R52" t="s">
        <v>67</v>
      </c>
      <c r="S52" t="b">
        <v>0</v>
      </c>
      <c r="T52" t="b">
        <v>0</v>
      </c>
      <c r="U52" t="s">
        <v>1800</v>
      </c>
      <c r="V52" t="s">
        <v>1801</v>
      </c>
      <c r="W52" t="s">
        <v>1802</v>
      </c>
      <c r="X52" t="s">
        <v>846</v>
      </c>
      <c r="Y52" t="s">
        <v>1803</v>
      </c>
      <c r="Z52" t="s">
        <v>1564</v>
      </c>
      <c r="AC52" t="s">
        <v>1905</v>
      </c>
      <c r="AD52" t="b">
        <v>0</v>
      </c>
      <c r="AE52" t="b">
        <v>0</v>
      </c>
    </row>
    <row r="53" spans="1:31" x14ac:dyDescent="0.35">
      <c r="A53" s="18" t="s">
        <v>3743</v>
      </c>
      <c r="B53" t="s">
        <v>1804</v>
      </c>
      <c r="C53" t="s">
        <v>1563</v>
      </c>
      <c r="D53" s="2">
        <v>46050</v>
      </c>
      <c r="E53" s="2">
        <v>46081</v>
      </c>
      <c r="F53" s="2">
        <v>46111</v>
      </c>
      <c r="G53">
        <v>99</v>
      </c>
      <c r="H53">
        <v>99</v>
      </c>
      <c r="I53">
        <v>99</v>
      </c>
      <c r="J53">
        <v>30</v>
      </c>
      <c r="M53">
        <v>0</v>
      </c>
      <c r="N53">
        <v>2</v>
      </c>
      <c r="O53">
        <v>2</v>
      </c>
      <c r="P53" t="s">
        <v>69</v>
      </c>
      <c r="Q53" t="s">
        <v>856</v>
      </c>
      <c r="R53" t="s">
        <v>67</v>
      </c>
      <c r="S53" t="b">
        <v>0</v>
      </c>
      <c r="T53" t="b">
        <v>1</v>
      </c>
      <c r="U53" t="s">
        <v>1805</v>
      </c>
      <c r="V53" t="s">
        <v>1806</v>
      </c>
      <c r="W53" t="s">
        <v>1807</v>
      </c>
      <c r="X53" t="s">
        <v>857</v>
      </c>
      <c r="Y53" t="s">
        <v>1808</v>
      </c>
      <c r="Z53" t="s">
        <v>1564</v>
      </c>
      <c r="AC53" t="s">
        <v>1905</v>
      </c>
      <c r="AD53" t="b">
        <v>0</v>
      </c>
      <c r="AE53" t="b">
        <v>0</v>
      </c>
    </row>
    <row r="54" spans="1:31" x14ac:dyDescent="0.35">
      <c r="A54" s="18" t="s">
        <v>3744</v>
      </c>
      <c r="B54" t="s">
        <v>1809</v>
      </c>
      <c r="C54" t="s">
        <v>1563</v>
      </c>
      <c r="D54" s="2">
        <v>46059</v>
      </c>
      <c r="E54" s="2"/>
      <c r="F54" s="2">
        <v>46111</v>
      </c>
      <c r="G54">
        <v>99</v>
      </c>
      <c r="H54">
        <v>99</v>
      </c>
      <c r="I54">
        <v>99</v>
      </c>
      <c r="J54">
        <v>30</v>
      </c>
      <c r="K54">
        <v>0</v>
      </c>
      <c r="L54" t="s">
        <v>1571</v>
      </c>
      <c r="M54">
        <v>0</v>
      </c>
      <c r="N54">
        <v>2</v>
      </c>
      <c r="O54">
        <v>2</v>
      </c>
      <c r="P54" t="s">
        <v>69</v>
      </c>
      <c r="Q54" t="s">
        <v>918</v>
      </c>
      <c r="R54" t="s">
        <v>107</v>
      </c>
      <c r="S54" t="b">
        <v>0</v>
      </c>
      <c r="T54" t="b">
        <v>0</v>
      </c>
      <c r="U54" t="s">
        <v>1810</v>
      </c>
      <c r="V54" t="s">
        <v>1811</v>
      </c>
      <c r="W54" t="s">
        <v>1812</v>
      </c>
      <c r="X54" t="s">
        <v>919</v>
      </c>
      <c r="Y54" t="s">
        <v>1813</v>
      </c>
      <c r="Z54" t="s">
        <v>1564</v>
      </c>
      <c r="AC54" t="s">
        <v>1905</v>
      </c>
      <c r="AD54" t="b">
        <v>0</v>
      </c>
      <c r="AE54" t="b">
        <v>0</v>
      </c>
    </row>
    <row r="55" spans="1:31" x14ac:dyDescent="0.35">
      <c r="A55" s="18" t="s">
        <v>3745</v>
      </c>
      <c r="B55" t="s">
        <v>1814</v>
      </c>
      <c r="C55" t="s">
        <v>1563</v>
      </c>
      <c r="D55" s="2">
        <v>46073</v>
      </c>
      <c r="E55" s="2"/>
      <c r="F55" s="2">
        <v>46091</v>
      </c>
      <c r="G55">
        <v>199</v>
      </c>
      <c r="H55">
        <v>79</v>
      </c>
      <c r="I55">
        <v>99</v>
      </c>
      <c r="J55">
        <v>10</v>
      </c>
      <c r="M55">
        <v>0</v>
      </c>
      <c r="N55">
        <v>1</v>
      </c>
      <c r="O55">
        <v>2</v>
      </c>
      <c r="P55" t="s">
        <v>69</v>
      </c>
      <c r="Q55" t="s">
        <v>950</v>
      </c>
      <c r="R55" t="s">
        <v>67</v>
      </c>
      <c r="S55" t="b">
        <v>0</v>
      </c>
      <c r="T55" t="b">
        <v>1</v>
      </c>
      <c r="U55" t="s">
        <v>1815</v>
      </c>
      <c r="V55" t="s">
        <v>1816</v>
      </c>
      <c r="W55" t="s">
        <v>1817</v>
      </c>
      <c r="X55" t="s">
        <v>951</v>
      </c>
      <c r="Y55" t="s">
        <v>1818</v>
      </c>
      <c r="Z55" t="s">
        <v>1564</v>
      </c>
      <c r="AC55" t="s">
        <v>1905</v>
      </c>
      <c r="AD55" t="b">
        <v>0</v>
      </c>
      <c r="AE55" t="b">
        <v>0</v>
      </c>
    </row>
    <row r="56" spans="1:31" x14ac:dyDescent="0.35">
      <c r="A56" s="18" t="s">
        <v>3746</v>
      </c>
      <c r="B56" t="s">
        <v>1819</v>
      </c>
      <c r="C56" t="s">
        <v>1563</v>
      </c>
      <c r="D56" s="2">
        <v>46160</v>
      </c>
      <c r="E56" s="2"/>
      <c r="F56" s="2">
        <v>46188</v>
      </c>
      <c r="G56">
        <v>99</v>
      </c>
      <c r="H56">
        <v>99</v>
      </c>
      <c r="I56">
        <v>99</v>
      </c>
      <c r="J56">
        <v>15</v>
      </c>
      <c r="M56">
        <v>0</v>
      </c>
      <c r="N56">
        <v>0</v>
      </c>
      <c r="O56">
        <v>-1</v>
      </c>
      <c r="P56" t="s">
        <v>69</v>
      </c>
      <c r="Q56" t="s">
        <v>1314</v>
      </c>
      <c r="R56" t="s">
        <v>67</v>
      </c>
      <c r="S56" t="b">
        <v>0</v>
      </c>
      <c r="T56" t="b">
        <v>0</v>
      </c>
      <c r="U56" t="s">
        <v>1820</v>
      </c>
      <c r="V56" t="s">
        <v>1821</v>
      </c>
      <c r="W56" t="s">
        <v>1822</v>
      </c>
      <c r="X56" t="s">
        <v>1315</v>
      </c>
      <c r="Y56" t="s">
        <v>1823</v>
      </c>
      <c r="Z56" t="s">
        <v>1564</v>
      </c>
      <c r="AC56" t="s">
        <v>1906</v>
      </c>
      <c r="AD56" t="b">
        <v>0</v>
      </c>
      <c r="AE56" t="b">
        <v>0</v>
      </c>
    </row>
    <row r="57" spans="1:31" x14ac:dyDescent="0.35">
      <c r="A57" s="18" t="s">
        <v>3747</v>
      </c>
      <c r="B57" t="s">
        <v>1824</v>
      </c>
      <c r="C57" t="s">
        <v>1563</v>
      </c>
      <c r="D57" s="2">
        <v>46171</v>
      </c>
      <c r="E57" s="2"/>
      <c r="F57" s="2">
        <v>46202</v>
      </c>
      <c r="G57">
        <v>99</v>
      </c>
      <c r="H57">
        <v>99</v>
      </c>
      <c r="I57">
        <v>99</v>
      </c>
      <c r="J57">
        <v>29</v>
      </c>
      <c r="M57">
        <v>0</v>
      </c>
      <c r="N57">
        <v>1</v>
      </c>
      <c r="O57">
        <v>1</v>
      </c>
      <c r="P57" t="s">
        <v>69</v>
      </c>
      <c r="Q57" t="s">
        <v>1176</v>
      </c>
      <c r="R57" t="s">
        <v>67</v>
      </c>
      <c r="S57" t="b">
        <v>0</v>
      </c>
      <c r="T57" t="b">
        <v>0</v>
      </c>
      <c r="U57" t="s">
        <v>1825</v>
      </c>
      <c r="V57" t="s">
        <v>1826</v>
      </c>
      <c r="W57" t="s">
        <v>1827</v>
      </c>
      <c r="X57" t="s">
        <v>1177</v>
      </c>
      <c r="Y57" t="s">
        <v>1828</v>
      </c>
      <c r="Z57" t="s">
        <v>1564</v>
      </c>
      <c r="AC57" t="s">
        <v>1907</v>
      </c>
      <c r="AD57" t="b">
        <v>0</v>
      </c>
      <c r="AE57" t="b">
        <v>0</v>
      </c>
    </row>
    <row r="58" spans="1:31" x14ac:dyDescent="0.35">
      <c r="A58" s="18" t="s">
        <v>3748</v>
      </c>
      <c r="B58" t="s">
        <v>1829</v>
      </c>
      <c r="C58" t="s">
        <v>1563</v>
      </c>
      <c r="D58" s="2">
        <v>46171</v>
      </c>
      <c r="E58" s="2"/>
      <c r="F58" s="2">
        <v>46178</v>
      </c>
      <c r="G58">
        <v>99</v>
      </c>
      <c r="H58">
        <v>99</v>
      </c>
      <c r="I58">
        <v>99</v>
      </c>
      <c r="J58">
        <v>5</v>
      </c>
      <c r="M58">
        <v>0</v>
      </c>
      <c r="N58">
        <v>0</v>
      </c>
      <c r="O58">
        <v>0</v>
      </c>
      <c r="P58" t="s">
        <v>69</v>
      </c>
      <c r="Q58" t="s">
        <v>1283</v>
      </c>
      <c r="R58" t="s">
        <v>67</v>
      </c>
      <c r="S58" t="b">
        <v>0</v>
      </c>
      <c r="T58" t="b">
        <v>0</v>
      </c>
      <c r="U58" t="s">
        <v>1830</v>
      </c>
      <c r="V58" t="s">
        <v>1831</v>
      </c>
      <c r="W58" t="s">
        <v>1832</v>
      </c>
      <c r="X58" t="s">
        <v>1185</v>
      </c>
      <c r="Y58" t="s">
        <v>1833</v>
      </c>
      <c r="Z58" t="s">
        <v>1564</v>
      </c>
      <c r="AC58" t="s">
        <v>1906</v>
      </c>
      <c r="AD58" t="b">
        <v>0</v>
      </c>
      <c r="AE58" t="b">
        <v>0</v>
      </c>
    </row>
    <row r="59" spans="1:31" x14ac:dyDescent="0.35">
      <c r="A59" s="18" t="s">
        <v>3749</v>
      </c>
      <c r="B59" t="s">
        <v>1834</v>
      </c>
      <c r="C59" t="s">
        <v>1563</v>
      </c>
      <c r="D59" s="2">
        <v>46174</v>
      </c>
      <c r="E59" s="2"/>
      <c r="F59" s="2">
        <v>46218</v>
      </c>
      <c r="G59">
        <v>99</v>
      </c>
      <c r="H59">
        <v>99</v>
      </c>
      <c r="I59">
        <v>99</v>
      </c>
      <c r="J59">
        <v>15</v>
      </c>
      <c r="M59">
        <v>0</v>
      </c>
      <c r="N59">
        <v>0</v>
      </c>
      <c r="O59">
        <v>0</v>
      </c>
      <c r="P59" t="s">
        <v>69</v>
      </c>
      <c r="Q59" t="s">
        <v>1193</v>
      </c>
      <c r="R59" t="s">
        <v>67</v>
      </c>
      <c r="S59" t="b">
        <v>0</v>
      </c>
      <c r="T59" t="b">
        <v>0</v>
      </c>
      <c r="U59" t="s">
        <v>1835</v>
      </c>
      <c r="V59" t="s">
        <v>1836</v>
      </c>
      <c r="W59" t="s">
        <v>1837</v>
      </c>
      <c r="X59" t="s">
        <v>1194</v>
      </c>
      <c r="Y59" t="s">
        <v>1838</v>
      </c>
      <c r="Z59" t="s">
        <v>1564</v>
      </c>
      <c r="AC59" t="s">
        <v>1907</v>
      </c>
      <c r="AD59" t="b">
        <v>0</v>
      </c>
      <c r="AE59" t="b">
        <v>0</v>
      </c>
    </row>
    <row r="60" spans="1:31" x14ac:dyDescent="0.35">
      <c r="A60" s="18" t="s">
        <v>3750</v>
      </c>
      <c r="B60" t="s">
        <v>1839</v>
      </c>
      <c r="C60" t="s">
        <v>1563</v>
      </c>
      <c r="D60" s="2">
        <v>46178</v>
      </c>
      <c r="E60" s="2"/>
      <c r="F60" s="2">
        <v>46228</v>
      </c>
      <c r="G60">
        <v>99</v>
      </c>
      <c r="H60">
        <v>99</v>
      </c>
      <c r="I60">
        <v>99</v>
      </c>
      <c r="J60">
        <v>25</v>
      </c>
      <c r="M60">
        <v>0</v>
      </c>
      <c r="N60">
        <v>0</v>
      </c>
      <c r="O60">
        <v>0</v>
      </c>
      <c r="P60" t="s">
        <v>69</v>
      </c>
      <c r="Q60" t="s">
        <v>1199</v>
      </c>
      <c r="R60" t="s">
        <v>67</v>
      </c>
      <c r="S60" t="b">
        <v>0</v>
      </c>
      <c r="T60" t="b">
        <v>0</v>
      </c>
      <c r="U60" t="s">
        <v>1840</v>
      </c>
      <c r="V60" t="s">
        <v>1841</v>
      </c>
      <c r="W60" t="s">
        <v>1842</v>
      </c>
      <c r="X60" t="s">
        <v>1200</v>
      </c>
      <c r="Y60" t="s">
        <v>1843</v>
      </c>
      <c r="Z60" t="s">
        <v>1564</v>
      </c>
      <c r="AC60" t="s">
        <v>1907</v>
      </c>
      <c r="AD60" t="b">
        <v>0</v>
      </c>
      <c r="AE60" t="b">
        <v>0</v>
      </c>
    </row>
    <row r="61" spans="1:31" x14ac:dyDescent="0.35">
      <c r="A61" s="18" t="s">
        <v>3751</v>
      </c>
      <c r="B61" t="s">
        <v>1844</v>
      </c>
      <c r="C61" t="s">
        <v>1563</v>
      </c>
      <c r="D61" s="2">
        <v>46171</v>
      </c>
      <c r="E61" s="2"/>
      <c r="F61" s="2">
        <v>46202</v>
      </c>
      <c r="G61">
        <v>99</v>
      </c>
      <c r="H61">
        <v>99</v>
      </c>
      <c r="I61">
        <v>99</v>
      </c>
      <c r="J61">
        <v>29</v>
      </c>
      <c r="M61">
        <v>0</v>
      </c>
      <c r="N61">
        <v>1</v>
      </c>
      <c r="O61">
        <v>1</v>
      </c>
      <c r="P61" t="s">
        <v>69</v>
      </c>
      <c r="Q61" t="s">
        <v>1214</v>
      </c>
      <c r="R61" t="s">
        <v>67</v>
      </c>
      <c r="S61" t="b">
        <v>0</v>
      </c>
      <c r="T61" t="b">
        <v>0</v>
      </c>
      <c r="U61" t="s">
        <v>1845</v>
      </c>
      <c r="V61" t="s">
        <v>1846</v>
      </c>
      <c r="W61" t="s">
        <v>1847</v>
      </c>
      <c r="X61" t="s">
        <v>1215</v>
      </c>
      <c r="Y61" t="s">
        <v>1848</v>
      </c>
      <c r="Z61" t="s">
        <v>1564</v>
      </c>
      <c r="AC61" t="s">
        <v>1907</v>
      </c>
      <c r="AD61" t="b">
        <v>0</v>
      </c>
      <c r="AE61" t="b">
        <v>0</v>
      </c>
    </row>
    <row r="62" spans="1:31" x14ac:dyDescent="0.35">
      <c r="A62" s="18" t="s">
        <v>3752</v>
      </c>
      <c r="B62" t="s">
        <v>1849</v>
      </c>
      <c r="C62" t="s">
        <v>1563</v>
      </c>
      <c r="D62" s="2">
        <v>46183</v>
      </c>
      <c r="E62" s="2"/>
      <c r="F62" s="2">
        <v>46218</v>
      </c>
      <c r="G62">
        <v>99</v>
      </c>
      <c r="H62">
        <v>99</v>
      </c>
      <c r="I62">
        <v>99</v>
      </c>
      <c r="J62">
        <v>15</v>
      </c>
      <c r="M62">
        <v>0</v>
      </c>
      <c r="N62">
        <v>0</v>
      </c>
      <c r="O62">
        <v>0</v>
      </c>
      <c r="P62" t="s">
        <v>69</v>
      </c>
      <c r="Q62" t="s">
        <v>1222</v>
      </c>
      <c r="R62" t="s">
        <v>67</v>
      </c>
      <c r="S62" t="b">
        <v>0</v>
      </c>
      <c r="T62" t="b">
        <v>0</v>
      </c>
      <c r="U62" t="s">
        <v>1850</v>
      </c>
      <c r="V62" t="s">
        <v>1851</v>
      </c>
      <c r="W62" t="s">
        <v>1852</v>
      </c>
      <c r="X62" t="s">
        <v>1223</v>
      </c>
      <c r="Y62" t="s">
        <v>1853</v>
      </c>
      <c r="Z62" t="s">
        <v>1564</v>
      </c>
      <c r="AC62" t="s">
        <v>1907</v>
      </c>
      <c r="AD62" t="b">
        <v>0</v>
      </c>
      <c r="AE62" t="b">
        <v>0</v>
      </c>
    </row>
    <row r="63" spans="1:31" x14ac:dyDescent="0.35">
      <c r="A63" s="18" t="s">
        <v>3753</v>
      </c>
      <c r="B63" t="s">
        <v>1854</v>
      </c>
      <c r="C63" t="s">
        <v>1563</v>
      </c>
      <c r="D63" s="2">
        <v>46177</v>
      </c>
      <c r="E63" s="2"/>
      <c r="F63" s="2">
        <v>46205</v>
      </c>
      <c r="G63">
        <v>99</v>
      </c>
      <c r="H63">
        <v>99</v>
      </c>
      <c r="I63">
        <v>99</v>
      </c>
      <c r="J63">
        <v>2</v>
      </c>
      <c r="M63">
        <v>0</v>
      </c>
      <c r="N63">
        <v>0</v>
      </c>
      <c r="O63">
        <v>1</v>
      </c>
      <c r="P63" t="s">
        <v>69</v>
      </c>
      <c r="Q63" t="s">
        <v>1290</v>
      </c>
      <c r="R63" t="s">
        <v>67</v>
      </c>
      <c r="S63" t="b">
        <v>0</v>
      </c>
      <c r="T63" t="b">
        <v>0</v>
      </c>
      <c r="U63" t="s">
        <v>1855</v>
      </c>
      <c r="V63" t="s">
        <v>1856</v>
      </c>
      <c r="W63" t="s">
        <v>1857</v>
      </c>
      <c r="X63" t="s">
        <v>1287</v>
      </c>
      <c r="Y63" t="s">
        <v>1858</v>
      </c>
      <c r="Z63" t="s">
        <v>1564</v>
      </c>
      <c r="AC63" t="s">
        <v>1907</v>
      </c>
      <c r="AD63" t="b">
        <v>0</v>
      </c>
      <c r="AE63" t="b">
        <v>0</v>
      </c>
    </row>
    <row r="64" spans="1:31" x14ac:dyDescent="0.35">
      <c r="A64" s="18" t="s">
        <v>3790</v>
      </c>
      <c r="B64" t="s">
        <v>1859</v>
      </c>
      <c r="C64" t="s">
        <v>1563</v>
      </c>
      <c r="D64" s="2">
        <v>46233</v>
      </c>
      <c r="E64" s="2"/>
      <c r="F64" s="2">
        <v>46264</v>
      </c>
      <c r="G64">
        <v>139</v>
      </c>
      <c r="H64">
        <v>139</v>
      </c>
      <c r="I64">
        <v>12</v>
      </c>
      <c r="J64">
        <v>30</v>
      </c>
      <c r="M64">
        <v>0</v>
      </c>
      <c r="N64">
        <v>0</v>
      </c>
      <c r="O64">
        <v>0</v>
      </c>
      <c r="P64" t="s">
        <v>69</v>
      </c>
      <c r="S64" t="b">
        <v>0</v>
      </c>
      <c r="T64" t="b">
        <v>0</v>
      </c>
      <c r="U64" t="s">
        <v>1860</v>
      </c>
      <c r="V64" t="s">
        <v>1861</v>
      </c>
      <c r="W64" t="s">
        <v>1862</v>
      </c>
      <c r="X64" t="s">
        <v>1863</v>
      </c>
      <c r="Y64" t="s">
        <v>1864</v>
      </c>
      <c r="Z64" t="s">
        <v>1564</v>
      </c>
      <c r="AC64" t="s">
        <v>1907</v>
      </c>
      <c r="AD64" t="b">
        <v>0</v>
      </c>
      <c r="AE64" t="b">
        <v>0</v>
      </c>
    </row>
    <row r="65" spans="1:31" x14ac:dyDescent="0.35">
      <c r="A65" s="18" t="s">
        <v>3791</v>
      </c>
      <c r="B65" t="s">
        <v>1865</v>
      </c>
      <c r="C65" t="s">
        <v>1619</v>
      </c>
      <c r="D65" s="2">
        <v>46233</v>
      </c>
      <c r="E65" s="2"/>
      <c r="F65" s="2">
        <v>46264</v>
      </c>
      <c r="G65">
        <v>129</v>
      </c>
      <c r="H65">
        <v>79</v>
      </c>
      <c r="I65">
        <v>99</v>
      </c>
      <c r="J65">
        <v>30</v>
      </c>
      <c r="M65">
        <v>0</v>
      </c>
      <c r="N65">
        <v>0</v>
      </c>
      <c r="O65">
        <v>0</v>
      </c>
      <c r="P65" t="s">
        <v>69</v>
      </c>
      <c r="S65" t="b">
        <v>0</v>
      </c>
      <c r="T65" t="b">
        <v>0</v>
      </c>
      <c r="U65" t="s">
        <v>1866</v>
      </c>
      <c r="V65" t="s">
        <v>1867</v>
      </c>
      <c r="W65" t="s">
        <v>1868</v>
      </c>
      <c r="X65" t="s">
        <v>1869</v>
      </c>
      <c r="Y65" t="s">
        <v>1870</v>
      </c>
      <c r="Z65" t="s">
        <v>1564</v>
      </c>
      <c r="AC65" t="s">
        <v>1907</v>
      </c>
      <c r="AD65" t="b">
        <v>0</v>
      </c>
      <c r="AE65" t="b">
        <v>0</v>
      </c>
    </row>
    <row r="66" spans="1:31" x14ac:dyDescent="0.35">
      <c r="A66" s="18" t="s">
        <v>3792</v>
      </c>
      <c r="B66" t="s">
        <v>1871</v>
      </c>
      <c r="C66" t="s">
        <v>1619</v>
      </c>
      <c r="D66" s="2">
        <v>46224</v>
      </c>
      <c r="E66" s="2"/>
      <c r="F66" s="2">
        <v>46264</v>
      </c>
      <c r="G66">
        <v>99</v>
      </c>
      <c r="H66">
        <v>99</v>
      </c>
      <c r="I66">
        <v>99</v>
      </c>
      <c r="J66">
        <v>30</v>
      </c>
      <c r="M66">
        <v>0</v>
      </c>
      <c r="N66">
        <v>1</v>
      </c>
      <c r="O66">
        <v>1</v>
      </c>
      <c r="P66" t="s">
        <v>69</v>
      </c>
      <c r="S66" t="b">
        <v>0</v>
      </c>
      <c r="T66" t="b">
        <v>0</v>
      </c>
      <c r="U66" t="s">
        <v>1872</v>
      </c>
      <c r="V66" t="s">
        <v>1873</v>
      </c>
      <c r="W66" t="s">
        <v>1874</v>
      </c>
      <c r="X66" t="s">
        <v>1875</v>
      </c>
      <c r="Y66" t="s">
        <v>1876</v>
      </c>
      <c r="Z66" t="s">
        <v>1564</v>
      </c>
      <c r="AC66" t="s">
        <v>1907</v>
      </c>
      <c r="AD66" t="b">
        <v>0</v>
      </c>
      <c r="AE66" t="b">
        <v>0</v>
      </c>
    </row>
    <row r="67" spans="1:31" x14ac:dyDescent="0.35">
      <c r="A67" s="18" t="s">
        <v>3793</v>
      </c>
      <c r="B67" t="s">
        <v>1877</v>
      </c>
      <c r="C67" t="s">
        <v>1619</v>
      </c>
      <c r="D67" s="2">
        <v>46225</v>
      </c>
      <c r="E67" s="2"/>
      <c r="F67" s="2">
        <v>46239</v>
      </c>
      <c r="G67">
        <v>99</v>
      </c>
      <c r="H67">
        <v>99</v>
      </c>
      <c r="I67">
        <v>99</v>
      </c>
      <c r="J67">
        <v>5</v>
      </c>
      <c r="M67">
        <v>0</v>
      </c>
      <c r="N67">
        <v>1</v>
      </c>
      <c r="O67">
        <v>1</v>
      </c>
      <c r="P67" t="s">
        <v>69</v>
      </c>
      <c r="S67" t="b">
        <v>0</v>
      </c>
      <c r="T67" t="b">
        <v>0</v>
      </c>
      <c r="U67" t="s">
        <v>1878</v>
      </c>
      <c r="V67" t="s">
        <v>1879</v>
      </c>
      <c r="W67" t="s">
        <v>1880</v>
      </c>
      <c r="X67" t="s">
        <v>1881</v>
      </c>
      <c r="Y67" t="s">
        <v>1882</v>
      </c>
      <c r="Z67" t="s">
        <v>1564</v>
      </c>
      <c r="AC67" t="s">
        <v>1907</v>
      </c>
      <c r="AD67" t="b">
        <v>0</v>
      </c>
      <c r="AE67" t="b">
        <v>0</v>
      </c>
    </row>
    <row r="68" spans="1:31" x14ac:dyDescent="0.35">
      <c r="A68" s="18" t="s">
        <v>3794</v>
      </c>
      <c r="B68" t="s">
        <v>1883</v>
      </c>
      <c r="C68" t="s">
        <v>1619</v>
      </c>
      <c r="D68" s="2">
        <v>46241</v>
      </c>
      <c r="E68" s="2"/>
      <c r="F68" s="2">
        <v>46272</v>
      </c>
      <c r="G68">
        <v>139</v>
      </c>
      <c r="H68">
        <v>139</v>
      </c>
      <c r="I68">
        <v>12</v>
      </c>
      <c r="J68">
        <v>7</v>
      </c>
      <c r="M68">
        <v>0</v>
      </c>
      <c r="N68">
        <v>0</v>
      </c>
      <c r="O68">
        <v>0</v>
      </c>
      <c r="P68" t="s">
        <v>69</v>
      </c>
      <c r="S68" t="b">
        <v>0</v>
      </c>
      <c r="T68" t="b">
        <v>0</v>
      </c>
      <c r="U68" t="s">
        <v>1884</v>
      </c>
      <c r="V68" t="s">
        <v>1885</v>
      </c>
      <c r="W68" t="s">
        <v>1886</v>
      </c>
      <c r="X68" t="s">
        <v>1887</v>
      </c>
      <c r="Y68" t="s">
        <v>1888</v>
      </c>
      <c r="Z68" t="s">
        <v>1564</v>
      </c>
      <c r="AC68" t="s">
        <v>1907</v>
      </c>
      <c r="AD68" t="b">
        <v>0</v>
      </c>
      <c r="AE68" t="b">
        <v>0</v>
      </c>
    </row>
    <row r="69" spans="1:31" x14ac:dyDescent="0.35">
      <c r="A69" s="18" t="s">
        <v>3795</v>
      </c>
      <c r="B69" t="s">
        <v>1889</v>
      </c>
      <c r="C69" t="s">
        <v>1619</v>
      </c>
      <c r="D69" s="2">
        <v>46234</v>
      </c>
      <c r="E69" s="2"/>
      <c r="F69" s="2">
        <v>46264</v>
      </c>
      <c r="G69">
        <v>99</v>
      </c>
      <c r="H69">
        <v>99</v>
      </c>
      <c r="I69">
        <v>99</v>
      </c>
      <c r="J69">
        <v>30</v>
      </c>
      <c r="M69">
        <v>0</v>
      </c>
      <c r="N69">
        <v>0</v>
      </c>
      <c r="O69">
        <v>0</v>
      </c>
      <c r="P69" t="s">
        <v>69</v>
      </c>
      <c r="S69" t="b">
        <v>0</v>
      </c>
      <c r="T69" t="b">
        <v>0</v>
      </c>
      <c r="U69" t="s">
        <v>1890</v>
      </c>
      <c r="V69" t="s">
        <v>1891</v>
      </c>
      <c r="W69" t="s">
        <v>1892</v>
      </c>
      <c r="X69" t="s">
        <v>1893</v>
      </c>
      <c r="Y69" t="s">
        <v>1894</v>
      </c>
      <c r="Z69" t="s">
        <v>1564</v>
      </c>
      <c r="AC69" t="s">
        <v>1907</v>
      </c>
      <c r="AD69" t="b">
        <v>0</v>
      </c>
      <c r="AE69" t="b">
        <v>0</v>
      </c>
    </row>
    <row r="70" spans="1:31" x14ac:dyDescent="0.35">
      <c r="A70" s="18" t="s">
        <v>3796</v>
      </c>
      <c r="B70" t="s">
        <v>1895</v>
      </c>
      <c r="C70" t="s">
        <v>1619</v>
      </c>
      <c r="D70" s="2">
        <v>46227</v>
      </c>
      <c r="E70" s="2"/>
      <c r="F70" s="2">
        <v>46249</v>
      </c>
      <c r="G70">
        <v>139</v>
      </c>
      <c r="H70">
        <v>139</v>
      </c>
      <c r="I70">
        <v>12</v>
      </c>
      <c r="J70">
        <v>15</v>
      </c>
      <c r="M70">
        <v>0</v>
      </c>
      <c r="N70">
        <v>1</v>
      </c>
      <c r="O70">
        <v>1</v>
      </c>
      <c r="P70" t="s">
        <v>69</v>
      </c>
      <c r="S70" t="b">
        <v>0</v>
      </c>
      <c r="T70" t="b">
        <v>0</v>
      </c>
      <c r="U70" t="s">
        <v>1896</v>
      </c>
      <c r="V70" t="s">
        <v>1897</v>
      </c>
      <c r="W70" t="s">
        <v>1898</v>
      </c>
      <c r="X70" t="s">
        <v>1899</v>
      </c>
      <c r="Y70" t="s">
        <v>1900</v>
      </c>
      <c r="Z70" t="s">
        <v>1564</v>
      </c>
      <c r="AC70" t="s">
        <v>1907</v>
      </c>
      <c r="AD70" t="b">
        <v>0</v>
      </c>
      <c r="AE70" t="b">
        <v>0</v>
      </c>
    </row>
    <row r="71" spans="1:31" x14ac:dyDescent="0.35">
      <c r="A71" s="18" t="s">
        <v>3797</v>
      </c>
      <c r="B71" t="s">
        <v>1908</v>
      </c>
      <c r="C71" t="s">
        <v>1619</v>
      </c>
      <c r="D71" s="2">
        <v>46227</v>
      </c>
      <c r="E71" s="2"/>
      <c r="F71" s="2">
        <v>46248</v>
      </c>
      <c r="G71">
        <v>139</v>
      </c>
      <c r="H71">
        <v>139</v>
      </c>
      <c r="I71">
        <v>12</v>
      </c>
      <c r="J71">
        <v>14</v>
      </c>
      <c r="M71">
        <v>0</v>
      </c>
      <c r="N71">
        <v>1</v>
      </c>
      <c r="O71">
        <v>1</v>
      </c>
      <c r="P71" t="s">
        <v>69</v>
      </c>
      <c r="S71" t="b">
        <v>0</v>
      </c>
      <c r="T71" t="b">
        <v>0</v>
      </c>
      <c r="U71" t="s">
        <v>1909</v>
      </c>
      <c r="V71" t="s">
        <v>1910</v>
      </c>
      <c r="W71" t="s">
        <v>1911</v>
      </c>
      <c r="X71" t="s">
        <v>1912</v>
      </c>
      <c r="Y71" t="s">
        <v>1913</v>
      </c>
      <c r="Z71" t="s">
        <v>1564</v>
      </c>
      <c r="AC71" t="s">
        <v>1907</v>
      </c>
      <c r="AD71" t="b">
        <v>0</v>
      </c>
      <c r="AE71" t="b">
        <v>0</v>
      </c>
    </row>
    <row r="72" spans="1:31" x14ac:dyDescent="0.35">
      <c r="A72" s="18" t="s">
        <v>3798</v>
      </c>
      <c r="B72" t="s">
        <v>3766</v>
      </c>
      <c r="C72" t="s">
        <v>1619</v>
      </c>
      <c r="D72" s="2">
        <v>46227</v>
      </c>
      <c r="E72" s="2"/>
      <c r="F72" s="2">
        <v>46254</v>
      </c>
      <c r="G72">
        <v>99</v>
      </c>
      <c r="H72">
        <v>99</v>
      </c>
      <c r="I72">
        <v>99</v>
      </c>
      <c r="J72">
        <v>20</v>
      </c>
      <c r="M72">
        <v>0</v>
      </c>
      <c r="N72">
        <v>1</v>
      </c>
      <c r="O72">
        <v>1</v>
      </c>
      <c r="P72" t="s">
        <v>69</v>
      </c>
      <c r="S72" t="b">
        <v>0</v>
      </c>
      <c r="T72" t="b">
        <v>0</v>
      </c>
      <c r="U72" t="s">
        <v>3767</v>
      </c>
      <c r="V72" t="s">
        <v>3768</v>
      </c>
      <c r="W72" t="s">
        <v>3769</v>
      </c>
      <c r="X72" t="s">
        <v>3770</v>
      </c>
      <c r="Y72" t="s">
        <v>3771</v>
      </c>
      <c r="Z72" t="s">
        <v>1564</v>
      </c>
      <c r="AC72" t="s">
        <v>1907</v>
      </c>
      <c r="AD72" t="b">
        <v>0</v>
      </c>
      <c r="AE72" t="b">
        <v>0</v>
      </c>
    </row>
    <row r="73" spans="1:31" x14ac:dyDescent="0.35">
      <c r="A73" s="18" t="s">
        <v>3799</v>
      </c>
      <c r="B73" t="s">
        <v>3772</v>
      </c>
      <c r="C73" t="s">
        <v>1619</v>
      </c>
      <c r="D73" s="2">
        <v>46227</v>
      </c>
      <c r="E73" s="2"/>
      <c r="F73" s="2">
        <v>46248</v>
      </c>
      <c r="G73">
        <v>99</v>
      </c>
      <c r="H73">
        <v>99</v>
      </c>
      <c r="I73">
        <v>99</v>
      </c>
      <c r="J73">
        <v>14</v>
      </c>
      <c r="M73">
        <v>0</v>
      </c>
      <c r="N73">
        <v>1</v>
      </c>
      <c r="O73">
        <v>1</v>
      </c>
      <c r="P73" t="s">
        <v>69</v>
      </c>
      <c r="S73" t="b">
        <v>0</v>
      </c>
      <c r="T73" t="b">
        <v>0</v>
      </c>
      <c r="U73" t="s">
        <v>3773</v>
      </c>
      <c r="V73" t="s">
        <v>3774</v>
      </c>
      <c r="W73" t="s">
        <v>3775</v>
      </c>
      <c r="X73" t="s">
        <v>3776</v>
      </c>
      <c r="Y73" t="s">
        <v>3777</v>
      </c>
      <c r="Z73" t="s">
        <v>1564</v>
      </c>
      <c r="AC73" t="s">
        <v>1907</v>
      </c>
      <c r="AD73" t="b">
        <v>0</v>
      </c>
      <c r="AE73" t="b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8AC0-3E1B-4A8E-B321-C85ECF173E67}">
  <dimension ref="A3:N42"/>
  <sheetViews>
    <sheetView tabSelected="1" workbookViewId="0">
      <selection activeCell="D49" sqref="D49"/>
    </sheetView>
  </sheetViews>
  <sheetFormatPr defaultRowHeight="14.5" x14ac:dyDescent="0.35"/>
  <cols>
    <col min="1" max="1" width="22.81640625" customWidth="1"/>
    <col min="2" max="2" width="11.453125" customWidth="1"/>
    <col min="3" max="5" width="15.08984375" customWidth="1"/>
    <col min="6" max="6" width="8.1796875" customWidth="1"/>
    <col min="7" max="7" width="12.6328125" bestFit="1" customWidth="1"/>
    <col min="8" max="8" width="12" bestFit="1" customWidth="1"/>
    <col min="9" max="14" width="10.26953125" bestFit="1" customWidth="1"/>
    <col min="15" max="15" width="22.1796875" bestFit="1" customWidth="1"/>
    <col min="16" max="16" width="25" bestFit="1" customWidth="1"/>
    <col min="17" max="17" width="21.453125" bestFit="1" customWidth="1"/>
    <col min="18" max="18" width="24.26953125" bestFit="1" customWidth="1"/>
    <col min="19" max="19" width="21.81640625" bestFit="1" customWidth="1"/>
    <col min="20" max="20" width="24.6328125" bestFit="1" customWidth="1"/>
    <col min="21" max="21" width="21.26953125" bestFit="1" customWidth="1"/>
    <col min="22" max="22" width="24.08984375" bestFit="1" customWidth="1"/>
    <col min="23" max="23" width="21.81640625" bestFit="1" customWidth="1"/>
    <col min="24" max="24" width="24.6328125" bestFit="1" customWidth="1"/>
    <col min="25" max="25" width="21.26953125" bestFit="1" customWidth="1"/>
    <col min="26" max="26" width="24.08984375" bestFit="1" customWidth="1"/>
    <col min="27" max="27" width="21.54296875" bestFit="1" customWidth="1"/>
    <col min="28" max="28" width="24.36328125" bestFit="1" customWidth="1"/>
    <col min="29" max="29" width="21.81640625" bestFit="1" customWidth="1"/>
    <col min="30" max="30" width="24.6328125" bestFit="1" customWidth="1"/>
    <col min="31" max="31" width="21.1796875" bestFit="1" customWidth="1"/>
    <col min="32" max="32" width="24" bestFit="1" customWidth="1"/>
    <col min="33" max="33" width="22.08984375" bestFit="1" customWidth="1"/>
    <col min="34" max="34" width="24.90625" bestFit="1" customWidth="1"/>
    <col min="35" max="35" width="22.81640625" bestFit="1" customWidth="1"/>
    <col min="36" max="36" width="25.6328125" bestFit="1" customWidth="1"/>
    <col min="37" max="37" width="21" bestFit="1" customWidth="1"/>
    <col min="38" max="38" width="23.81640625" bestFit="1" customWidth="1"/>
    <col min="39" max="39" width="21.26953125" bestFit="1" customWidth="1"/>
    <col min="40" max="40" width="24.08984375" bestFit="1" customWidth="1"/>
    <col min="41" max="41" width="22.08984375" bestFit="1" customWidth="1"/>
    <col min="42" max="42" width="24.90625" bestFit="1" customWidth="1"/>
    <col min="43" max="43" width="21.81640625" bestFit="1" customWidth="1"/>
    <col min="44" max="44" width="24.6328125" bestFit="1" customWidth="1"/>
    <col min="45" max="45" width="21.81640625" bestFit="1" customWidth="1"/>
    <col min="46" max="46" width="24.6328125" bestFit="1" customWidth="1"/>
    <col min="47" max="47" width="21.7265625" bestFit="1" customWidth="1"/>
    <col min="48" max="48" width="24.54296875" bestFit="1" customWidth="1"/>
    <col min="49" max="49" width="20.453125" bestFit="1" customWidth="1"/>
    <col min="50" max="50" width="23.26953125" bestFit="1" customWidth="1"/>
    <col min="51" max="51" width="20.7265625" bestFit="1" customWidth="1"/>
    <col min="52" max="52" width="23.54296875" bestFit="1" customWidth="1"/>
    <col min="53" max="53" width="21.36328125" bestFit="1" customWidth="1"/>
    <col min="54" max="54" width="24.1796875" bestFit="1" customWidth="1"/>
    <col min="55" max="55" width="21.1796875" bestFit="1" customWidth="1"/>
    <col min="56" max="56" width="24" bestFit="1" customWidth="1"/>
    <col min="57" max="57" width="21.90625" bestFit="1" customWidth="1"/>
    <col min="58" max="58" width="24.7265625" bestFit="1" customWidth="1"/>
    <col min="59" max="59" width="21.90625" bestFit="1" customWidth="1"/>
    <col min="60" max="60" width="24.7265625" bestFit="1" customWidth="1"/>
    <col min="61" max="61" width="22" bestFit="1" customWidth="1"/>
    <col min="62" max="62" width="24.81640625" bestFit="1" customWidth="1"/>
    <col min="63" max="63" width="21.26953125" bestFit="1" customWidth="1"/>
    <col min="64" max="64" width="24.08984375" bestFit="1" customWidth="1"/>
    <col min="65" max="65" width="20.90625" bestFit="1" customWidth="1"/>
    <col min="66" max="66" width="23.7265625" bestFit="1" customWidth="1"/>
    <col min="67" max="67" width="20.90625" bestFit="1" customWidth="1"/>
    <col min="68" max="68" width="23.7265625" bestFit="1" customWidth="1"/>
    <col min="69" max="69" width="20.90625" bestFit="1" customWidth="1"/>
    <col min="70" max="70" width="23.7265625" bestFit="1" customWidth="1"/>
    <col min="71" max="71" width="21.08984375" bestFit="1" customWidth="1"/>
    <col min="72" max="72" width="23.90625" bestFit="1" customWidth="1"/>
    <col min="73" max="73" width="21" bestFit="1" customWidth="1"/>
    <col min="74" max="74" width="23.81640625" bestFit="1" customWidth="1"/>
    <col min="75" max="75" width="21.81640625" bestFit="1" customWidth="1"/>
    <col min="76" max="76" width="24.6328125" bestFit="1" customWidth="1"/>
    <col min="77" max="77" width="22.26953125" bestFit="1" customWidth="1"/>
    <col min="78" max="78" width="25.1796875" bestFit="1" customWidth="1"/>
    <col min="79" max="79" width="22.36328125" bestFit="1" customWidth="1"/>
    <col min="80" max="80" width="25.26953125" bestFit="1" customWidth="1"/>
    <col min="81" max="81" width="22.26953125" bestFit="1" customWidth="1"/>
    <col min="82" max="82" width="25.1796875" bestFit="1" customWidth="1"/>
    <col min="83" max="83" width="22.26953125" bestFit="1" customWidth="1"/>
    <col min="84" max="84" width="25.1796875" bestFit="1" customWidth="1"/>
    <col min="85" max="85" width="21.6328125" bestFit="1" customWidth="1"/>
    <col min="86" max="86" width="24.453125" bestFit="1" customWidth="1"/>
    <col min="87" max="87" width="21.6328125" bestFit="1" customWidth="1"/>
    <col min="88" max="88" width="24.453125" bestFit="1" customWidth="1"/>
    <col min="89" max="89" width="21.7265625" bestFit="1" customWidth="1"/>
    <col min="90" max="90" width="24.54296875" bestFit="1" customWidth="1"/>
    <col min="91" max="91" width="21.54296875" bestFit="1" customWidth="1"/>
    <col min="92" max="92" width="24.36328125" bestFit="1" customWidth="1"/>
    <col min="93" max="93" width="21.7265625" bestFit="1" customWidth="1"/>
    <col min="94" max="94" width="24.54296875" bestFit="1" customWidth="1"/>
    <col min="95" max="95" width="20.7265625" bestFit="1" customWidth="1"/>
    <col min="96" max="96" width="23.54296875" bestFit="1" customWidth="1"/>
    <col min="97" max="97" width="22" bestFit="1" customWidth="1"/>
    <col min="98" max="98" width="24.81640625" bestFit="1" customWidth="1"/>
    <col min="99" max="99" width="21.1796875" bestFit="1" customWidth="1"/>
    <col min="100" max="100" width="24" bestFit="1" customWidth="1"/>
    <col min="101" max="101" width="21.36328125" bestFit="1" customWidth="1"/>
    <col min="102" max="102" width="24.1796875" bestFit="1" customWidth="1"/>
    <col min="103" max="103" width="21.7265625" bestFit="1" customWidth="1"/>
    <col min="104" max="104" width="24.54296875" bestFit="1" customWidth="1"/>
    <col min="105" max="105" width="20.6328125" bestFit="1" customWidth="1"/>
    <col min="106" max="106" width="23.453125" bestFit="1" customWidth="1"/>
    <col min="107" max="107" width="22.1796875" bestFit="1" customWidth="1"/>
    <col min="108" max="108" width="25" bestFit="1" customWidth="1"/>
    <col min="109" max="109" width="22.81640625" bestFit="1" customWidth="1"/>
    <col min="110" max="110" width="25.6328125" bestFit="1" customWidth="1"/>
    <col min="111" max="111" width="22.453125" bestFit="1" customWidth="1"/>
    <col min="112" max="112" width="25.36328125" bestFit="1" customWidth="1"/>
    <col min="113" max="113" width="21.6328125" bestFit="1" customWidth="1"/>
    <col min="114" max="114" width="24.453125" bestFit="1" customWidth="1"/>
    <col min="115" max="115" width="21.453125" bestFit="1" customWidth="1"/>
    <col min="116" max="116" width="24.26953125" bestFit="1" customWidth="1"/>
    <col min="117" max="117" width="21.54296875" bestFit="1" customWidth="1"/>
    <col min="118" max="118" width="24.36328125" bestFit="1" customWidth="1"/>
    <col min="119" max="119" width="21.453125" bestFit="1" customWidth="1"/>
    <col min="120" max="120" width="24.26953125" bestFit="1" customWidth="1"/>
    <col min="121" max="121" width="21.26953125" bestFit="1" customWidth="1"/>
    <col min="122" max="122" width="24.08984375" bestFit="1" customWidth="1"/>
    <col min="123" max="123" width="21.90625" bestFit="1" customWidth="1"/>
    <col min="124" max="124" width="24.7265625" bestFit="1" customWidth="1"/>
    <col min="125" max="125" width="22.81640625" bestFit="1" customWidth="1"/>
    <col min="126" max="126" width="25.6328125" bestFit="1" customWidth="1"/>
    <col min="127" max="127" width="22.453125" bestFit="1" customWidth="1"/>
    <col min="128" max="128" width="25.36328125" bestFit="1" customWidth="1"/>
    <col min="129" max="129" width="21.36328125" bestFit="1" customWidth="1"/>
    <col min="130" max="130" width="24.1796875" bestFit="1" customWidth="1"/>
    <col min="131" max="131" width="20" bestFit="1" customWidth="1"/>
    <col min="132" max="132" width="22.81640625" bestFit="1" customWidth="1"/>
    <col min="133" max="133" width="21.90625" bestFit="1" customWidth="1"/>
    <col min="134" max="134" width="24.7265625" bestFit="1" customWidth="1"/>
    <col min="135" max="135" width="21.81640625" bestFit="1" customWidth="1"/>
    <col min="136" max="136" width="24.6328125" bestFit="1" customWidth="1"/>
    <col min="137" max="137" width="21.08984375" bestFit="1" customWidth="1"/>
    <col min="138" max="138" width="23.90625" bestFit="1" customWidth="1"/>
    <col min="139" max="139" width="21.36328125" bestFit="1" customWidth="1"/>
    <col min="140" max="140" width="24.1796875" bestFit="1" customWidth="1"/>
    <col min="141" max="141" width="21.54296875" bestFit="1" customWidth="1"/>
    <col min="142" max="142" width="24.36328125" bestFit="1" customWidth="1"/>
    <col min="143" max="143" width="21.36328125" bestFit="1" customWidth="1"/>
    <col min="144" max="144" width="24.1796875" bestFit="1" customWidth="1"/>
    <col min="145" max="145" width="22.26953125" bestFit="1" customWidth="1"/>
    <col min="146" max="146" width="25.1796875" bestFit="1" customWidth="1"/>
    <col min="147" max="147" width="21.08984375" bestFit="1" customWidth="1"/>
    <col min="148" max="148" width="23.90625" bestFit="1" customWidth="1"/>
    <col min="149" max="149" width="15.1796875" bestFit="1" customWidth="1"/>
    <col min="150" max="150" width="3.81640625" bestFit="1" customWidth="1"/>
    <col min="151" max="151" width="4.81640625" bestFit="1" customWidth="1"/>
    <col min="152" max="152" width="6.81640625" bestFit="1" customWidth="1"/>
    <col min="153" max="153" width="11.26953125" bestFit="1" customWidth="1"/>
    <col min="154" max="154" width="10.36328125" bestFit="1" customWidth="1"/>
  </cols>
  <sheetData>
    <row r="3" spans="1:14" x14ac:dyDescent="0.35">
      <c r="I3" s="39" t="s">
        <v>3522</v>
      </c>
      <c r="J3" s="39" t="s">
        <v>3521</v>
      </c>
    </row>
    <row r="4" spans="1:14" x14ac:dyDescent="0.35">
      <c r="I4" s="28" t="s">
        <v>77</v>
      </c>
      <c r="J4" s="16"/>
      <c r="K4" s="26" t="s">
        <v>3754</v>
      </c>
      <c r="L4" s="16"/>
      <c r="M4" s="26" t="s">
        <v>3757</v>
      </c>
      <c r="N4" s="16"/>
    </row>
    <row r="5" spans="1:14" x14ac:dyDescent="0.35">
      <c r="A5" s="43" t="s">
        <v>2357</v>
      </c>
      <c r="B5" s="13" t="s">
        <v>3761</v>
      </c>
      <c r="C5" s="13" t="s">
        <v>3755</v>
      </c>
      <c r="D5" s="13" t="s">
        <v>3778</v>
      </c>
      <c r="E5" s="13" t="s">
        <v>3756</v>
      </c>
      <c r="F5" s="13" t="s">
        <v>3758</v>
      </c>
      <c r="G5" s="43" t="s">
        <v>7316</v>
      </c>
      <c r="H5" s="13" t="s">
        <v>3779</v>
      </c>
      <c r="I5" s="4" t="s">
        <v>3762</v>
      </c>
      <c r="J5" s="4" t="s">
        <v>3520</v>
      </c>
      <c r="K5" s="4" t="s">
        <v>3762</v>
      </c>
      <c r="L5" s="4" t="s">
        <v>3520</v>
      </c>
      <c r="M5" s="4" t="s">
        <v>3762</v>
      </c>
      <c r="N5" s="4" t="s">
        <v>3520</v>
      </c>
    </row>
    <row r="6" spans="1:14" x14ac:dyDescent="0.35">
      <c r="A6" t="s">
        <v>112</v>
      </c>
      <c r="B6" s="9" t="s">
        <v>3543</v>
      </c>
      <c r="C6" s="40">
        <v>45163</v>
      </c>
      <c r="D6" s="42">
        <v>45170</v>
      </c>
      <c r="E6" s="40">
        <v>45229</v>
      </c>
      <c r="F6">
        <v>33</v>
      </c>
      <c r="G6" s="15">
        <v>46172</v>
      </c>
      <c r="H6" s="4" t="s">
        <v>3783</v>
      </c>
      <c r="I6" s="29">
        <v>2</v>
      </c>
      <c r="J6" s="21"/>
      <c r="K6" s="20">
        <v>31</v>
      </c>
      <c r="L6" s="21"/>
      <c r="M6" s="20"/>
      <c r="N6" s="21"/>
    </row>
    <row r="7" spans="1:14" x14ac:dyDescent="0.35">
      <c r="A7" t="s">
        <v>159</v>
      </c>
      <c r="B7" s="9" t="s">
        <v>3546</v>
      </c>
      <c r="C7" s="40">
        <v>45392</v>
      </c>
      <c r="D7" s="42" t="s">
        <v>68</v>
      </c>
      <c r="E7" s="40">
        <v>45442</v>
      </c>
      <c r="F7">
        <v>26</v>
      </c>
      <c r="G7" s="15">
        <v>46203</v>
      </c>
      <c r="H7" s="4" t="s">
        <v>3782</v>
      </c>
      <c r="I7" s="30">
        <v>1</v>
      </c>
      <c r="J7" s="23"/>
      <c r="K7" s="22">
        <v>25</v>
      </c>
      <c r="L7" s="23"/>
      <c r="M7" s="22"/>
      <c r="N7" s="23"/>
    </row>
    <row r="8" spans="1:14" x14ac:dyDescent="0.35">
      <c r="A8" t="s">
        <v>588</v>
      </c>
      <c r="B8" s="9" t="s">
        <v>3719</v>
      </c>
      <c r="C8" s="40">
        <v>46006</v>
      </c>
      <c r="D8" s="42" t="s">
        <v>68</v>
      </c>
      <c r="E8" s="40">
        <v>46052</v>
      </c>
      <c r="F8">
        <v>6</v>
      </c>
      <c r="G8" s="15">
        <v>46172</v>
      </c>
      <c r="H8" s="4" t="s">
        <v>3783</v>
      </c>
      <c r="I8" s="30">
        <v>1</v>
      </c>
      <c r="J8" s="23"/>
      <c r="K8" s="22">
        <v>4</v>
      </c>
      <c r="L8" s="23"/>
      <c r="M8" s="22"/>
      <c r="N8" s="23"/>
    </row>
    <row r="9" spans="1:14" x14ac:dyDescent="0.35">
      <c r="A9" t="s">
        <v>623</v>
      </c>
      <c r="B9" s="9" t="s">
        <v>3723</v>
      </c>
      <c r="C9" s="40">
        <v>46008</v>
      </c>
      <c r="D9" s="42" t="s">
        <v>68</v>
      </c>
      <c r="E9" s="40">
        <v>46037</v>
      </c>
      <c r="F9">
        <v>6</v>
      </c>
      <c r="G9" s="15">
        <v>46188</v>
      </c>
      <c r="H9" s="4" t="s">
        <v>3782</v>
      </c>
      <c r="I9" s="30">
        <v>1</v>
      </c>
      <c r="J9" s="23"/>
      <c r="K9" s="22">
        <v>5</v>
      </c>
      <c r="L9" s="23"/>
      <c r="M9" s="22"/>
      <c r="N9" s="23"/>
    </row>
    <row r="10" spans="1:14" x14ac:dyDescent="0.35">
      <c r="A10" t="s">
        <v>597</v>
      </c>
      <c r="B10" s="9" t="s">
        <v>3720</v>
      </c>
      <c r="C10" s="40">
        <v>46001</v>
      </c>
      <c r="D10" s="42" t="s">
        <v>68</v>
      </c>
      <c r="E10" s="40">
        <v>46052</v>
      </c>
      <c r="F10">
        <v>6</v>
      </c>
      <c r="G10" s="15">
        <v>46172</v>
      </c>
      <c r="H10" s="4" t="s">
        <v>3783</v>
      </c>
      <c r="I10" s="30">
        <v>1</v>
      </c>
      <c r="J10" s="23"/>
      <c r="K10" s="22">
        <v>4</v>
      </c>
      <c r="L10" s="23"/>
      <c r="M10" s="22"/>
      <c r="N10" s="23"/>
    </row>
    <row r="11" spans="1:14" x14ac:dyDescent="0.35">
      <c r="A11" t="s">
        <v>605</v>
      </c>
      <c r="B11" s="9" t="s">
        <v>3721</v>
      </c>
      <c r="C11" s="40">
        <v>46041</v>
      </c>
      <c r="D11" s="42">
        <v>46055</v>
      </c>
      <c r="E11" s="40">
        <v>46083</v>
      </c>
      <c r="F11">
        <v>4</v>
      </c>
      <c r="G11" s="15">
        <v>46144</v>
      </c>
      <c r="H11" s="4" t="s">
        <v>3783</v>
      </c>
      <c r="I11" s="30">
        <v>2</v>
      </c>
      <c r="J11" s="23"/>
      <c r="K11" s="22">
        <v>2</v>
      </c>
      <c r="L11" s="23"/>
      <c r="M11" s="22"/>
      <c r="N11" s="23"/>
    </row>
    <row r="12" spans="1:14" x14ac:dyDescent="0.35">
      <c r="A12" t="s">
        <v>645</v>
      </c>
      <c r="B12" s="9" t="s">
        <v>3726</v>
      </c>
      <c r="C12" s="40">
        <v>46052</v>
      </c>
      <c r="D12" s="42" t="s">
        <v>68</v>
      </c>
      <c r="E12" s="40">
        <v>46080</v>
      </c>
      <c r="F12">
        <v>5</v>
      </c>
      <c r="G12" s="15">
        <v>46169</v>
      </c>
      <c r="H12" s="4" t="s">
        <v>3783</v>
      </c>
      <c r="I12" s="30">
        <v>1</v>
      </c>
      <c r="J12" s="23"/>
      <c r="K12" s="22">
        <v>3</v>
      </c>
      <c r="L12" s="23"/>
      <c r="M12" s="22"/>
      <c r="N12" s="23"/>
    </row>
    <row r="13" spans="1:14" x14ac:dyDescent="0.35">
      <c r="A13" t="s">
        <v>651</v>
      </c>
      <c r="B13" s="9" t="s">
        <v>3727</v>
      </c>
      <c r="C13" s="40">
        <v>46009</v>
      </c>
      <c r="D13" s="42" t="s">
        <v>68</v>
      </c>
      <c r="E13" s="40">
        <v>46040</v>
      </c>
      <c r="F13">
        <v>6</v>
      </c>
      <c r="G13" s="15">
        <v>46221</v>
      </c>
      <c r="H13" s="4" t="s">
        <v>3781</v>
      </c>
      <c r="I13" s="30">
        <v>1</v>
      </c>
      <c r="J13" s="23"/>
      <c r="K13" s="22">
        <v>6</v>
      </c>
      <c r="L13" s="23"/>
      <c r="M13" s="22"/>
      <c r="N13" s="23"/>
    </row>
    <row r="14" spans="1:14" x14ac:dyDescent="0.35">
      <c r="A14" t="s">
        <v>711</v>
      </c>
      <c r="B14" s="9" t="s">
        <v>3730</v>
      </c>
      <c r="C14" s="40">
        <v>46052</v>
      </c>
      <c r="D14" s="42" t="s">
        <v>68</v>
      </c>
      <c r="E14" s="40">
        <v>46081</v>
      </c>
      <c r="F14">
        <v>5</v>
      </c>
      <c r="G14" s="15">
        <v>46170</v>
      </c>
      <c r="H14" s="4" t="s">
        <v>3783</v>
      </c>
      <c r="I14" s="30">
        <v>1</v>
      </c>
      <c r="J14" s="23"/>
      <c r="K14" s="22">
        <v>3</v>
      </c>
      <c r="L14" s="23"/>
      <c r="M14" s="22"/>
      <c r="N14" s="23"/>
    </row>
    <row r="15" spans="1:14" x14ac:dyDescent="0.35">
      <c r="A15" t="s">
        <v>695</v>
      </c>
      <c r="B15" s="9" t="s">
        <v>3728</v>
      </c>
      <c r="C15" s="40">
        <v>46021</v>
      </c>
      <c r="D15" s="42" t="s">
        <v>68</v>
      </c>
      <c r="E15" s="40">
        <v>46031</v>
      </c>
      <c r="F15">
        <v>6</v>
      </c>
      <c r="G15" s="15">
        <v>46182</v>
      </c>
      <c r="H15" s="4" t="s">
        <v>3782</v>
      </c>
      <c r="I15" s="30"/>
      <c r="J15" s="23"/>
      <c r="K15" s="22">
        <v>5</v>
      </c>
      <c r="L15" s="23"/>
      <c r="M15" s="22">
        <v>1</v>
      </c>
      <c r="N15" s="23"/>
    </row>
    <row r="16" spans="1:14" x14ac:dyDescent="0.35">
      <c r="A16" t="s">
        <v>717</v>
      </c>
      <c r="B16" s="9" t="s">
        <v>3731</v>
      </c>
      <c r="C16" s="40">
        <v>46031</v>
      </c>
      <c r="D16" s="42" t="s">
        <v>68</v>
      </c>
      <c r="E16" s="40">
        <v>46068</v>
      </c>
      <c r="F16">
        <v>5</v>
      </c>
      <c r="G16" s="15">
        <v>46157</v>
      </c>
      <c r="H16" s="4" t="s">
        <v>3783</v>
      </c>
      <c r="I16" s="30">
        <v>1</v>
      </c>
      <c r="J16" s="23"/>
      <c r="K16" s="22">
        <v>3</v>
      </c>
      <c r="L16" s="23"/>
      <c r="M16" s="22"/>
      <c r="N16" s="23"/>
    </row>
    <row r="17" spans="1:14" x14ac:dyDescent="0.35">
      <c r="A17" t="s">
        <v>732</v>
      </c>
      <c r="B17" s="9" t="s">
        <v>3732</v>
      </c>
      <c r="C17" s="40">
        <v>46038</v>
      </c>
      <c r="D17" s="42">
        <v>46052</v>
      </c>
      <c r="E17" s="40">
        <v>46080</v>
      </c>
      <c r="F17">
        <v>5</v>
      </c>
      <c r="G17" s="15">
        <v>46080</v>
      </c>
      <c r="H17" s="4" t="s">
        <v>3781</v>
      </c>
      <c r="I17" s="30">
        <v>11</v>
      </c>
      <c r="J17" s="23">
        <v>10</v>
      </c>
      <c r="K17" s="22"/>
      <c r="L17" s="23"/>
      <c r="M17" s="22"/>
      <c r="N17" s="23"/>
    </row>
    <row r="18" spans="1:14" x14ac:dyDescent="0.35">
      <c r="A18" t="s">
        <v>703</v>
      </c>
      <c r="B18" s="9" t="s">
        <v>3729</v>
      </c>
      <c r="C18" s="40">
        <v>46024</v>
      </c>
      <c r="D18" s="42" t="s">
        <v>68</v>
      </c>
      <c r="E18" s="40">
        <v>46059</v>
      </c>
      <c r="F18">
        <v>5</v>
      </c>
      <c r="G18" s="15">
        <v>46179</v>
      </c>
      <c r="H18" s="4" t="s">
        <v>3782</v>
      </c>
      <c r="I18" s="30">
        <v>1</v>
      </c>
      <c r="J18" s="23"/>
      <c r="K18" s="22">
        <v>4</v>
      </c>
      <c r="L18" s="23"/>
      <c r="M18" s="22"/>
      <c r="N18" s="23"/>
    </row>
    <row r="19" spans="1:14" x14ac:dyDescent="0.35">
      <c r="A19" t="s">
        <v>745</v>
      </c>
      <c r="B19" s="9" t="s">
        <v>3733</v>
      </c>
      <c r="C19" s="40">
        <v>46036</v>
      </c>
      <c r="D19" s="42">
        <v>46045</v>
      </c>
      <c r="E19" s="40">
        <v>46080</v>
      </c>
      <c r="F19">
        <v>5</v>
      </c>
      <c r="G19" s="15">
        <v>46169</v>
      </c>
      <c r="H19" s="4" t="s">
        <v>3783</v>
      </c>
      <c r="I19" s="30">
        <v>2</v>
      </c>
      <c r="J19" s="23"/>
      <c r="K19" s="22">
        <v>3</v>
      </c>
      <c r="L19" s="23"/>
      <c r="M19" s="22"/>
      <c r="N19" s="23"/>
    </row>
    <row r="20" spans="1:14" x14ac:dyDescent="0.35">
      <c r="A20" t="s">
        <v>761</v>
      </c>
      <c r="B20" s="9" t="s">
        <v>3735</v>
      </c>
      <c r="C20" s="40">
        <v>46037</v>
      </c>
      <c r="D20" s="42">
        <v>46048</v>
      </c>
      <c r="E20" s="40">
        <v>46081</v>
      </c>
      <c r="F20">
        <v>5</v>
      </c>
      <c r="G20" s="15">
        <v>46201</v>
      </c>
      <c r="H20" s="4" t="s">
        <v>3782</v>
      </c>
      <c r="I20" s="30">
        <v>2</v>
      </c>
      <c r="J20" s="23"/>
      <c r="K20" s="22">
        <v>4</v>
      </c>
      <c r="L20" s="23"/>
      <c r="M20" s="22"/>
      <c r="N20" s="23"/>
    </row>
    <row r="21" spans="1:14" x14ac:dyDescent="0.35">
      <c r="A21" t="s">
        <v>769</v>
      </c>
      <c r="B21" s="9" t="s">
        <v>3736</v>
      </c>
      <c r="C21" s="40">
        <v>46052</v>
      </c>
      <c r="D21" s="42">
        <v>46066</v>
      </c>
      <c r="E21" s="40">
        <v>46111</v>
      </c>
      <c r="F21">
        <v>4</v>
      </c>
      <c r="G21" s="15">
        <v>46172</v>
      </c>
      <c r="H21" s="4" t="s">
        <v>3783</v>
      </c>
      <c r="I21" s="30">
        <v>2</v>
      </c>
      <c r="J21" s="23"/>
      <c r="K21" s="22">
        <v>2</v>
      </c>
      <c r="L21" s="23"/>
      <c r="M21" s="22"/>
      <c r="N21" s="23"/>
    </row>
    <row r="22" spans="1:14" x14ac:dyDescent="0.35">
      <c r="A22" t="s">
        <v>779</v>
      </c>
      <c r="B22" s="9" t="s">
        <v>3737</v>
      </c>
      <c r="C22" s="40">
        <v>46042</v>
      </c>
      <c r="D22" s="42" t="s">
        <v>68</v>
      </c>
      <c r="E22" s="40">
        <v>46081</v>
      </c>
      <c r="F22">
        <v>5</v>
      </c>
      <c r="G22" s="15">
        <v>46170</v>
      </c>
      <c r="H22" s="4" t="s">
        <v>3783</v>
      </c>
      <c r="I22" s="30">
        <v>1</v>
      </c>
      <c r="J22" s="23"/>
      <c r="K22" s="22">
        <v>3</v>
      </c>
      <c r="L22" s="23"/>
      <c r="M22" s="22"/>
      <c r="N22" s="23"/>
    </row>
    <row r="23" spans="1:14" x14ac:dyDescent="0.35">
      <c r="A23" t="s">
        <v>857</v>
      </c>
      <c r="B23" s="9" t="s">
        <v>3743</v>
      </c>
      <c r="C23" s="40">
        <v>46050</v>
      </c>
      <c r="D23" s="42">
        <v>46081</v>
      </c>
      <c r="E23" s="40">
        <v>46111</v>
      </c>
      <c r="F23">
        <v>4</v>
      </c>
      <c r="G23" s="15">
        <v>46172</v>
      </c>
      <c r="H23" s="4" t="s">
        <v>3783</v>
      </c>
      <c r="I23" s="30">
        <v>2</v>
      </c>
      <c r="J23" s="23"/>
      <c r="K23" s="22">
        <v>2</v>
      </c>
      <c r="L23" s="23"/>
      <c r="M23" s="22"/>
      <c r="N23" s="23"/>
    </row>
    <row r="24" spans="1:14" x14ac:dyDescent="0.35">
      <c r="A24" t="s">
        <v>812</v>
      </c>
      <c r="B24" s="9" t="s">
        <v>3739</v>
      </c>
      <c r="C24" s="40">
        <v>46049</v>
      </c>
      <c r="D24" s="42" t="s">
        <v>68</v>
      </c>
      <c r="E24" s="40">
        <v>46080</v>
      </c>
      <c r="F24">
        <v>5</v>
      </c>
      <c r="G24" s="15">
        <v>46169</v>
      </c>
      <c r="H24" s="4" t="s">
        <v>3783</v>
      </c>
      <c r="I24" s="30">
        <v>1</v>
      </c>
      <c r="J24" s="23"/>
      <c r="K24" s="22">
        <v>3</v>
      </c>
      <c r="L24" s="23"/>
      <c r="M24" s="22"/>
      <c r="N24" s="23"/>
    </row>
    <row r="25" spans="1:14" x14ac:dyDescent="0.35">
      <c r="A25" t="s">
        <v>821</v>
      </c>
      <c r="B25" s="9" t="s">
        <v>3740</v>
      </c>
      <c r="C25" s="40">
        <v>46052</v>
      </c>
      <c r="D25" s="42" t="s">
        <v>68</v>
      </c>
      <c r="E25" s="40">
        <v>46081</v>
      </c>
      <c r="F25">
        <v>5</v>
      </c>
      <c r="G25" s="15">
        <v>46170</v>
      </c>
      <c r="H25" s="4" t="s">
        <v>3783</v>
      </c>
      <c r="I25" s="30">
        <v>1</v>
      </c>
      <c r="J25" s="23"/>
      <c r="K25" s="22">
        <v>3</v>
      </c>
      <c r="L25" s="23"/>
      <c r="M25" s="22"/>
      <c r="N25" s="23"/>
    </row>
    <row r="26" spans="1:14" x14ac:dyDescent="0.35">
      <c r="A26" t="s">
        <v>919</v>
      </c>
      <c r="B26" s="9" t="s">
        <v>3744</v>
      </c>
      <c r="C26" s="40">
        <v>46059</v>
      </c>
      <c r="D26" s="42" t="s">
        <v>68</v>
      </c>
      <c r="E26" s="40">
        <v>46111</v>
      </c>
      <c r="F26">
        <v>4</v>
      </c>
      <c r="G26" s="15">
        <v>46172</v>
      </c>
      <c r="H26" s="4" t="s">
        <v>3783</v>
      </c>
      <c r="I26" s="30">
        <v>1</v>
      </c>
      <c r="J26" s="23"/>
      <c r="K26" s="22">
        <v>2</v>
      </c>
      <c r="L26" s="23"/>
      <c r="M26" s="22"/>
      <c r="N26" s="23"/>
    </row>
    <row r="27" spans="1:14" x14ac:dyDescent="0.35">
      <c r="A27" t="s">
        <v>837</v>
      </c>
      <c r="B27" s="9" t="s">
        <v>3741</v>
      </c>
      <c r="C27" s="40">
        <v>46048</v>
      </c>
      <c r="D27" s="42">
        <v>46068</v>
      </c>
      <c r="E27" s="40">
        <v>46096</v>
      </c>
      <c r="F27">
        <v>4</v>
      </c>
      <c r="G27" s="15">
        <v>46188</v>
      </c>
      <c r="H27" s="4" t="s">
        <v>3782</v>
      </c>
      <c r="I27" s="30">
        <v>2</v>
      </c>
      <c r="J27" s="23"/>
      <c r="K27" s="22">
        <v>3</v>
      </c>
      <c r="L27" s="23"/>
      <c r="M27" s="22"/>
      <c r="N27" s="23"/>
    </row>
    <row r="28" spans="1:14" x14ac:dyDescent="0.35">
      <c r="A28" t="s">
        <v>846</v>
      </c>
      <c r="B28" s="9" t="s">
        <v>3742</v>
      </c>
      <c r="C28" s="40">
        <v>46052</v>
      </c>
      <c r="D28" s="42" t="s">
        <v>68</v>
      </c>
      <c r="E28" s="40">
        <v>46081</v>
      </c>
      <c r="F28">
        <v>5</v>
      </c>
      <c r="G28" s="15">
        <v>46201</v>
      </c>
      <c r="H28" s="4" t="s">
        <v>3782</v>
      </c>
      <c r="I28" s="30">
        <v>1</v>
      </c>
      <c r="J28" s="23"/>
      <c r="K28" s="22">
        <v>4</v>
      </c>
      <c r="L28" s="23"/>
      <c r="M28" s="22"/>
      <c r="N28" s="23"/>
    </row>
    <row r="29" spans="1:14" x14ac:dyDescent="0.35">
      <c r="A29" t="s">
        <v>951</v>
      </c>
      <c r="B29" s="9" t="s">
        <v>3745</v>
      </c>
      <c r="C29" s="40">
        <v>46073</v>
      </c>
      <c r="D29" s="42" t="s">
        <v>68</v>
      </c>
      <c r="E29" s="40">
        <v>46091</v>
      </c>
      <c r="F29">
        <v>4</v>
      </c>
      <c r="G29" s="15">
        <v>46183</v>
      </c>
      <c r="H29" s="4" t="s">
        <v>3782</v>
      </c>
      <c r="I29" s="30">
        <v>1</v>
      </c>
      <c r="J29" s="23"/>
      <c r="K29" s="22">
        <v>3</v>
      </c>
      <c r="L29" s="23"/>
      <c r="M29" s="22"/>
      <c r="N29" s="23"/>
    </row>
    <row r="30" spans="1:14" x14ac:dyDescent="0.35">
      <c r="A30" t="s">
        <v>1315</v>
      </c>
      <c r="B30" s="9" t="s">
        <v>3746</v>
      </c>
      <c r="C30" s="40">
        <v>46160</v>
      </c>
      <c r="D30" s="42" t="s">
        <v>68</v>
      </c>
      <c r="E30" s="40">
        <v>46188</v>
      </c>
      <c r="F30">
        <v>1</v>
      </c>
      <c r="G30" s="15">
        <v>46218</v>
      </c>
      <c r="H30" s="4" t="s">
        <v>3781</v>
      </c>
      <c r="I30" s="30">
        <v>1</v>
      </c>
      <c r="J30" s="23"/>
      <c r="K30" s="22">
        <v>1</v>
      </c>
      <c r="L30" s="23"/>
      <c r="M30" s="22"/>
      <c r="N30" s="23"/>
    </row>
    <row r="31" spans="1:14" x14ac:dyDescent="0.35">
      <c r="A31" t="s">
        <v>1177</v>
      </c>
      <c r="B31" s="9" t="s">
        <v>3747</v>
      </c>
      <c r="C31" s="40">
        <v>46171</v>
      </c>
      <c r="D31" s="42" t="s">
        <v>68</v>
      </c>
      <c r="E31" s="40">
        <v>46202</v>
      </c>
      <c r="F31">
        <v>1</v>
      </c>
      <c r="G31" s="15">
        <v>46202</v>
      </c>
      <c r="H31" s="4" t="s">
        <v>3781</v>
      </c>
      <c r="I31" s="30">
        <v>1</v>
      </c>
      <c r="J31" s="23"/>
      <c r="K31" s="22"/>
      <c r="L31" s="23"/>
      <c r="M31" s="22"/>
      <c r="N31" s="23"/>
    </row>
    <row r="32" spans="1:14" x14ac:dyDescent="0.35">
      <c r="A32" t="s">
        <v>1185</v>
      </c>
      <c r="B32" s="9" t="s">
        <v>3748</v>
      </c>
      <c r="C32" s="40">
        <v>46171</v>
      </c>
      <c r="D32" s="42" t="s">
        <v>68</v>
      </c>
      <c r="E32" s="40">
        <v>46178</v>
      </c>
      <c r="F32">
        <v>1</v>
      </c>
      <c r="G32" s="15">
        <v>46239</v>
      </c>
      <c r="H32" s="4" t="s">
        <v>3784</v>
      </c>
      <c r="I32" s="30">
        <v>1</v>
      </c>
      <c r="J32" s="23"/>
      <c r="K32" s="22">
        <v>2</v>
      </c>
      <c r="L32" s="23"/>
      <c r="M32" s="22"/>
      <c r="N32" s="23"/>
    </row>
    <row r="33" spans="1:14" x14ac:dyDescent="0.35">
      <c r="A33" t="s">
        <v>1200</v>
      </c>
      <c r="B33" s="9" t="s">
        <v>3750</v>
      </c>
      <c r="C33" s="40">
        <v>46178</v>
      </c>
      <c r="D33" s="42" t="s">
        <v>68</v>
      </c>
      <c r="E33" s="40">
        <v>46228</v>
      </c>
      <c r="F33">
        <v>0</v>
      </c>
      <c r="G33" s="15">
        <v>46228</v>
      </c>
      <c r="H33" s="4" t="s">
        <v>3781</v>
      </c>
      <c r="I33" s="30">
        <v>1</v>
      </c>
      <c r="J33" s="23"/>
      <c r="K33" s="22"/>
      <c r="L33" s="23"/>
      <c r="M33" s="22"/>
      <c r="N33" s="23"/>
    </row>
    <row r="34" spans="1:14" x14ac:dyDescent="0.35">
      <c r="A34" t="s">
        <v>1194</v>
      </c>
      <c r="B34" s="9" t="s">
        <v>3749</v>
      </c>
      <c r="C34" s="40">
        <v>46174</v>
      </c>
      <c r="D34" s="42" t="s">
        <v>68</v>
      </c>
      <c r="E34" s="40">
        <v>46218</v>
      </c>
      <c r="F34">
        <v>0</v>
      </c>
      <c r="G34" s="15">
        <v>46218</v>
      </c>
      <c r="H34" s="4" t="s">
        <v>3781</v>
      </c>
      <c r="I34" s="30">
        <v>1</v>
      </c>
      <c r="J34" s="23"/>
      <c r="K34" s="22"/>
      <c r="L34" s="23"/>
      <c r="M34" s="22"/>
      <c r="N34" s="23"/>
    </row>
    <row r="35" spans="1:14" x14ac:dyDescent="0.35">
      <c r="A35" t="s">
        <v>1215</v>
      </c>
      <c r="B35" s="9" t="s">
        <v>3751</v>
      </c>
      <c r="C35" s="40">
        <v>46171</v>
      </c>
      <c r="D35" s="42" t="s">
        <v>68</v>
      </c>
      <c r="E35" s="40">
        <v>46202</v>
      </c>
      <c r="F35">
        <v>1</v>
      </c>
      <c r="G35" s="15">
        <v>46202</v>
      </c>
      <c r="H35" s="4" t="s">
        <v>3781</v>
      </c>
      <c r="I35" s="30">
        <v>1</v>
      </c>
      <c r="J35" s="23"/>
      <c r="K35" s="22"/>
      <c r="L35" s="23"/>
      <c r="M35" s="22"/>
      <c r="N35" s="23"/>
    </row>
    <row r="36" spans="1:14" x14ac:dyDescent="0.35">
      <c r="A36" t="s">
        <v>1223</v>
      </c>
      <c r="B36" s="9" t="s">
        <v>3752</v>
      </c>
      <c r="C36" s="40">
        <v>46183</v>
      </c>
      <c r="D36" s="42" t="s">
        <v>68</v>
      </c>
      <c r="E36" s="40">
        <v>46218</v>
      </c>
      <c r="F36">
        <v>0</v>
      </c>
      <c r="G36" s="15">
        <v>46218</v>
      </c>
      <c r="H36" s="4" t="s">
        <v>3781</v>
      </c>
      <c r="I36" s="30">
        <v>1</v>
      </c>
      <c r="J36" s="23"/>
      <c r="K36" s="22"/>
      <c r="L36" s="23"/>
      <c r="M36" s="22"/>
      <c r="N36" s="23"/>
    </row>
    <row r="37" spans="1:14" x14ac:dyDescent="0.35">
      <c r="A37" t="s">
        <v>1287</v>
      </c>
      <c r="B37" s="9" t="s">
        <v>3753</v>
      </c>
      <c r="C37" s="40">
        <v>46177</v>
      </c>
      <c r="D37" s="42" t="s">
        <v>68</v>
      </c>
      <c r="E37" s="40">
        <v>46205</v>
      </c>
      <c r="F37">
        <v>0</v>
      </c>
      <c r="G37" s="15">
        <v>46205</v>
      </c>
      <c r="H37" s="4" t="s">
        <v>3781</v>
      </c>
      <c r="I37" s="30">
        <v>1</v>
      </c>
      <c r="J37" s="23"/>
      <c r="K37" s="22"/>
      <c r="L37" s="23"/>
      <c r="M37" s="22"/>
      <c r="N37" s="23"/>
    </row>
    <row r="38" spans="1:14" x14ac:dyDescent="0.35">
      <c r="A38" t="s">
        <v>424</v>
      </c>
      <c r="B38" s="9" t="s">
        <v>3710</v>
      </c>
      <c r="C38" s="40">
        <v>45894</v>
      </c>
      <c r="D38" s="42" t="s">
        <v>68</v>
      </c>
      <c r="E38" s="40">
        <v>45930</v>
      </c>
      <c r="F38">
        <v>10</v>
      </c>
      <c r="G38" s="15">
        <v>46203</v>
      </c>
      <c r="H38" s="4" t="s">
        <v>3782</v>
      </c>
      <c r="I38" s="30">
        <v>1</v>
      </c>
      <c r="J38" s="23"/>
      <c r="K38" s="22">
        <v>9</v>
      </c>
      <c r="L38" s="23"/>
      <c r="M38" s="22"/>
      <c r="N38" s="23"/>
    </row>
    <row r="39" spans="1:14" x14ac:dyDescent="0.35">
      <c r="A39" t="s">
        <v>563</v>
      </c>
      <c r="B39" s="9" t="s">
        <v>3715</v>
      </c>
      <c r="C39" s="40" t="s">
        <v>68</v>
      </c>
      <c r="D39" s="42" t="s">
        <v>68</v>
      </c>
      <c r="E39" s="40">
        <v>46001</v>
      </c>
      <c r="F39">
        <v>7</v>
      </c>
      <c r="G39" s="15">
        <v>46152</v>
      </c>
      <c r="H39" s="4" t="s">
        <v>3783</v>
      </c>
      <c r="I39" s="30"/>
      <c r="J39" s="23"/>
      <c r="K39" s="22">
        <v>5</v>
      </c>
      <c r="L39" s="23"/>
      <c r="M39" s="22"/>
      <c r="N39" s="23"/>
    </row>
    <row r="40" spans="1:14" x14ac:dyDescent="0.35">
      <c r="A40" t="s">
        <v>582</v>
      </c>
      <c r="B40" s="9" t="s">
        <v>3716</v>
      </c>
      <c r="C40" s="40" t="s">
        <v>68</v>
      </c>
      <c r="D40" s="42" t="s">
        <v>68</v>
      </c>
      <c r="E40" s="40">
        <v>46021</v>
      </c>
      <c r="F40">
        <v>7</v>
      </c>
      <c r="G40" s="15">
        <v>46172</v>
      </c>
      <c r="H40" s="4" t="s">
        <v>3783</v>
      </c>
      <c r="I40" s="30"/>
      <c r="J40" s="23"/>
      <c r="K40" s="22">
        <v>5</v>
      </c>
      <c r="L40" s="23"/>
      <c r="M40" s="22"/>
      <c r="N40" s="23"/>
    </row>
    <row r="41" spans="1:14" x14ac:dyDescent="0.35">
      <c r="A41" t="s">
        <v>576</v>
      </c>
      <c r="B41" s="9" t="s">
        <v>3717</v>
      </c>
      <c r="C41" s="40" t="s">
        <v>68</v>
      </c>
      <c r="D41" s="42" t="s">
        <v>68</v>
      </c>
      <c r="E41" s="40">
        <v>46021</v>
      </c>
      <c r="F41">
        <v>7</v>
      </c>
      <c r="G41" s="15">
        <v>46264</v>
      </c>
      <c r="H41" s="4" t="s">
        <v>3784</v>
      </c>
      <c r="I41" s="30"/>
      <c r="J41" s="23"/>
      <c r="K41" s="22">
        <v>8</v>
      </c>
      <c r="L41" s="23"/>
      <c r="M41" s="22"/>
      <c r="N41" s="23"/>
    </row>
    <row r="42" spans="1:14" x14ac:dyDescent="0.35">
      <c r="A42" t="s">
        <v>1399</v>
      </c>
      <c r="B42" s="9" t="s">
        <v>3718</v>
      </c>
      <c r="C42" s="40">
        <v>45993</v>
      </c>
      <c r="D42" s="42" t="s">
        <v>68</v>
      </c>
      <c r="E42" s="40">
        <v>46037</v>
      </c>
      <c r="F42">
        <v>6</v>
      </c>
      <c r="G42" s="15">
        <v>46249</v>
      </c>
      <c r="H42" s="4" t="s">
        <v>3784</v>
      </c>
      <c r="I42" s="31">
        <v>1</v>
      </c>
      <c r="J42" s="25"/>
      <c r="K42" s="24">
        <v>7</v>
      </c>
      <c r="L42" s="25"/>
      <c r="M42" s="24"/>
      <c r="N42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5958-8261-466A-8C29-4E5228AE2420}">
  <dimension ref="A3:AA386"/>
  <sheetViews>
    <sheetView topLeftCell="A325" workbookViewId="0">
      <selection activeCell="K4" sqref="K4:K386"/>
    </sheetView>
  </sheetViews>
  <sheetFormatPr defaultRowHeight="14.5" x14ac:dyDescent="0.35"/>
  <cols>
    <col min="1" max="1" width="9.453125" bestFit="1" customWidth="1"/>
    <col min="2" max="2" width="11.54296875" bestFit="1" customWidth="1"/>
    <col min="3" max="5" width="11.54296875" customWidth="1"/>
    <col min="6" max="6" width="14.26953125" bestFit="1" customWidth="1"/>
    <col min="7" max="7" width="22.08984375" bestFit="1" customWidth="1"/>
    <col min="8" max="8" width="22.08984375" customWidth="1"/>
    <col min="9" max="9" width="19.453125" bestFit="1" customWidth="1"/>
    <col min="10" max="10" width="14.7265625" bestFit="1" customWidth="1"/>
    <col min="11" max="11" width="20.54296875" bestFit="1" customWidth="1"/>
    <col min="12" max="12" width="20.54296875" customWidth="1"/>
    <col min="13" max="13" width="15.7265625" bestFit="1" customWidth="1"/>
    <col min="14" max="14" width="19.54296875" bestFit="1" customWidth="1"/>
    <col min="15" max="15" width="17.54296875" bestFit="1" customWidth="1"/>
    <col min="16" max="16" width="20.90625" bestFit="1" customWidth="1"/>
    <col min="17" max="17" width="21.36328125" hidden="1" customWidth="1"/>
    <col min="18" max="18" width="30.453125" hidden="1" customWidth="1"/>
    <col min="19" max="19" width="26.08984375" hidden="1" customWidth="1"/>
    <col min="20" max="20" width="22.81640625" hidden="1" customWidth="1"/>
    <col min="21" max="21" width="24.54296875" hidden="1" customWidth="1"/>
    <col min="22" max="22" width="26.08984375" bestFit="1" customWidth="1"/>
    <col min="23" max="23" width="22.6328125" bestFit="1" customWidth="1"/>
  </cols>
  <sheetData>
    <row r="3" spans="1:27" x14ac:dyDescent="0.35">
      <c r="G3" s="12">
        <f>SUBTOTAL(103,Table5[Id])</f>
        <v>382</v>
      </c>
      <c r="H3" s="12"/>
    </row>
    <row r="4" spans="1:27" x14ac:dyDescent="0.35">
      <c r="A4" s="14" t="s">
        <v>3522</v>
      </c>
      <c r="B4" s="14" t="s">
        <v>3755</v>
      </c>
      <c r="C4" s="14" t="s">
        <v>3778</v>
      </c>
      <c r="D4" s="14" t="s">
        <v>3756</v>
      </c>
      <c r="E4" s="14" t="s">
        <v>3758</v>
      </c>
      <c r="F4" s="14" t="s">
        <v>3759</v>
      </c>
      <c r="G4" s="14" t="s">
        <v>2363</v>
      </c>
      <c r="H4" s="14" t="s">
        <v>3779</v>
      </c>
      <c r="I4" s="14" t="s">
        <v>3780</v>
      </c>
      <c r="J4" s="41" t="s">
        <v>3800</v>
      </c>
      <c r="K4" s="9" t="s">
        <v>0</v>
      </c>
      <c r="L4" s="9" t="s">
        <v>2</v>
      </c>
      <c r="M4" s="9" t="s">
        <v>2357</v>
      </c>
      <c r="N4" s="9" t="s">
        <v>2358</v>
      </c>
      <c r="O4" s="9" t="s">
        <v>2359</v>
      </c>
      <c r="P4" s="9" t="s">
        <v>2351</v>
      </c>
      <c r="Q4" s="9" t="s">
        <v>2349</v>
      </c>
      <c r="R4" s="9" t="s">
        <v>2350</v>
      </c>
      <c r="S4" s="9" t="s">
        <v>2360</v>
      </c>
      <c r="T4" s="9" t="s">
        <v>2354</v>
      </c>
      <c r="U4" s="9" t="s">
        <v>2353</v>
      </c>
      <c r="V4" s="9" t="s">
        <v>2361</v>
      </c>
      <c r="W4" s="9" t="s">
        <v>2362</v>
      </c>
      <c r="X4" s="9" t="s">
        <v>2352</v>
      </c>
      <c r="Y4" s="9" t="s">
        <v>2356</v>
      </c>
      <c r="Z4" s="9" t="s">
        <v>2355</v>
      </c>
      <c r="AA4" s="9" t="s">
        <v>3</v>
      </c>
    </row>
    <row r="5" spans="1:27" x14ac:dyDescent="0.35">
      <c r="A5" s="4" t="str">
        <f>IF(Table5[[#This Row],[SM_Amount__c]]="25.0","FEE",IF(IF(Table5[[#This Row],[SM_Original_Type__c]]="",Table5[[#This Row],[SM_Type__c]],Table5[[#This Row],[SM_Original_Type__c]])="AC","AC","SUBS"))</f>
        <v>AC</v>
      </c>
      <c r="B5" s="27">
        <f>IF(INDEX(Contract[SM_AC_start_date__c],MATCH(Table5[[#This Row],[SM_Contract__c]],Contract[Id],0))=0,"",INDEX(Contract[SM_AC_start_date__c],MATCH(Table5[[#This Row],[SM_Contract__c]],Contract[Id],0)))</f>
        <v>45163</v>
      </c>
      <c r="C5" s="27">
        <f>IF(INDEX(Contract[SM_AC_Split_Date__c],MATCH(Table5[[#This Row],[SM_Contract__c]],Contract[Id],0))=0,"",INDEX(Contract[SM_AC_Split_Date__c],MATCH(Table5[[#This Row],[SM_Contract__c]],Contract[Id],0)))</f>
        <v>45170</v>
      </c>
      <c r="D5" s="27">
        <f>IF(INDEX(Contract[SM_Start_date__c],MATCH(Table5[[#This Row],[SM_Contract__c]],Contract[Id],0))=0,"",INDEX(Contract[SM_Start_date__c],MATCH(Table5[[#This Row],[SM_Contract__c]],Contract[Id],0)))</f>
        <v>45229</v>
      </c>
      <c r="E5" s="4">
        <f ca="1">(YEAR(TODAY())-YEAR(Table5[[#This Row],[RC DATE]]))*12 + MONTH(TODAY())-MONTH(Table5[[#This Row],[RC DATE]])</f>
        <v>33</v>
      </c>
      <c r="F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5" s="19">
        <f>IF(Table5[[#This Row],[Payment_Status__c]]="ACCEPTED",1,"")</f>
        <v>1</v>
      </c>
      <c r="H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5" s="19">
        <f ca="1">Table5[[#This Row],['# months]]-COUNTIFS(Table5[SM_Contract__c],Table5[[#This Row],[SM_Contract__c]],Table5[TYPE],"SUBS",Table5[ACCEPTED],1)</f>
        <v>2</v>
      </c>
      <c r="J5" s="19" t="b">
        <f>ISNUMBER(MATCH(Table5[[#This Row],[SM_Contract__c]],Contract[Id],0))</f>
        <v>1</v>
      </c>
      <c r="K5" s="9" t="s">
        <v>2368</v>
      </c>
      <c r="L5" s="9" t="s">
        <v>2369</v>
      </c>
      <c r="M5" s="9" t="s">
        <v>112</v>
      </c>
      <c r="N5" s="9" t="s">
        <v>3543</v>
      </c>
      <c r="O5" s="9" t="s">
        <v>1563</v>
      </c>
      <c r="P5" s="9" t="s">
        <v>2363</v>
      </c>
      <c r="Q5" s="9" t="s">
        <v>77</v>
      </c>
      <c r="R5" s="9" t="s">
        <v>77</v>
      </c>
      <c r="S5" s="9" t="s">
        <v>1936</v>
      </c>
      <c r="T5" s="9" t="s">
        <v>1933</v>
      </c>
      <c r="U5" s="9" t="s">
        <v>1936</v>
      </c>
      <c r="V5" s="9" t="s">
        <v>93</v>
      </c>
      <c r="W5" s="9" t="s">
        <v>3542</v>
      </c>
      <c r="X5" s="9" t="s">
        <v>2370</v>
      </c>
      <c r="Y5" s="9"/>
      <c r="Z5" s="9"/>
      <c r="AA5" s="9" t="s">
        <v>2370</v>
      </c>
    </row>
    <row r="6" spans="1:27" x14ac:dyDescent="0.35">
      <c r="A6" s="4" t="str">
        <f>IF(Table5[[#This Row],[SM_Amount__c]]="25.0","FEE",IF(IF(Table5[[#This Row],[SM_Original_Type__c]]="",Table5[[#This Row],[SM_Type__c]],Table5[[#This Row],[SM_Original_Type__c]])="AC","AC","SUBS"))</f>
        <v>AC</v>
      </c>
      <c r="B6" s="27">
        <f>IF(INDEX(Contract[SM_AC_start_date__c],MATCH(Table5[[#This Row],[SM_Contract__c]],Contract[Id],0))=0,"",INDEX(Contract[SM_AC_start_date__c],MATCH(Table5[[#This Row],[SM_Contract__c]],Contract[Id],0)))</f>
        <v>45163</v>
      </c>
      <c r="C6" s="27">
        <f>IF(INDEX(Contract[SM_AC_Split_Date__c],MATCH(Table5[[#This Row],[SM_Contract__c]],Contract[Id],0))=0,"",INDEX(Contract[SM_AC_Split_Date__c],MATCH(Table5[[#This Row],[SM_Contract__c]],Contract[Id],0)))</f>
        <v>45170</v>
      </c>
      <c r="D6" s="27">
        <f>IF(INDEX(Contract[SM_Start_date__c],MATCH(Table5[[#This Row],[SM_Contract__c]],Contract[Id],0))=0,"",INDEX(Contract[SM_Start_date__c],MATCH(Table5[[#This Row],[SM_Contract__c]],Contract[Id],0)))</f>
        <v>45229</v>
      </c>
      <c r="E6" s="4">
        <f ca="1">(YEAR(TODAY())-YEAR(Table5[[#This Row],[RC DATE]]))*12 + MONTH(TODAY())-MONTH(Table5[[#This Row],[RC DATE]])</f>
        <v>33</v>
      </c>
      <c r="F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6" s="19">
        <f>IF(Table5[[#This Row],[Payment_Status__c]]="ACCEPTED",1,"")</f>
        <v>1</v>
      </c>
      <c r="H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6" s="19">
        <f ca="1">Table5[[#This Row],['# months]]-COUNTIFS(Table5[SM_Contract__c],Table5[[#This Row],[SM_Contract__c]],Table5[TYPE],"SUBS",Table5[ACCEPTED],1)</f>
        <v>2</v>
      </c>
      <c r="J6" s="19" t="b">
        <f>ISNUMBER(MATCH(Table5[[#This Row],[SM_Contract__c]],Contract[Id],0))</f>
        <v>1</v>
      </c>
      <c r="K6" s="9" t="s">
        <v>2371</v>
      </c>
      <c r="L6" s="9" t="s">
        <v>2372</v>
      </c>
      <c r="M6" s="9" t="s">
        <v>112</v>
      </c>
      <c r="N6" s="9" t="s">
        <v>3543</v>
      </c>
      <c r="O6" s="9" t="s">
        <v>1563</v>
      </c>
      <c r="P6" s="9" t="s">
        <v>2363</v>
      </c>
      <c r="Q6" s="9" t="s">
        <v>71</v>
      </c>
      <c r="R6" s="9" t="s">
        <v>77</v>
      </c>
      <c r="S6" s="9" t="s">
        <v>1936</v>
      </c>
      <c r="T6" s="9" t="s">
        <v>1933</v>
      </c>
      <c r="U6" s="9" t="s">
        <v>1936</v>
      </c>
      <c r="V6" s="9" t="s">
        <v>93</v>
      </c>
      <c r="W6" s="9" t="s">
        <v>3536</v>
      </c>
      <c r="X6" s="9" t="s">
        <v>2373</v>
      </c>
      <c r="Y6" s="9"/>
      <c r="Z6" s="9" t="s">
        <v>126</v>
      </c>
      <c r="AA6" s="9" t="s">
        <v>2373</v>
      </c>
    </row>
    <row r="7" spans="1:27" x14ac:dyDescent="0.35">
      <c r="A7" s="4" t="str">
        <f>IF(Table5[[#This Row],[SM_Amount__c]]="25.0","FEE",IF(IF(Table5[[#This Row],[SM_Original_Type__c]]="",Table5[[#This Row],[SM_Type__c]],Table5[[#This Row],[SM_Original_Type__c]])="AC","AC","SUBS"))</f>
        <v>SUBS</v>
      </c>
      <c r="B7" s="27">
        <f>IF(INDEX(Contract[SM_AC_start_date__c],MATCH(Table5[[#This Row],[SM_Contract__c]],Contract[Id],0))=0,"",INDEX(Contract[SM_AC_start_date__c],MATCH(Table5[[#This Row],[SM_Contract__c]],Contract[Id],0)))</f>
        <v>45163</v>
      </c>
      <c r="C7" s="27">
        <f>IF(INDEX(Contract[SM_AC_Split_Date__c],MATCH(Table5[[#This Row],[SM_Contract__c]],Contract[Id],0))=0,"",INDEX(Contract[SM_AC_Split_Date__c],MATCH(Table5[[#This Row],[SM_Contract__c]],Contract[Id],0)))</f>
        <v>45170</v>
      </c>
      <c r="D7" s="27">
        <f>IF(INDEX(Contract[SM_Start_date__c],MATCH(Table5[[#This Row],[SM_Contract__c]],Contract[Id],0))=0,"",INDEX(Contract[SM_Start_date__c],MATCH(Table5[[#This Row],[SM_Contract__c]],Contract[Id],0)))</f>
        <v>45229</v>
      </c>
      <c r="E7" s="4">
        <f ca="1">(YEAR(TODAY())-YEAR(Table5[[#This Row],[RC DATE]]))*12 + MONTH(TODAY())-MONTH(Table5[[#This Row],[RC DATE]])</f>
        <v>33</v>
      </c>
      <c r="F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7" s="19">
        <f>IF(Table5[[#This Row],[Payment_Status__c]]="ACCEPTED",1,"")</f>
        <v>1</v>
      </c>
      <c r="H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7" s="19">
        <f ca="1">Table5[[#This Row],['# months]]-COUNTIFS(Table5[SM_Contract__c],Table5[[#This Row],[SM_Contract__c]],Table5[TYPE],"SUBS",Table5[ACCEPTED],1)</f>
        <v>2</v>
      </c>
      <c r="J7" s="19" t="b">
        <f>ISNUMBER(MATCH(Table5[[#This Row],[SM_Contract__c]],Contract[Id],0))</f>
        <v>1</v>
      </c>
      <c r="K7" s="9" t="s">
        <v>2374</v>
      </c>
      <c r="L7" s="9" t="s">
        <v>2375</v>
      </c>
      <c r="M7" s="9" t="s">
        <v>112</v>
      </c>
      <c r="N7" s="9" t="s">
        <v>3543</v>
      </c>
      <c r="O7" s="9" t="s">
        <v>1563</v>
      </c>
      <c r="P7" s="9" t="s">
        <v>2363</v>
      </c>
      <c r="Q7" s="9" t="s">
        <v>71</v>
      </c>
      <c r="R7" s="9" t="s">
        <v>83</v>
      </c>
      <c r="S7" s="9" t="s">
        <v>106</v>
      </c>
      <c r="T7" s="9" t="s">
        <v>149</v>
      </c>
      <c r="U7" s="9" t="s">
        <v>106</v>
      </c>
      <c r="V7" s="9" t="s">
        <v>93</v>
      </c>
      <c r="W7" s="9" t="s">
        <v>3541</v>
      </c>
      <c r="X7" s="9" t="s">
        <v>2376</v>
      </c>
      <c r="Y7" s="9"/>
      <c r="Z7" s="9" t="s">
        <v>153</v>
      </c>
      <c r="AA7" s="9" t="s">
        <v>2376</v>
      </c>
    </row>
    <row r="8" spans="1:27" x14ac:dyDescent="0.35">
      <c r="A8" s="4" t="str">
        <f>IF(Table5[[#This Row],[SM_Amount__c]]="25.0","FEE",IF(IF(Table5[[#This Row],[SM_Original_Type__c]]="",Table5[[#This Row],[SM_Type__c]],Table5[[#This Row],[SM_Original_Type__c]])="AC","AC","SUBS"))</f>
        <v>SUBS</v>
      </c>
      <c r="B8" s="27">
        <f>IF(INDEX(Contract[SM_AC_start_date__c],MATCH(Table5[[#This Row],[SM_Contract__c]],Contract[Id],0))=0,"",INDEX(Contract[SM_AC_start_date__c],MATCH(Table5[[#This Row],[SM_Contract__c]],Contract[Id],0)))</f>
        <v>45163</v>
      </c>
      <c r="C8" s="27">
        <f>IF(INDEX(Contract[SM_AC_Split_Date__c],MATCH(Table5[[#This Row],[SM_Contract__c]],Contract[Id],0))=0,"",INDEX(Contract[SM_AC_Split_Date__c],MATCH(Table5[[#This Row],[SM_Contract__c]],Contract[Id],0)))</f>
        <v>45170</v>
      </c>
      <c r="D8" s="27">
        <f>IF(INDEX(Contract[SM_Start_date__c],MATCH(Table5[[#This Row],[SM_Contract__c]],Contract[Id],0))=0,"",INDEX(Contract[SM_Start_date__c],MATCH(Table5[[#This Row],[SM_Contract__c]],Contract[Id],0)))</f>
        <v>45229</v>
      </c>
      <c r="E8" s="4">
        <f ca="1">(YEAR(TODAY())-YEAR(Table5[[#This Row],[RC DATE]]))*12 + MONTH(TODAY())-MONTH(Table5[[#This Row],[RC DATE]])</f>
        <v>33</v>
      </c>
      <c r="F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8" s="19">
        <f>IF(Table5[[#This Row],[Payment_Status__c]]="ACCEPTED",1,"")</f>
        <v>1</v>
      </c>
      <c r="H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8" s="19">
        <f ca="1">Table5[[#This Row],['# months]]-COUNTIFS(Table5[SM_Contract__c],Table5[[#This Row],[SM_Contract__c]],Table5[TYPE],"SUBS",Table5[ACCEPTED],1)</f>
        <v>2</v>
      </c>
      <c r="J8" s="19" t="b">
        <f>ISNUMBER(MATCH(Table5[[#This Row],[SM_Contract__c]],Contract[Id],0))</f>
        <v>1</v>
      </c>
      <c r="K8" s="9" t="s">
        <v>2377</v>
      </c>
      <c r="L8" s="9" t="s">
        <v>2378</v>
      </c>
      <c r="M8" s="9" t="s">
        <v>112</v>
      </c>
      <c r="N8" s="9" t="s">
        <v>3543</v>
      </c>
      <c r="O8" s="9" t="s">
        <v>1563</v>
      </c>
      <c r="P8" s="9" t="s">
        <v>2363</v>
      </c>
      <c r="Q8" s="9" t="s">
        <v>83</v>
      </c>
      <c r="R8" s="9" t="s">
        <v>76</v>
      </c>
      <c r="S8" s="9" t="s">
        <v>106</v>
      </c>
      <c r="T8" s="9" t="s">
        <v>149</v>
      </c>
      <c r="U8" s="9" t="s">
        <v>106</v>
      </c>
      <c r="V8" s="9" t="s">
        <v>93</v>
      </c>
      <c r="W8" s="9" t="s">
        <v>3523</v>
      </c>
      <c r="X8" s="9" t="s">
        <v>2379</v>
      </c>
      <c r="Y8" s="9"/>
      <c r="Z8" s="9"/>
      <c r="AA8" s="9" t="s">
        <v>2379</v>
      </c>
    </row>
    <row r="9" spans="1:27" x14ac:dyDescent="0.35">
      <c r="A9" s="4" t="str">
        <f>IF(Table5[[#This Row],[SM_Amount__c]]="25.0","FEE",IF(IF(Table5[[#This Row],[SM_Original_Type__c]]="",Table5[[#This Row],[SM_Type__c]],Table5[[#This Row],[SM_Original_Type__c]])="AC","AC","SUBS"))</f>
        <v>SUBS</v>
      </c>
      <c r="B9" s="27">
        <f>IF(INDEX(Contract[SM_AC_start_date__c],MATCH(Table5[[#This Row],[SM_Contract__c]],Contract[Id],0))=0,"",INDEX(Contract[SM_AC_start_date__c],MATCH(Table5[[#This Row],[SM_Contract__c]],Contract[Id],0)))</f>
        <v>45163</v>
      </c>
      <c r="C9" s="27">
        <f>IF(INDEX(Contract[SM_AC_Split_Date__c],MATCH(Table5[[#This Row],[SM_Contract__c]],Contract[Id],0))=0,"",INDEX(Contract[SM_AC_Split_Date__c],MATCH(Table5[[#This Row],[SM_Contract__c]],Contract[Id],0)))</f>
        <v>45170</v>
      </c>
      <c r="D9" s="27">
        <f>IF(INDEX(Contract[SM_Start_date__c],MATCH(Table5[[#This Row],[SM_Contract__c]],Contract[Id],0))=0,"",INDEX(Contract[SM_Start_date__c],MATCH(Table5[[#This Row],[SM_Contract__c]],Contract[Id],0)))</f>
        <v>45229</v>
      </c>
      <c r="E9" s="4">
        <f ca="1">(YEAR(TODAY())-YEAR(Table5[[#This Row],[RC DATE]]))*12 + MONTH(TODAY())-MONTH(Table5[[#This Row],[RC DATE]])</f>
        <v>33</v>
      </c>
      <c r="F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9" s="19">
        <f>IF(Table5[[#This Row],[Payment_Status__c]]="ACCEPTED",1,"")</f>
        <v>1</v>
      </c>
      <c r="H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9" s="19">
        <f ca="1">Table5[[#This Row],['# months]]-COUNTIFS(Table5[SM_Contract__c],Table5[[#This Row],[SM_Contract__c]],Table5[TYPE],"SUBS",Table5[ACCEPTED],1)</f>
        <v>2</v>
      </c>
      <c r="J9" s="19" t="b">
        <f>ISNUMBER(MATCH(Table5[[#This Row],[SM_Contract__c]],Contract[Id],0))</f>
        <v>1</v>
      </c>
      <c r="K9" s="9" t="s">
        <v>2380</v>
      </c>
      <c r="L9" s="9" t="s">
        <v>2381</v>
      </c>
      <c r="M9" s="9" t="s">
        <v>112</v>
      </c>
      <c r="N9" s="9" t="s">
        <v>3543</v>
      </c>
      <c r="O9" s="9" t="s">
        <v>1563</v>
      </c>
      <c r="P9" s="9" t="s">
        <v>2363</v>
      </c>
      <c r="Q9" s="9" t="s">
        <v>83</v>
      </c>
      <c r="R9" s="9" t="s">
        <v>76</v>
      </c>
      <c r="S9" s="9" t="s">
        <v>106</v>
      </c>
      <c r="T9" s="9" t="s">
        <v>149</v>
      </c>
      <c r="U9" s="9" t="s">
        <v>106</v>
      </c>
      <c r="V9" s="9" t="s">
        <v>93</v>
      </c>
      <c r="W9" s="9" t="s">
        <v>3524</v>
      </c>
      <c r="X9" s="9" t="s">
        <v>2382</v>
      </c>
      <c r="Y9" s="9"/>
      <c r="Z9" s="9"/>
      <c r="AA9" s="9" t="s">
        <v>2382</v>
      </c>
    </row>
    <row r="10" spans="1:27" x14ac:dyDescent="0.35">
      <c r="A10" s="4" t="str">
        <f>IF(Table5[[#This Row],[SM_Amount__c]]="25.0","FEE",IF(IF(Table5[[#This Row],[SM_Original_Type__c]]="",Table5[[#This Row],[SM_Type__c]],Table5[[#This Row],[SM_Original_Type__c]])="AC","AC","SUBS"))</f>
        <v>SUBS</v>
      </c>
      <c r="B10" s="27">
        <f>IF(INDEX(Contract[SM_AC_start_date__c],MATCH(Table5[[#This Row],[SM_Contract__c]],Contract[Id],0))=0,"",INDEX(Contract[SM_AC_start_date__c],MATCH(Table5[[#This Row],[SM_Contract__c]],Contract[Id],0)))</f>
        <v>45163</v>
      </c>
      <c r="C10" s="27">
        <f>IF(INDEX(Contract[SM_AC_Split_Date__c],MATCH(Table5[[#This Row],[SM_Contract__c]],Contract[Id],0))=0,"",INDEX(Contract[SM_AC_Split_Date__c],MATCH(Table5[[#This Row],[SM_Contract__c]],Contract[Id],0)))</f>
        <v>45170</v>
      </c>
      <c r="D10" s="27">
        <f>IF(INDEX(Contract[SM_Start_date__c],MATCH(Table5[[#This Row],[SM_Contract__c]],Contract[Id],0))=0,"",INDEX(Contract[SM_Start_date__c],MATCH(Table5[[#This Row],[SM_Contract__c]],Contract[Id],0)))</f>
        <v>45229</v>
      </c>
      <c r="E10" s="4">
        <f ca="1">(YEAR(TODAY())-YEAR(Table5[[#This Row],[RC DATE]]))*12 + MONTH(TODAY())-MONTH(Table5[[#This Row],[RC DATE]])</f>
        <v>33</v>
      </c>
      <c r="F1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0" s="19">
        <f>IF(Table5[[#This Row],[Payment_Status__c]]="ACCEPTED",1,"")</f>
        <v>1</v>
      </c>
      <c r="H1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0" s="19">
        <f ca="1">Table5[[#This Row],['# months]]-COUNTIFS(Table5[SM_Contract__c],Table5[[#This Row],[SM_Contract__c]],Table5[TYPE],"SUBS",Table5[ACCEPTED],1)</f>
        <v>2</v>
      </c>
      <c r="J10" s="19" t="b">
        <f>ISNUMBER(MATCH(Table5[[#This Row],[SM_Contract__c]],Contract[Id],0))</f>
        <v>1</v>
      </c>
      <c r="K10" s="9" t="s">
        <v>2383</v>
      </c>
      <c r="L10" s="9" t="s">
        <v>2384</v>
      </c>
      <c r="M10" s="9" t="s">
        <v>112</v>
      </c>
      <c r="N10" s="9" t="s">
        <v>3543</v>
      </c>
      <c r="O10" s="9" t="s">
        <v>1563</v>
      </c>
      <c r="P10" s="9" t="s">
        <v>2363</v>
      </c>
      <c r="Q10" s="9" t="s">
        <v>83</v>
      </c>
      <c r="R10" s="9" t="s">
        <v>76</v>
      </c>
      <c r="S10" s="9" t="s">
        <v>106</v>
      </c>
      <c r="T10" s="9" t="s">
        <v>149</v>
      </c>
      <c r="U10" s="9" t="s">
        <v>106</v>
      </c>
      <c r="V10" s="9" t="s">
        <v>93</v>
      </c>
      <c r="W10" s="9" t="s">
        <v>3525</v>
      </c>
      <c r="X10" s="9" t="s">
        <v>2385</v>
      </c>
      <c r="Y10" s="9"/>
      <c r="Z10" s="9"/>
      <c r="AA10" s="9" t="s">
        <v>2385</v>
      </c>
    </row>
    <row r="11" spans="1:27" x14ac:dyDescent="0.35">
      <c r="A11" s="4" t="str">
        <f>IF(Table5[[#This Row],[SM_Amount__c]]="25.0","FEE",IF(IF(Table5[[#This Row],[SM_Original_Type__c]]="",Table5[[#This Row],[SM_Type__c]],Table5[[#This Row],[SM_Original_Type__c]])="AC","AC","SUBS"))</f>
        <v>SUBS</v>
      </c>
      <c r="B11" s="27">
        <f>IF(INDEX(Contract[SM_AC_start_date__c],MATCH(Table5[[#This Row],[SM_Contract__c]],Contract[Id],0))=0,"",INDEX(Contract[SM_AC_start_date__c],MATCH(Table5[[#This Row],[SM_Contract__c]],Contract[Id],0)))</f>
        <v>45163</v>
      </c>
      <c r="C11" s="27">
        <f>IF(INDEX(Contract[SM_AC_Split_Date__c],MATCH(Table5[[#This Row],[SM_Contract__c]],Contract[Id],0))=0,"",INDEX(Contract[SM_AC_Split_Date__c],MATCH(Table5[[#This Row],[SM_Contract__c]],Contract[Id],0)))</f>
        <v>45170</v>
      </c>
      <c r="D11" s="27">
        <f>IF(INDEX(Contract[SM_Start_date__c],MATCH(Table5[[#This Row],[SM_Contract__c]],Contract[Id],0))=0,"",INDEX(Contract[SM_Start_date__c],MATCH(Table5[[#This Row],[SM_Contract__c]],Contract[Id],0)))</f>
        <v>45229</v>
      </c>
      <c r="E11" s="4">
        <f ca="1">(YEAR(TODAY())-YEAR(Table5[[#This Row],[RC DATE]]))*12 + MONTH(TODAY())-MONTH(Table5[[#This Row],[RC DATE]])</f>
        <v>33</v>
      </c>
      <c r="F1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1" s="19">
        <f>IF(Table5[[#This Row],[Payment_Status__c]]="ACCEPTED",1,"")</f>
        <v>1</v>
      </c>
      <c r="H1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1" s="19">
        <f ca="1">Table5[[#This Row],['# months]]-COUNTIFS(Table5[SM_Contract__c],Table5[[#This Row],[SM_Contract__c]],Table5[TYPE],"SUBS",Table5[ACCEPTED],1)</f>
        <v>2</v>
      </c>
      <c r="J11" s="19" t="b">
        <f>ISNUMBER(MATCH(Table5[[#This Row],[SM_Contract__c]],Contract[Id],0))</f>
        <v>1</v>
      </c>
      <c r="K11" s="9" t="s">
        <v>2386</v>
      </c>
      <c r="L11" s="9" t="s">
        <v>2387</v>
      </c>
      <c r="M11" s="9" t="s">
        <v>112</v>
      </c>
      <c r="N11" s="9" t="s">
        <v>3543</v>
      </c>
      <c r="O11" s="9" t="s">
        <v>1563</v>
      </c>
      <c r="P11" s="9" t="s">
        <v>2363</v>
      </c>
      <c r="Q11" s="9" t="s">
        <v>83</v>
      </c>
      <c r="R11" s="9" t="s">
        <v>76</v>
      </c>
      <c r="S11" s="9" t="s">
        <v>106</v>
      </c>
      <c r="T11" s="9" t="s">
        <v>149</v>
      </c>
      <c r="U11" s="9" t="s">
        <v>106</v>
      </c>
      <c r="V11" s="9" t="s">
        <v>93</v>
      </c>
      <c r="W11" s="9" t="s">
        <v>3526</v>
      </c>
      <c r="X11" s="9" t="s">
        <v>2388</v>
      </c>
      <c r="Y11" s="9"/>
      <c r="Z11" s="9"/>
      <c r="AA11" s="9" t="s">
        <v>2388</v>
      </c>
    </row>
    <row r="12" spans="1:27" x14ac:dyDescent="0.35">
      <c r="A12" s="4" t="str">
        <f>IF(Table5[[#This Row],[SM_Amount__c]]="25.0","FEE",IF(IF(Table5[[#This Row],[SM_Original_Type__c]]="",Table5[[#This Row],[SM_Type__c]],Table5[[#This Row],[SM_Original_Type__c]])="AC","AC","SUBS"))</f>
        <v>SUBS</v>
      </c>
      <c r="B12" s="27">
        <f>IF(INDEX(Contract[SM_AC_start_date__c],MATCH(Table5[[#This Row],[SM_Contract__c]],Contract[Id],0))=0,"",INDEX(Contract[SM_AC_start_date__c],MATCH(Table5[[#This Row],[SM_Contract__c]],Contract[Id],0)))</f>
        <v>45163</v>
      </c>
      <c r="C12" s="27">
        <f>IF(INDEX(Contract[SM_AC_Split_Date__c],MATCH(Table5[[#This Row],[SM_Contract__c]],Contract[Id],0))=0,"",INDEX(Contract[SM_AC_Split_Date__c],MATCH(Table5[[#This Row],[SM_Contract__c]],Contract[Id],0)))</f>
        <v>45170</v>
      </c>
      <c r="D12" s="27">
        <f>IF(INDEX(Contract[SM_Start_date__c],MATCH(Table5[[#This Row],[SM_Contract__c]],Contract[Id],0))=0,"",INDEX(Contract[SM_Start_date__c],MATCH(Table5[[#This Row],[SM_Contract__c]],Contract[Id],0)))</f>
        <v>45229</v>
      </c>
      <c r="E12" s="4">
        <f ca="1">(YEAR(TODAY())-YEAR(Table5[[#This Row],[RC DATE]]))*12 + MONTH(TODAY())-MONTH(Table5[[#This Row],[RC DATE]])</f>
        <v>33</v>
      </c>
      <c r="F1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2" s="19">
        <f>IF(Table5[[#This Row],[Payment_Status__c]]="ACCEPTED",1,"")</f>
        <v>1</v>
      </c>
      <c r="H1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2" s="19">
        <f ca="1">Table5[[#This Row],['# months]]-COUNTIFS(Table5[SM_Contract__c],Table5[[#This Row],[SM_Contract__c]],Table5[TYPE],"SUBS",Table5[ACCEPTED],1)</f>
        <v>2</v>
      </c>
      <c r="J12" s="19" t="b">
        <f>ISNUMBER(MATCH(Table5[[#This Row],[SM_Contract__c]],Contract[Id],0))</f>
        <v>1</v>
      </c>
      <c r="K12" s="9" t="s">
        <v>2389</v>
      </c>
      <c r="L12" s="9" t="s">
        <v>2390</v>
      </c>
      <c r="M12" s="9" t="s">
        <v>112</v>
      </c>
      <c r="N12" s="9" t="s">
        <v>3543</v>
      </c>
      <c r="O12" s="9" t="s">
        <v>1563</v>
      </c>
      <c r="P12" s="9" t="s">
        <v>2363</v>
      </c>
      <c r="Q12" s="9" t="s">
        <v>83</v>
      </c>
      <c r="R12" s="9" t="s">
        <v>76</v>
      </c>
      <c r="S12" s="9" t="s">
        <v>106</v>
      </c>
      <c r="T12" s="9" t="s">
        <v>149</v>
      </c>
      <c r="U12" s="9" t="s">
        <v>106</v>
      </c>
      <c r="V12" s="9" t="s">
        <v>93</v>
      </c>
      <c r="W12" s="9" t="s">
        <v>3544</v>
      </c>
      <c r="X12" s="9" t="s">
        <v>2391</v>
      </c>
      <c r="Y12" s="9"/>
      <c r="Z12" s="9"/>
      <c r="AA12" s="9" t="s">
        <v>2391</v>
      </c>
    </row>
    <row r="13" spans="1:27" x14ac:dyDescent="0.35">
      <c r="A13" s="4" t="str">
        <f>IF(Table5[[#This Row],[SM_Amount__c]]="25.0","FEE",IF(IF(Table5[[#This Row],[SM_Original_Type__c]]="",Table5[[#This Row],[SM_Type__c]],Table5[[#This Row],[SM_Original_Type__c]])="AC","AC","SUBS"))</f>
        <v>SUBS</v>
      </c>
      <c r="B13" s="27">
        <f>IF(INDEX(Contract[SM_AC_start_date__c],MATCH(Table5[[#This Row],[SM_Contract__c]],Contract[Id],0))=0,"",INDEX(Contract[SM_AC_start_date__c],MATCH(Table5[[#This Row],[SM_Contract__c]],Contract[Id],0)))</f>
        <v>45163</v>
      </c>
      <c r="C13" s="27">
        <f>IF(INDEX(Contract[SM_AC_Split_Date__c],MATCH(Table5[[#This Row],[SM_Contract__c]],Contract[Id],0))=0,"",INDEX(Contract[SM_AC_Split_Date__c],MATCH(Table5[[#This Row],[SM_Contract__c]],Contract[Id],0)))</f>
        <v>45170</v>
      </c>
      <c r="D13" s="27">
        <f>IF(INDEX(Contract[SM_Start_date__c],MATCH(Table5[[#This Row],[SM_Contract__c]],Contract[Id],0))=0,"",INDEX(Contract[SM_Start_date__c],MATCH(Table5[[#This Row],[SM_Contract__c]],Contract[Id],0)))</f>
        <v>45229</v>
      </c>
      <c r="E13" s="4">
        <f ca="1">(YEAR(TODAY())-YEAR(Table5[[#This Row],[RC DATE]]))*12 + MONTH(TODAY())-MONTH(Table5[[#This Row],[RC DATE]])</f>
        <v>33</v>
      </c>
      <c r="F1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3" s="19">
        <f>IF(Table5[[#This Row],[Payment_Status__c]]="ACCEPTED",1,"")</f>
        <v>1</v>
      </c>
      <c r="H1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3" s="19">
        <f ca="1">Table5[[#This Row],['# months]]-COUNTIFS(Table5[SM_Contract__c],Table5[[#This Row],[SM_Contract__c]],Table5[TYPE],"SUBS",Table5[ACCEPTED],1)</f>
        <v>2</v>
      </c>
      <c r="J13" s="19" t="b">
        <f>ISNUMBER(MATCH(Table5[[#This Row],[SM_Contract__c]],Contract[Id],0))</f>
        <v>1</v>
      </c>
      <c r="K13" s="9" t="s">
        <v>2392</v>
      </c>
      <c r="L13" s="9" t="s">
        <v>2393</v>
      </c>
      <c r="M13" s="9" t="s">
        <v>112</v>
      </c>
      <c r="N13" s="9" t="s">
        <v>3543</v>
      </c>
      <c r="O13" s="9" t="s">
        <v>1563</v>
      </c>
      <c r="P13" s="9" t="s">
        <v>2363</v>
      </c>
      <c r="Q13" s="9" t="s">
        <v>83</v>
      </c>
      <c r="R13" s="9" t="s">
        <v>76</v>
      </c>
      <c r="S13" s="9" t="s">
        <v>106</v>
      </c>
      <c r="T13" s="9" t="s">
        <v>149</v>
      </c>
      <c r="U13" s="9" t="s">
        <v>106</v>
      </c>
      <c r="V13" s="9" t="s">
        <v>93</v>
      </c>
      <c r="W13" s="9" t="s">
        <v>3527</v>
      </c>
      <c r="X13" s="9" t="s">
        <v>2394</v>
      </c>
      <c r="Y13" s="9"/>
      <c r="Z13" s="9"/>
      <c r="AA13" s="9" t="s">
        <v>2394</v>
      </c>
    </row>
    <row r="14" spans="1:27" x14ac:dyDescent="0.35">
      <c r="A14" s="4" t="str">
        <f>IF(Table5[[#This Row],[SM_Amount__c]]="25.0","FEE",IF(IF(Table5[[#This Row],[SM_Original_Type__c]]="",Table5[[#This Row],[SM_Type__c]],Table5[[#This Row],[SM_Original_Type__c]])="AC","AC","SUBS"))</f>
        <v>SUBS</v>
      </c>
      <c r="B14" s="27">
        <f>IF(INDEX(Contract[SM_AC_start_date__c],MATCH(Table5[[#This Row],[SM_Contract__c]],Contract[Id],0))=0,"",INDEX(Contract[SM_AC_start_date__c],MATCH(Table5[[#This Row],[SM_Contract__c]],Contract[Id],0)))</f>
        <v>45163</v>
      </c>
      <c r="C14" s="27">
        <f>IF(INDEX(Contract[SM_AC_Split_Date__c],MATCH(Table5[[#This Row],[SM_Contract__c]],Contract[Id],0))=0,"",INDEX(Contract[SM_AC_Split_Date__c],MATCH(Table5[[#This Row],[SM_Contract__c]],Contract[Id],0)))</f>
        <v>45170</v>
      </c>
      <c r="D14" s="27">
        <f>IF(INDEX(Contract[SM_Start_date__c],MATCH(Table5[[#This Row],[SM_Contract__c]],Contract[Id],0))=0,"",INDEX(Contract[SM_Start_date__c],MATCH(Table5[[#This Row],[SM_Contract__c]],Contract[Id],0)))</f>
        <v>45229</v>
      </c>
      <c r="E14" s="4">
        <f ca="1">(YEAR(TODAY())-YEAR(Table5[[#This Row],[RC DATE]]))*12 + MONTH(TODAY())-MONTH(Table5[[#This Row],[RC DATE]])</f>
        <v>33</v>
      </c>
      <c r="F1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4" s="19">
        <f>IF(Table5[[#This Row],[Payment_Status__c]]="ACCEPTED",1,"")</f>
        <v>1</v>
      </c>
      <c r="H1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4" s="19">
        <f ca="1">Table5[[#This Row],['# months]]-COUNTIFS(Table5[SM_Contract__c],Table5[[#This Row],[SM_Contract__c]],Table5[TYPE],"SUBS",Table5[ACCEPTED],1)</f>
        <v>2</v>
      </c>
      <c r="J14" s="19" t="b">
        <f>ISNUMBER(MATCH(Table5[[#This Row],[SM_Contract__c]],Contract[Id],0))</f>
        <v>1</v>
      </c>
      <c r="K14" s="9" t="s">
        <v>2395</v>
      </c>
      <c r="L14" s="9" t="s">
        <v>2396</v>
      </c>
      <c r="M14" s="9" t="s">
        <v>112</v>
      </c>
      <c r="N14" s="9" t="s">
        <v>3543</v>
      </c>
      <c r="O14" s="9" t="s">
        <v>1563</v>
      </c>
      <c r="P14" s="9" t="s">
        <v>2363</v>
      </c>
      <c r="Q14" s="9" t="s">
        <v>83</v>
      </c>
      <c r="R14" s="9" t="s">
        <v>76</v>
      </c>
      <c r="S14" s="9" t="s">
        <v>106</v>
      </c>
      <c r="T14" s="9" t="s">
        <v>149</v>
      </c>
      <c r="U14" s="9" t="s">
        <v>106</v>
      </c>
      <c r="V14" s="9" t="s">
        <v>93</v>
      </c>
      <c r="W14" s="9" t="s">
        <v>3528</v>
      </c>
      <c r="X14" s="9" t="s">
        <v>2397</v>
      </c>
      <c r="Y14" s="9"/>
      <c r="Z14" s="9"/>
      <c r="AA14" s="9" t="s">
        <v>2397</v>
      </c>
    </row>
    <row r="15" spans="1:27" x14ac:dyDescent="0.35">
      <c r="A15" s="4" t="str">
        <f>IF(Table5[[#This Row],[SM_Amount__c]]="25.0","FEE",IF(IF(Table5[[#This Row],[SM_Original_Type__c]]="",Table5[[#This Row],[SM_Type__c]],Table5[[#This Row],[SM_Original_Type__c]])="AC","AC","SUBS"))</f>
        <v>SUBS</v>
      </c>
      <c r="B15" s="27">
        <f>IF(INDEX(Contract[SM_AC_start_date__c],MATCH(Table5[[#This Row],[SM_Contract__c]],Contract[Id],0))=0,"",INDEX(Contract[SM_AC_start_date__c],MATCH(Table5[[#This Row],[SM_Contract__c]],Contract[Id],0)))</f>
        <v>45163</v>
      </c>
      <c r="C15" s="27">
        <f>IF(INDEX(Contract[SM_AC_Split_Date__c],MATCH(Table5[[#This Row],[SM_Contract__c]],Contract[Id],0))=0,"",INDEX(Contract[SM_AC_Split_Date__c],MATCH(Table5[[#This Row],[SM_Contract__c]],Contract[Id],0)))</f>
        <v>45170</v>
      </c>
      <c r="D15" s="27">
        <f>IF(INDEX(Contract[SM_Start_date__c],MATCH(Table5[[#This Row],[SM_Contract__c]],Contract[Id],0))=0,"",INDEX(Contract[SM_Start_date__c],MATCH(Table5[[#This Row],[SM_Contract__c]],Contract[Id],0)))</f>
        <v>45229</v>
      </c>
      <c r="E15" s="4">
        <f ca="1">(YEAR(TODAY())-YEAR(Table5[[#This Row],[RC DATE]]))*12 + MONTH(TODAY())-MONTH(Table5[[#This Row],[RC DATE]])</f>
        <v>33</v>
      </c>
      <c r="F1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5" s="19">
        <f>IF(Table5[[#This Row],[Payment_Status__c]]="ACCEPTED",1,"")</f>
        <v>1</v>
      </c>
      <c r="H1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5" s="19">
        <f ca="1">Table5[[#This Row],['# months]]-COUNTIFS(Table5[SM_Contract__c],Table5[[#This Row],[SM_Contract__c]],Table5[TYPE],"SUBS",Table5[ACCEPTED],1)</f>
        <v>2</v>
      </c>
      <c r="J15" s="19" t="b">
        <f>ISNUMBER(MATCH(Table5[[#This Row],[SM_Contract__c]],Contract[Id],0))</f>
        <v>1</v>
      </c>
      <c r="K15" s="9" t="s">
        <v>2398</v>
      </c>
      <c r="L15" s="9" t="s">
        <v>2399</v>
      </c>
      <c r="M15" s="9" t="s">
        <v>112</v>
      </c>
      <c r="N15" s="9" t="s">
        <v>3543</v>
      </c>
      <c r="O15" s="9" t="s">
        <v>1563</v>
      </c>
      <c r="P15" s="9" t="s">
        <v>2363</v>
      </c>
      <c r="Q15" s="9" t="s">
        <v>83</v>
      </c>
      <c r="R15" s="9" t="s">
        <v>76</v>
      </c>
      <c r="S15" s="9" t="s">
        <v>106</v>
      </c>
      <c r="T15" s="9" t="s">
        <v>149</v>
      </c>
      <c r="U15" s="9" t="s">
        <v>106</v>
      </c>
      <c r="V15" s="9" t="s">
        <v>93</v>
      </c>
      <c r="W15" s="9" t="s">
        <v>3529</v>
      </c>
      <c r="X15" s="9" t="s">
        <v>2400</v>
      </c>
      <c r="Y15" s="9"/>
      <c r="Z15" s="9"/>
      <c r="AA15" s="9" t="s">
        <v>2400</v>
      </c>
    </row>
    <row r="16" spans="1:27" x14ac:dyDescent="0.35">
      <c r="A16" s="4" t="str">
        <f>IF(Table5[[#This Row],[SM_Amount__c]]="25.0","FEE",IF(IF(Table5[[#This Row],[SM_Original_Type__c]]="",Table5[[#This Row],[SM_Type__c]],Table5[[#This Row],[SM_Original_Type__c]])="AC","AC","SUBS"))</f>
        <v>SUBS</v>
      </c>
      <c r="B16" s="27">
        <f>IF(INDEX(Contract[SM_AC_start_date__c],MATCH(Table5[[#This Row],[SM_Contract__c]],Contract[Id],0))=0,"",INDEX(Contract[SM_AC_start_date__c],MATCH(Table5[[#This Row],[SM_Contract__c]],Contract[Id],0)))</f>
        <v>45163</v>
      </c>
      <c r="C16" s="27">
        <f>IF(INDEX(Contract[SM_AC_Split_Date__c],MATCH(Table5[[#This Row],[SM_Contract__c]],Contract[Id],0))=0,"",INDEX(Contract[SM_AC_Split_Date__c],MATCH(Table5[[#This Row],[SM_Contract__c]],Contract[Id],0)))</f>
        <v>45170</v>
      </c>
      <c r="D16" s="27">
        <f>IF(INDEX(Contract[SM_Start_date__c],MATCH(Table5[[#This Row],[SM_Contract__c]],Contract[Id],0))=0,"",INDEX(Contract[SM_Start_date__c],MATCH(Table5[[#This Row],[SM_Contract__c]],Contract[Id],0)))</f>
        <v>45229</v>
      </c>
      <c r="E16" s="4">
        <f ca="1">(YEAR(TODAY())-YEAR(Table5[[#This Row],[RC DATE]]))*12 + MONTH(TODAY())-MONTH(Table5[[#This Row],[RC DATE]])</f>
        <v>33</v>
      </c>
      <c r="F1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6" s="19">
        <f>IF(Table5[[#This Row],[Payment_Status__c]]="ACCEPTED",1,"")</f>
        <v>1</v>
      </c>
      <c r="H1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6" s="19">
        <f ca="1">Table5[[#This Row],['# months]]-COUNTIFS(Table5[SM_Contract__c],Table5[[#This Row],[SM_Contract__c]],Table5[TYPE],"SUBS",Table5[ACCEPTED],1)</f>
        <v>2</v>
      </c>
      <c r="J16" s="19" t="b">
        <f>ISNUMBER(MATCH(Table5[[#This Row],[SM_Contract__c]],Contract[Id],0))</f>
        <v>1</v>
      </c>
      <c r="K16" s="9" t="s">
        <v>2401</v>
      </c>
      <c r="L16" s="9" t="s">
        <v>2402</v>
      </c>
      <c r="M16" s="9" t="s">
        <v>112</v>
      </c>
      <c r="N16" s="9" t="s">
        <v>3543</v>
      </c>
      <c r="O16" s="9" t="s">
        <v>1563</v>
      </c>
      <c r="P16" s="9" t="s">
        <v>2363</v>
      </c>
      <c r="Q16" s="9" t="s">
        <v>83</v>
      </c>
      <c r="R16" s="9" t="s">
        <v>76</v>
      </c>
      <c r="S16" s="9" t="s">
        <v>106</v>
      </c>
      <c r="T16" s="9" t="s">
        <v>149</v>
      </c>
      <c r="U16" s="9" t="s">
        <v>106</v>
      </c>
      <c r="V16" s="9" t="s">
        <v>93</v>
      </c>
      <c r="W16" s="9" t="s">
        <v>3530</v>
      </c>
      <c r="X16" s="9" t="s">
        <v>2403</v>
      </c>
      <c r="Y16" s="9"/>
      <c r="Z16" s="9"/>
      <c r="AA16" s="9" t="s">
        <v>2403</v>
      </c>
    </row>
    <row r="17" spans="1:27" x14ac:dyDescent="0.35">
      <c r="A17" s="4" t="str">
        <f>IF(Table5[[#This Row],[SM_Amount__c]]="25.0","FEE",IF(IF(Table5[[#This Row],[SM_Original_Type__c]]="",Table5[[#This Row],[SM_Type__c]],Table5[[#This Row],[SM_Original_Type__c]])="AC","AC","SUBS"))</f>
        <v>SUBS</v>
      </c>
      <c r="B17" s="27">
        <f>IF(INDEX(Contract[SM_AC_start_date__c],MATCH(Table5[[#This Row],[SM_Contract__c]],Contract[Id],0))=0,"",INDEX(Contract[SM_AC_start_date__c],MATCH(Table5[[#This Row],[SM_Contract__c]],Contract[Id],0)))</f>
        <v>45163</v>
      </c>
      <c r="C17" s="27">
        <f>IF(INDEX(Contract[SM_AC_Split_Date__c],MATCH(Table5[[#This Row],[SM_Contract__c]],Contract[Id],0))=0,"",INDEX(Contract[SM_AC_Split_Date__c],MATCH(Table5[[#This Row],[SM_Contract__c]],Contract[Id],0)))</f>
        <v>45170</v>
      </c>
      <c r="D17" s="27">
        <f>IF(INDEX(Contract[SM_Start_date__c],MATCH(Table5[[#This Row],[SM_Contract__c]],Contract[Id],0))=0,"",INDEX(Contract[SM_Start_date__c],MATCH(Table5[[#This Row],[SM_Contract__c]],Contract[Id],0)))</f>
        <v>45229</v>
      </c>
      <c r="E17" s="4">
        <f ca="1">(YEAR(TODAY())-YEAR(Table5[[#This Row],[RC DATE]]))*12 + MONTH(TODAY())-MONTH(Table5[[#This Row],[RC DATE]])</f>
        <v>33</v>
      </c>
      <c r="F1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7" s="19">
        <f>IF(Table5[[#This Row],[Payment_Status__c]]="ACCEPTED",1,"")</f>
        <v>1</v>
      </c>
      <c r="H1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7" s="19">
        <f ca="1">Table5[[#This Row],['# months]]-COUNTIFS(Table5[SM_Contract__c],Table5[[#This Row],[SM_Contract__c]],Table5[TYPE],"SUBS",Table5[ACCEPTED],1)</f>
        <v>2</v>
      </c>
      <c r="J17" s="19" t="b">
        <f>ISNUMBER(MATCH(Table5[[#This Row],[SM_Contract__c]],Contract[Id],0))</f>
        <v>1</v>
      </c>
      <c r="K17" s="9" t="s">
        <v>2404</v>
      </c>
      <c r="L17" s="9" t="s">
        <v>2405</v>
      </c>
      <c r="M17" s="9" t="s">
        <v>112</v>
      </c>
      <c r="N17" s="9" t="s">
        <v>3543</v>
      </c>
      <c r="O17" s="9" t="s">
        <v>1563</v>
      </c>
      <c r="P17" s="9" t="s">
        <v>2363</v>
      </c>
      <c r="Q17" s="9" t="s">
        <v>71</v>
      </c>
      <c r="R17" s="9" t="s">
        <v>83</v>
      </c>
      <c r="S17" s="9" t="s">
        <v>94</v>
      </c>
      <c r="T17" s="9" t="s">
        <v>1972</v>
      </c>
      <c r="U17" s="9" t="s">
        <v>106</v>
      </c>
      <c r="V17" s="9" t="s">
        <v>148</v>
      </c>
      <c r="W17" s="9" t="s">
        <v>3535</v>
      </c>
      <c r="X17" s="9" t="s">
        <v>2367</v>
      </c>
      <c r="Y17" s="9"/>
      <c r="Z17" s="9" t="s">
        <v>191</v>
      </c>
      <c r="AA17" s="9" t="s">
        <v>2367</v>
      </c>
    </row>
    <row r="18" spans="1:27" x14ac:dyDescent="0.35">
      <c r="A18" s="4" t="str">
        <f>IF(Table5[[#This Row],[SM_Amount__c]]="25.0","FEE",IF(IF(Table5[[#This Row],[SM_Original_Type__c]]="",Table5[[#This Row],[SM_Type__c]],Table5[[#This Row],[SM_Original_Type__c]])="AC","AC","SUBS"))</f>
        <v>SUBS</v>
      </c>
      <c r="B18" s="27">
        <f>IF(INDEX(Contract[SM_AC_start_date__c],MATCH(Table5[[#This Row],[SM_Contract__c]],Contract[Id],0))=0,"",INDEX(Contract[SM_AC_start_date__c],MATCH(Table5[[#This Row],[SM_Contract__c]],Contract[Id],0)))</f>
        <v>45163</v>
      </c>
      <c r="C18" s="27">
        <f>IF(INDEX(Contract[SM_AC_Split_Date__c],MATCH(Table5[[#This Row],[SM_Contract__c]],Contract[Id],0))=0,"",INDEX(Contract[SM_AC_Split_Date__c],MATCH(Table5[[#This Row],[SM_Contract__c]],Contract[Id],0)))</f>
        <v>45170</v>
      </c>
      <c r="D18" s="27">
        <f>IF(INDEX(Contract[SM_Start_date__c],MATCH(Table5[[#This Row],[SM_Contract__c]],Contract[Id],0))=0,"",INDEX(Contract[SM_Start_date__c],MATCH(Table5[[#This Row],[SM_Contract__c]],Contract[Id],0)))</f>
        <v>45229</v>
      </c>
      <c r="E18" s="4">
        <f ca="1">(YEAR(TODAY())-YEAR(Table5[[#This Row],[RC DATE]]))*12 + MONTH(TODAY())-MONTH(Table5[[#This Row],[RC DATE]])</f>
        <v>33</v>
      </c>
      <c r="F1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8" s="19">
        <f>IF(Table5[[#This Row],[Payment_Status__c]]="ACCEPTED",1,"")</f>
        <v>1</v>
      </c>
      <c r="H1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8" s="19">
        <f ca="1">Table5[[#This Row],['# months]]-COUNTIFS(Table5[SM_Contract__c],Table5[[#This Row],[SM_Contract__c]],Table5[TYPE],"SUBS",Table5[ACCEPTED],1)</f>
        <v>2</v>
      </c>
      <c r="J18" s="19" t="b">
        <f>ISNUMBER(MATCH(Table5[[#This Row],[SM_Contract__c]],Contract[Id],0))</f>
        <v>1</v>
      </c>
      <c r="K18" s="9" t="s">
        <v>2406</v>
      </c>
      <c r="L18" s="9" t="s">
        <v>2407</v>
      </c>
      <c r="M18" s="9" t="s">
        <v>112</v>
      </c>
      <c r="N18" s="9" t="s">
        <v>3543</v>
      </c>
      <c r="O18" s="9" t="s">
        <v>1563</v>
      </c>
      <c r="P18" s="9" t="s">
        <v>2363</v>
      </c>
      <c r="Q18" s="9" t="s">
        <v>71</v>
      </c>
      <c r="R18" s="9" t="s">
        <v>83</v>
      </c>
      <c r="S18" s="9" t="s">
        <v>94</v>
      </c>
      <c r="T18" s="9" t="s">
        <v>1972</v>
      </c>
      <c r="U18" s="9" t="s">
        <v>106</v>
      </c>
      <c r="V18" s="9" t="s">
        <v>148</v>
      </c>
      <c r="W18" s="9" t="s">
        <v>3538</v>
      </c>
      <c r="X18" s="9" t="s">
        <v>2408</v>
      </c>
      <c r="Y18" s="9"/>
      <c r="Z18" s="9" t="s">
        <v>205</v>
      </c>
      <c r="AA18" s="9" t="s">
        <v>2408</v>
      </c>
    </row>
    <row r="19" spans="1:27" x14ac:dyDescent="0.35">
      <c r="A19" s="4" t="str">
        <f>IF(Table5[[#This Row],[SM_Amount__c]]="25.0","FEE",IF(IF(Table5[[#This Row],[SM_Original_Type__c]]="",Table5[[#This Row],[SM_Type__c]],Table5[[#This Row],[SM_Original_Type__c]])="AC","AC","SUBS"))</f>
        <v>SUBS</v>
      </c>
      <c r="B19" s="27">
        <f>IF(INDEX(Contract[SM_AC_start_date__c],MATCH(Table5[[#This Row],[SM_Contract__c]],Contract[Id],0))=0,"",INDEX(Contract[SM_AC_start_date__c],MATCH(Table5[[#This Row],[SM_Contract__c]],Contract[Id],0)))</f>
        <v>45163</v>
      </c>
      <c r="C19" s="27">
        <f>IF(INDEX(Contract[SM_AC_Split_Date__c],MATCH(Table5[[#This Row],[SM_Contract__c]],Contract[Id],0))=0,"",INDEX(Contract[SM_AC_Split_Date__c],MATCH(Table5[[#This Row],[SM_Contract__c]],Contract[Id],0)))</f>
        <v>45170</v>
      </c>
      <c r="D19" s="27">
        <f>IF(INDEX(Contract[SM_Start_date__c],MATCH(Table5[[#This Row],[SM_Contract__c]],Contract[Id],0))=0,"",INDEX(Contract[SM_Start_date__c],MATCH(Table5[[#This Row],[SM_Contract__c]],Contract[Id],0)))</f>
        <v>45229</v>
      </c>
      <c r="E19" s="4">
        <f ca="1">(YEAR(TODAY())-YEAR(Table5[[#This Row],[RC DATE]]))*12 + MONTH(TODAY())-MONTH(Table5[[#This Row],[RC DATE]])</f>
        <v>33</v>
      </c>
      <c r="F1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19" s="19">
        <f>IF(Table5[[#This Row],[Payment_Status__c]]="ACCEPTED",1,"")</f>
        <v>1</v>
      </c>
      <c r="H1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19" s="19">
        <f ca="1">Table5[[#This Row],['# months]]-COUNTIFS(Table5[SM_Contract__c],Table5[[#This Row],[SM_Contract__c]],Table5[TYPE],"SUBS",Table5[ACCEPTED],1)</f>
        <v>2</v>
      </c>
      <c r="J19" s="19" t="b">
        <f>ISNUMBER(MATCH(Table5[[#This Row],[SM_Contract__c]],Contract[Id],0))</f>
        <v>1</v>
      </c>
      <c r="K19" s="9" t="s">
        <v>2409</v>
      </c>
      <c r="L19" s="9" t="s">
        <v>2410</v>
      </c>
      <c r="M19" s="9" t="s">
        <v>112</v>
      </c>
      <c r="N19" s="9" t="s">
        <v>3543</v>
      </c>
      <c r="O19" s="9" t="s">
        <v>1563</v>
      </c>
      <c r="P19" s="9" t="s">
        <v>2363</v>
      </c>
      <c r="Q19" s="9" t="s">
        <v>83</v>
      </c>
      <c r="R19" s="9" t="s">
        <v>76</v>
      </c>
      <c r="S19" s="9" t="s">
        <v>106</v>
      </c>
      <c r="T19" s="9" t="s">
        <v>149</v>
      </c>
      <c r="U19" s="9" t="s">
        <v>106</v>
      </c>
      <c r="V19" s="9" t="s">
        <v>93</v>
      </c>
      <c r="W19" s="9" t="s">
        <v>3533</v>
      </c>
      <c r="X19" s="9" t="s">
        <v>2365</v>
      </c>
      <c r="Y19" s="9"/>
      <c r="Z19" s="9"/>
      <c r="AA19" s="9" t="s">
        <v>2365</v>
      </c>
    </row>
    <row r="20" spans="1:27" x14ac:dyDescent="0.35">
      <c r="A20" s="4" t="str">
        <f>IF(Table5[[#This Row],[SM_Amount__c]]="25.0","FEE",IF(IF(Table5[[#This Row],[SM_Original_Type__c]]="",Table5[[#This Row],[SM_Type__c]],Table5[[#This Row],[SM_Original_Type__c]])="AC","AC","SUBS"))</f>
        <v>SUBS</v>
      </c>
      <c r="B20" s="27">
        <f>IF(INDEX(Contract[SM_AC_start_date__c],MATCH(Table5[[#This Row],[SM_Contract__c]],Contract[Id],0))=0,"",INDEX(Contract[SM_AC_start_date__c],MATCH(Table5[[#This Row],[SM_Contract__c]],Contract[Id],0)))</f>
        <v>45163</v>
      </c>
      <c r="C20" s="27">
        <f>IF(INDEX(Contract[SM_AC_Split_Date__c],MATCH(Table5[[#This Row],[SM_Contract__c]],Contract[Id],0))=0,"",INDEX(Contract[SM_AC_Split_Date__c],MATCH(Table5[[#This Row],[SM_Contract__c]],Contract[Id],0)))</f>
        <v>45170</v>
      </c>
      <c r="D20" s="27">
        <f>IF(INDEX(Contract[SM_Start_date__c],MATCH(Table5[[#This Row],[SM_Contract__c]],Contract[Id],0))=0,"",INDEX(Contract[SM_Start_date__c],MATCH(Table5[[#This Row],[SM_Contract__c]],Contract[Id],0)))</f>
        <v>45229</v>
      </c>
      <c r="E20" s="4">
        <f ca="1">(YEAR(TODAY())-YEAR(Table5[[#This Row],[RC DATE]]))*12 + MONTH(TODAY())-MONTH(Table5[[#This Row],[RC DATE]])</f>
        <v>33</v>
      </c>
      <c r="F2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0" s="19">
        <f>IF(Table5[[#This Row],[Payment_Status__c]]="ACCEPTED",1,"")</f>
        <v>1</v>
      </c>
      <c r="H2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0" s="19">
        <f ca="1">Table5[[#This Row],['# months]]-COUNTIFS(Table5[SM_Contract__c],Table5[[#This Row],[SM_Contract__c]],Table5[TYPE],"SUBS",Table5[ACCEPTED],1)</f>
        <v>2</v>
      </c>
      <c r="J20" s="19" t="b">
        <f>ISNUMBER(MATCH(Table5[[#This Row],[SM_Contract__c]],Contract[Id],0))</f>
        <v>1</v>
      </c>
      <c r="K20" s="9" t="s">
        <v>2411</v>
      </c>
      <c r="L20" s="9" t="s">
        <v>2412</v>
      </c>
      <c r="M20" s="9" t="s">
        <v>112</v>
      </c>
      <c r="N20" s="9" t="s">
        <v>3543</v>
      </c>
      <c r="O20" s="9" t="s">
        <v>1563</v>
      </c>
      <c r="P20" s="9" t="s">
        <v>2363</v>
      </c>
      <c r="Q20" s="9" t="s">
        <v>83</v>
      </c>
      <c r="R20" s="9" t="s">
        <v>76</v>
      </c>
      <c r="S20" s="9" t="s">
        <v>106</v>
      </c>
      <c r="T20" s="9" t="s">
        <v>149</v>
      </c>
      <c r="U20" s="9" t="s">
        <v>106</v>
      </c>
      <c r="V20" s="9" t="s">
        <v>93</v>
      </c>
      <c r="W20" s="9" t="s">
        <v>3534</v>
      </c>
      <c r="X20" s="9" t="s">
        <v>2413</v>
      </c>
      <c r="Y20" s="9"/>
      <c r="Z20" s="9"/>
      <c r="AA20" s="9" t="s">
        <v>2413</v>
      </c>
    </row>
    <row r="21" spans="1:27" x14ac:dyDescent="0.35">
      <c r="A21" s="4" t="str">
        <f>IF(Table5[[#This Row],[SM_Amount__c]]="25.0","FEE",IF(IF(Table5[[#This Row],[SM_Original_Type__c]]="",Table5[[#This Row],[SM_Type__c]],Table5[[#This Row],[SM_Original_Type__c]])="AC","AC","SUBS"))</f>
        <v>AC</v>
      </c>
      <c r="B21" s="27">
        <f>IF(INDEX(Contract[SM_AC_start_date__c],MATCH(Table5[[#This Row],[SM_Contract__c]],Contract[Id],0))=0,"",INDEX(Contract[SM_AC_start_date__c],MATCH(Table5[[#This Row],[SM_Contract__c]],Contract[Id],0)))</f>
        <v>45392</v>
      </c>
      <c r="C21" s="27" t="str">
        <f>IF(INDEX(Contract[SM_AC_Split_Date__c],MATCH(Table5[[#This Row],[SM_Contract__c]],Contract[Id],0))=0,"",INDEX(Contract[SM_AC_Split_Date__c],MATCH(Table5[[#This Row],[SM_Contract__c]],Contract[Id],0)))</f>
        <v/>
      </c>
      <c r="D21" s="27">
        <f>IF(INDEX(Contract[SM_Start_date__c],MATCH(Table5[[#This Row],[SM_Contract__c]],Contract[Id],0))=0,"",INDEX(Contract[SM_Start_date__c],MATCH(Table5[[#This Row],[SM_Contract__c]],Contract[Id],0)))</f>
        <v>45442</v>
      </c>
      <c r="E21" s="4">
        <f ca="1">(YEAR(TODAY())-YEAR(Table5[[#This Row],[RC DATE]]))*12 + MONTH(TODAY())-MONTH(Table5[[#This Row],[RC DATE]])</f>
        <v>26</v>
      </c>
      <c r="F2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1" s="19">
        <f>IF(Table5[[#This Row],[Payment_Status__c]]="ACCEPTED",1,"")</f>
        <v>1</v>
      </c>
      <c r="H2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1" s="19">
        <f ca="1">Table5[[#This Row],['# months]]-COUNTIFS(Table5[SM_Contract__c],Table5[[#This Row],[SM_Contract__c]],Table5[TYPE],"SUBS",Table5[ACCEPTED],1)</f>
        <v>1</v>
      </c>
      <c r="J21" s="19" t="b">
        <f>ISNUMBER(MATCH(Table5[[#This Row],[SM_Contract__c]],Contract[Id],0))</f>
        <v>1</v>
      </c>
      <c r="K21" s="9" t="s">
        <v>2422</v>
      </c>
      <c r="L21" s="9" t="s">
        <v>2423</v>
      </c>
      <c r="M21" s="9" t="s">
        <v>159</v>
      </c>
      <c r="N21" s="9" t="s">
        <v>3546</v>
      </c>
      <c r="O21" s="9" t="s">
        <v>1563</v>
      </c>
      <c r="P21" s="9" t="s">
        <v>2363</v>
      </c>
      <c r="Q21" s="9" t="s">
        <v>77</v>
      </c>
      <c r="R21" s="9" t="s">
        <v>77</v>
      </c>
      <c r="S21" s="9" t="s">
        <v>167</v>
      </c>
      <c r="T21" s="9" t="s">
        <v>168</v>
      </c>
      <c r="U21" s="9" t="s">
        <v>167</v>
      </c>
      <c r="V21" s="9" t="s">
        <v>93</v>
      </c>
      <c r="W21" s="9" t="s">
        <v>3545</v>
      </c>
      <c r="X21" s="9" t="s">
        <v>2424</v>
      </c>
      <c r="Y21" s="9"/>
      <c r="Z21" s="9"/>
      <c r="AA21" s="9" t="s">
        <v>2424</v>
      </c>
    </row>
    <row r="22" spans="1:27" x14ac:dyDescent="0.35">
      <c r="A22" s="4" t="str">
        <f>IF(Table5[[#This Row],[SM_Amount__c]]="25.0","FEE",IF(IF(Table5[[#This Row],[SM_Original_Type__c]]="",Table5[[#This Row],[SM_Type__c]],Table5[[#This Row],[SM_Original_Type__c]])="AC","AC","SUBS"))</f>
        <v>SUBS</v>
      </c>
      <c r="B22" s="27">
        <f>IF(INDEX(Contract[SM_AC_start_date__c],MATCH(Table5[[#This Row],[SM_Contract__c]],Contract[Id],0))=0,"",INDEX(Contract[SM_AC_start_date__c],MATCH(Table5[[#This Row],[SM_Contract__c]],Contract[Id],0)))</f>
        <v>45392</v>
      </c>
      <c r="C22" s="27" t="str">
        <f>IF(INDEX(Contract[SM_AC_Split_Date__c],MATCH(Table5[[#This Row],[SM_Contract__c]],Contract[Id],0))=0,"",INDEX(Contract[SM_AC_Split_Date__c],MATCH(Table5[[#This Row],[SM_Contract__c]],Contract[Id],0)))</f>
        <v/>
      </c>
      <c r="D22" s="27">
        <f>IF(INDEX(Contract[SM_Start_date__c],MATCH(Table5[[#This Row],[SM_Contract__c]],Contract[Id],0))=0,"",INDEX(Contract[SM_Start_date__c],MATCH(Table5[[#This Row],[SM_Contract__c]],Contract[Id],0)))</f>
        <v>45442</v>
      </c>
      <c r="E22" s="4">
        <f ca="1">(YEAR(TODAY())-YEAR(Table5[[#This Row],[RC DATE]]))*12 + MONTH(TODAY())-MONTH(Table5[[#This Row],[RC DATE]])</f>
        <v>26</v>
      </c>
      <c r="F2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2" s="19">
        <f>IF(Table5[[#This Row],[Payment_Status__c]]="ACCEPTED",1,"")</f>
        <v>1</v>
      </c>
      <c r="H2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2" s="19">
        <f ca="1">Table5[[#This Row],['# months]]-COUNTIFS(Table5[SM_Contract__c],Table5[[#This Row],[SM_Contract__c]],Table5[TYPE],"SUBS",Table5[ACCEPTED],1)</f>
        <v>1</v>
      </c>
      <c r="J22" s="19" t="b">
        <f>ISNUMBER(MATCH(Table5[[#This Row],[SM_Contract__c]],Contract[Id],0))</f>
        <v>1</v>
      </c>
      <c r="K22" s="9" t="s">
        <v>2425</v>
      </c>
      <c r="L22" s="9" t="s">
        <v>2426</v>
      </c>
      <c r="M22" s="9" t="s">
        <v>159</v>
      </c>
      <c r="N22" s="9" t="s">
        <v>3546</v>
      </c>
      <c r="O22" s="9" t="s">
        <v>1563</v>
      </c>
      <c r="P22" s="9" t="s">
        <v>2363</v>
      </c>
      <c r="Q22" s="9" t="s">
        <v>83</v>
      </c>
      <c r="R22" s="9" t="s">
        <v>76</v>
      </c>
      <c r="S22" s="9" t="s">
        <v>91</v>
      </c>
      <c r="T22" s="9" t="s">
        <v>105</v>
      </c>
      <c r="U22" s="9" t="s">
        <v>91</v>
      </c>
      <c r="V22" s="9" t="s">
        <v>93</v>
      </c>
      <c r="W22" s="9" t="s">
        <v>3528</v>
      </c>
      <c r="X22" s="9" t="s">
        <v>2416</v>
      </c>
      <c r="Y22" s="9"/>
      <c r="Z22" s="9"/>
      <c r="AA22" s="9" t="s">
        <v>2416</v>
      </c>
    </row>
    <row r="23" spans="1:27" x14ac:dyDescent="0.35">
      <c r="A23" s="4" t="str">
        <f>IF(Table5[[#This Row],[SM_Amount__c]]="25.0","FEE",IF(IF(Table5[[#This Row],[SM_Original_Type__c]]="",Table5[[#This Row],[SM_Type__c]],Table5[[#This Row],[SM_Original_Type__c]])="AC","AC","SUBS"))</f>
        <v>SUBS</v>
      </c>
      <c r="B23" s="27">
        <f>IF(INDEX(Contract[SM_AC_start_date__c],MATCH(Table5[[#This Row],[SM_Contract__c]],Contract[Id],0))=0,"",INDEX(Contract[SM_AC_start_date__c],MATCH(Table5[[#This Row],[SM_Contract__c]],Contract[Id],0)))</f>
        <v>45392</v>
      </c>
      <c r="C23" s="27" t="str">
        <f>IF(INDEX(Contract[SM_AC_Split_Date__c],MATCH(Table5[[#This Row],[SM_Contract__c]],Contract[Id],0))=0,"",INDEX(Contract[SM_AC_Split_Date__c],MATCH(Table5[[#This Row],[SM_Contract__c]],Contract[Id],0)))</f>
        <v/>
      </c>
      <c r="D23" s="27">
        <f>IF(INDEX(Contract[SM_Start_date__c],MATCH(Table5[[#This Row],[SM_Contract__c]],Contract[Id],0))=0,"",INDEX(Contract[SM_Start_date__c],MATCH(Table5[[#This Row],[SM_Contract__c]],Contract[Id],0)))</f>
        <v>45442</v>
      </c>
      <c r="E23" s="4">
        <f ca="1">(YEAR(TODAY())-YEAR(Table5[[#This Row],[RC DATE]]))*12 + MONTH(TODAY())-MONTH(Table5[[#This Row],[RC DATE]])</f>
        <v>26</v>
      </c>
      <c r="F2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3" s="19">
        <f>IF(Table5[[#This Row],[Payment_Status__c]]="ACCEPTED",1,"")</f>
        <v>1</v>
      </c>
      <c r="H2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3" s="19">
        <f ca="1">Table5[[#This Row],['# months]]-COUNTIFS(Table5[SM_Contract__c],Table5[[#This Row],[SM_Contract__c]],Table5[TYPE],"SUBS",Table5[ACCEPTED],1)</f>
        <v>1</v>
      </c>
      <c r="J23" s="19" t="b">
        <f>ISNUMBER(MATCH(Table5[[#This Row],[SM_Contract__c]],Contract[Id],0))</f>
        <v>1</v>
      </c>
      <c r="K23" s="9" t="s">
        <v>2427</v>
      </c>
      <c r="L23" s="9" t="s">
        <v>2428</v>
      </c>
      <c r="M23" s="9" t="s">
        <v>159</v>
      </c>
      <c r="N23" s="9" t="s">
        <v>3546</v>
      </c>
      <c r="O23" s="9" t="s">
        <v>1563</v>
      </c>
      <c r="P23" s="9" t="s">
        <v>2363</v>
      </c>
      <c r="Q23" s="9" t="s">
        <v>83</v>
      </c>
      <c r="R23" s="9" t="s">
        <v>76</v>
      </c>
      <c r="S23" s="9" t="s">
        <v>91</v>
      </c>
      <c r="T23" s="9" t="s">
        <v>105</v>
      </c>
      <c r="U23" s="9" t="s">
        <v>91</v>
      </c>
      <c r="V23" s="9" t="s">
        <v>93</v>
      </c>
      <c r="W23" s="9" t="s">
        <v>3529</v>
      </c>
      <c r="X23" s="9" t="s">
        <v>2417</v>
      </c>
      <c r="Y23" s="9"/>
      <c r="Z23" s="9"/>
      <c r="AA23" s="9" t="s">
        <v>2417</v>
      </c>
    </row>
    <row r="24" spans="1:27" x14ac:dyDescent="0.35">
      <c r="A24" s="4" t="str">
        <f>IF(Table5[[#This Row],[SM_Amount__c]]="25.0","FEE",IF(IF(Table5[[#This Row],[SM_Original_Type__c]]="",Table5[[#This Row],[SM_Type__c]],Table5[[#This Row],[SM_Original_Type__c]])="AC","AC","SUBS"))</f>
        <v>SUBS</v>
      </c>
      <c r="B24" s="27">
        <f>IF(INDEX(Contract[SM_AC_start_date__c],MATCH(Table5[[#This Row],[SM_Contract__c]],Contract[Id],0))=0,"",INDEX(Contract[SM_AC_start_date__c],MATCH(Table5[[#This Row],[SM_Contract__c]],Contract[Id],0)))</f>
        <v>45392</v>
      </c>
      <c r="C24" s="27" t="str">
        <f>IF(INDEX(Contract[SM_AC_Split_Date__c],MATCH(Table5[[#This Row],[SM_Contract__c]],Contract[Id],0))=0,"",INDEX(Contract[SM_AC_Split_Date__c],MATCH(Table5[[#This Row],[SM_Contract__c]],Contract[Id],0)))</f>
        <v/>
      </c>
      <c r="D24" s="27">
        <f>IF(INDEX(Contract[SM_Start_date__c],MATCH(Table5[[#This Row],[SM_Contract__c]],Contract[Id],0))=0,"",INDEX(Contract[SM_Start_date__c],MATCH(Table5[[#This Row],[SM_Contract__c]],Contract[Id],0)))</f>
        <v>45442</v>
      </c>
      <c r="E24" s="4">
        <f ca="1">(YEAR(TODAY())-YEAR(Table5[[#This Row],[RC DATE]]))*12 + MONTH(TODAY())-MONTH(Table5[[#This Row],[RC DATE]])</f>
        <v>26</v>
      </c>
      <c r="F2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4" s="19">
        <f>IF(Table5[[#This Row],[Payment_Status__c]]="ACCEPTED",1,"")</f>
        <v>1</v>
      </c>
      <c r="H2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4" s="19">
        <f ca="1">Table5[[#This Row],['# months]]-COUNTIFS(Table5[SM_Contract__c],Table5[[#This Row],[SM_Contract__c]],Table5[TYPE],"SUBS",Table5[ACCEPTED],1)</f>
        <v>1</v>
      </c>
      <c r="J24" s="19" t="b">
        <f>ISNUMBER(MATCH(Table5[[#This Row],[SM_Contract__c]],Contract[Id],0))</f>
        <v>1</v>
      </c>
      <c r="K24" s="9" t="s">
        <v>2429</v>
      </c>
      <c r="L24" s="9" t="s">
        <v>2430</v>
      </c>
      <c r="M24" s="9" t="s">
        <v>159</v>
      </c>
      <c r="N24" s="9" t="s">
        <v>3546</v>
      </c>
      <c r="O24" s="9" t="s">
        <v>1563</v>
      </c>
      <c r="P24" s="9" t="s">
        <v>2363</v>
      </c>
      <c r="Q24" s="9" t="s">
        <v>71</v>
      </c>
      <c r="R24" s="9" t="s">
        <v>83</v>
      </c>
      <c r="S24" s="9" t="s">
        <v>2087</v>
      </c>
      <c r="T24" s="9" t="s">
        <v>104</v>
      </c>
      <c r="U24" s="9" t="s">
        <v>91</v>
      </c>
      <c r="V24" s="9" t="s">
        <v>148</v>
      </c>
      <c r="W24" s="9" t="s">
        <v>3537</v>
      </c>
      <c r="X24" s="9" t="s">
        <v>2431</v>
      </c>
      <c r="Y24" s="9"/>
      <c r="Z24" s="9" t="s">
        <v>171</v>
      </c>
      <c r="AA24" s="9" t="s">
        <v>2431</v>
      </c>
    </row>
    <row r="25" spans="1:27" x14ac:dyDescent="0.35">
      <c r="A25" s="4" t="str">
        <f>IF(Table5[[#This Row],[SM_Amount__c]]="25.0","FEE",IF(IF(Table5[[#This Row],[SM_Original_Type__c]]="",Table5[[#This Row],[SM_Type__c]],Table5[[#This Row],[SM_Original_Type__c]])="AC","AC","SUBS"))</f>
        <v>SUBS</v>
      </c>
      <c r="B25" s="27">
        <f>IF(INDEX(Contract[SM_AC_start_date__c],MATCH(Table5[[#This Row],[SM_Contract__c]],Contract[Id],0))=0,"",INDEX(Contract[SM_AC_start_date__c],MATCH(Table5[[#This Row],[SM_Contract__c]],Contract[Id],0)))</f>
        <v>45392</v>
      </c>
      <c r="C25" s="27" t="str">
        <f>IF(INDEX(Contract[SM_AC_Split_Date__c],MATCH(Table5[[#This Row],[SM_Contract__c]],Contract[Id],0))=0,"",INDEX(Contract[SM_AC_Split_Date__c],MATCH(Table5[[#This Row],[SM_Contract__c]],Contract[Id],0)))</f>
        <v/>
      </c>
      <c r="D25" s="27">
        <f>IF(INDEX(Contract[SM_Start_date__c],MATCH(Table5[[#This Row],[SM_Contract__c]],Contract[Id],0))=0,"",INDEX(Contract[SM_Start_date__c],MATCH(Table5[[#This Row],[SM_Contract__c]],Contract[Id],0)))</f>
        <v>45442</v>
      </c>
      <c r="E25" s="4">
        <f ca="1">(YEAR(TODAY())-YEAR(Table5[[#This Row],[RC DATE]]))*12 + MONTH(TODAY())-MONTH(Table5[[#This Row],[RC DATE]])</f>
        <v>26</v>
      </c>
      <c r="F2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5" s="19">
        <f>IF(Table5[[#This Row],[Payment_Status__c]]="ACCEPTED",1,"")</f>
        <v>1</v>
      </c>
      <c r="H2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5" s="19">
        <f ca="1">Table5[[#This Row],['# months]]-COUNTIFS(Table5[SM_Contract__c],Table5[[#This Row],[SM_Contract__c]],Table5[TYPE],"SUBS",Table5[ACCEPTED],1)</f>
        <v>1</v>
      </c>
      <c r="J25" s="19" t="b">
        <f>ISNUMBER(MATCH(Table5[[#This Row],[SM_Contract__c]],Contract[Id],0))</f>
        <v>1</v>
      </c>
      <c r="K25" s="9" t="s">
        <v>2432</v>
      </c>
      <c r="L25" s="9" t="s">
        <v>2433</v>
      </c>
      <c r="M25" s="9" t="s">
        <v>159</v>
      </c>
      <c r="N25" s="9" t="s">
        <v>3546</v>
      </c>
      <c r="O25" s="9" t="s">
        <v>1563</v>
      </c>
      <c r="P25" s="9" t="s">
        <v>2363</v>
      </c>
      <c r="Q25" s="9" t="s">
        <v>83</v>
      </c>
      <c r="R25" s="9" t="s">
        <v>76</v>
      </c>
      <c r="S25" s="9" t="s">
        <v>91</v>
      </c>
      <c r="T25" s="9" t="s">
        <v>105</v>
      </c>
      <c r="U25" s="9" t="s">
        <v>91</v>
      </c>
      <c r="V25" s="9" t="s">
        <v>93</v>
      </c>
      <c r="W25" s="9" t="s">
        <v>3531</v>
      </c>
      <c r="X25" s="9" t="s">
        <v>2418</v>
      </c>
      <c r="Y25" s="9"/>
      <c r="Z25" s="9"/>
      <c r="AA25" s="9" t="s">
        <v>2418</v>
      </c>
    </row>
    <row r="26" spans="1:27" x14ac:dyDescent="0.35">
      <c r="A26" s="4" t="str">
        <f>IF(Table5[[#This Row],[SM_Amount__c]]="25.0","FEE",IF(IF(Table5[[#This Row],[SM_Original_Type__c]]="",Table5[[#This Row],[SM_Type__c]],Table5[[#This Row],[SM_Original_Type__c]])="AC","AC","SUBS"))</f>
        <v>SUBS</v>
      </c>
      <c r="B26" s="27">
        <f>IF(INDEX(Contract[SM_AC_start_date__c],MATCH(Table5[[#This Row],[SM_Contract__c]],Contract[Id],0))=0,"",INDEX(Contract[SM_AC_start_date__c],MATCH(Table5[[#This Row],[SM_Contract__c]],Contract[Id],0)))</f>
        <v>45392</v>
      </c>
      <c r="C26" s="27" t="str">
        <f>IF(INDEX(Contract[SM_AC_Split_Date__c],MATCH(Table5[[#This Row],[SM_Contract__c]],Contract[Id],0))=0,"",INDEX(Contract[SM_AC_Split_Date__c],MATCH(Table5[[#This Row],[SM_Contract__c]],Contract[Id],0)))</f>
        <v/>
      </c>
      <c r="D26" s="27">
        <f>IF(INDEX(Contract[SM_Start_date__c],MATCH(Table5[[#This Row],[SM_Contract__c]],Contract[Id],0))=0,"",INDEX(Contract[SM_Start_date__c],MATCH(Table5[[#This Row],[SM_Contract__c]],Contract[Id],0)))</f>
        <v>45442</v>
      </c>
      <c r="E26" s="4">
        <f ca="1">(YEAR(TODAY())-YEAR(Table5[[#This Row],[RC DATE]]))*12 + MONTH(TODAY())-MONTH(Table5[[#This Row],[RC DATE]])</f>
        <v>26</v>
      </c>
      <c r="F2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6" s="19">
        <f>IF(Table5[[#This Row],[Payment_Status__c]]="ACCEPTED",1,"")</f>
        <v>1</v>
      </c>
      <c r="H2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" s="19">
        <f ca="1">Table5[[#This Row],['# months]]-COUNTIFS(Table5[SM_Contract__c],Table5[[#This Row],[SM_Contract__c]],Table5[TYPE],"SUBS",Table5[ACCEPTED],1)</f>
        <v>1</v>
      </c>
      <c r="J26" s="19" t="b">
        <f>ISNUMBER(MATCH(Table5[[#This Row],[SM_Contract__c]],Contract[Id],0))</f>
        <v>1</v>
      </c>
      <c r="K26" s="9" t="s">
        <v>2434</v>
      </c>
      <c r="L26" s="9" t="s">
        <v>2435</v>
      </c>
      <c r="M26" s="9" t="s">
        <v>159</v>
      </c>
      <c r="N26" s="9" t="s">
        <v>3546</v>
      </c>
      <c r="O26" s="9" t="s">
        <v>1563</v>
      </c>
      <c r="P26" s="9" t="s">
        <v>2363</v>
      </c>
      <c r="Q26" s="9" t="s">
        <v>83</v>
      </c>
      <c r="R26" s="9" t="s">
        <v>76</v>
      </c>
      <c r="S26" s="9" t="s">
        <v>91</v>
      </c>
      <c r="T26" s="9" t="s">
        <v>105</v>
      </c>
      <c r="U26" s="9" t="s">
        <v>91</v>
      </c>
      <c r="V26" s="9" t="s">
        <v>93</v>
      </c>
      <c r="W26" s="9" t="s">
        <v>3532</v>
      </c>
      <c r="X26" s="9" t="s">
        <v>2415</v>
      </c>
      <c r="Y26" s="9"/>
      <c r="Z26" s="9"/>
      <c r="AA26" s="9" t="s">
        <v>2415</v>
      </c>
    </row>
    <row r="27" spans="1:27" x14ac:dyDescent="0.35">
      <c r="A27" s="4" t="str">
        <f>IF(Table5[[#This Row],[SM_Amount__c]]="25.0","FEE",IF(IF(Table5[[#This Row],[SM_Original_Type__c]]="",Table5[[#This Row],[SM_Type__c]],Table5[[#This Row],[SM_Original_Type__c]])="AC","AC","SUBS"))</f>
        <v>SUBS</v>
      </c>
      <c r="B27" s="27">
        <f>IF(INDEX(Contract[SM_AC_start_date__c],MATCH(Table5[[#This Row],[SM_Contract__c]],Contract[Id],0))=0,"",INDEX(Contract[SM_AC_start_date__c],MATCH(Table5[[#This Row],[SM_Contract__c]],Contract[Id],0)))</f>
        <v>45392</v>
      </c>
      <c r="C27" s="27" t="str">
        <f>IF(INDEX(Contract[SM_AC_Split_Date__c],MATCH(Table5[[#This Row],[SM_Contract__c]],Contract[Id],0))=0,"",INDEX(Contract[SM_AC_Split_Date__c],MATCH(Table5[[#This Row],[SM_Contract__c]],Contract[Id],0)))</f>
        <v/>
      </c>
      <c r="D27" s="27">
        <f>IF(INDEX(Contract[SM_Start_date__c],MATCH(Table5[[#This Row],[SM_Contract__c]],Contract[Id],0))=0,"",INDEX(Contract[SM_Start_date__c],MATCH(Table5[[#This Row],[SM_Contract__c]],Contract[Id],0)))</f>
        <v>45442</v>
      </c>
      <c r="E27" s="4">
        <f ca="1">(YEAR(TODAY())-YEAR(Table5[[#This Row],[RC DATE]]))*12 + MONTH(TODAY())-MONTH(Table5[[#This Row],[RC DATE]])</f>
        <v>26</v>
      </c>
      <c r="F2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7" s="19">
        <f>IF(Table5[[#This Row],[Payment_Status__c]]="ACCEPTED",1,"")</f>
        <v>1</v>
      </c>
      <c r="H2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7" s="19">
        <f ca="1">Table5[[#This Row],['# months]]-COUNTIFS(Table5[SM_Contract__c],Table5[[#This Row],[SM_Contract__c]],Table5[TYPE],"SUBS",Table5[ACCEPTED],1)</f>
        <v>1</v>
      </c>
      <c r="J27" s="19" t="b">
        <f>ISNUMBER(MATCH(Table5[[#This Row],[SM_Contract__c]],Contract[Id],0))</f>
        <v>1</v>
      </c>
      <c r="K27" s="9" t="s">
        <v>2436</v>
      </c>
      <c r="L27" s="9" t="s">
        <v>2437</v>
      </c>
      <c r="M27" s="9" t="s">
        <v>159</v>
      </c>
      <c r="N27" s="9" t="s">
        <v>3546</v>
      </c>
      <c r="O27" s="9" t="s">
        <v>1563</v>
      </c>
      <c r="P27" s="9" t="s">
        <v>2363</v>
      </c>
      <c r="Q27" s="9" t="s">
        <v>71</v>
      </c>
      <c r="R27" s="9" t="s">
        <v>83</v>
      </c>
      <c r="S27" s="9" t="s">
        <v>2087</v>
      </c>
      <c r="T27" s="9" t="s">
        <v>104</v>
      </c>
      <c r="U27" s="9" t="s">
        <v>91</v>
      </c>
      <c r="V27" s="9" t="s">
        <v>148</v>
      </c>
      <c r="W27" s="9" t="s">
        <v>3538</v>
      </c>
      <c r="X27" s="9" t="s">
        <v>2419</v>
      </c>
      <c r="Y27" s="9"/>
      <c r="Z27" s="9" t="s">
        <v>208</v>
      </c>
      <c r="AA27" s="9" t="s">
        <v>2419</v>
      </c>
    </row>
    <row r="28" spans="1:27" x14ac:dyDescent="0.35">
      <c r="A28" s="4" t="str">
        <f>IF(Table5[[#This Row],[SM_Amount__c]]="25.0","FEE",IF(IF(Table5[[#This Row],[SM_Original_Type__c]]="",Table5[[#This Row],[SM_Type__c]],Table5[[#This Row],[SM_Original_Type__c]])="AC","AC","SUBS"))</f>
        <v>SUBS</v>
      </c>
      <c r="B28" s="27">
        <f>IF(INDEX(Contract[SM_AC_start_date__c],MATCH(Table5[[#This Row],[SM_Contract__c]],Contract[Id],0))=0,"",INDEX(Contract[SM_AC_start_date__c],MATCH(Table5[[#This Row],[SM_Contract__c]],Contract[Id],0)))</f>
        <v>45392</v>
      </c>
      <c r="C28" s="27" t="str">
        <f>IF(INDEX(Contract[SM_AC_Split_Date__c],MATCH(Table5[[#This Row],[SM_Contract__c]],Contract[Id],0))=0,"",INDEX(Contract[SM_AC_Split_Date__c],MATCH(Table5[[#This Row],[SM_Contract__c]],Contract[Id],0)))</f>
        <v/>
      </c>
      <c r="D28" s="27">
        <f>IF(INDEX(Contract[SM_Start_date__c],MATCH(Table5[[#This Row],[SM_Contract__c]],Contract[Id],0))=0,"",INDEX(Contract[SM_Start_date__c],MATCH(Table5[[#This Row],[SM_Contract__c]],Contract[Id],0)))</f>
        <v>45442</v>
      </c>
      <c r="E28" s="4">
        <f ca="1">(YEAR(TODAY())-YEAR(Table5[[#This Row],[RC DATE]]))*12 + MONTH(TODAY())-MONTH(Table5[[#This Row],[RC DATE]])</f>
        <v>26</v>
      </c>
      <c r="F2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8" s="19">
        <f>IF(Table5[[#This Row],[Payment_Status__c]]="ACCEPTED",1,"")</f>
        <v>1</v>
      </c>
      <c r="H2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" s="19">
        <f ca="1">Table5[[#This Row],['# months]]-COUNTIFS(Table5[SM_Contract__c],Table5[[#This Row],[SM_Contract__c]],Table5[TYPE],"SUBS",Table5[ACCEPTED],1)</f>
        <v>1</v>
      </c>
      <c r="J28" s="19" t="b">
        <f>ISNUMBER(MATCH(Table5[[#This Row],[SM_Contract__c]],Contract[Id],0))</f>
        <v>1</v>
      </c>
      <c r="K28" s="9" t="s">
        <v>2438</v>
      </c>
      <c r="L28" s="9" t="s">
        <v>2439</v>
      </c>
      <c r="M28" s="9" t="s">
        <v>159</v>
      </c>
      <c r="N28" s="9" t="s">
        <v>3546</v>
      </c>
      <c r="O28" s="9" t="s">
        <v>1563</v>
      </c>
      <c r="P28" s="9" t="s">
        <v>2363</v>
      </c>
      <c r="Q28" s="9" t="s">
        <v>83</v>
      </c>
      <c r="R28" s="9" t="s">
        <v>76</v>
      </c>
      <c r="S28" s="9" t="s">
        <v>91</v>
      </c>
      <c r="T28" s="9" t="s">
        <v>105</v>
      </c>
      <c r="U28" s="9" t="s">
        <v>91</v>
      </c>
      <c r="V28" s="9" t="s">
        <v>93</v>
      </c>
      <c r="W28" s="9" t="s">
        <v>3533</v>
      </c>
      <c r="X28" s="9" t="s">
        <v>2420</v>
      </c>
      <c r="Y28" s="9"/>
      <c r="Z28" s="9"/>
      <c r="AA28" s="9" t="s">
        <v>2420</v>
      </c>
    </row>
    <row r="29" spans="1:27" x14ac:dyDescent="0.35">
      <c r="A29" s="4" t="str">
        <f>IF(Table5[[#This Row],[SM_Amount__c]]="25.0","FEE",IF(IF(Table5[[#This Row],[SM_Original_Type__c]]="",Table5[[#This Row],[SM_Type__c]],Table5[[#This Row],[SM_Original_Type__c]])="AC","AC","SUBS"))</f>
        <v>SUBS</v>
      </c>
      <c r="B29" s="27">
        <f>IF(INDEX(Contract[SM_AC_start_date__c],MATCH(Table5[[#This Row],[SM_Contract__c]],Contract[Id],0))=0,"",INDEX(Contract[SM_AC_start_date__c],MATCH(Table5[[#This Row],[SM_Contract__c]],Contract[Id],0)))</f>
        <v>45392</v>
      </c>
      <c r="C29" s="27" t="str">
        <f>IF(INDEX(Contract[SM_AC_Split_Date__c],MATCH(Table5[[#This Row],[SM_Contract__c]],Contract[Id],0))=0,"",INDEX(Contract[SM_AC_Split_Date__c],MATCH(Table5[[#This Row],[SM_Contract__c]],Contract[Id],0)))</f>
        <v/>
      </c>
      <c r="D29" s="27">
        <f>IF(INDEX(Contract[SM_Start_date__c],MATCH(Table5[[#This Row],[SM_Contract__c]],Contract[Id],0))=0,"",INDEX(Contract[SM_Start_date__c],MATCH(Table5[[#This Row],[SM_Contract__c]],Contract[Id],0)))</f>
        <v>45442</v>
      </c>
      <c r="E29" s="4">
        <f ca="1">(YEAR(TODAY())-YEAR(Table5[[#This Row],[RC DATE]]))*12 + MONTH(TODAY())-MONTH(Table5[[#This Row],[RC DATE]])</f>
        <v>26</v>
      </c>
      <c r="F2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9" s="19">
        <f>IF(Table5[[#This Row],[Payment_Status__c]]="ACCEPTED",1,"")</f>
        <v>1</v>
      </c>
      <c r="H2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" s="19">
        <f ca="1">Table5[[#This Row],['# months]]-COUNTIFS(Table5[SM_Contract__c],Table5[[#This Row],[SM_Contract__c]],Table5[TYPE],"SUBS",Table5[ACCEPTED],1)</f>
        <v>1</v>
      </c>
      <c r="J29" s="19" t="b">
        <f>ISNUMBER(MATCH(Table5[[#This Row],[SM_Contract__c]],Contract[Id],0))</f>
        <v>1</v>
      </c>
      <c r="K29" s="9" t="s">
        <v>2440</v>
      </c>
      <c r="L29" s="9" t="s">
        <v>2441</v>
      </c>
      <c r="M29" s="9" t="s">
        <v>159</v>
      </c>
      <c r="N29" s="9" t="s">
        <v>3546</v>
      </c>
      <c r="O29" s="9" t="s">
        <v>1563</v>
      </c>
      <c r="P29" s="9" t="s">
        <v>2363</v>
      </c>
      <c r="Q29" s="9" t="s">
        <v>83</v>
      </c>
      <c r="R29" s="9" t="s">
        <v>76</v>
      </c>
      <c r="S29" s="9" t="s">
        <v>91</v>
      </c>
      <c r="T29" s="9" t="s">
        <v>105</v>
      </c>
      <c r="U29" s="9" t="s">
        <v>91</v>
      </c>
      <c r="V29" s="9" t="s">
        <v>93</v>
      </c>
      <c r="W29" s="9" t="s">
        <v>3534</v>
      </c>
      <c r="X29" s="9" t="s">
        <v>2421</v>
      </c>
      <c r="Y29" s="9"/>
      <c r="Z29" s="9"/>
      <c r="AA29" s="9" t="s">
        <v>2421</v>
      </c>
    </row>
    <row r="30" spans="1:27" x14ac:dyDescent="0.35">
      <c r="A30" s="4" t="str">
        <f>IF(Table5[[#This Row],[SM_Amount__c]]="25.0","FEE",IF(IF(Table5[[#This Row],[SM_Original_Type__c]]="",Table5[[#This Row],[SM_Type__c]],Table5[[#This Row],[SM_Original_Type__c]])="AC","AC","SUBS"))</f>
        <v>AC</v>
      </c>
      <c r="B30" s="27">
        <f>IF(INDEX(Contract[SM_AC_start_date__c],MATCH(Table5[[#This Row],[SM_Contract__c]],Contract[Id],0))=0,"",INDEX(Contract[SM_AC_start_date__c],MATCH(Table5[[#This Row],[SM_Contract__c]],Contract[Id],0)))</f>
        <v>45546</v>
      </c>
      <c r="C30" s="27" t="str">
        <f>IF(INDEX(Contract[SM_AC_Split_Date__c],MATCH(Table5[[#This Row],[SM_Contract__c]],Contract[Id],0))=0,"",INDEX(Contract[SM_AC_Split_Date__c],MATCH(Table5[[#This Row],[SM_Contract__c]],Contract[Id],0)))</f>
        <v/>
      </c>
      <c r="D30" s="27">
        <f>IF(INDEX(Contract[SM_Start_date__c],MATCH(Table5[[#This Row],[SM_Contract__c]],Contract[Id],0))=0,"",INDEX(Contract[SM_Start_date__c],MATCH(Table5[[#This Row],[SM_Contract__c]],Contract[Id],0)))</f>
        <v>45595</v>
      </c>
      <c r="E30" s="4">
        <f ca="1">(YEAR(TODAY())-YEAR(Table5[[#This Row],[RC DATE]]))*12 + MONTH(TODAY())-MONTH(Table5[[#This Row],[RC DATE]])</f>
        <v>21</v>
      </c>
      <c r="F3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0" s="19">
        <f>IF(Table5[[#This Row],[Payment_Status__c]]="ACCEPTED",1,"")</f>
        <v>1</v>
      </c>
      <c r="H3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0" s="19">
        <f ca="1">Table5[[#This Row],['# months]]-COUNTIFS(Table5[SM_Contract__c],Table5[[#This Row],[SM_Contract__c]],Table5[TYPE],"SUBS",Table5[ACCEPTED],1)</f>
        <v>5</v>
      </c>
      <c r="J30" s="19" t="b">
        <f>ISNUMBER(MATCH(Table5[[#This Row],[SM_Contract__c]],Contract[Id],0))</f>
        <v>1</v>
      </c>
      <c r="K30" s="9" t="s">
        <v>2442</v>
      </c>
      <c r="L30" s="9" t="s">
        <v>2443</v>
      </c>
      <c r="M30" s="9" t="s">
        <v>179</v>
      </c>
      <c r="N30" s="9" t="s">
        <v>3547</v>
      </c>
      <c r="O30" s="9" t="s">
        <v>1563</v>
      </c>
      <c r="P30" s="9" t="s">
        <v>2363</v>
      </c>
      <c r="Q30" s="9" t="s">
        <v>77</v>
      </c>
      <c r="R30" s="9" t="s">
        <v>77</v>
      </c>
      <c r="S30" s="9" t="s">
        <v>167</v>
      </c>
      <c r="T30" s="9" t="s">
        <v>168</v>
      </c>
      <c r="U30" s="9" t="s">
        <v>167</v>
      </c>
      <c r="V30" s="9" t="s">
        <v>93</v>
      </c>
      <c r="W30" s="9" t="s">
        <v>3548</v>
      </c>
      <c r="X30" s="9" t="s">
        <v>2444</v>
      </c>
      <c r="Y30" s="9"/>
      <c r="Z30" s="9"/>
      <c r="AA30" s="9" t="s">
        <v>2444</v>
      </c>
    </row>
    <row r="31" spans="1:27" x14ac:dyDescent="0.35">
      <c r="A31" s="4" t="str">
        <f>IF(Table5[[#This Row],[SM_Amount__c]]="25.0","FEE",IF(IF(Table5[[#This Row],[SM_Original_Type__c]]="",Table5[[#This Row],[SM_Type__c]],Table5[[#This Row],[SM_Original_Type__c]])="AC","AC","SUBS"))</f>
        <v>SUBS</v>
      </c>
      <c r="B31" s="27">
        <f>IF(INDEX(Contract[SM_AC_start_date__c],MATCH(Table5[[#This Row],[SM_Contract__c]],Contract[Id],0))=0,"",INDEX(Contract[SM_AC_start_date__c],MATCH(Table5[[#This Row],[SM_Contract__c]],Contract[Id],0)))</f>
        <v>45546</v>
      </c>
      <c r="C31" s="27" t="str">
        <f>IF(INDEX(Contract[SM_AC_Split_Date__c],MATCH(Table5[[#This Row],[SM_Contract__c]],Contract[Id],0))=0,"",INDEX(Contract[SM_AC_Split_Date__c],MATCH(Table5[[#This Row],[SM_Contract__c]],Contract[Id],0)))</f>
        <v/>
      </c>
      <c r="D31" s="27">
        <f>IF(INDEX(Contract[SM_Start_date__c],MATCH(Table5[[#This Row],[SM_Contract__c]],Contract[Id],0))=0,"",INDEX(Contract[SM_Start_date__c],MATCH(Table5[[#This Row],[SM_Contract__c]],Contract[Id],0)))</f>
        <v>45595</v>
      </c>
      <c r="E31" s="4">
        <f ca="1">(YEAR(TODAY())-YEAR(Table5[[#This Row],[RC DATE]]))*12 + MONTH(TODAY())-MONTH(Table5[[#This Row],[RC DATE]])</f>
        <v>21</v>
      </c>
      <c r="F3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1" s="19">
        <f>IF(Table5[[#This Row],[Payment_Status__c]]="ACCEPTED",1,"")</f>
        <v>1</v>
      </c>
      <c r="H3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1" s="19">
        <f ca="1">Table5[[#This Row],['# months]]-COUNTIFS(Table5[SM_Contract__c],Table5[[#This Row],[SM_Contract__c]],Table5[TYPE],"SUBS",Table5[ACCEPTED],1)</f>
        <v>5</v>
      </c>
      <c r="J31" s="19" t="b">
        <f>ISNUMBER(MATCH(Table5[[#This Row],[SM_Contract__c]],Contract[Id],0))</f>
        <v>1</v>
      </c>
      <c r="K31" s="9" t="s">
        <v>2445</v>
      </c>
      <c r="L31" s="9" t="s">
        <v>2446</v>
      </c>
      <c r="M31" s="9" t="s">
        <v>179</v>
      </c>
      <c r="N31" s="9" t="s">
        <v>3547</v>
      </c>
      <c r="O31" s="9" t="s">
        <v>1563</v>
      </c>
      <c r="P31" s="9" t="s">
        <v>2363</v>
      </c>
      <c r="Q31" s="9" t="s">
        <v>71</v>
      </c>
      <c r="R31" s="9" t="s">
        <v>83</v>
      </c>
      <c r="S31" s="9" t="s">
        <v>2087</v>
      </c>
      <c r="T31" s="9" t="s">
        <v>104</v>
      </c>
      <c r="U31" s="9" t="s">
        <v>91</v>
      </c>
      <c r="V31" s="9" t="s">
        <v>148</v>
      </c>
      <c r="W31" s="9" t="s">
        <v>3539</v>
      </c>
      <c r="X31" s="9" t="s">
        <v>2447</v>
      </c>
      <c r="Y31" s="9"/>
      <c r="Z31" s="9" t="s">
        <v>211</v>
      </c>
      <c r="AA31" s="9" t="s">
        <v>2447</v>
      </c>
    </row>
    <row r="32" spans="1:27" x14ac:dyDescent="0.35">
      <c r="A32" s="4" t="str">
        <f>IF(Table5[[#This Row],[SM_Amount__c]]="25.0","FEE",IF(IF(Table5[[#This Row],[SM_Original_Type__c]]="",Table5[[#This Row],[SM_Type__c]],Table5[[#This Row],[SM_Original_Type__c]])="AC","AC","SUBS"))</f>
        <v>SUBS</v>
      </c>
      <c r="B32" s="27">
        <f>IF(INDEX(Contract[SM_AC_start_date__c],MATCH(Table5[[#This Row],[SM_Contract__c]],Contract[Id],0))=0,"",INDEX(Contract[SM_AC_start_date__c],MATCH(Table5[[#This Row],[SM_Contract__c]],Contract[Id],0)))</f>
        <v>45546</v>
      </c>
      <c r="C32" s="27" t="str">
        <f>IF(INDEX(Contract[SM_AC_Split_Date__c],MATCH(Table5[[#This Row],[SM_Contract__c]],Contract[Id],0))=0,"",INDEX(Contract[SM_AC_Split_Date__c],MATCH(Table5[[#This Row],[SM_Contract__c]],Contract[Id],0)))</f>
        <v/>
      </c>
      <c r="D32" s="27">
        <f>IF(INDEX(Contract[SM_Start_date__c],MATCH(Table5[[#This Row],[SM_Contract__c]],Contract[Id],0))=0,"",INDEX(Contract[SM_Start_date__c],MATCH(Table5[[#This Row],[SM_Contract__c]],Contract[Id],0)))</f>
        <v>45595</v>
      </c>
      <c r="E32" s="4">
        <f ca="1">(YEAR(TODAY())-YEAR(Table5[[#This Row],[RC DATE]]))*12 + MONTH(TODAY())-MONTH(Table5[[#This Row],[RC DATE]])</f>
        <v>21</v>
      </c>
      <c r="F3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2" s="19">
        <f>IF(Table5[[#This Row],[Payment_Status__c]]="ACCEPTED",1,"")</f>
        <v>1</v>
      </c>
      <c r="H3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2" s="19">
        <f ca="1">Table5[[#This Row],['# months]]-COUNTIFS(Table5[SM_Contract__c],Table5[[#This Row],[SM_Contract__c]],Table5[TYPE],"SUBS",Table5[ACCEPTED],1)</f>
        <v>5</v>
      </c>
      <c r="J32" s="19" t="b">
        <f>ISNUMBER(MATCH(Table5[[#This Row],[SM_Contract__c]],Contract[Id],0))</f>
        <v>1</v>
      </c>
      <c r="K32" s="9" t="s">
        <v>2448</v>
      </c>
      <c r="L32" s="9" t="s">
        <v>2449</v>
      </c>
      <c r="M32" s="9" t="s">
        <v>179</v>
      </c>
      <c r="N32" s="9" t="s">
        <v>3547</v>
      </c>
      <c r="O32" s="9" t="s">
        <v>1563</v>
      </c>
      <c r="P32" s="9" t="s">
        <v>2363</v>
      </c>
      <c r="Q32" s="9" t="s">
        <v>83</v>
      </c>
      <c r="R32" s="9" t="s">
        <v>76</v>
      </c>
      <c r="S32" s="9" t="s">
        <v>91</v>
      </c>
      <c r="T32" s="9" t="s">
        <v>105</v>
      </c>
      <c r="U32" s="9" t="s">
        <v>91</v>
      </c>
      <c r="V32" s="9" t="s">
        <v>93</v>
      </c>
      <c r="W32" s="9" t="s">
        <v>3533</v>
      </c>
      <c r="X32" s="9" t="s">
        <v>2450</v>
      </c>
      <c r="Y32" s="9"/>
      <c r="Z32" s="9"/>
      <c r="AA32" s="9" t="s">
        <v>2450</v>
      </c>
    </row>
    <row r="33" spans="1:27" x14ac:dyDescent="0.35">
      <c r="A33" s="4" t="str">
        <f>IF(Table5[[#This Row],[SM_Amount__c]]="25.0","FEE",IF(IF(Table5[[#This Row],[SM_Original_Type__c]]="",Table5[[#This Row],[SM_Type__c]],Table5[[#This Row],[SM_Original_Type__c]])="AC","AC","SUBS"))</f>
        <v>SUBS</v>
      </c>
      <c r="B33" s="27">
        <f>IF(INDEX(Contract[SM_AC_start_date__c],MATCH(Table5[[#This Row],[SM_Contract__c]],Contract[Id],0))=0,"",INDEX(Contract[SM_AC_start_date__c],MATCH(Table5[[#This Row],[SM_Contract__c]],Contract[Id],0)))</f>
        <v>45546</v>
      </c>
      <c r="C33" s="27" t="str">
        <f>IF(INDEX(Contract[SM_AC_Split_Date__c],MATCH(Table5[[#This Row],[SM_Contract__c]],Contract[Id],0))=0,"",INDEX(Contract[SM_AC_Split_Date__c],MATCH(Table5[[#This Row],[SM_Contract__c]],Contract[Id],0)))</f>
        <v/>
      </c>
      <c r="D33" s="27">
        <f>IF(INDEX(Contract[SM_Start_date__c],MATCH(Table5[[#This Row],[SM_Contract__c]],Contract[Id],0))=0,"",INDEX(Contract[SM_Start_date__c],MATCH(Table5[[#This Row],[SM_Contract__c]],Contract[Id],0)))</f>
        <v>45595</v>
      </c>
      <c r="E33" s="4">
        <f ca="1">(YEAR(TODAY())-YEAR(Table5[[#This Row],[RC DATE]]))*12 + MONTH(TODAY())-MONTH(Table5[[#This Row],[RC DATE]])</f>
        <v>21</v>
      </c>
      <c r="F3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3" s="19">
        <f>IF(Table5[[#This Row],[Payment_Status__c]]="ACCEPTED",1,"")</f>
        <v>1</v>
      </c>
      <c r="H3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3" s="19">
        <f ca="1">Table5[[#This Row],['# months]]-COUNTIFS(Table5[SM_Contract__c],Table5[[#This Row],[SM_Contract__c]],Table5[TYPE],"SUBS",Table5[ACCEPTED],1)</f>
        <v>5</v>
      </c>
      <c r="J33" s="19" t="b">
        <f>ISNUMBER(MATCH(Table5[[#This Row],[SM_Contract__c]],Contract[Id],0))</f>
        <v>1</v>
      </c>
      <c r="K33" s="9" t="s">
        <v>2451</v>
      </c>
      <c r="L33" s="9" t="s">
        <v>2452</v>
      </c>
      <c r="M33" s="9" t="s">
        <v>179</v>
      </c>
      <c r="N33" s="9" t="s">
        <v>3547</v>
      </c>
      <c r="O33" s="9" t="s">
        <v>1563</v>
      </c>
      <c r="P33" s="9" t="s">
        <v>2363</v>
      </c>
      <c r="Q33" s="9" t="s">
        <v>83</v>
      </c>
      <c r="R33" s="9" t="s">
        <v>76</v>
      </c>
      <c r="S33" s="9" t="s">
        <v>91</v>
      </c>
      <c r="T33" s="9" t="s">
        <v>105</v>
      </c>
      <c r="U33" s="9" t="s">
        <v>91</v>
      </c>
      <c r="V33" s="9" t="s">
        <v>93</v>
      </c>
      <c r="W33" s="9" t="s">
        <v>3534</v>
      </c>
      <c r="X33" s="9" t="s">
        <v>2453</v>
      </c>
      <c r="Y33" s="9"/>
      <c r="Z33" s="9"/>
      <c r="AA33" s="9" t="s">
        <v>2453</v>
      </c>
    </row>
    <row r="34" spans="1:27" x14ac:dyDescent="0.35">
      <c r="A34" s="4" t="str">
        <f>IF(Table5[[#This Row],[SM_Amount__c]]="25.0","FEE",IF(IF(Table5[[#This Row],[SM_Original_Type__c]]="",Table5[[#This Row],[SM_Type__c]],Table5[[#This Row],[SM_Original_Type__c]])="AC","AC","SUBS"))</f>
        <v>AC</v>
      </c>
      <c r="B34" s="27">
        <f>IF(INDEX(Contract[SM_AC_start_date__c],MATCH(Table5[[#This Row],[SM_Contract__c]],Contract[Id],0))=0,"",INDEX(Contract[SM_AC_start_date__c],MATCH(Table5[[#This Row],[SM_Contract__c]],Contract[Id],0)))</f>
        <v>45589</v>
      </c>
      <c r="C34" s="27" t="str">
        <f>IF(INDEX(Contract[SM_AC_Split_Date__c],MATCH(Table5[[#This Row],[SM_Contract__c]],Contract[Id],0))=0,"",INDEX(Contract[SM_AC_Split_Date__c],MATCH(Table5[[#This Row],[SM_Contract__c]],Contract[Id],0)))</f>
        <v/>
      </c>
      <c r="D34" s="27">
        <f>IF(INDEX(Contract[SM_Start_date__c],MATCH(Table5[[#This Row],[SM_Contract__c]],Contract[Id],0))=0,"",INDEX(Contract[SM_Start_date__c],MATCH(Table5[[#This Row],[SM_Contract__c]],Contract[Id],0)))</f>
        <v>45626</v>
      </c>
      <c r="E34" s="4">
        <f ca="1">(YEAR(TODAY())-YEAR(Table5[[#This Row],[RC DATE]]))*12 + MONTH(TODAY())-MONTH(Table5[[#This Row],[RC DATE]])</f>
        <v>20</v>
      </c>
      <c r="F3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4" s="19">
        <f>IF(Table5[[#This Row],[Payment_Status__c]]="ACCEPTED",1,"")</f>
        <v>1</v>
      </c>
      <c r="H3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4" s="19">
        <f ca="1">Table5[[#This Row],['# months]]-COUNTIFS(Table5[SM_Contract__c],Table5[[#This Row],[SM_Contract__c]],Table5[TYPE],"SUBS",Table5[ACCEPTED],1)</f>
        <v>5</v>
      </c>
      <c r="J34" s="19" t="b">
        <f>ISNUMBER(MATCH(Table5[[#This Row],[SM_Contract__c]],Contract[Id],0))</f>
        <v>1</v>
      </c>
      <c r="K34" s="9" t="s">
        <v>2454</v>
      </c>
      <c r="L34" s="9" t="s">
        <v>2455</v>
      </c>
      <c r="M34" s="9" t="s">
        <v>197</v>
      </c>
      <c r="N34" s="9" t="s">
        <v>3549</v>
      </c>
      <c r="O34" s="9" t="s">
        <v>1563</v>
      </c>
      <c r="P34" s="9" t="s">
        <v>2363</v>
      </c>
      <c r="Q34" s="9" t="s">
        <v>77</v>
      </c>
      <c r="R34" s="9" t="s">
        <v>77</v>
      </c>
      <c r="S34" s="9" t="s">
        <v>2146</v>
      </c>
      <c r="T34" s="9" t="s">
        <v>1978</v>
      </c>
      <c r="U34" s="9" t="s">
        <v>2146</v>
      </c>
      <c r="V34" s="9" t="s">
        <v>93</v>
      </c>
      <c r="W34" s="9" t="s">
        <v>3540</v>
      </c>
      <c r="X34" s="9" t="s">
        <v>2456</v>
      </c>
      <c r="Y34" s="9"/>
      <c r="Z34" s="9"/>
      <c r="AA34" s="9" t="s">
        <v>2456</v>
      </c>
    </row>
    <row r="35" spans="1:27" x14ac:dyDescent="0.35">
      <c r="A35" s="4" t="str">
        <f>IF(Table5[[#This Row],[SM_Amount__c]]="25.0","FEE",IF(IF(Table5[[#This Row],[SM_Original_Type__c]]="",Table5[[#This Row],[SM_Type__c]],Table5[[#This Row],[SM_Original_Type__c]])="AC","AC","SUBS"))</f>
        <v>SUBS</v>
      </c>
      <c r="B35" s="27">
        <f>IF(INDEX(Contract[SM_AC_start_date__c],MATCH(Table5[[#This Row],[SM_Contract__c]],Contract[Id],0))=0,"",INDEX(Contract[SM_AC_start_date__c],MATCH(Table5[[#This Row],[SM_Contract__c]],Contract[Id],0)))</f>
        <v>45589</v>
      </c>
      <c r="C35" s="27" t="str">
        <f>IF(INDEX(Contract[SM_AC_Split_Date__c],MATCH(Table5[[#This Row],[SM_Contract__c]],Contract[Id],0))=0,"",INDEX(Contract[SM_AC_Split_Date__c],MATCH(Table5[[#This Row],[SM_Contract__c]],Contract[Id],0)))</f>
        <v/>
      </c>
      <c r="D35" s="27">
        <f>IF(INDEX(Contract[SM_Start_date__c],MATCH(Table5[[#This Row],[SM_Contract__c]],Contract[Id],0))=0,"",INDEX(Contract[SM_Start_date__c],MATCH(Table5[[#This Row],[SM_Contract__c]],Contract[Id],0)))</f>
        <v>45626</v>
      </c>
      <c r="E35" s="4">
        <f ca="1">(YEAR(TODAY())-YEAR(Table5[[#This Row],[RC DATE]]))*12 + MONTH(TODAY())-MONTH(Table5[[#This Row],[RC DATE]])</f>
        <v>20</v>
      </c>
      <c r="F3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35" s="19">
        <f>IF(Table5[[#This Row],[Payment_Status__c]]="ACCEPTED",1,"")</f>
        <v>1</v>
      </c>
      <c r="H3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35" s="19">
        <f ca="1">Table5[[#This Row],['# months]]-COUNTIFS(Table5[SM_Contract__c],Table5[[#This Row],[SM_Contract__c]],Table5[TYPE],"SUBS",Table5[ACCEPTED],1)</f>
        <v>5</v>
      </c>
      <c r="J35" s="19" t="b">
        <f>ISNUMBER(MATCH(Table5[[#This Row],[SM_Contract__c]],Contract[Id],0))</f>
        <v>1</v>
      </c>
      <c r="K35" s="9" t="s">
        <v>2457</v>
      </c>
      <c r="L35" s="9" t="s">
        <v>2458</v>
      </c>
      <c r="M35" s="9" t="s">
        <v>197</v>
      </c>
      <c r="N35" s="9" t="s">
        <v>3549</v>
      </c>
      <c r="O35" s="9" t="s">
        <v>1563</v>
      </c>
      <c r="P35" s="9" t="s">
        <v>2363</v>
      </c>
      <c r="Q35" s="9" t="s">
        <v>83</v>
      </c>
      <c r="R35" s="9" t="s">
        <v>76</v>
      </c>
      <c r="S35" s="9" t="s">
        <v>106</v>
      </c>
      <c r="T35" s="9" t="s">
        <v>149</v>
      </c>
      <c r="U35" s="9" t="s">
        <v>106</v>
      </c>
      <c r="V35" s="9" t="s">
        <v>93</v>
      </c>
      <c r="W35" s="9" t="s">
        <v>3533</v>
      </c>
      <c r="X35" s="9" t="s">
        <v>2459</v>
      </c>
      <c r="Y35" s="9"/>
      <c r="Z35" s="9"/>
      <c r="AA35" s="9" t="s">
        <v>2459</v>
      </c>
    </row>
    <row r="36" spans="1:27" x14ac:dyDescent="0.35">
      <c r="A36" s="4" t="str">
        <f>IF(Table5[[#This Row],[SM_Amount__c]]="25.0","FEE",IF(IF(Table5[[#This Row],[SM_Original_Type__c]]="",Table5[[#This Row],[SM_Type__c]],Table5[[#This Row],[SM_Original_Type__c]])="AC","AC","SUBS"))</f>
        <v>SUBS</v>
      </c>
      <c r="B36" s="27">
        <f>IF(INDEX(Contract[SM_AC_start_date__c],MATCH(Table5[[#This Row],[SM_Contract__c]],Contract[Id],0))=0,"",INDEX(Contract[SM_AC_start_date__c],MATCH(Table5[[#This Row],[SM_Contract__c]],Contract[Id],0)))</f>
        <v>45163</v>
      </c>
      <c r="C36" s="27">
        <f>IF(INDEX(Contract[SM_AC_Split_Date__c],MATCH(Table5[[#This Row],[SM_Contract__c]],Contract[Id],0))=0,"",INDEX(Contract[SM_AC_Split_Date__c],MATCH(Table5[[#This Row],[SM_Contract__c]],Contract[Id],0)))</f>
        <v>45170</v>
      </c>
      <c r="D36" s="27">
        <f>IF(INDEX(Contract[SM_Start_date__c],MATCH(Table5[[#This Row],[SM_Contract__c]],Contract[Id],0))=0,"",INDEX(Contract[SM_Start_date__c],MATCH(Table5[[#This Row],[SM_Contract__c]],Contract[Id],0)))</f>
        <v>45229</v>
      </c>
      <c r="E36" s="4">
        <f ca="1">(YEAR(TODAY())-YEAR(Table5[[#This Row],[RC DATE]]))*12 + MONTH(TODAY())-MONTH(Table5[[#This Row],[RC DATE]])</f>
        <v>33</v>
      </c>
      <c r="F3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" s="19">
        <f>IF(Table5[[#This Row],[Payment_Status__c]]="ACCEPTED",1,"")</f>
        <v>1</v>
      </c>
      <c r="H3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" s="19">
        <f ca="1">Table5[[#This Row],['# months]]-COUNTIFS(Table5[SM_Contract__c],Table5[[#This Row],[SM_Contract__c]],Table5[TYPE],"SUBS",Table5[ACCEPTED],1)</f>
        <v>2</v>
      </c>
      <c r="J36" s="19" t="b">
        <f>ISNUMBER(MATCH(Table5[[#This Row],[SM_Contract__c]],Contract[Id],0))</f>
        <v>1</v>
      </c>
      <c r="K36" s="9" t="s">
        <v>2465</v>
      </c>
      <c r="L36" s="9" t="s">
        <v>2466</v>
      </c>
      <c r="M36" s="9" t="s">
        <v>112</v>
      </c>
      <c r="N36" s="9" t="s">
        <v>3543</v>
      </c>
      <c r="O36" s="9" t="s">
        <v>1563</v>
      </c>
      <c r="P36" s="9" t="s">
        <v>2363</v>
      </c>
      <c r="Q36" s="9" t="s">
        <v>71</v>
      </c>
      <c r="R36" s="9" t="s">
        <v>83</v>
      </c>
      <c r="S36" s="9" t="s">
        <v>94</v>
      </c>
      <c r="T36" s="9" t="s">
        <v>1972</v>
      </c>
      <c r="U36" s="9" t="s">
        <v>106</v>
      </c>
      <c r="V36" s="9" t="s">
        <v>148</v>
      </c>
      <c r="W36" s="9" t="s">
        <v>3623</v>
      </c>
      <c r="X36" s="9" t="s">
        <v>2467</v>
      </c>
      <c r="Y36" s="9"/>
      <c r="Z36" s="9" t="s">
        <v>227</v>
      </c>
      <c r="AA36" s="9" t="s">
        <v>2467</v>
      </c>
    </row>
    <row r="37" spans="1:27" x14ac:dyDescent="0.35">
      <c r="A37" s="4" t="str">
        <f>IF(Table5[[#This Row],[SM_Amount__c]]="25.0","FEE",IF(IF(Table5[[#This Row],[SM_Original_Type__c]]="",Table5[[#This Row],[SM_Type__c]],Table5[[#This Row],[SM_Original_Type__c]])="AC","AC","SUBS"))</f>
        <v>SUBS</v>
      </c>
      <c r="B37" s="27">
        <f>IF(INDEX(Contract[SM_AC_start_date__c],MATCH(Table5[[#This Row],[SM_Contract__c]],Contract[Id],0))=0,"",INDEX(Contract[SM_AC_start_date__c],MATCH(Table5[[#This Row],[SM_Contract__c]],Contract[Id],0)))</f>
        <v>45163</v>
      </c>
      <c r="C37" s="27">
        <f>IF(INDEX(Contract[SM_AC_Split_Date__c],MATCH(Table5[[#This Row],[SM_Contract__c]],Contract[Id],0))=0,"",INDEX(Contract[SM_AC_Split_Date__c],MATCH(Table5[[#This Row],[SM_Contract__c]],Contract[Id],0)))</f>
        <v>45170</v>
      </c>
      <c r="D37" s="27">
        <f>IF(INDEX(Contract[SM_Start_date__c],MATCH(Table5[[#This Row],[SM_Contract__c]],Contract[Id],0))=0,"",INDEX(Contract[SM_Start_date__c],MATCH(Table5[[#This Row],[SM_Contract__c]],Contract[Id],0)))</f>
        <v>45229</v>
      </c>
      <c r="E37" s="4">
        <f ca="1">(YEAR(TODAY())-YEAR(Table5[[#This Row],[RC DATE]]))*12 + MONTH(TODAY())-MONTH(Table5[[#This Row],[RC DATE]])</f>
        <v>33</v>
      </c>
      <c r="F3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7" s="19">
        <f>IF(Table5[[#This Row],[Payment_Status__c]]="ACCEPTED",1,"")</f>
        <v>1</v>
      </c>
      <c r="H3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7" s="19">
        <f ca="1">Table5[[#This Row],['# months]]-COUNTIFS(Table5[SM_Contract__c],Table5[[#This Row],[SM_Contract__c]],Table5[TYPE],"SUBS",Table5[ACCEPTED],1)</f>
        <v>2</v>
      </c>
      <c r="J37" s="19" t="b">
        <f>ISNUMBER(MATCH(Table5[[#This Row],[SM_Contract__c]],Contract[Id],0))</f>
        <v>1</v>
      </c>
      <c r="K37" s="9" t="s">
        <v>2468</v>
      </c>
      <c r="L37" s="9" t="s">
        <v>2469</v>
      </c>
      <c r="M37" s="9" t="s">
        <v>112</v>
      </c>
      <c r="N37" s="9" t="s">
        <v>3543</v>
      </c>
      <c r="O37" s="9" t="s">
        <v>1563</v>
      </c>
      <c r="P37" s="9" t="s">
        <v>2363</v>
      </c>
      <c r="Q37" s="9" t="s">
        <v>71</v>
      </c>
      <c r="R37" s="9"/>
      <c r="S37" s="9" t="s">
        <v>1956</v>
      </c>
      <c r="T37" s="9" t="s">
        <v>1955</v>
      </c>
      <c r="U37" s="9" t="s">
        <v>2470</v>
      </c>
      <c r="V37" s="9" t="s">
        <v>148</v>
      </c>
      <c r="W37" s="9" t="s">
        <v>3656</v>
      </c>
      <c r="X37" s="9" t="s">
        <v>2471</v>
      </c>
      <c r="Y37" s="9"/>
      <c r="Z37" s="9"/>
      <c r="AA37" s="9" t="s">
        <v>2471</v>
      </c>
    </row>
    <row r="38" spans="1:27" x14ac:dyDescent="0.35">
      <c r="A38" s="4" t="str">
        <f>IF(Table5[[#This Row],[SM_Amount__c]]="25.0","FEE",IF(IF(Table5[[#This Row],[SM_Original_Type__c]]="",Table5[[#This Row],[SM_Type__c]],Table5[[#This Row],[SM_Original_Type__c]])="AC","AC","SUBS"))</f>
        <v>SUBS</v>
      </c>
      <c r="B38" s="27">
        <f>IF(INDEX(Contract[SM_AC_start_date__c],MATCH(Table5[[#This Row],[SM_Contract__c]],Contract[Id],0))=0,"",INDEX(Contract[SM_AC_start_date__c],MATCH(Table5[[#This Row],[SM_Contract__c]],Contract[Id],0)))</f>
        <v>45163</v>
      </c>
      <c r="C38" s="27">
        <f>IF(INDEX(Contract[SM_AC_Split_Date__c],MATCH(Table5[[#This Row],[SM_Contract__c]],Contract[Id],0))=0,"",INDEX(Contract[SM_AC_Split_Date__c],MATCH(Table5[[#This Row],[SM_Contract__c]],Contract[Id],0)))</f>
        <v>45170</v>
      </c>
      <c r="D38" s="27">
        <f>IF(INDEX(Contract[SM_Start_date__c],MATCH(Table5[[#This Row],[SM_Contract__c]],Contract[Id],0))=0,"",INDEX(Contract[SM_Start_date__c],MATCH(Table5[[#This Row],[SM_Contract__c]],Contract[Id],0)))</f>
        <v>45229</v>
      </c>
      <c r="E38" s="4">
        <f ca="1">(YEAR(TODAY())-YEAR(Table5[[#This Row],[RC DATE]]))*12 + MONTH(TODAY())-MONTH(Table5[[#This Row],[RC DATE]])</f>
        <v>33</v>
      </c>
      <c r="F3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8" s="19">
        <f>IF(Table5[[#This Row],[Payment_Status__c]]="ACCEPTED",1,"")</f>
        <v>1</v>
      </c>
      <c r="H3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8" s="19">
        <f ca="1">Table5[[#This Row],['# months]]-COUNTIFS(Table5[SM_Contract__c],Table5[[#This Row],[SM_Contract__c]],Table5[TYPE],"SUBS",Table5[ACCEPTED],1)</f>
        <v>2</v>
      </c>
      <c r="J38" s="19" t="b">
        <f>ISNUMBER(MATCH(Table5[[#This Row],[SM_Contract__c]],Contract[Id],0))</f>
        <v>1</v>
      </c>
      <c r="K38" s="9" t="s">
        <v>2472</v>
      </c>
      <c r="L38" s="9" t="s">
        <v>2473</v>
      </c>
      <c r="M38" s="9" t="s">
        <v>112</v>
      </c>
      <c r="N38" s="9" t="s">
        <v>3543</v>
      </c>
      <c r="O38" s="9" t="s">
        <v>1563</v>
      </c>
      <c r="P38" s="9" t="s">
        <v>2363</v>
      </c>
      <c r="Q38" s="9" t="s">
        <v>83</v>
      </c>
      <c r="R38" s="9" t="s">
        <v>76</v>
      </c>
      <c r="S38" s="9" t="s">
        <v>106</v>
      </c>
      <c r="T38" s="9" t="s">
        <v>149</v>
      </c>
      <c r="U38" s="9" t="s">
        <v>106</v>
      </c>
      <c r="V38" s="9" t="s">
        <v>93</v>
      </c>
      <c r="W38" s="9" t="s">
        <v>3553</v>
      </c>
      <c r="X38" s="9" t="s">
        <v>2474</v>
      </c>
      <c r="Y38" s="9"/>
      <c r="Z38" s="9"/>
      <c r="AA38" s="9" t="s">
        <v>2474</v>
      </c>
    </row>
    <row r="39" spans="1:27" x14ac:dyDescent="0.35">
      <c r="A39" s="4" t="str">
        <f>IF(Table5[[#This Row],[SM_Amount__c]]="25.0","FEE",IF(IF(Table5[[#This Row],[SM_Original_Type__c]]="",Table5[[#This Row],[SM_Type__c]],Table5[[#This Row],[SM_Original_Type__c]])="AC","AC","SUBS"))</f>
        <v>SUBS</v>
      </c>
      <c r="B39" s="27">
        <f>IF(INDEX(Contract[SM_AC_start_date__c],MATCH(Table5[[#This Row],[SM_Contract__c]],Contract[Id],0))=0,"",INDEX(Contract[SM_AC_start_date__c],MATCH(Table5[[#This Row],[SM_Contract__c]],Contract[Id],0)))</f>
        <v>45163</v>
      </c>
      <c r="C39" s="27">
        <f>IF(INDEX(Contract[SM_AC_Split_Date__c],MATCH(Table5[[#This Row],[SM_Contract__c]],Contract[Id],0))=0,"",INDEX(Contract[SM_AC_Split_Date__c],MATCH(Table5[[#This Row],[SM_Contract__c]],Contract[Id],0)))</f>
        <v>45170</v>
      </c>
      <c r="D39" s="27">
        <f>IF(INDEX(Contract[SM_Start_date__c],MATCH(Table5[[#This Row],[SM_Contract__c]],Contract[Id],0))=0,"",INDEX(Contract[SM_Start_date__c],MATCH(Table5[[#This Row],[SM_Contract__c]],Contract[Id],0)))</f>
        <v>45229</v>
      </c>
      <c r="E39" s="4">
        <f ca="1">(YEAR(TODAY())-YEAR(Table5[[#This Row],[RC DATE]]))*12 + MONTH(TODAY())-MONTH(Table5[[#This Row],[RC DATE]])</f>
        <v>33</v>
      </c>
      <c r="F3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9" s="19">
        <f>IF(Table5[[#This Row],[Payment_Status__c]]="ACCEPTED",1,"")</f>
        <v>1</v>
      </c>
      <c r="H3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9" s="19">
        <f ca="1">Table5[[#This Row],['# months]]-COUNTIFS(Table5[SM_Contract__c],Table5[[#This Row],[SM_Contract__c]],Table5[TYPE],"SUBS",Table5[ACCEPTED],1)</f>
        <v>2</v>
      </c>
      <c r="J39" s="19" t="b">
        <f>ISNUMBER(MATCH(Table5[[#This Row],[SM_Contract__c]],Contract[Id],0))</f>
        <v>1</v>
      </c>
      <c r="K39" s="9" t="s">
        <v>2475</v>
      </c>
      <c r="L39" s="9" t="s">
        <v>2476</v>
      </c>
      <c r="M39" s="9" t="s">
        <v>112</v>
      </c>
      <c r="N39" s="9" t="s">
        <v>3543</v>
      </c>
      <c r="O39" s="9" t="s">
        <v>1563</v>
      </c>
      <c r="P39" s="9" t="s">
        <v>2363</v>
      </c>
      <c r="Q39" s="9" t="s">
        <v>71</v>
      </c>
      <c r="R39" s="9"/>
      <c r="S39" s="9" t="s">
        <v>106</v>
      </c>
      <c r="T39" s="9" t="s">
        <v>149</v>
      </c>
      <c r="U39" s="9" t="s">
        <v>106</v>
      </c>
      <c r="V39" s="9" t="s">
        <v>93</v>
      </c>
      <c r="W39" s="9" t="s">
        <v>3629</v>
      </c>
      <c r="X39" s="9" t="s">
        <v>2477</v>
      </c>
      <c r="Y39" s="9"/>
      <c r="Z39" s="9"/>
      <c r="AA39" s="9" t="s">
        <v>2477</v>
      </c>
    </row>
    <row r="40" spans="1:27" x14ac:dyDescent="0.35">
      <c r="A40" s="4" t="str">
        <f>IF(Table5[[#This Row],[SM_Amount__c]]="25.0","FEE",IF(IF(Table5[[#This Row],[SM_Original_Type__c]]="",Table5[[#This Row],[SM_Type__c]],Table5[[#This Row],[SM_Original_Type__c]])="AC","AC","SUBS"))</f>
        <v>SUBS</v>
      </c>
      <c r="B40" s="27">
        <f>IF(INDEX(Contract[SM_AC_start_date__c],MATCH(Table5[[#This Row],[SM_Contract__c]],Contract[Id],0))=0,"",INDEX(Contract[SM_AC_start_date__c],MATCH(Table5[[#This Row],[SM_Contract__c]],Contract[Id],0)))</f>
        <v>45163</v>
      </c>
      <c r="C40" s="27">
        <f>IF(INDEX(Contract[SM_AC_Split_Date__c],MATCH(Table5[[#This Row],[SM_Contract__c]],Contract[Id],0))=0,"",INDEX(Contract[SM_AC_Split_Date__c],MATCH(Table5[[#This Row],[SM_Contract__c]],Contract[Id],0)))</f>
        <v>45170</v>
      </c>
      <c r="D40" s="27">
        <f>IF(INDEX(Contract[SM_Start_date__c],MATCH(Table5[[#This Row],[SM_Contract__c]],Contract[Id],0))=0,"",INDEX(Contract[SM_Start_date__c],MATCH(Table5[[#This Row],[SM_Contract__c]],Contract[Id],0)))</f>
        <v>45229</v>
      </c>
      <c r="E40" s="4">
        <f ca="1">(YEAR(TODAY())-YEAR(Table5[[#This Row],[RC DATE]]))*12 + MONTH(TODAY())-MONTH(Table5[[#This Row],[RC DATE]])</f>
        <v>33</v>
      </c>
      <c r="F4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0" s="19">
        <f>IF(Table5[[#This Row],[Payment_Status__c]]="ACCEPTED",1,"")</f>
        <v>1</v>
      </c>
      <c r="H4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0" s="19">
        <f ca="1">Table5[[#This Row],['# months]]-COUNTIFS(Table5[SM_Contract__c],Table5[[#This Row],[SM_Contract__c]],Table5[TYPE],"SUBS",Table5[ACCEPTED],1)</f>
        <v>2</v>
      </c>
      <c r="J40" s="19" t="b">
        <f>ISNUMBER(MATCH(Table5[[#This Row],[SM_Contract__c]],Contract[Id],0))</f>
        <v>1</v>
      </c>
      <c r="K40" s="9" t="s">
        <v>2478</v>
      </c>
      <c r="L40" s="9" t="s">
        <v>2479</v>
      </c>
      <c r="M40" s="9" t="s">
        <v>112</v>
      </c>
      <c r="N40" s="9" t="s">
        <v>3543</v>
      </c>
      <c r="O40" s="9" t="s">
        <v>1563</v>
      </c>
      <c r="P40" s="9" t="s">
        <v>2363</v>
      </c>
      <c r="Q40" s="9" t="s">
        <v>83</v>
      </c>
      <c r="R40" s="9" t="s">
        <v>76</v>
      </c>
      <c r="S40" s="9" t="s">
        <v>106</v>
      </c>
      <c r="T40" s="9" t="s">
        <v>149</v>
      </c>
      <c r="U40" s="9" t="s">
        <v>106</v>
      </c>
      <c r="V40" s="9" t="s">
        <v>93</v>
      </c>
      <c r="W40" s="9" t="s">
        <v>3554</v>
      </c>
      <c r="X40" s="9" t="s">
        <v>2480</v>
      </c>
      <c r="Y40" s="9"/>
      <c r="Z40" s="9"/>
      <c r="AA40" s="9" t="s">
        <v>2480</v>
      </c>
    </row>
    <row r="41" spans="1:27" x14ac:dyDescent="0.35">
      <c r="A41" s="4" t="str">
        <f>IF(Table5[[#This Row],[SM_Amount__c]]="25.0","FEE",IF(IF(Table5[[#This Row],[SM_Original_Type__c]]="",Table5[[#This Row],[SM_Type__c]],Table5[[#This Row],[SM_Original_Type__c]])="AC","AC","SUBS"))</f>
        <v>SUBS</v>
      </c>
      <c r="B41" s="27">
        <f>IF(INDEX(Contract[SM_AC_start_date__c],MATCH(Table5[[#This Row],[SM_Contract__c]],Contract[Id],0))=0,"",INDEX(Contract[SM_AC_start_date__c],MATCH(Table5[[#This Row],[SM_Contract__c]],Contract[Id],0)))</f>
        <v>45163</v>
      </c>
      <c r="C41" s="27">
        <f>IF(INDEX(Contract[SM_AC_Split_Date__c],MATCH(Table5[[#This Row],[SM_Contract__c]],Contract[Id],0))=0,"",INDEX(Contract[SM_AC_Split_Date__c],MATCH(Table5[[#This Row],[SM_Contract__c]],Contract[Id],0)))</f>
        <v>45170</v>
      </c>
      <c r="D41" s="27">
        <f>IF(INDEX(Contract[SM_Start_date__c],MATCH(Table5[[#This Row],[SM_Contract__c]],Contract[Id],0))=0,"",INDEX(Contract[SM_Start_date__c],MATCH(Table5[[#This Row],[SM_Contract__c]],Contract[Id],0)))</f>
        <v>45229</v>
      </c>
      <c r="E41" s="4">
        <f ca="1">(YEAR(TODAY())-YEAR(Table5[[#This Row],[RC DATE]]))*12 + MONTH(TODAY())-MONTH(Table5[[#This Row],[RC DATE]])</f>
        <v>33</v>
      </c>
      <c r="F4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1" s="19">
        <f>IF(Table5[[#This Row],[Payment_Status__c]]="ACCEPTED",1,"")</f>
        <v>1</v>
      </c>
      <c r="H4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1" s="19">
        <f ca="1">Table5[[#This Row],['# months]]-COUNTIFS(Table5[SM_Contract__c],Table5[[#This Row],[SM_Contract__c]],Table5[TYPE],"SUBS",Table5[ACCEPTED],1)</f>
        <v>2</v>
      </c>
      <c r="J41" s="19" t="b">
        <f>ISNUMBER(MATCH(Table5[[#This Row],[SM_Contract__c]],Contract[Id],0))</f>
        <v>1</v>
      </c>
      <c r="K41" s="9" t="s">
        <v>2481</v>
      </c>
      <c r="L41" s="9" t="s">
        <v>2482</v>
      </c>
      <c r="M41" s="9" t="s">
        <v>112</v>
      </c>
      <c r="N41" s="9" t="s">
        <v>3543</v>
      </c>
      <c r="O41" s="9" t="s">
        <v>1563</v>
      </c>
      <c r="P41" s="9" t="s">
        <v>2363</v>
      </c>
      <c r="Q41" s="9" t="s">
        <v>71</v>
      </c>
      <c r="R41" s="9" t="s">
        <v>83</v>
      </c>
      <c r="S41" s="9" t="s">
        <v>94</v>
      </c>
      <c r="T41" s="9" t="s">
        <v>1972</v>
      </c>
      <c r="U41" s="9" t="s">
        <v>106</v>
      </c>
      <c r="V41" s="9" t="s">
        <v>148</v>
      </c>
      <c r="W41" s="9" t="s">
        <v>3658</v>
      </c>
      <c r="X41" s="9" t="s">
        <v>2483</v>
      </c>
      <c r="Y41" s="9"/>
      <c r="Z41" s="9" t="s">
        <v>339</v>
      </c>
      <c r="AA41" s="9" t="s">
        <v>2483</v>
      </c>
    </row>
    <row r="42" spans="1:27" x14ac:dyDescent="0.35">
      <c r="A42" s="4" t="str">
        <f>IF(Table5[[#This Row],[SM_Amount__c]]="25.0","FEE",IF(IF(Table5[[#This Row],[SM_Original_Type__c]]="",Table5[[#This Row],[SM_Type__c]],Table5[[#This Row],[SM_Original_Type__c]])="AC","AC","SUBS"))</f>
        <v>SUBS</v>
      </c>
      <c r="B42" s="27">
        <f>IF(INDEX(Contract[SM_AC_start_date__c],MATCH(Table5[[#This Row],[SM_Contract__c]],Contract[Id],0))=0,"",INDEX(Contract[SM_AC_start_date__c],MATCH(Table5[[#This Row],[SM_Contract__c]],Contract[Id],0)))</f>
        <v>45163</v>
      </c>
      <c r="C42" s="27">
        <f>IF(INDEX(Contract[SM_AC_Split_Date__c],MATCH(Table5[[#This Row],[SM_Contract__c]],Contract[Id],0))=0,"",INDEX(Contract[SM_AC_Split_Date__c],MATCH(Table5[[#This Row],[SM_Contract__c]],Contract[Id],0)))</f>
        <v>45170</v>
      </c>
      <c r="D42" s="27">
        <f>IF(INDEX(Contract[SM_Start_date__c],MATCH(Table5[[#This Row],[SM_Contract__c]],Contract[Id],0))=0,"",INDEX(Contract[SM_Start_date__c],MATCH(Table5[[#This Row],[SM_Contract__c]],Contract[Id],0)))</f>
        <v>45229</v>
      </c>
      <c r="E42" s="4">
        <f ca="1">(YEAR(TODAY())-YEAR(Table5[[#This Row],[RC DATE]]))*12 + MONTH(TODAY())-MONTH(Table5[[#This Row],[RC DATE]])</f>
        <v>33</v>
      </c>
      <c r="F4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2" s="19">
        <f>IF(Table5[[#This Row],[Payment_Status__c]]="ACCEPTED",1,"")</f>
        <v>1</v>
      </c>
      <c r="H4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2" s="19">
        <f ca="1">Table5[[#This Row],['# months]]-COUNTIFS(Table5[SM_Contract__c],Table5[[#This Row],[SM_Contract__c]],Table5[TYPE],"SUBS",Table5[ACCEPTED],1)</f>
        <v>2</v>
      </c>
      <c r="J42" s="19" t="b">
        <f>ISNUMBER(MATCH(Table5[[#This Row],[SM_Contract__c]],Contract[Id],0))</f>
        <v>1</v>
      </c>
      <c r="K42" s="9" t="s">
        <v>2484</v>
      </c>
      <c r="L42" s="9" t="s">
        <v>2485</v>
      </c>
      <c r="M42" s="9" t="s">
        <v>112</v>
      </c>
      <c r="N42" s="9" t="s">
        <v>3543</v>
      </c>
      <c r="O42" s="9" t="s">
        <v>1563</v>
      </c>
      <c r="P42" s="9" t="s">
        <v>2363</v>
      </c>
      <c r="Q42" s="9" t="s">
        <v>83</v>
      </c>
      <c r="R42" s="9" t="s">
        <v>76</v>
      </c>
      <c r="S42" s="9" t="s">
        <v>106</v>
      </c>
      <c r="T42" s="9" t="s">
        <v>149</v>
      </c>
      <c r="U42" s="9" t="s">
        <v>106</v>
      </c>
      <c r="V42" s="9" t="s">
        <v>93</v>
      </c>
      <c r="W42" s="9" t="s">
        <v>3556</v>
      </c>
      <c r="X42" s="9" t="s">
        <v>2463</v>
      </c>
      <c r="Y42" s="9"/>
      <c r="Z42" s="9"/>
      <c r="AA42" s="9" t="s">
        <v>2463</v>
      </c>
    </row>
    <row r="43" spans="1:27" x14ac:dyDescent="0.35">
      <c r="A43" s="4" t="str">
        <f>IF(Table5[[#This Row],[SM_Amount__c]]="25.0","FEE",IF(IF(Table5[[#This Row],[SM_Original_Type__c]]="",Table5[[#This Row],[SM_Type__c]],Table5[[#This Row],[SM_Original_Type__c]])="AC","AC","SUBS"))</f>
        <v>SUBS</v>
      </c>
      <c r="B43" s="27">
        <f>IF(INDEX(Contract[SM_AC_start_date__c],MATCH(Table5[[#This Row],[SM_Contract__c]],Contract[Id],0))=0,"",INDEX(Contract[SM_AC_start_date__c],MATCH(Table5[[#This Row],[SM_Contract__c]],Contract[Id],0)))</f>
        <v>45163</v>
      </c>
      <c r="C43" s="27">
        <f>IF(INDEX(Contract[SM_AC_Split_Date__c],MATCH(Table5[[#This Row],[SM_Contract__c]],Contract[Id],0))=0,"",INDEX(Contract[SM_AC_Split_Date__c],MATCH(Table5[[#This Row],[SM_Contract__c]],Contract[Id],0)))</f>
        <v>45170</v>
      </c>
      <c r="D43" s="27">
        <f>IF(INDEX(Contract[SM_Start_date__c],MATCH(Table5[[#This Row],[SM_Contract__c]],Contract[Id],0))=0,"",INDEX(Contract[SM_Start_date__c],MATCH(Table5[[#This Row],[SM_Contract__c]],Contract[Id],0)))</f>
        <v>45229</v>
      </c>
      <c r="E43" s="4">
        <f ca="1">(YEAR(TODAY())-YEAR(Table5[[#This Row],[RC DATE]]))*12 + MONTH(TODAY())-MONTH(Table5[[#This Row],[RC DATE]])</f>
        <v>33</v>
      </c>
      <c r="F4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3" s="19">
        <f>IF(Table5[[#This Row],[Payment_Status__c]]="ACCEPTED",1,"")</f>
        <v>1</v>
      </c>
      <c r="H4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3" s="19">
        <f ca="1">Table5[[#This Row],['# months]]-COUNTIFS(Table5[SM_Contract__c],Table5[[#This Row],[SM_Contract__c]],Table5[TYPE],"SUBS",Table5[ACCEPTED],1)</f>
        <v>2</v>
      </c>
      <c r="J43" s="19" t="b">
        <f>ISNUMBER(MATCH(Table5[[#This Row],[SM_Contract__c]],Contract[Id],0))</f>
        <v>1</v>
      </c>
      <c r="K43" s="9" t="s">
        <v>2486</v>
      </c>
      <c r="L43" s="9" t="s">
        <v>2487</v>
      </c>
      <c r="M43" s="9" t="s">
        <v>112</v>
      </c>
      <c r="N43" s="9" t="s">
        <v>3543</v>
      </c>
      <c r="O43" s="9" t="s">
        <v>1563</v>
      </c>
      <c r="P43" s="9" t="s">
        <v>2363</v>
      </c>
      <c r="Q43" s="9" t="s">
        <v>71</v>
      </c>
      <c r="R43" s="9" t="s">
        <v>83</v>
      </c>
      <c r="S43" s="9" t="s">
        <v>94</v>
      </c>
      <c r="T43" s="9" t="s">
        <v>1972</v>
      </c>
      <c r="U43" s="9" t="s">
        <v>106</v>
      </c>
      <c r="V43" s="9" t="s">
        <v>148</v>
      </c>
      <c r="W43" s="9" t="s">
        <v>3569</v>
      </c>
      <c r="X43" s="9" t="s">
        <v>2488</v>
      </c>
      <c r="Y43" s="9"/>
      <c r="Z43" s="9" t="s">
        <v>396</v>
      </c>
      <c r="AA43" s="9" t="s">
        <v>2488</v>
      </c>
    </row>
    <row r="44" spans="1:27" x14ac:dyDescent="0.35">
      <c r="A44" s="4" t="str">
        <f>IF(Table5[[#This Row],[SM_Amount__c]]="25.0","FEE",IF(IF(Table5[[#This Row],[SM_Original_Type__c]]="",Table5[[#This Row],[SM_Type__c]],Table5[[#This Row],[SM_Original_Type__c]])="AC","AC","SUBS"))</f>
        <v>SUBS</v>
      </c>
      <c r="B44" s="27">
        <f>IF(INDEX(Contract[SM_AC_start_date__c],MATCH(Table5[[#This Row],[SM_Contract__c]],Contract[Id],0))=0,"",INDEX(Contract[SM_AC_start_date__c],MATCH(Table5[[#This Row],[SM_Contract__c]],Contract[Id],0)))</f>
        <v>45163</v>
      </c>
      <c r="C44" s="27">
        <f>IF(INDEX(Contract[SM_AC_Split_Date__c],MATCH(Table5[[#This Row],[SM_Contract__c]],Contract[Id],0))=0,"",INDEX(Contract[SM_AC_Split_Date__c],MATCH(Table5[[#This Row],[SM_Contract__c]],Contract[Id],0)))</f>
        <v>45170</v>
      </c>
      <c r="D44" s="27">
        <f>IF(INDEX(Contract[SM_Start_date__c],MATCH(Table5[[#This Row],[SM_Contract__c]],Contract[Id],0))=0,"",INDEX(Contract[SM_Start_date__c],MATCH(Table5[[#This Row],[SM_Contract__c]],Contract[Id],0)))</f>
        <v>45229</v>
      </c>
      <c r="E44" s="4">
        <f ca="1">(YEAR(TODAY())-YEAR(Table5[[#This Row],[RC DATE]]))*12 + MONTH(TODAY())-MONTH(Table5[[#This Row],[RC DATE]])</f>
        <v>33</v>
      </c>
      <c r="F4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4" s="19">
        <f>IF(Table5[[#This Row],[Payment_Status__c]]="ACCEPTED",1,"")</f>
        <v>1</v>
      </c>
      <c r="H4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4" s="19">
        <f ca="1">Table5[[#This Row],['# months]]-COUNTIFS(Table5[SM_Contract__c],Table5[[#This Row],[SM_Contract__c]],Table5[TYPE],"SUBS",Table5[ACCEPTED],1)</f>
        <v>2</v>
      </c>
      <c r="J44" s="19" t="b">
        <f>ISNUMBER(MATCH(Table5[[#This Row],[SM_Contract__c]],Contract[Id],0))</f>
        <v>1</v>
      </c>
      <c r="K44" s="9" t="s">
        <v>2489</v>
      </c>
      <c r="L44" s="9" t="s">
        <v>2490</v>
      </c>
      <c r="M44" s="9" t="s">
        <v>112</v>
      </c>
      <c r="N44" s="9" t="s">
        <v>3543</v>
      </c>
      <c r="O44" s="9" t="s">
        <v>1563</v>
      </c>
      <c r="P44" s="9" t="s">
        <v>2363</v>
      </c>
      <c r="Q44" s="9" t="s">
        <v>71</v>
      </c>
      <c r="R44" s="9" t="s">
        <v>83</v>
      </c>
      <c r="S44" s="9" t="s">
        <v>94</v>
      </c>
      <c r="T44" s="9" t="s">
        <v>1972</v>
      </c>
      <c r="U44" s="9" t="s">
        <v>106</v>
      </c>
      <c r="V44" s="9" t="s">
        <v>148</v>
      </c>
      <c r="W44" s="9" t="s">
        <v>3569</v>
      </c>
      <c r="X44" s="9" t="s">
        <v>2491</v>
      </c>
      <c r="Y44" s="9"/>
      <c r="Z44" s="9" t="s">
        <v>432</v>
      </c>
      <c r="AA44" s="9" t="s">
        <v>2491</v>
      </c>
    </row>
    <row r="45" spans="1:27" x14ac:dyDescent="0.35">
      <c r="A45" s="4" t="str">
        <f>IF(Table5[[#This Row],[SM_Amount__c]]="25.0","FEE",IF(IF(Table5[[#This Row],[SM_Original_Type__c]]="",Table5[[#This Row],[SM_Type__c]],Table5[[#This Row],[SM_Original_Type__c]])="AC","AC","SUBS"))</f>
        <v>SUBS</v>
      </c>
      <c r="B45" s="27">
        <f>IF(INDEX(Contract[SM_AC_start_date__c],MATCH(Table5[[#This Row],[SM_Contract__c]],Contract[Id],0))=0,"",INDEX(Contract[SM_AC_start_date__c],MATCH(Table5[[#This Row],[SM_Contract__c]],Contract[Id],0)))</f>
        <v>45163</v>
      </c>
      <c r="C45" s="27">
        <f>IF(INDEX(Contract[SM_AC_Split_Date__c],MATCH(Table5[[#This Row],[SM_Contract__c]],Contract[Id],0))=0,"",INDEX(Contract[SM_AC_Split_Date__c],MATCH(Table5[[#This Row],[SM_Contract__c]],Contract[Id],0)))</f>
        <v>45170</v>
      </c>
      <c r="D45" s="27">
        <f>IF(INDEX(Contract[SM_Start_date__c],MATCH(Table5[[#This Row],[SM_Contract__c]],Contract[Id],0))=0,"",INDEX(Contract[SM_Start_date__c],MATCH(Table5[[#This Row],[SM_Contract__c]],Contract[Id],0)))</f>
        <v>45229</v>
      </c>
      <c r="E45" s="4">
        <f ca="1">(YEAR(TODAY())-YEAR(Table5[[#This Row],[RC DATE]]))*12 + MONTH(TODAY())-MONTH(Table5[[#This Row],[RC DATE]])</f>
        <v>33</v>
      </c>
      <c r="F4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5" s="19">
        <f>IF(Table5[[#This Row],[Payment_Status__c]]="ACCEPTED",1,"")</f>
        <v>1</v>
      </c>
      <c r="H4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5" s="19">
        <f ca="1">Table5[[#This Row],['# months]]-COUNTIFS(Table5[SM_Contract__c],Table5[[#This Row],[SM_Contract__c]],Table5[TYPE],"SUBS",Table5[ACCEPTED],1)</f>
        <v>2</v>
      </c>
      <c r="J45" s="19" t="b">
        <f>ISNUMBER(MATCH(Table5[[#This Row],[SM_Contract__c]],Contract[Id],0))</f>
        <v>1</v>
      </c>
      <c r="K45" s="9" t="s">
        <v>2492</v>
      </c>
      <c r="L45" s="9" t="s">
        <v>2493</v>
      </c>
      <c r="M45" s="9" t="s">
        <v>112</v>
      </c>
      <c r="N45" s="9" t="s">
        <v>3543</v>
      </c>
      <c r="O45" s="9" t="s">
        <v>1563</v>
      </c>
      <c r="P45" s="9" t="s">
        <v>2363</v>
      </c>
      <c r="Q45" s="9" t="s">
        <v>83</v>
      </c>
      <c r="R45" s="9" t="s">
        <v>76</v>
      </c>
      <c r="S45" s="9" t="s">
        <v>106</v>
      </c>
      <c r="T45" s="9" t="s">
        <v>149</v>
      </c>
      <c r="U45" s="9" t="s">
        <v>106</v>
      </c>
      <c r="V45" s="9" t="s">
        <v>93</v>
      </c>
      <c r="W45" s="9" t="s">
        <v>3612</v>
      </c>
      <c r="X45" s="9" t="s">
        <v>2464</v>
      </c>
      <c r="Y45" s="9"/>
      <c r="Z45" s="9"/>
      <c r="AA45" s="9" t="s">
        <v>2464</v>
      </c>
    </row>
    <row r="46" spans="1:27" x14ac:dyDescent="0.35">
      <c r="A46" s="4" t="str">
        <f>IF(Table5[[#This Row],[SM_Amount__c]]="25.0","FEE",IF(IF(Table5[[#This Row],[SM_Original_Type__c]]="",Table5[[#This Row],[SM_Type__c]],Table5[[#This Row],[SM_Original_Type__c]])="AC","AC","SUBS"))</f>
        <v>SUBS</v>
      </c>
      <c r="B46" s="27">
        <f>IF(INDEX(Contract[SM_AC_start_date__c],MATCH(Table5[[#This Row],[SM_Contract__c]],Contract[Id],0))=0,"",INDEX(Contract[SM_AC_start_date__c],MATCH(Table5[[#This Row],[SM_Contract__c]],Contract[Id],0)))</f>
        <v>45163</v>
      </c>
      <c r="C46" s="27">
        <f>IF(INDEX(Contract[SM_AC_Split_Date__c],MATCH(Table5[[#This Row],[SM_Contract__c]],Contract[Id],0))=0,"",INDEX(Contract[SM_AC_Split_Date__c],MATCH(Table5[[#This Row],[SM_Contract__c]],Contract[Id],0)))</f>
        <v>45170</v>
      </c>
      <c r="D46" s="27">
        <f>IF(INDEX(Contract[SM_Start_date__c],MATCH(Table5[[#This Row],[SM_Contract__c]],Contract[Id],0))=0,"",INDEX(Contract[SM_Start_date__c],MATCH(Table5[[#This Row],[SM_Contract__c]],Contract[Id],0)))</f>
        <v>45229</v>
      </c>
      <c r="E46" s="4">
        <f ca="1">(YEAR(TODAY())-YEAR(Table5[[#This Row],[RC DATE]]))*12 + MONTH(TODAY())-MONTH(Table5[[#This Row],[RC DATE]])</f>
        <v>33</v>
      </c>
      <c r="F4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6" s="19">
        <f>IF(Table5[[#This Row],[Payment_Status__c]]="ACCEPTED",1,"")</f>
        <v>1</v>
      </c>
      <c r="H4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6" s="19">
        <f ca="1">Table5[[#This Row],['# months]]-COUNTIFS(Table5[SM_Contract__c],Table5[[#This Row],[SM_Contract__c]],Table5[TYPE],"SUBS",Table5[ACCEPTED],1)</f>
        <v>2</v>
      </c>
      <c r="J46" s="19" t="b">
        <f>ISNUMBER(MATCH(Table5[[#This Row],[SM_Contract__c]],Contract[Id],0))</f>
        <v>1</v>
      </c>
      <c r="K46" s="9" t="s">
        <v>2494</v>
      </c>
      <c r="L46" s="9" t="s">
        <v>2495</v>
      </c>
      <c r="M46" s="9" t="s">
        <v>112</v>
      </c>
      <c r="N46" s="9" t="s">
        <v>3543</v>
      </c>
      <c r="O46" s="9" t="s">
        <v>1563</v>
      </c>
      <c r="P46" s="9" t="s">
        <v>2363</v>
      </c>
      <c r="Q46" s="9" t="s">
        <v>71</v>
      </c>
      <c r="R46" s="9" t="s">
        <v>83</v>
      </c>
      <c r="S46" s="9" t="s">
        <v>94</v>
      </c>
      <c r="T46" s="9" t="s">
        <v>94</v>
      </c>
      <c r="U46" s="9" t="s">
        <v>106</v>
      </c>
      <c r="V46" s="9" t="s">
        <v>148</v>
      </c>
      <c r="W46" s="9" t="s">
        <v>3657</v>
      </c>
      <c r="X46" s="9" t="s">
        <v>2496</v>
      </c>
      <c r="Y46" s="9"/>
      <c r="Z46" s="9" t="s">
        <v>453</v>
      </c>
      <c r="AA46" s="9" t="s">
        <v>2496</v>
      </c>
    </row>
    <row r="47" spans="1:27" x14ac:dyDescent="0.35">
      <c r="A47" s="4" t="str">
        <f>IF(Table5[[#This Row],[SM_Amount__c]]="25.0","FEE",IF(IF(Table5[[#This Row],[SM_Original_Type__c]]="",Table5[[#This Row],[SM_Type__c]],Table5[[#This Row],[SM_Original_Type__c]])="AC","AC","SUBS"))</f>
        <v>SUBS</v>
      </c>
      <c r="B47" s="27">
        <f>IF(INDEX(Contract[SM_AC_start_date__c],MATCH(Table5[[#This Row],[SM_Contract__c]],Contract[Id],0))=0,"",INDEX(Contract[SM_AC_start_date__c],MATCH(Table5[[#This Row],[SM_Contract__c]],Contract[Id],0)))</f>
        <v>45163</v>
      </c>
      <c r="C47" s="27">
        <f>IF(INDEX(Contract[SM_AC_Split_Date__c],MATCH(Table5[[#This Row],[SM_Contract__c]],Contract[Id],0))=0,"",INDEX(Contract[SM_AC_Split_Date__c],MATCH(Table5[[#This Row],[SM_Contract__c]],Contract[Id],0)))</f>
        <v>45170</v>
      </c>
      <c r="D47" s="27">
        <f>IF(INDEX(Contract[SM_Start_date__c],MATCH(Table5[[#This Row],[SM_Contract__c]],Contract[Id],0))=0,"",INDEX(Contract[SM_Start_date__c],MATCH(Table5[[#This Row],[SM_Contract__c]],Contract[Id],0)))</f>
        <v>45229</v>
      </c>
      <c r="E47" s="4">
        <f ca="1">(YEAR(TODAY())-YEAR(Table5[[#This Row],[RC DATE]]))*12 + MONTH(TODAY())-MONTH(Table5[[#This Row],[RC DATE]])</f>
        <v>33</v>
      </c>
      <c r="F4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7" s="19">
        <f>IF(Table5[[#This Row],[Payment_Status__c]]="ACCEPTED",1,"")</f>
        <v>1</v>
      </c>
      <c r="H4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7" s="19">
        <f ca="1">Table5[[#This Row],['# months]]-COUNTIFS(Table5[SM_Contract__c],Table5[[#This Row],[SM_Contract__c]],Table5[TYPE],"SUBS",Table5[ACCEPTED],1)</f>
        <v>2</v>
      </c>
      <c r="J47" s="19" t="b">
        <f>ISNUMBER(MATCH(Table5[[#This Row],[SM_Contract__c]],Contract[Id],0))</f>
        <v>1</v>
      </c>
      <c r="K47" s="9" t="s">
        <v>2497</v>
      </c>
      <c r="L47" s="9" t="s">
        <v>2498</v>
      </c>
      <c r="M47" s="9" t="s">
        <v>112</v>
      </c>
      <c r="N47" s="9" t="s">
        <v>3543</v>
      </c>
      <c r="O47" s="9" t="s">
        <v>1563</v>
      </c>
      <c r="P47" s="9" t="s">
        <v>2363</v>
      </c>
      <c r="Q47" s="9" t="s">
        <v>83</v>
      </c>
      <c r="R47" s="9" t="s">
        <v>76</v>
      </c>
      <c r="S47" s="9" t="s">
        <v>106</v>
      </c>
      <c r="T47" s="9" t="s">
        <v>106</v>
      </c>
      <c r="U47" s="9" t="s">
        <v>106</v>
      </c>
      <c r="V47" s="9" t="s">
        <v>93</v>
      </c>
      <c r="W47" s="9" t="s">
        <v>3561</v>
      </c>
      <c r="X47" s="9" t="s">
        <v>2460</v>
      </c>
      <c r="Y47" s="9"/>
      <c r="Z47" s="9"/>
      <c r="AA47" s="9" t="s">
        <v>2460</v>
      </c>
    </row>
    <row r="48" spans="1:27" x14ac:dyDescent="0.35">
      <c r="A48" s="4" t="str">
        <f>IF(Table5[[#This Row],[SM_Amount__c]]="25.0","FEE",IF(IF(Table5[[#This Row],[SM_Original_Type__c]]="",Table5[[#This Row],[SM_Type__c]],Table5[[#This Row],[SM_Original_Type__c]])="AC","AC","SUBS"))</f>
        <v>SUBS</v>
      </c>
      <c r="B48" s="27">
        <f>IF(INDEX(Contract[SM_AC_start_date__c],MATCH(Table5[[#This Row],[SM_Contract__c]],Contract[Id],0))=0,"",INDEX(Contract[SM_AC_start_date__c],MATCH(Table5[[#This Row],[SM_Contract__c]],Contract[Id],0)))</f>
        <v>45163</v>
      </c>
      <c r="C48" s="27">
        <f>IF(INDEX(Contract[SM_AC_Split_Date__c],MATCH(Table5[[#This Row],[SM_Contract__c]],Contract[Id],0))=0,"",INDEX(Contract[SM_AC_Split_Date__c],MATCH(Table5[[#This Row],[SM_Contract__c]],Contract[Id],0)))</f>
        <v>45170</v>
      </c>
      <c r="D48" s="27">
        <f>IF(INDEX(Contract[SM_Start_date__c],MATCH(Table5[[#This Row],[SM_Contract__c]],Contract[Id],0))=0,"",INDEX(Contract[SM_Start_date__c],MATCH(Table5[[#This Row],[SM_Contract__c]],Contract[Id],0)))</f>
        <v>45229</v>
      </c>
      <c r="E48" s="4">
        <f ca="1">(YEAR(TODAY())-YEAR(Table5[[#This Row],[RC DATE]]))*12 + MONTH(TODAY())-MONTH(Table5[[#This Row],[RC DATE]])</f>
        <v>33</v>
      </c>
      <c r="F4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8" s="19">
        <f>IF(Table5[[#This Row],[Payment_Status__c]]="ACCEPTED",1,"")</f>
        <v>1</v>
      </c>
      <c r="H4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8" s="19">
        <f ca="1">Table5[[#This Row],['# months]]-COUNTIFS(Table5[SM_Contract__c],Table5[[#This Row],[SM_Contract__c]],Table5[TYPE],"SUBS",Table5[ACCEPTED],1)</f>
        <v>2</v>
      </c>
      <c r="J48" s="19" t="b">
        <f>ISNUMBER(MATCH(Table5[[#This Row],[SM_Contract__c]],Contract[Id],0))</f>
        <v>1</v>
      </c>
      <c r="K48" s="9" t="s">
        <v>2499</v>
      </c>
      <c r="L48" s="9" t="s">
        <v>2500</v>
      </c>
      <c r="M48" s="9" t="s">
        <v>112</v>
      </c>
      <c r="N48" s="9" t="s">
        <v>3543</v>
      </c>
      <c r="O48" s="9" t="s">
        <v>1563</v>
      </c>
      <c r="P48" s="9" t="s">
        <v>2363</v>
      </c>
      <c r="Q48" s="9" t="s">
        <v>83</v>
      </c>
      <c r="R48" s="9" t="s">
        <v>76</v>
      </c>
      <c r="S48" s="9" t="s">
        <v>106</v>
      </c>
      <c r="T48" s="9" t="s">
        <v>106</v>
      </c>
      <c r="U48" s="9" t="s">
        <v>106</v>
      </c>
      <c r="V48" s="9" t="s">
        <v>93</v>
      </c>
      <c r="W48" s="9" t="s">
        <v>3562</v>
      </c>
      <c r="X48" s="9" t="s">
        <v>2461</v>
      </c>
      <c r="Y48" s="9"/>
      <c r="Z48" s="9"/>
      <c r="AA48" s="9" t="s">
        <v>2461</v>
      </c>
    </row>
    <row r="49" spans="1:27" x14ac:dyDescent="0.35">
      <c r="A49" s="4" t="str">
        <f>IF(Table5[[#This Row],[SM_Amount__c]]="25.0","FEE",IF(IF(Table5[[#This Row],[SM_Original_Type__c]]="",Table5[[#This Row],[SM_Type__c]],Table5[[#This Row],[SM_Original_Type__c]])="AC","AC","SUBS"))</f>
        <v>SUBS</v>
      </c>
      <c r="B49" s="27">
        <f>IF(INDEX(Contract[SM_AC_start_date__c],MATCH(Table5[[#This Row],[SM_Contract__c]],Contract[Id],0))=0,"",INDEX(Contract[SM_AC_start_date__c],MATCH(Table5[[#This Row],[SM_Contract__c]],Contract[Id],0)))</f>
        <v>45163</v>
      </c>
      <c r="C49" s="27">
        <f>IF(INDEX(Contract[SM_AC_Split_Date__c],MATCH(Table5[[#This Row],[SM_Contract__c]],Contract[Id],0))=0,"",INDEX(Contract[SM_AC_Split_Date__c],MATCH(Table5[[#This Row],[SM_Contract__c]],Contract[Id],0)))</f>
        <v>45170</v>
      </c>
      <c r="D49" s="27">
        <f>IF(INDEX(Contract[SM_Start_date__c],MATCH(Table5[[#This Row],[SM_Contract__c]],Contract[Id],0))=0,"",INDEX(Contract[SM_Start_date__c],MATCH(Table5[[#This Row],[SM_Contract__c]],Contract[Id],0)))</f>
        <v>45229</v>
      </c>
      <c r="E49" s="4">
        <f ca="1">(YEAR(TODAY())-YEAR(Table5[[#This Row],[RC DATE]]))*12 + MONTH(TODAY())-MONTH(Table5[[#This Row],[RC DATE]])</f>
        <v>33</v>
      </c>
      <c r="F4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49" s="19">
        <f>IF(Table5[[#This Row],[Payment_Status__c]]="ACCEPTED",1,"")</f>
        <v>1</v>
      </c>
      <c r="H4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49" s="19">
        <f ca="1">Table5[[#This Row],['# months]]-COUNTIFS(Table5[SM_Contract__c],Table5[[#This Row],[SM_Contract__c]],Table5[TYPE],"SUBS",Table5[ACCEPTED],1)</f>
        <v>2</v>
      </c>
      <c r="J49" s="19" t="b">
        <f>ISNUMBER(MATCH(Table5[[#This Row],[SM_Contract__c]],Contract[Id],0))</f>
        <v>1</v>
      </c>
      <c r="K49" s="9" t="s">
        <v>2501</v>
      </c>
      <c r="L49" s="9" t="s">
        <v>2502</v>
      </c>
      <c r="M49" s="9" t="s">
        <v>112</v>
      </c>
      <c r="N49" s="9" t="s">
        <v>3543</v>
      </c>
      <c r="O49" s="9" t="s">
        <v>1563</v>
      </c>
      <c r="P49" s="9" t="s">
        <v>2363</v>
      </c>
      <c r="Q49" s="9" t="s">
        <v>71</v>
      </c>
      <c r="R49" s="9" t="s">
        <v>83</v>
      </c>
      <c r="S49" s="9" t="s">
        <v>106</v>
      </c>
      <c r="T49" s="9" t="s">
        <v>106</v>
      </c>
      <c r="U49" s="9" t="s">
        <v>106</v>
      </c>
      <c r="V49" s="9" t="s">
        <v>93</v>
      </c>
      <c r="W49" s="9" t="s">
        <v>3632</v>
      </c>
      <c r="X49" s="9" t="s">
        <v>2503</v>
      </c>
      <c r="Y49" s="9"/>
      <c r="Z49" s="9" t="s">
        <v>828</v>
      </c>
      <c r="AA49" s="9" t="s">
        <v>2503</v>
      </c>
    </row>
    <row r="50" spans="1:27" x14ac:dyDescent="0.35">
      <c r="A50" s="4" t="str">
        <f>IF(Table5[[#This Row],[SM_Amount__c]]="25.0","FEE",IF(IF(Table5[[#This Row],[SM_Original_Type__c]]="",Table5[[#This Row],[SM_Type__c]],Table5[[#This Row],[SM_Original_Type__c]])="AC","AC","SUBS"))</f>
        <v>SUBS</v>
      </c>
      <c r="B50" s="27">
        <f>IF(INDEX(Contract[SM_AC_start_date__c],MATCH(Table5[[#This Row],[SM_Contract__c]],Contract[Id],0))=0,"",INDEX(Contract[SM_AC_start_date__c],MATCH(Table5[[#This Row],[SM_Contract__c]],Contract[Id],0)))</f>
        <v>45163</v>
      </c>
      <c r="C50" s="27">
        <f>IF(INDEX(Contract[SM_AC_Split_Date__c],MATCH(Table5[[#This Row],[SM_Contract__c]],Contract[Id],0))=0,"",INDEX(Contract[SM_AC_Split_Date__c],MATCH(Table5[[#This Row],[SM_Contract__c]],Contract[Id],0)))</f>
        <v>45170</v>
      </c>
      <c r="D50" s="27">
        <f>IF(INDEX(Contract[SM_Start_date__c],MATCH(Table5[[#This Row],[SM_Contract__c]],Contract[Id],0))=0,"",INDEX(Contract[SM_Start_date__c],MATCH(Table5[[#This Row],[SM_Contract__c]],Contract[Id],0)))</f>
        <v>45229</v>
      </c>
      <c r="E50" s="4">
        <f ca="1">(YEAR(TODAY())-YEAR(Table5[[#This Row],[RC DATE]]))*12 + MONTH(TODAY())-MONTH(Table5[[#This Row],[RC DATE]])</f>
        <v>33</v>
      </c>
      <c r="F5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50" s="19">
        <f>IF(Table5[[#This Row],[Payment_Status__c]]="ACCEPTED",1,"")</f>
        <v>1</v>
      </c>
      <c r="H5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50" s="19">
        <f ca="1">Table5[[#This Row],['# months]]-COUNTIFS(Table5[SM_Contract__c],Table5[[#This Row],[SM_Contract__c]],Table5[TYPE],"SUBS",Table5[ACCEPTED],1)</f>
        <v>2</v>
      </c>
      <c r="J50" s="19" t="b">
        <f>ISNUMBER(MATCH(Table5[[#This Row],[SM_Contract__c]],Contract[Id],0))</f>
        <v>1</v>
      </c>
      <c r="K50" s="9" t="s">
        <v>2504</v>
      </c>
      <c r="L50" s="9" t="s">
        <v>2505</v>
      </c>
      <c r="M50" s="9" t="s">
        <v>112</v>
      </c>
      <c r="N50" s="9" t="s">
        <v>3543</v>
      </c>
      <c r="O50" s="9" t="s">
        <v>1563</v>
      </c>
      <c r="P50" s="9" t="s">
        <v>2363</v>
      </c>
      <c r="Q50" s="9" t="s">
        <v>83</v>
      </c>
      <c r="R50" s="9" t="s">
        <v>76</v>
      </c>
      <c r="S50" s="9" t="s">
        <v>106</v>
      </c>
      <c r="T50" s="9" t="s">
        <v>106</v>
      </c>
      <c r="U50" s="9" t="s">
        <v>106</v>
      </c>
      <c r="V50" s="9" t="s">
        <v>93</v>
      </c>
      <c r="W50" s="9" t="s">
        <v>3564</v>
      </c>
      <c r="X50" s="9" t="s">
        <v>2462</v>
      </c>
      <c r="Y50" s="9"/>
      <c r="Z50" s="9"/>
      <c r="AA50" s="9" t="s">
        <v>2462</v>
      </c>
    </row>
    <row r="51" spans="1:27" x14ac:dyDescent="0.35">
      <c r="A51" s="4" t="str">
        <f>IF(Table5[[#This Row],[SM_Amount__c]]="25.0","FEE",IF(IF(Table5[[#This Row],[SM_Original_Type__c]]="",Table5[[#This Row],[SM_Type__c]],Table5[[#This Row],[SM_Original_Type__c]])="AC","AC","SUBS"))</f>
        <v>SUBS</v>
      </c>
      <c r="B51" s="27">
        <f>IF(INDEX(Contract[SM_AC_start_date__c],MATCH(Table5[[#This Row],[SM_Contract__c]],Contract[Id],0))=0,"",INDEX(Contract[SM_AC_start_date__c],MATCH(Table5[[#This Row],[SM_Contract__c]],Contract[Id],0)))</f>
        <v>45163</v>
      </c>
      <c r="C51" s="27">
        <f>IF(INDEX(Contract[SM_AC_Split_Date__c],MATCH(Table5[[#This Row],[SM_Contract__c]],Contract[Id],0))=0,"",INDEX(Contract[SM_AC_Split_Date__c],MATCH(Table5[[#This Row],[SM_Contract__c]],Contract[Id],0)))</f>
        <v>45170</v>
      </c>
      <c r="D51" s="27">
        <f>IF(INDEX(Contract[SM_Start_date__c],MATCH(Table5[[#This Row],[SM_Contract__c]],Contract[Id],0))=0,"",INDEX(Contract[SM_Start_date__c],MATCH(Table5[[#This Row],[SM_Contract__c]],Contract[Id],0)))</f>
        <v>45229</v>
      </c>
      <c r="E51" s="4">
        <f ca="1">(YEAR(TODAY())-YEAR(Table5[[#This Row],[RC DATE]]))*12 + MONTH(TODAY())-MONTH(Table5[[#This Row],[RC DATE]])</f>
        <v>33</v>
      </c>
      <c r="F5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51" s="19">
        <f>IF(Table5[[#This Row],[Payment_Status__c]]="ACCEPTED",1,"")</f>
        <v>1</v>
      </c>
      <c r="H5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51" s="19">
        <f ca="1">Table5[[#This Row],['# months]]-COUNTIFS(Table5[SM_Contract__c],Table5[[#This Row],[SM_Contract__c]],Table5[TYPE],"SUBS",Table5[ACCEPTED],1)</f>
        <v>2</v>
      </c>
      <c r="J51" s="19" t="b">
        <f>ISNUMBER(MATCH(Table5[[#This Row],[SM_Contract__c]],Contract[Id],0))</f>
        <v>1</v>
      </c>
      <c r="K51" s="9" t="s">
        <v>2506</v>
      </c>
      <c r="L51" s="9" t="s">
        <v>2507</v>
      </c>
      <c r="M51" s="9" t="s">
        <v>112</v>
      </c>
      <c r="N51" s="9" t="s">
        <v>3543</v>
      </c>
      <c r="O51" s="9" t="s">
        <v>1563</v>
      </c>
      <c r="P51" s="9" t="s">
        <v>2363</v>
      </c>
      <c r="Q51" s="9" t="s">
        <v>83</v>
      </c>
      <c r="R51" s="9" t="s">
        <v>76</v>
      </c>
      <c r="S51" s="9" t="s">
        <v>106</v>
      </c>
      <c r="T51" s="9" t="s">
        <v>106</v>
      </c>
      <c r="U51" s="9" t="s">
        <v>106</v>
      </c>
      <c r="V51" s="9" t="s">
        <v>93</v>
      </c>
      <c r="W51" s="9" t="s">
        <v>3567</v>
      </c>
      <c r="X51" s="9" t="s">
        <v>2508</v>
      </c>
      <c r="Y51" s="9"/>
      <c r="Z51" s="9"/>
      <c r="AA51" s="9" t="s">
        <v>2508</v>
      </c>
    </row>
    <row r="52" spans="1:27" x14ac:dyDescent="0.35">
      <c r="A52" s="4" t="str">
        <f>IF(Table5[[#This Row],[SM_Amount__c]]="25.0","FEE",IF(IF(Table5[[#This Row],[SM_Original_Type__c]]="",Table5[[#This Row],[SM_Type__c]],Table5[[#This Row],[SM_Original_Type__c]])="AC","AC","SUBS"))</f>
        <v>SUBS</v>
      </c>
      <c r="B52" s="27">
        <f>IF(INDEX(Contract[SM_AC_start_date__c],MATCH(Table5[[#This Row],[SM_Contract__c]],Contract[Id],0))=0,"",INDEX(Contract[SM_AC_start_date__c],MATCH(Table5[[#This Row],[SM_Contract__c]],Contract[Id],0)))</f>
        <v>45163</v>
      </c>
      <c r="C52" s="27">
        <f>IF(INDEX(Contract[SM_AC_Split_Date__c],MATCH(Table5[[#This Row],[SM_Contract__c]],Contract[Id],0))=0,"",INDEX(Contract[SM_AC_Split_Date__c],MATCH(Table5[[#This Row],[SM_Contract__c]],Contract[Id],0)))</f>
        <v>45170</v>
      </c>
      <c r="D52" s="27">
        <f>IF(INDEX(Contract[SM_Start_date__c],MATCH(Table5[[#This Row],[SM_Contract__c]],Contract[Id],0))=0,"",INDEX(Contract[SM_Start_date__c],MATCH(Table5[[#This Row],[SM_Contract__c]],Contract[Id],0)))</f>
        <v>45229</v>
      </c>
      <c r="E52" s="4">
        <f ca="1">(YEAR(TODAY())-YEAR(Table5[[#This Row],[RC DATE]]))*12 + MONTH(TODAY())-MONTH(Table5[[#This Row],[RC DATE]])</f>
        <v>33</v>
      </c>
      <c r="F5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52" s="19">
        <f>IF(Table5[[#This Row],[Payment_Status__c]]="ACCEPTED",1,"")</f>
        <v>1</v>
      </c>
      <c r="H5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52" s="19">
        <f ca="1">Table5[[#This Row],['# months]]-COUNTIFS(Table5[SM_Contract__c],Table5[[#This Row],[SM_Contract__c]],Table5[TYPE],"SUBS",Table5[ACCEPTED],1)</f>
        <v>2</v>
      </c>
      <c r="J52" s="19" t="b">
        <f>ISNUMBER(MATCH(Table5[[#This Row],[SM_Contract__c]],Contract[Id],0))</f>
        <v>1</v>
      </c>
      <c r="K52" s="9" t="s">
        <v>2509</v>
      </c>
      <c r="L52" s="9" t="s">
        <v>2510</v>
      </c>
      <c r="M52" s="9" t="s">
        <v>112</v>
      </c>
      <c r="N52" s="9" t="s">
        <v>3543</v>
      </c>
      <c r="O52" s="9" t="s">
        <v>1563</v>
      </c>
      <c r="P52" s="9" t="s">
        <v>2363</v>
      </c>
      <c r="Q52" s="9" t="s">
        <v>71</v>
      </c>
      <c r="R52" s="9" t="s">
        <v>83</v>
      </c>
      <c r="S52" s="9" t="s">
        <v>94</v>
      </c>
      <c r="T52" s="9" t="s">
        <v>94</v>
      </c>
      <c r="U52" s="9" t="s">
        <v>106</v>
      </c>
      <c r="V52" s="9" t="s">
        <v>148</v>
      </c>
      <c r="W52" s="9" t="s">
        <v>3659</v>
      </c>
      <c r="X52" s="9" t="s">
        <v>2511</v>
      </c>
      <c r="Y52" s="9"/>
      <c r="Z52" s="9" t="s">
        <v>1106</v>
      </c>
      <c r="AA52" s="9" t="s">
        <v>2511</v>
      </c>
    </row>
    <row r="53" spans="1:27" x14ac:dyDescent="0.35">
      <c r="A53" s="4" t="str">
        <f>IF(Table5[[#This Row],[SM_Amount__c]]="25.0","FEE",IF(IF(Table5[[#This Row],[SM_Original_Type__c]]="",Table5[[#This Row],[SM_Type__c]],Table5[[#This Row],[SM_Original_Type__c]])="AC","AC","SUBS"))</f>
        <v>SUBS</v>
      </c>
      <c r="B53" s="27">
        <f>IF(INDEX(Contract[SM_AC_start_date__c],MATCH(Table5[[#This Row],[SM_Contract__c]],Contract[Id],0))=0,"",INDEX(Contract[SM_AC_start_date__c],MATCH(Table5[[#This Row],[SM_Contract__c]],Contract[Id],0)))</f>
        <v>45392</v>
      </c>
      <c r="C53" s="27" t="str">
        <f>IF(INDEX(Contract[SM_AC_Split_Date__c],MATCH(Table5[[#This Row],[SM_Contract__c]],Contract[Id],0))=0,"",INDEX(Contract[SM_AC_Split_Date__c],MATCH(Table5[[#This Row],[SM_Contract__c]],Contract[Id],0)))</f>
        <v/>
      </c>
      <c r="D53" s="27">
        <f>IF(INDEX(Contract[SM_Start_date__c],MATCH(Table5[[#This Row],[SM_Contract__c]],Contract[Id],0))=0,"",INDEX(Contract[SM_Start_date__c],MATCH(Table5[[#This Row],[SM_Contract__c]],Contract[Id],0)))</f>
        <v>45442</v>
      </c>
      <c r="E53" s="4">
        <f ca="1">(YEAR(TODAY())-YEAR(Table5[[#This Row],[RC DATE]]))*12 + MONTH(TODAY())-MONTH(Table5[[#This Row],[RC DATE]])</f>
        <v>26</v>
      </c>
      <c r="F5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3" s="19">
        <f>IF(Table5[[#This Row],[Payment_Status__c]]="ACCEPTED",1,"")</f>
        <v>1</v>
      </c>
      <c r="H5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3" s="19">
        <f ca="1">Table5[[#This Row],['# months]]-COUNTIFS(Table5[SM_Contract__c],Table5[[#This Row],[SM_Contract__c]],Table5[TYPE],"SUBS",Table5[ACCEPTED],1)</f>
        <v>1</v>
      </c>
      <c r="J53" s="19" t="b">
        <f>ISNUMBER(MATCH(Table5[[#This Row],[SM_Contract__c]],Contract[Id],0))</f>
        <v>1</v>
      </c>
      <c r="K53" s="9" t="s">
        <v>2523</v>
      </c>
      <c r="L53" s="9" t="s">
        <v>2524</v>
      </c>
      <c r="M53" s="9" t="s">
        <v>159</v>
      </c>
      <c r="N53" s="9" t="s">
        <v>3546</v>
      </c>
      <c r="O53" s="9" t="s">
        <v>1563</v>
      </c>
      <c r="P53" s="9" t="s">
        <v>2363</v>
      </c>
      <c r="Q53" s="9" t="s">
        <v>71</v>
      </c>
      <c r="R53" s="9" t="s">
        <v>83</v>
      </c>
      <c r="S53" s="9" t="s">
        <v>2087</v>
      </c>
      <c r="T53" s="9" t="s">
        <v>104</v>
      </c>
      <c r="U53" s="9" t="s">
        <v>91</v>
      </c>
      <c r="V53" s="9" t="s">
        <v>148</v>
      </c>
      <c r="W53" s="9" t="s">
        <v>3551</v>
      </c>
      <c r="X53" s="9" t="s">
        <v>2512</v>
      </c>
      <c r="Y53" s="9"/>
      <c r="Z53" s="9" t="s">
        <v>230</v>
      </c>
      <c r="AA53" s="9" t="s">
        <v>2512</v>
      </c>
    </row>
    <row r="54" spans="1:27" x14ac:dyDescent="0.35">
      <c r="A54" s="4" t="str">
        <f>IF(Table5[[#This Row],[SM_Amount__c]]="25.0","FEE",IF(IF(Table5[[#This Row],[SM_Original_Type__c]]="",Table5[[#This Row],[SM_Type__c]],Table5[[#This Row],[SM_Original_Type__c]])="AC","AC","SUBS"))</f>
        <v>SUBS</v>
      </c>
      <c r="B54" s="27">
        <f>IF(INDEX(Contract[SM_AC_start_date__c],MATCH(Table5[[#This Row],[SM_Contract__c]],Contract[Id],0))=0,"",INDEX(Contract[SM_AC_start_date__c],MATCH(Table5[[#This Row],[SM_Contract__c]],Contract[Id],0)))</f>
        <v>45392</v>
      </c>
      <c r="C54" s="27" t="str">
        <f>IF(INDEX(Contract[SM_AC_Split_Date__c],MATCH(Table5[[#This Row],[SM_Contract__c]],Contract[Id],0))=0,"",INDEX(Contract[SM_AC_Split_Date__c],MATCH(Table5[[#This Row],[SM_Contract__c]],Contract[Id],0)))</f>
        <v/>
      </c>
      <c r="D54" s="27">
        <f>IF(INDEX(Contract[SM_Start_date__c],MATCH(Table5[[#This Row],[SM_Contract__c]],Contract[Id],0))=0,"",INDEX(Contract[SM_Start_date__c],MATCH(Table5[[#This Row],[SM_Contract__c]],Contract[Id],0)))</f>
        <v>45442</v>
      </c>
      <c r="E54" s="4">
        <f ca="1">(YEAR(TODAY())-YEAR(Table5[[#This Row],[RC DATE]]))*12 + MONTH(TODAY())-MONTH(Table5[[#This Row],[RC DATE]])</f>
        <v>26</v>
      </c>
      <c r="F5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4" s="19">
        <f>IF(Table5[[#This Row],[Payment_Status__c]]="ACCEPTED",1,"")</f>
        <v>1</v>
      </c>
      <c r="H5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4" s="19">
        <f ca="1">Table5[[#This Row],['# months]]-COUNTIFS(Table5[SM_Contract__c],Table5[[#This Row],[SM_Contract__c]],Table5[TYPE],"SUBS",Table5[ACCEPTED],1)</f>
        <v>1</v>
      </c>
      <c r="J54" s="19" t="b">
        <f>ISNUMBER(MATCH(Table5[[#This Row],[SM_Contract__c]],Contract[Id],0))</f>
        <v>1</v>
      </c>
      <c r="K54" s="9" t="s">
        <v>2525</v>
      </c>
      <c r="L54" s="9" t="s">
        <v>2526</v>
      </c>
      <c r="M54" s="9" t="s">
        <v>159</v>
      </c>
      <c r="N54" s="9" t="s">
        <v>3546</v>
      </c>
      <c r="O54" s="9" t="s">
        <v>1563</v>
      </c>
      <c r="P54" s="9" t="s">
        <v>2363</v>
      </c>
      <c r="Q54" s="9" t="s">
        <v>71</v>
      </c>
      <c r="R54" s="9"/>
      <c r="S54" s="9" t="s">
        <v>91</v>
      </c>
      <c r="T54" s="9" t="s">
        <v>105</v>
      </c>
      <c r="U54" s="9" t="s">
        <v>91</v>
      </c>
      <c r="V54" s="9" t="s">
        <v>93</v>
      </c>
      <c r="W54" s="9" t="s">
        <v>3552</v>
      </c>
      <c r="X54" s="9" t="s">
        <v>2518</v>
      </c>
      <c r="Y54" s="9"/>
      <c r="Z54" s="9"/>
      <c r="AA54" s="9" t="s">
        <v>2518</v>
      </c>
    </row>
    <row r="55" spans="1:27" x14ac:dyDescent="0.35">
      <c r="A55" s="4" t="str">
        <f>IF(Table5[[#This Row],[SM_Amount__c]]="25.0","FEE",IF(IF(Table5[[#This Row],[SM_Original_Type__c]]="",Table5[[#This Row],[SM_Type__c]],Table5[[#This Row],[SM_Original_Type__c]])="AC","AC","SUBS"))</f>
        <v>SUBS</v>
      </c>
      <c r="B55" s="27">
        <f>IF(INDEX(Contract[SM_AC_start_date__c],MATCH(Table5[[#This Row],[SM_Contract__c]],Contract[Id],0))=0,"",INDEX(Contract[SM_AC_start_date__c],MATCH(Table5[[#This Row],[SM_Contract__c]],Contract[Id],0)))</f>
        <v>45392</v>
      </c>
      <c r="C55" s="27" t="str">
        <f>IF(INDEX(Contract[SM_AC_Split_Date__c],MATCH(Table5[[#This Row],[SM_Contract__c]],Contract[Id],0))=0,"",INDEX(Contract[SM_AC_Split_Date__c],MATCH(Table5[[#This Row],[SM_Contract__c]],Contract[Id],0)))</f>
        <v/>
      </c>
      <c r="D55" s="27">
        <f>IF(INDEX(Contract[SM_Start_date__c],MATCH(Table5[[#This Row],[SM_Contract__c]],Contract[Id],0))=0,"",INDEX(Contract[SM_Start_date__c],MATCH(Table5[[#This Row],[SM_Contract__c]],Contract[Id],0)))</f>
        <v>45442</v>
      </c>
      <c r="E55" s="4">
        <f ca="1">(YEAR(TODAY())-YEAR(Table5[[#This Row],[RC DATE]]))*12 + MONTH(TODAY())-MONTH(Table5[[#This Row],[RC DATE]])</f>
        <v>26</v>
      </c>
      <c r="F5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5" s="19">
        <f>IF(Table5[[#This Row],[Payment_Status__c]]="ACCEPTED",1,"")</f>
        <v>1</v>
      </c>
      <c r="H5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5" s="19">
        <f ca="1">Table5[[#This Row],['# months]]-COUNTIFS(Table5[SM_Contract__c],Table5[[#This Row],[SM_Contract__c]],Table5[TYPE],"SUBS",Table5[ACCEPTED],1)</f>
        <v>1</v>
      </c>
      <c r="J55" s="19" t="b">
        <f>ISNUMBER(MATCH(Table5[[#This Row],[SM_Contract__c]],Contract[Id],0))</f>
        <v>1</v>
      </c>
      <c r="K55" s="9" t="s">
        <v>2527</v>
      </c>
      <c r="L55" s="9" t="s">
        <v>2528</v>
      </c>
      <c r="M55" s="9" t="s">
        <v>159</v>
      </c>
      <c r="N55" s="9" t="s">
        <v>3546</v>
      </c>
      <c r="O55" s="9" t="s">
        <v>1563</v>
      </c>
      <c r="P55" s="9" t="s">
        <v>2363</v>
      </c>
      <c r="Q55" s="9" t="s">
        <v>83</v>
      </c>
      <c r="R55" s="9" t="s">
        <v>76</v>
      </c>
      <c r="S55" s="9" t="s">
        <v>91</v>
      </c>
      <c r="T55" s="9" t="s">
        <v>105</v>
      </c>
      <c r="U55" s="9" t="s">
        <v>91</v>
      </c>
      <c r="V55" s="9" t="s">
        <v>93</v>
      </c>
      <c r="W55" s="9" t="s">
        <v>3553</v>
      </c>
      <c r="X55" s="9" t="s">
        <v>2516</v>
      </c>
      <c r="Y55" s="9"/>
      <c r="Z55" s="9"/>
      <c r="AA55" s="9" t="s">
        <v>2516</v>
      </c>
    </row>
    <row r="56" spans="1:27" x14ac:dyDescent="0.35">
      <c r="A56" s="4" t="str">
        <f>IF(Table5[[#This Row],[SM_Amount__c]]="25.0","FEE",IF(IF(Table5[[#This Row],[SM_Original_Type__c]]="",Table5[[#This Row],[SM_Type__c]],Table5[[#This Row],[SM_Original_Type__c]])="AC","AC","SUBS"))</f>
        <v>SUBS</v>
      </c>
      <c r="B56" s="27">
        <f>IF(INDEX(Contract[SM_AC_start_date__c],MATCH(Table5[[#This Row],[SM_Contract__c]],Contract[Id],0))=0,"",INDEX(Contract[SM_AC_start_date__c],MATCH(Table5[[#This Row],[SM_Contract__c]],Contract[Id],0)))</f>
        <v>45392</v>
      </c>
      <c r="C56" s="27" t="str">
        <f>IF(INDEX(Contract[SM_AC_Split_Date__c],MATCH(Table5[[#This Row],[SM_Contract__c]],Contract[Id],0))=0,"",INDEX(Contract[SM_AC_Split_Date__c],MATCH(Table5[[#This Row],[SM_Contract__c]],Contract[Id],0)))</f>
        <v/>
      </c>
      <c r="D56" s="27">
        <f>IF(INDEX(Contract[SM_Start_date__c],MATCH(Table5[[#This Row],[SM_Contract__c]],Contract[Id],0))=0,"",INDEX(Contract[SM_Start_date__c],MATCH(Table5[[#This Row],[SM_Contract__c]],Contract[Id],0)))</f>
        <v>45442</v>
      </c>
      <c r="E56" s="4">
        <f ca="1">(YEAR(TODAY())-YEAR(Table5[[#This Row],[RC DATE]]))*12 + MONTH(TODAY())-MONTH(Table5[[#This Row],[RC DATE]])</f>
        <v>26</v>
      </c>
      <c r="F5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6" s="19">
        <f>IF(Table5[[#This Row],[Payment_Status__c]]="ACCEPTED",1,"")</f>
        <v>1</v>
      </c>
      <c r="H5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6" s="19">
        <f ca="1">Table5[[#This Row],['# months]]-COUNTIFS(Table5[SM_Contract__c],Table5[[#This Row],[SM_Contract__c]],Table5[TYPE],"SUBS",Table5[ACCEPTED],1)</f>
        <v>1</v>
      </c>
      <c r="J56" s="19" t="b">
        <f>ISNUMBER(MATCH(Table5[[#This Row],[SM_Contract__c]],Contract[Id],0))</f>
        <v>1</v>
      </c>
      <c r="K56" s="9" t="s">
        <v>2529</v>
      </c>
      <c r="L56" s="9" t="s">
        <v>2530</v>
      </c>
      <c r="M56" s="9" t="s">
        <v>159</v>
      </c>
      <c r="N56" s="9" t="s">
        <v>3546</v>
      </c>
      <c r="O56" s="9" t="s">
        <v>1563</v>
      </c>
      <c r="P56" s="9" t="s">
        <v>2363</v>
      </c>
      <c r="Q56" s="9" t="s">
        <v>71</v>
      </c>
      <c r="R56" s="9" t="s">
        <v>83</v>
      </c>
      <c r="S56" s="9" t="s">
        <v>2087</v>
      </c>
      <c r="T56" s="9" t="s">
        <v>104</v>
      </c>
      <c r="U56" s="9" t="s">
        <v>91</v>
      </c>
      <c r="V56" s="9" t="s">
        <v>148</v>
      </c>
      <c r="W56" s="9" t="s">
        <v>3590</v>
      </c>
      <c r="X56" s="9" t="s">
        <v>2519</v>
      </c>
      <c r="Y56" s="9"/>
      <c r="Z56" s="9" t="s">
        <v>300</v>
      </c>
      <c r="AA56" s="9" t="s">
        <v>2519</v>
      </c>
    </row>
    <row r="57" spans="1:27" x14ac:dyDescent="0.35">
      <c r="A57" s="4" t="str">
        <f>IF(Table5[[#This Row],[SM_Amount__c]]="25.0","FEE",IF(IF(Table5[[#This Row],[SM_Original_Type__c]]="",Table5[[#This Row],[SM_Type__c]],Table5[[#This Row],[SM_Original_Type__c]])="AC","AC","SUBS"))</f>
        <v>SUBS</v>
      </c>
      <c r="B57" s="27">
        <f>IF(INDEX(Contract[SM_AC_start_date__c],MATCH(Table5[[#This Row],[SM_Contract__c]],Contract[Id],0))=0,"",INDEX(Contract[SM_AC_start_date__c],MATCH(Table5[[#This Row],[SM_Contract__c]],Contract[Id],0)))</f>
        <v>45392</v>
      </c>
      <c r="C57" s="27" t="str">
        <f>IF(INDEX(Contract[SM_AC_Split_Date__c],MATCH(Table5[[#This Row],[SM_Contract__c]],Contract[Id],0))=0,"",INDEX(Contract[SM_AC_Split_Date__c],MATCH(Table5[[#This Row],[SM_Contract__c]],Contract[Id],0)))</f>
        <v/>
      </c>
      <c r="D57" s="27">
        <f>IF(INDEX(Contract[SM_Start_date__c],MATCH(Table5[[#This Row],[SM_Contract__c]],Contract[Id],0))=0,"",INDEX(Contract[SM_Start_date__c],MATCH(Table5[[#This Row],[SM_Contract__c]],Contract[Id],0)))</f>
        <v>45442</v>
      </c>
      <c r="E57" s="4">
        <f ca="1">(YEAR(TODAY())-YEAR(Table5[[#This Row],[RC DATE]]))*12 + MONTH(TODAY())-MONTH(Table5[[#This Row],[RC DATE]])</f>
        <v>26</v>
      </c>
      <c r="F5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7" s="19">
        <f>IF(Table5[[#This Row],[Payment_Status__c]]="ACCEPTED",1,"")</f>
        <v>1</v>
      </c>
      <c r="H5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7" s="19">
        <f ca="1">Table5[[#This Row],['# months]]-COUNTIFS(Table5[SM_Contract__c],Table5[[#This Row],[SM_Contract__c]],Table5[TYPE],"SUBS",Table5[ACCEPTED],1)</f>
        <v>1</v>
      </c>
      <c r="J57" s="19" t="b">
        <f>ISNUMBER(MATCH(Table5[[#This Row],[SM_Contract__c]],Contract[Id],0))</f>
        <v>1</v>
      </c>
      <c r="K57" s="9" t="s">
        <v>2531</v>
      </c>
      <c r="L57" s="9" t="s">
        <v>2532</v>
      </c>
      <c r="M57" s="9" t="s">
        <v>159</v>
      </c>
      <c r="N57" s="9" t="s">
        <v>3546</v>
      </c>
      <c r="O57" s="9" t="s">
        <v>1563</v>
      </c>
      <c r="P57" s="9" t="s">
        <v>2363</v>
      </c>
      <c r="Q57" s="9" t="s">
        <v>83</v>
      </c>
      <c r="R57" s="9" t="s">
        <v>76</v>
      </c>
      <c r="S57" s="9" t="s">
        <v>91</v>
      </c>
      <c r="T57" s="9" t="s">
        <v>105</v>
      </c>
      <c r="U57" s="9" t="s">
        <v>91</v>
      </c>
      <c r="V57" s="9" t="s">
        <v>93</v>
      </c>
      <c r="W57" s="9" t="s">
        <v>3555</v>
      </c>
      <c r="X57" s="9" t="s">
        <v>2517</v>
      </c>
      <c r="Y57" s="9"/>
      <c r="Z57" s="9"/>
      <c r="AA57" s="9" t="s">
        <v>2517</v>
      </c>
    </row>
    <row r="58" spans="1:27" x14ac:dyDescent="0.35">
      <c r="A58" s="4" t="str">
        <f>IF(Table5[[#This Row],[SM_Amount__c]]="25.0","FEE",IF(IF(Table5[[#This Row],[SM_Original_Type__c]]="",Table5[[#This Row],[SM_Type__c]],Table5[[#This Row],[SM_Original_Type__c]])="AC","AC","SUBS"))</f>
        <v>SUBS</v>
      </c>
      <c r="B58" s="27">
        <f>IF(INDEX(Contract[SM_AC_start_date__c],MATCH(Table5[[#This Row],[SM_Contract__c]],Contract[Id],0))=0,"",INDEX(Contract[SM_AC_start_date__c],MATCH(Table5[[#This Row],[SM_Contract__c]],Contract[Id],0)))</f>
        <v>45392</v>
      </c>
      <c r="C58" s="27" t="str">
        <f>IF(INDEX(Contract[SM_AC_Split_Date__c],MATCH(Table5[[#This Row],[SM_Contract__c]],Contract[Id],0))=0,"",INDEX(Contract[SM_AC_Split_Date__c],MATCH(Table5[[#This Row],[SM_Contract__c]],Contract[Id],0)))</f>
        <v/>
      </c>
      <c r="D58" s="27">
        <f>IF(INDEX(Contract[SM_Start_date__c],MATCH(Table5[[#This Row],[SM_Contract__c]],Contract[Id],0))=0,"",INDEX(Contract[SM_Start_date__c],MATCH(Table5[[#This Row],[SM_Contract__c]],Contract[Id],0)))</f>
        <v>45442</v>
      </c>
      <c r="E58" s="4">
        <f ca="1">(YEAR(TODAY())-YEAR(Table5[[#This Row],[RC DATE]]))*12 + MONTH(TODAY())-MONTH(Table5[[#This Row],[RC DATE]])</f>
        <v>26</v>
      </c>
      <c r="F5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8" s="19">
        <f>IF(Table5[[#This Row],[Payment_Status__c]]="ACCEPTED",1,"")</f>
        <v>1</v>
      </c>
      <c r="H5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8" s="19">
        <f ca="1">Table5[[#This Row],['# months]]-COUNTIFS(Table5[SM_Contract__c],Table5[[#This Row],[SM_Contract__c]],Table5[TYPE],"SUBS",Table5[ACCEPTED],1)</f>
        <v>1</v>
      </c>
      <c r="J58" s="19" t="b">
        <f>ISNUMBER(MATCH(Table5[[#This Row],[SM_Contract__c]],Contract[Id],0))</f>
        <v>1</v>
      </c>
      <c r="K58" s="9" t="s">
        <v>2533</v>
      </c>
      <c r="L58" s="9" t="s">
        <v>2534</v>
      </c>
      <c r="M58" s="9" t="s">
        <v>159</v>
      </c>
      <c r="N58" s="9" t="s">
        <v>3546</v>
      </c>
      <c r="O58" s="9" t="s">
        <v>1563</v>
      </c>
      <c r="P58" s="9" t="s">
        <v>2363</v>
      </c>
      <c r="Q58" s="9" t="s">
        <v>83</v>
      </c>
      <c r="R58" s="9" t="s">
        <v>76</v>
      </c>
      <c r="S58" s="9" t="s">
        <v>91</v>
      </c>
      <c r="T58" s="9" t="s">
        <v>105</v>
      </c>
      <c r="U58" s="9" t="s">
        <v>91</v>
      </c>
      <c r="V58" s="9" t="s">
        <v>93</v>
      </c>
      <c r="W58" s="9" t="s">
        <v>3556</v>
      </c>
      <c r="X58" s="9" t="s">
        <v>2513</v>
      </c>
      <c r="Y58" s="9"/>
      <c r="Z58" s="9"/>
      <c r="AA58" s="9" t="s">
        <v>2513</v>
      </c>
    </row>
    <row r="59" spans="1:27" x14ac:dyDescent="0.35">
      <c r="A59" s="4" t="str">
        <f>IF(Table5[[#This Row],[SM_Amount__c]]="25.0","FEE",IF(IF(Table5[[#This Row],[SM_Original_Type__c]]="",Table5[[#This Row],[SM_Type__c]],Table5[[#This Row],[SM_Original_Type__c]])="AC","AC","SUBS"))</f>
        <v>SUBS</v>
      </c>
      <c r="B59" s="27">
        <f>IF(INDEX(Contract[SM_AC_start_date__c],MATCH(Table5[[#This Row],[SM_Contract__c]],Contract[Id],0))=0,"",INDEX(Contract[SM_AC_start_date__c],MATCH(Table5[[#This Row],[SM_Contract__c]],Contract[Id],0)))</f>
        <v>45392</v>
      </c>
      <c r="C59" s="27" t="str">
        <f>IF(INDEX(Contract[SM_AC_Split_Date__c],MATCH(Table5[[#This Row],[SM_Contract__c]],Contract[Id],0))=0,"",INDEX(Contract[SM_AC_Split_Date__c],MATCH(Table5[[#This Row],[SM_Contract__c]],Contract[Id],0)))</f>
        <v/>
      </c>
      <c r="D59" s="27">
        <f>IF(INDEX(Contract[SM_Start_date__c],MATCH(Table5[[#This Row],[SM_Contract__c]],Contract[Id],0))=0,"",INDEX(Contract[SM_Start_date__c],MATCH(Table5[[#This Row],[SM_Contract__c]],Contract[Id],0)))</f>
        <v>45442</v>
      </c>
      <c r="E59" s="4">
        <f ca="1">(YEAR(TODAY())-YEAR(Table5[[#This Row],[RC DATE]]))*12 + MONTH(TODAY())-MONTH(Table5[[#This Row],[RC DATE]])</f>
        <v>26</v>
      </c>
      <c r="F5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59" s="19">
        <f>IF(Table5[[#This Row],[Payment_Status__c]]="ACCEPTED",1,"")</f>
        <v>1</v>
      </c>
      <c r="H5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59" s="19">
        <f ca="1">Table5[[#This Row],['# months]]-COUNTIFS(Table5[SM_Contract__c],Table5[[#This Row],[SM_Contract__c]],Table5[TYPE],"SUBS",Table5[ACCEPTED],1)</f>
        <v>1</v>
      </c>
      <c r="J59" s="19" t="b">
        <f>ISNUMBER(MATCH(Table5[[#This Row],[SM_Contract__c]],Contract[Id],0))</f>
        <v>1</v>
      </c>
      <c r="K59" s="9" t="s">
        <v>2535</v>
      </c>
      <c r="L59" s="9" t="s">
        <v>2536</v>
      </c>
      <c r="M59" s="9" t="s">
        <v>159</v>
      </c>
      <c r="N59" s="9" t="s">
        <v>3546</v>
      </c>
      <c r="O59" s="9" t="s">
        <v>1563</v>
      </c>
      <c r="P59" s="9" t="s">
        <v>2363</v>
      </c>
      <c r="Q59" s="9" t="s">
        <v>83</v>
      </c>
      <c r="R59" s="9" t="s">
        <v>76</v>
      </c>
      <c r="S59" s="9" t="s">
        <v>91</v>
      </c>
      <c r="T59" s="9" t="s">
        <v>105</v>
      </c>
      <c r="U59" s="9" t="s">
        <v>91</v>
      </c>
      <c r="V59" s="9" t="s">
        <v>93</v>
      </c>
      <c r="W59" s="9" t="s">
        <v>3557</v>
      </c>
      <c r="X59" s="9" t="s">
        <v>2514</v>
      </c>
      <c r="Y59" s="9"/>
      <c r="Z59" s="9"/>
      <c r="AA59" s="9" t="s">
        <v>2514</v>
      </c>
    </row>
    <row r="60" spans="1:27" x14ac:dyDescent="0.35">
      <c r="A60" s="4" t="str">
        <f>IF(Table5[[#This Row],[SM_Amount__c]]="25.0","FEE",IF(IF(Table5[[#This Row],[SM_Original_Type__c]]="",Table5[[#This Row],[SM_Type__c]],Table5[[#This Row],[SM_Original_Type__c]])="AC","AC","SUBS"))</f>
        <v>SUBS</v>
      </c>
      <c r="B60" s="27">
        <f>IF(INDEX(Contract[SM_AC_start_date__c],MATCH(Table5[[#This Row],[SM_Contract__c]],Contract[Id],0))=0,"",INDEX(Contract[SM_AC_start_date__c],MATCH(Table5[[#This Row],[SM_Contract__c]],Contract[Id],0)))</f>
        <v>45392</v>
      </c>
      <c r="C60" s="27" t="str">
        <f>IF(INDEX(Contract[SM_AC_Split_Date__c],MATCH(Table5[[#This Row],[SM_Contract__c]],Contract[Id],0))=0,"",INDEX(Contract[SM_AC_Split_Date__c],MATCH(Table5[[#This Row],[SM_Contract__c]],Contract[Id],0)))</f>
        <v/>
      </c>
      <c r="D60" s="27">
        <f>IF(INDEX(Contract[SM_Start_date__c],MATCH(Table5[[#This Row],[SM_Contract__c]],Contract[Id],0))=0,"",INDEX(Contract[SM_Start_date__c],MATCH(Table5[[#This Row],[SM_Contract__c]],Contract[Id],0)))</f>
        <v>45442</v>
      </c>
      <c r="E60" s="4">
        <f ca="1">(YEAR(TODAY())-YEAR(Table5[[#This Row],[RC DATE]]))*12 + MONTH(TODAY())-MONTH(Table5[[#This Row],[RC DATE]])</f>
        <v>26</v>
      </c>
      <c r="F6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0" s="19">
        <f>IF(Table5[[#This Row],[Payment_Status__c]]="ACCEPTED",1,"")</f>
        <v>1</v>
      </c>
      <c r="H6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0" s="19">
        <f ca="1">Table5[[#This Row],['# months]]-COUNTIFS(Table5[SM_Contract__c],Table5[[#This Row],[SM_Contract__c]],Table5[TYPE],"SUBS",Table5[ACCEPTED],1)</f>
        <v>1</v>
      </c>
      <c r="J60" s="19" t="b">
        <f>ISNUMBER(MATCH(Table5[[#This Row],[SM_Contract__c]],Contract[Id],0))</f>
        <v>1</v>
      </c>
      <c r="K60" s="9" t="s">
        <v>2537</v>
      </c>
      <c r="L60" s="9" t="s">
        <v>2538</v>
      </c>
      <c r="M60" s="9" t="s">
        <v>159</v>
      </c>
      <c r="N60" s="9" t="s">
        <v>3546</v>
      </c>
      <c r="O60" s="9" t="s">
        <v>1563</v>
      </c>
      <c r="P60" s="9" t="s">
        <v>2363</v>
      </c>
      <c r="Q60" s="9" t="s">
        <v>83</v>
      </c>
      <c r="R60" s="9" t="s">
        <v>76</v>
      </c>
      <c r="S60" s="9" t="s">
        <v>91</v>
      </c>
      <c r="T60" s="9" t="s">
        <v>105</v>
      </c>
      <c r="U60" s="9" t="s">
        <v>91</v>
      </c>
      <c r="V60" s="9" t="s">
        <v>93</v>
      </c>
      <c r="W60" s="9" t="s">
        <v>3558</v>
      </c>
      <c r="X60" s="9" t="s">
        <v>2515</v>
      </c>
      <c r="Y60" s="9"/>
      <c r="Z60" s="9"/>
      <c r="AA60" s="9" t="s">
        <v>2515</v>
      </c>
    </row>
    <row r="61" spans="1:27" x14ac:dyDescent="0.35">
      <c r="A61" s="4" t="str">
        <f>IF(Table5[[#This Row],[SM_Amount__c]]="25.0","FEE",IF(IF(Table5[[#This Row],[SM_Original_Type__c]]="",Table5[[#This Row],[SM_Type__c]],Table5[[#This Row],[SM_Original_Type__c]])="AC","AC","SUBS"))</f>
        <v>SUBS</v>
      </c>
      <c r="B61" s="27">
        <f>IF(INDEX(Contract[SM_AC_start_date__c],MATCH(Table5[[#This Row],[SM_Contract__c]],Contract[Id],0))=0,"",INDEX(Contract[SM_AC_start_date__c],MATCH(Table5[[#This Row],[SM_Contract__c]],Contract[Id],0)))</f>
        <v>45392</v>
      </c>
      <c r="C61" s="27" t="str">
        <f>IF(INDEX(Contract[SM_AC_Split_Date__c],MATCH(Table5[[#This Row],[SM_Contract__c]],Contract[Id],0))=0,"",INDEX(Contract[SM_AC_Split_Date__c],MATCH(Table5[[#This Row],[SM_Contract__c]],Contract[Id],0)))</f>
        <v/>
      </c>
      <c r="D61" s="27">
        <f>IF(INDEX(Contract[SM_Start_date__c],MATCH(Table5[[#This Row],[SM_Contract__c]],Contract[Id],0))=0,"",INDEX(Contract[SM_Start_date__c],MATCH(Table5[[#This Row],[SM_Contract__c]],Contract[Id],0)))</f>
        <v>45442</v>
      </c>
      <c r="E61" s="4">
        <f ca="1">(YEAR(TODAY())-YEAR(Table5[[#This Row],[RC DATE]]))*12 + MONTH(TODAY())-MONTH(Table5[[#This Row],[RC DATE]])</f>
        <v>26</v>
      </c>
      <c r="F6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1" s="19">
        <f>IF(Table5[[#This Row],[Payment_Status__c]]="ACCEPTED",1,"")</f>
        <v>1</v>
      </c>
      <c r="H6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1" s="19">
        <f ca="1">Table5[[#This Row],['# months]]-COUNTIFS(Table5[SM_Contract__c],Table5[[#This Row],[SM_Contract__c]],Table5[TYPE],"SUBS",Table5[ACCEPTED],1)</f>
        <v>1</v>
      </c>
      <c r="J61" s="19" t="b">
        <f>ISNUMBER(MATCH(Table5[[#This Row],[SM_Contract__c]],Contract[Id],0))</f>
        <v>1</v>
      </c>
      <c r="K61" s="9" t="s">
        <v>2539</v>
      </c>
      <c r="L61" s="9" t="s">
        <v>2540</v>
      </c>
      <c r="M61" s="9" t="s">
        <v>159</v>
      </c>
      <c r="N61" s="9" t="s">
        <v>3546</v>
      </c>
      <c r="O61" s="9" t="s">
        <v>1563</v>
      </c>
      <c r="P61" s="9" t="s">
        <v>2363</v>
      </c>
      <c r="Q61" s="9" t="s">
        <v>71</v>
      </c>
      <c r="R61" s="9" t="s">
        <v>83</v>
      </c>
      <c r="S61" s="9" t="s">
        <v>2087</v>
      </c>
      <c r="T61" s="9" t="s">
        <v>104</v>
      </c>
      <c r="U61" s="9" t="s">
        <v>91</v>
      </c>
      <c r="V61" s="9" t="s">
        <v>148</v>
      </c>
      <c r="W61" s="9" t="s">
        <v>3653</v>
      </c>
      <c r="X61" s="9" t="s">
        <v>2520</v>
      </c>
      <c r="Y61" s="9"/>
      <c r="Z61" s="9" t="s">
        <v>456</v>
      </c>
      <c r="AA61" s="9" t="s">
        <v>2520</v>
      </c>
    </row>
    <row r="62" spans="1:27" x14ac:dyDescent="0.35">
      <c r="A62" s="4" t="str">
        <f>IF(Table5[[#This Row],[SM_Amount__c]]="25.0","FEE",IF(IF(Table5[[#This Row],[SM_Original_Type__c]]="",Table5[[#This Row],[SM_Type__c]],Table5[[#This Row],[SM_Original_Type__c]])="AC","AC","SUBS"))</f>
        <v>SUBS</v>
      </c>
      <c r="B62" s="27">
        <f>IF(INDEX(Contract[SM_AC_start_date__c],MATCH(Table5[[#This Row],[SM_Contract__c]],Contract[Id],0))=0,"",INDEX(Contract[SM_AC_start_date__c],MATCH(Table5[[#This Row],[SM_Contract__c]],Contract[Id],0)))</f>
        <v>45392</v>
      </c>
      <c r="C62" s="27" t="str">
        <f>IF(INDEX(Contract[SM_AC_Split_Date__c],MATCH(Table5[[#This Row],[SM_Contract__c]],Contract[Id],0))=0,"",INDEX(Contract[SM_AC_Split_Date__c],MATCH(Table5[[#This Row],[SM_Contract__c]],Contract[Id],0)))</f>
        <v/>
      </c>
      <c r="D62" s="27">
        <f>IF(INDEX(Contract[SM_Start_date__c],MATCH(Table5[[#This Row],[SM_Contract__c]],Contract[Id],0))=0,"",INDEX(Contract[SM_Start_date__c],MATCH(Table5[[#This Row],[SM_Contract__c]],Contract[Id],0)))</f>
        <v>45442</v>
      </c>
      <c r="E62" s="4">
        <f ca="1">(YEAR(TODAY())-YEAR(Table5[[#This Row],[RC DATE]]))*12 + MONTH(TODAY())-MONTH(Table5[[#This Row],[RC DATE]])</f>
        <v>26</v>
      </c>
      <c r="F6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2" s="19">
        <f>IF(Table5[[#This Row],[Payment_Status__c]]="ACCEPTED",1,"")</f>
        <v>1</v>
      </c>
      <c r="H6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2" s="19">
        <f ca="1">Table5[[#This Row],['# months]]-COUNTIFS(Table5[SM_Contract__c],Table5[[#This Row],[SM_Contract__c]],Table5[TYPE],"SUBS",Table5[ACCEPTED],1)</f>
        <v>1</v>
      </c>
      <c r="J62" s="19" t="b">
        <f>ISNUMBER(MATCH(Table5[[#This Row],[SM_Contract__c]],Contract[Id],0))</f>
        <v>1</v>
      </c>
      <c r="K62" s="9" t="s">
        <v>2541</v>
      </c>
      <c r="L62" s="9" t="s">
        <v>2542</v>
      </c>
      <c r="M62" s="9" t="s">
        <v>159</v>
      </c>
      <c r="N62" s="9" t="s">
        <v>3546</v>
      </c>
      <c r="O62" s="9" t="s">
        <v>1563</v>
      </c>
      <c r="P62" s="9" t="s">
        <v>2363</v>
      </c>
      <c r="Q62" s="9" t="s">
        <v>71</v>
      </c>
      <c r="R62" s="9" t="s">
        <v>83</v>
      </c>
      <c r="S62" s="9" t="s">
        <v>2087</v>
      </c>
      <c r="T62" s="9" t="s">
        <v>104</v>
      </c>
      <c r="U62" s="9" t="s">
        <v>91</v>
      </c>
      <c r="V62" s="9" t="s">
        <v>148</v>
      </c>
      <c r="W62" s="9" t="s">
        <v>3603</v>
      </c>
      <c r="X62" s="9" t="s">
        <v>2521</v>
      </c>
      <c r="Y62" s="9"/>
      <c r="Z62" s="9" t="s">
        <v>495</v>
      </c>
      <c r="AA62" s="9" t="s">
        <v>2521</v>
      </c>
    </row>
    <row r="63" spans="1:27" x14ac:dyDescent="0.35">
      <c r="A63" s="4" t="str">
        <f>IF(Table5[[#This Row],[SM_Amount__c]]="25.0","FEE",IF(IF(Table5[[#This Row],[SM_Original_Type__c]]="",Table5[[#This Row],[SM_Type__c]],Table5[[#This Row],[SM_Original_Type__c]])="AC","AC","SUBS"))</f>
        <v>SUBS</v>
      </c>
      <c r="B63" s="27">
        <f>IF(INDEX(Contract[SM_AC_start_date__c],MATCH(Table5[[#This Row],[SM_Contract__c]],Contract[Id],0))=0,"",INDEX(Contract[SM_AC_start_date__c],MATCH(Table5[[#This Row],[SM_Contract__c]],Contract[Id],0)))</f>
        <v>45392</v>
      </c>
      <c r="C63" s="27" t="str">
        <f>IF(INDEX(Contract[SM_AC_Split_Date__c],MATCH(Table5[[#This Row],[SM_Contract__c]],Contract[Id],0))=0,"",INDEX(Contract[SM_AC_Split_Date__c],MATCH(Table5[[#This Row],[SM_Contract__c]],Contract[Id],0)))</f>
        <v/>
      </c>
      <c r="D63" s="27">
        <f>IF(INDEX(Contract[SM_Start_date__c],MATCH(Table5[[#This Row],[SM_Contract__c]],Contract[Id],0))=0,"",INDEX(Contract[SM_Start_date__c],MATCH(Table5[[#This Row],[SM_Contract__c]],Contract[Id],0)))</f>
        <v>45442</v>
      </c>
      <c r="E63" s="4">
        <f ca="1">(YEAR(TODAY())-YEAR(Table5[[#This Row],[RC DATE]]))*12 + MONTH(TODAY())-MONTH(Table5[[#This Row],[RC DATE]])</f>
        <v>26</v>
      </c>
      <c r="F6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3" s="19">
        <f>IF(Table5[[#This Row],[Payment_Status__c]]="ACCEPTED",1,"")</f>
        <v>1</v>
      </c>
      <c r="H6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3" s="19">
        <f ca="1">Table5[[#This Row],['# months]]-COUNTIFS(Table5[SM_Contract__c],Table5[[#This Row],[SM_Contract__c]],Table5[TYPE],"SUBS",Table5[ACCEPTED],1)</f>
        <v>1</v>
      </c>
      <c r="J63" s="19" t="b">
        <f>ISNUMBER(MATCH(Table5[[#This Row],[SM_Contract__c]],Contract[Id],0))</f>
        <v>1</v>
      </c>
      <c r="K63" s="9" t="s">
        <v>2543</v>
      </c>
      <c r="L63" s="9" t="s">
        <v>2544</v>
      </c>
      <c r="M63" s="9" t="s">
        <v>159</v>
      </c>
      <c r="N63" s="9" t="s">
        <v>3546</v>
      </c>
      <c r="O63" s="9" t="s">
        <v>1563</v>
      </c>
      <c r="P63" s="9" t="s">
        <v>2363</v>
      </c>
      <c r="Q63" s="9" t="s">
        <v>71</v>
      </c>
      <c r="R63" s="9" t="s">
        <v>83</v>
      </c>
      <c r="S63" s="9" t="s">
        <v>2087</v>
      </c>
      <c r="T63" s="9" t="s">
        <v>2087</v>
      </c>
      <c r="U63" s="9" t="s">
        <v>91</v>
      </c>
      <c r="V63" s="9" t="s">
        <v>148</v>
      </c>
      <c r="W63" s="9" t="s">
        <v>3606</v>
      </c>
      <c r="X63" s="9" t="s">
        <v>2545</v>
      </c>
      <c r="Y63" s="9"/>
      <c r="Z63" s="9" t="s">
        <v>536</v>
      </c>
      <c r="AA63" s="9" t="s">
        <v>2545</v>
      </c>
    </row>
    <row r="64" spans="1:27" x14ac:dyDescent="0.35">
      <c r="A64" s="4" t="str">
        <f>IF(Table5[[#This Row],[SM_Amount__c]]="25.0","FEE",IF(IF(Table5[[#This Row],[SM_Original_Type__c]]="",Table5[[#This Row],[SM_Type__c]],Table5[[#This Row],[SM_Original_Type__c]])="AC","AC","SUBS"))</f>
        <v>SUBS</v>
      </c>
      <c r="B64" s="27">
        <f>IF(INDEX(Contract[SM_AC_start_date__c],MATCH(Table5[[#This Row],[SM_Contract__c]],Contract[Id],0))=0,"",INDEX(Contract[SM_AC_start_date__c],MATCH(Table5[[#This Row],[SM_Contract__c]],Contract[Id],0)))</f>
        <v>45392</v>
      </c>
      <c r="C64" s="27" t="str">
        <f>IF(INDEX(Contract[SM_AC_Split_Date__c],MATCH(Table5[[#This Row],[SM_Contract__c]],Contract[Id],0))=0,"",INDEX(Contract[SM_AC_Split_Date__c],MATCH(Table5[[#This Row],[SM_Contract__c]],Contract[Id],0)))</f>
        <v/>
      </c>
      <c r="D64" s="27">
        <f>IF(INDEX(Contract[SM_Start_date__c],MATCH(Table5[[#This Row],[SM_Contract__c]],Contract[Id],0))=0,"",INDEX(Contract[SM_Start_date__c],MATCH(Table5[[#This Row],[SM_Contract__c]],Contract[Id],0)))</f>
        <v>45442</v>
      </c>
      <c r="E64" s="4">
        <f ca="1">(YEAR(TODAY())-YEAR(Table5[[#This Row],[RC DATE]]))*12 + MONTH(TODAY())-MONTH(Table5[[#This Row],[RC DATE]])</f>
        <v>26</v>
      </c>
      <c r="F6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4" s="19">
        <f>IF(Table5[[#This Row],[Payment_Status__c]]="ACCEPTED",1,"")</f>
        <v>1</v>
      </c>
      <c r="H6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4" s="19">
        <f ca="1">Table5[[#This Row],['# months]]-COUNTIFS(Table5[SM_Contract__c],Table5[[#This Row],[SM_Contract__c]],Table5[TYPE],"SUBS",Table5[ACCEPTED],1)</f>
        <v>1</v>
      </c>
      <c r="J64" s="19" t="b">
        <f>ISNUMBER(MATCH(Table5[[#This Row],[SM_Contract__c]],Contract[Id],0))</f>
        <v>1</v>
      </c>
      <c r="K64" s="9" t="s">
        <v>2546</v>
      </c>
      <c r="L64" s="9" t="s">
        <v>2547</v>
      </c>
      <c r="M64" s="9" t="s">
        <v>159</v>
      </c>
      <c r="N64" s="9" t="s">
        <v>3546</v>
      </c>
      <c r="O64" s="9" t="s">
        <v>1563</v>
      </c>
      <c r="P64" s="9" t="s">
        <v>2363</v>
      </c>
      <c r="Q64" s="9" t="s">
        <v>71</v>
      </c>
      <c r="R64" s="9" t="s">
        <v>83</v>
      </c>
      <c r="S64" s="9" t="s">
        <v>2087</v>
      </c>
      <c r="T64" s="9" t="s">
        <v>2087</v>
      </c>
      <c r="U64" s="9" t="s">
        <v>91</v>
      </c>
      <c r="V64" s="9" t="s">
        <v>148</v>
      </c>
      <c r="W64" s="9" t="s">
        <v>3606</v>
      </c>
      <c r="X64" s="9" t="s">
        <v>2522</v>
      </c>
      <c r="Y64" s="9"/>
      <c r="Z64" s="9" t="s">
        <v>679</v>
      </c>
      <c r="AA64" s="9" t="s">
        <v>2522</v>
      </c>
    </row>
    <row r="65" spans="1:27" x14ac:dyDescent="0.35">
      <c r="A65" s="4" t="str">
        <f>IF(Table5[[#This Row],[SM_Amount__c]]="25.0","FEE",IF(IF(Table5[[#This Row],[SM_Original_Type__c]]="",Table5[[#This Row],[SM_Type__c]],Table5[[#This Row],[SM_Original_Type__c]])="AC","AC","SUBS"))</f>
        <v>SUBS</v>
      </c>
      <c r="B65" s="27">
        <f>IF(INDEX(Contract[SM_AC_start_date__c],MATCH(Table5[[#This Row],[SM_Contract__c]],Contract[Id],0))=0,"",INDEX(Contract[SM_AC_start_date__c],MATCH(Table5[[#This Row],[SM_Contract__c]],Contract[Id],0)))</f>
        <v>45392</v>
      </c>
      <c r="C65" s="27" t="str">
        <f>IF(INDEX(Contract[SM_AC_Split_Date__c],MATCH(Table5[[#This Row],[SM_Contract__c]],Contract[Id],0))=0,"",INDEX(Contract[SM_AC_Split_Date__c],MATCH(Table5[[#This Row],[SM_Contract__c]],Contract[Id],0)))</f>
        <v/>
      </c>
      <c r="D65" s="27">
        <f>IF(INDEX(Contract[SM_Start_date__c],MATCH(Table5[[#This Row],[SM_Contract__c]],Contract[Id],0))=0,"",INDEX(Contract[SM_Start_date__c],MATCH(Table5[[#This Row],[SM_Contract__c]],Contract[Id],0)))</f>
        <v>45442</v>
      </c>
      <c r="E65" s="4">
        <f ca="1">(YEAR(TODAY())-YEAR(Table5[[#This Row],[RC DATE]]))*12 + MONTH(TODAY())-MONTH(Table5[[#This Row],[RC DATE]])</f>
        <v>26</v>
      </c>
      <c r="F6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5" s="19">
        <f>IF(Table5[[#This Row],[Payment_Status__c]]="ACCEPTED",1,"")</f>
        <v>1</v>
      </c>
      <c r="H6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5" s="19">
        <f ca="1">Table5[[#This Row],['# months]]-COUNTIFS(Table5[SM_Contract__c],Table5[[#This Row],[SM_Contract__c]],Table5[TYPE],"SUBS",Table5[ACCEPTED],1)</f>
        <v>1</v>
      </c>
      <c r="J65" s="19" t="b">
        <f>ISNUMBER(MATCH(Table5[[#This Row],[SM_Contract__c]],Contract[Id],0))</f>
        <v>1</v>
      </c>
      <c r="K65" s="9" t="s">
        <v>2548</v>
      </c>
      <c r="L65" s="9" t="s">
        <v>2549</v>
      </c>
      <c r="M65" s="9" t="s">
        <v>159</v>
      </c>
      <c r="N65" s="9" t="s">
        <v>3546</v>
      </c>
      <c r="O65" s="9" t="s">
        <v>1563</v>
      </c>
      <c r="P65" s="9" t="s">
        <v>2363</v>
      </c>
      <c r="Q65" s="9" t="s">
        <v>71</v>
      </c>
      <c r="R65" s="9" t="s">
        <v>83</v>
      </c>
      <c r="S65" s="9" t="s">
        <v>2087</v>
      </c>
      <c r="T65" s="9" t="s">
        <v>2087</v>
      </c>
      <c r="U65" s="9" t="s">
        <v>91</v>
      </c>
      <c r="V65" s="9" t="s">
        <v>148</v>
      </c>
      <c r="W65" s="9" t="s">
        <v>3606</v>
      </c>
      <c r="X65" s="9" t="s">
        <v>2550</v>
      </c>
      <c r="Y65" s="9"/>
      <c r="Z65" s="9" t="s">
        <v>869</v>
      </c>
      <c r="AA65" s="9" t="s">
        <v>2550</v>
      </c>
    </row>
    <row r="66" spans="1:27" x14ac:dyDescent="0.35">
      <c r="A66" s="4" t="str">
        <f>IF(Table5[[#This Row],[SM_Amount__c]]="25.0","FEE",IF(IF(Table5[[#This Row],[SM_Original_Type__c]]="",Table5[[#This Row],[SM_Type__c]],Table5[[#This Row],[SM_Original_Type__c]])="AC","AC","SUBS"))</f>
        <v>SUBS</v>
      </c>
      <c r="B66" s="27">
        <f>IF(INDEX(Contract[SM_AC_start_date__c],MATCH(Table5[[#This Row],[SM_Contract__c]],Contract[Id],0))=0,"",INDEX(Contract[SM_AC_start_date__c],MATCH(Table5[[#This Row],[SM_Contract__c]],Contract[Id],0)))</f>
        <v>45392</v>
      </c>
      <c r="C66" s="27" t="str">
        <f>IF(INDEX(Contract[SM_AC_Split_Date__c],MATCH(Table5[[#This Row],[SM_Contract__c]],Contract[Id],0))=0,"",INDEX(Contract[SM_AC_Split_Date__c],MATCH(Table5[[#This Row],[SM_Contract__c]],Contract[Id],0)))</f>
        <v/>
      </c>
      <c r="D66" s="27">
        <f>IF(INDEX(Contract[SM_Start_date__c],MATCH(Table5[[#This Row],[SM_Contract__c]],Contract[Id],0))=0,"",INDEX(Contract[SM_Start_date__c],MATCH(Table5[[#This Row],[SM_Contract__c]],Contract[Id],0)))</f>
        <v>45442</v>
      </c>
      <c r="E66" s="4">
        <f ca="1">(YEAR(TODAY())-YEAR(Table5[[#This Row],[RC DATE]]))*12 + MONTH(TODAY())-MONTH(Table5[[#This Row],[RC DATE]])</f>
        <v>26</v>
      </c>
      <c r="F6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6" s="19">
        <f>IF(Table5[[#This Row],[Payment_Status__c]]="ACCEPTED",1,"")</f>
        <v>1</v>
      </c>
      <c r="H6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6" s="19">
        <f ca="1">Table5[[#This Row],['# months]]-COUNTIFS(Table5[SM_Contract__c],Table5[[#This Row],[SM_Contract__c]],Table5[TYPE],"SUBS",Table5[ACCEPTED],1)</f>
        <v>1</v>
      </c>
      <c r="J66" s="19" t="b">
        <f>ISNUMBER(MATCH(Table5[[#This Row],[SM_Contract__c]],Contract[Id],0))</f>
        <v>1</v>
      </c>
      <c r="K66" s="9" t="s">
        <v>2551</v>
      </c>
      <c r="L66" s="9" t="s">
        <v>2552</v>
      </c>
      <c r="M66" s="9" t="s">
        <v>159</v>
      </c>
      <c r="N66" s="9" t="s">
        <v>3546</v>
      </c>
      <c r="O66" s="9" t="s">
        <v>1563</v>
      </c>
      <c r="P66" s="9" t="s">
        <v>2363</v>
      </c>
      <c r="Q66" s="9" t="s">
        <v>71</v>
      </c>
      <c r="R66" s="9" t="s">
        <v>83</v>
      </c>
      <c r="S66" s="9" t="s">
        <v>2087</v>
      </c>
      <c r="T66" s="9" t="s">
        <v>2087</v>
      </c>
      <c r="U66" s="9" t="s">
        <v>91</v>
      </c>
      <c r="V66" s="9" t="s">
        <v>148</v>
      </c>
      <c r="W66" s="9" t="s">
        <v>3608</v>
      </c>
      <c r="X66" s="9" t="s">
        <v>2553</v>
      </c>
      <c r="Y66" s="9"/>
      <c r="Z66" s="9" t="s">
        <v>1228</v>
      </c>
      <c r="AA66" s="9" t="s">
        <v>2553</v>
      </c>
    </row>
    <row r="67" spans="1:27" x14ac:dyDescent="0.35">
      <c r="A67" s="4" t="str">
        <f>IF(Table5[[#This Row],[SM_Amount__c]]="25.0","FEE",IF(IF(Table5[[#This Row],[SM_Original_Type__c]]="",Table5[[#This Row],[SM_Type__c]],Table5[[#This Row],[SM_Original_Type__c]])="AC","AC","SUBS"))</f>
        <v>SUBS</v>
      </c>
      <c r="B67" s="27">
        <f>IF(INDEX(Contract[SM_AC_start_date__c],MATCH(Table5[[#This Row],[SM_Contract__c]],Contract[Id],0))=0,"",INDEX(Contract[SM_AC_start_date__c],MATCH(Table5[[#This Row],[SM_Contract__c]],Contract[Id],0)))</f>
        <v>45392</v>
      </c>
      <c r="C67" s="27" t="str">
        <f>IF(INDEX(Contract[SM_AC_Split_Date__c],MATCH(Table5[[#This Row],[SM_Contract__c]],Contract[Id],0))=0,"",INDEX(Contract[SM_AC_Split_Date__c],MATCH(Table5[[#This Row],[SM_Contract__c]],Contract[Id],0)))</f>
        <v/>
      </c>
      <c r="D67" s="27">
        <f>IF(INDEX(Contract[SM_Start_date__c],MATCH(Table5[[#This Row],[SM_Contract__c]],Contract[Id],0))=0,"",INDEX(Contract[SM_Start_date__c],MATCH(Table5[[#This Row],[SM_Contract__c]],Contract[Id],0)))</f>
        <v>45442</v>
      </c>
      <c r="E67" s="4">
        <f ca="1">(YEAR(TODAY())-YEAR(Table5[[#This Row],[RC DATE]]))*12 + MONTH(TODAY())-MONTH(Table5[[#This Row],[RC DATE]])</f>
        <v>26</v>
      </c>
      <c r="F6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7" s="19">
        <f>IF(Table5[[#This Row],[Payment_Status__c]]="ACCEPTED",1,"")</f>
        <v>1</v>
      </c>
      <c r="H6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7" s="19">
        <f ca="1">Table5[[#This Row],['# months]]-COUNTIFS(Table5[SM_Contract__c],Table5[[#This Row],[SM_Contract__c]],Table5[TYPE],"SUBS",Table5[ACCEPTED],1)</f>
        <v>1</v>
      </c>
      <c r="J67" s="19" t="b">
        <f>ISNUMBER(MATCH(Table5[[#This Row],[SM_Contract__c]],Contract[Id],0))</f>
        <v>1</v>
      </c>
      <c r="K67" s="9" t="s">
        <v>2554</v>
      </c>
      <c r="L67" s="9" t="s">
        <v>2555</v>
      </c>
      <c r="M67" s="9" t="s">
        <v>159</v>
      </c>
      <c r="N67" s="9" t="s">
        <v>3546</v>
      </c>
      <c r="O67" s="9" t="s">
        <v>1563</v>
      </c>
      <c r="P67" s="9" t="s">
        <v>2363</v>
      </c>
      <c r="Q67" s="9" t="s">
        <v>71</v>
      </c>
      <c r="R67" s="9" t="s">
        <v>83</v>
      </c>
      <c r="S67" s="9" t="s">
        <v>2087</v>
      </c>
      <c r="T67" s="9" t="s">
        <v>2087</v>
      </c>
      <c r="U67" s="9" t="s">
        <v>91</v>
      </c>
      <c r="V67" s="9" t="s">
        <v>148</v>
      </c>
      <c r="W67" s="9" t="s">
        <v>3608</v>
      </c>
      <c r="X67" s="9" t="s">
        <v>2556</v>
      </c>
      <c r="Y67" s="9"/>
      <c r="Z67" s="9" t="s">
        <v>1112</v>
      </c>
      <c r="AA67" s="9" t="s">
        <v>2556</v>
      </c>
    </row>
    <row r="68" spans="1:27" x14ac:dyDescent="0.35">
      <c r="A68" s="4" t="str">
        <f>IF(Table5[[#This Row],[SM_Amount__c]]="25.0","FEE",IF(IF(Table5[[#This Row],[SM_Original_Type__c]]="",Table5[[#This Row],[SM_Type__c]],Table5[[#This Row],[SM_Original_Type__c]])="AC","AC","SUBS"))</f>
        <v>SUBS</v>
      </c>
      <c r="B68" s="27">
        <f>IF(INDEX(Contract[SM_AC_start_date__c],MATCH(Table5[[#This Row],[SM_Contract__c]],Contract[Id],0))=0,"",INDEX(Contract[SM_AC_start_date__c],MATCH(Table5[[#This Row],[SM_Contract__c]],Contract[Id],0)))</f>
        <v>45392</v>
      </c>
      <c r="C68" s="27" t="str">
        <f>IF(INDEX(Contract[SM_AC_Split_Date__c],MATCH(Table5[[#This Row],[SM_Contract__c]],Contract[Id],0))=0,"",INDEX(Contract[SM_AC_Split_Date__c],MATCH(Table5[[#This Row],[SM_Contract__c]],Contract[Id],0)))</f>
        <v/>
      </c>
      <c r="D68" s="27">
        <f>IF(INDEX(Contract[SM_Start_date__c],MATCH(Table5[[#This Row],[SM_Contract__c]],Contract[Id],0))=0,"",INDEX(Contract[SM_Start_date__c],MATCH(Table5[[#This Row],[SM_Contract__c]],Contract[Id],0)))</f>
        <v>45442</v>
      </c>
      <c r="E68" s="4">
        <f ca="1">(YEAR(TODAY())-YEAR(Table5[[#This Row],[RC DATE]]))*12 + MONTH(TODAY())-MONTH(Table5[[#This Row],[RC DATE]])</f>
        <v>26</v>
      </c>
      <c r="F6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8" s="19">
        <f>IF(Table5[[#This Row],[Payment_Status__c]]="ACCEPTED",1,"")</f>
        <v>1</v>
      </c>
      <c r="H6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8" s="19">
        <f ca="1">Table5[[#This Row],['# months]]-COUNTIFS(Table5[SM_Contract__c],Table5[[#This Row],[SM_Contract__c]],Table5[TYPE],"SUBS",Table5[ACCEPTED],1)</f>
        <v>1</v>
      </c>
      <c r="J68" s="19" t="b">
        <f>ISNUMBER(MATCH(Table5[[#This Row],[SM_Contract__c]],Contract[Id],0))</f>
        <v>1</v>
      </c>
      <c r="K68" s="9" t="s">
        <v>2557</v>
      </c>
      <c r="L68" s="9" t="s">
        <v>2558</v>
      </c>
      <c r="M68" s="9" t="s">
        <v>159</v>
      </c>
      <c r="N68" s="9" t="s">
        <v>3546</v>
      </c>
      <c r="O68" s="9" t="s">
        <v>1563</v>
      </c>
      <c r="P68" s="9" t="s">
        <v>2363</v>
      </c>
      <c r="Q68" s="9" t="s">
        <v>71</v>
      </c>
      <c r="R68" s="9" t="s">
        <v>83</v>
      </c>
      <c r="S68" s="9" t="s">
        <v>2087</v>
      </c>
      <c r="T68" s="9" t="s">
        <v>2087</v>
      </c>
      <c r="U68" s="9" t="s">
        <v>91</v>
      </c>
      <c r="V68" s="9" t="s">
        <v>148</v>
      </c>
      <c r="W68" s="9" t="s">
        <v>3589</v>
      </c>
      <c r="X68" s="9" t="s">
        <v>2559</v>
      </c>
      <c r="Y68" s="9"/>
      <c r="Z68" s="9" t="s">
        <v>1006</v>
      </c>
      <c r="AA68" s="9" t="s">
        <v>2559</v>
      </c>
    </row>
    <row r="69" spans="1:27" x14ac:dyDescent="0.35">
      <c r="A69" s="4" t="str">
        <f>IF(Table5[[#This Row],[SM_Amount__c]]="25.0","FEE",IF(IF(Table5[[#This Row],[SM_Original_Type__c]]="",Table5[[#This Row],[SM_Type__c]],Table5[[#This Row],[SM_Original_Type__c]])="AC","AC","SUBS"))</f>
        <v>SUBS</v>
      </c>
      <c r="B69" s="27">
        <f>IF(INDEX(Contract[SM_AC_start_date__c],MATCH(Table5[[#This Row],[SM_Contract__c]],Contract[Id],0))=0,"",INDEX(Contract[SM_AC_start_date__c],MATCH(Table5[[#This Row],[SM_Contract__c]],Contract[Id],0)))</f>
        <v>45392</v>
      </c>
      <c r="C69" s="27" t="str">
        <f>IF(INDEX(Contract[SM_AC_Split_Date__c],MATCH(Table5[[#This Row],[SM_Contract__c]],Contract[Id],0))=0,"",INDEX(Contract[SM_AC_Split_Date__c],MATCH(Table5[[#This Row],[SM_Contract__c]],Contract[Id],0)))</f>
        <v/>
      </c>
      <c r="D69" s="27">
        <f>IF(INDEX(Contract[SM_Start_date__c],MATCH(Table5[[#This Row],[SM_Contract__c]],Contract[Id],0))=0,"",INDEX(Contract[SM_Start_date__c],MATCH(Table5[[#This Row],[SM_Contract__c]],Contract[Id],0)))</f>
        <v>45442</v>
      </c>
      <c r="E69" s="4">
        <f ca="1">(YEAR(TODAY())-YEAR(Table5[[#This Row],[RC DATE]]))*12 + MONTH(TODAY())-MONTH(Table5[[#This Row],[RC DATE]])</f>
        <v>26</v>
      </c>
      <c r="F6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69" s="19">
        <f>IF(Table5[[#This Row],[Payment_Status__c]]="ACCEPTED",1,"")</f>
        <v>1</v>
      </c>
      <c r="H6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69" s="19">
        <f ca="1">Table5[[#This Row],['# months]]-COUNTIFS(Table5[SM_Contract__c],Table5[[#This Row],[SM_Contract__c]],Table5[TYPE],"SUBS",Table5[ACCEPTED],1)</f>
        <v>1</v>
      </c>
      <c r="J69" s="19" t="b">
        <f>ISNUMBER(MATCH(Table5[[#This Row],[SM_Contract__c]],Contract[Id],0))</f>
        <v>1</v>
      </c>
      <c r="K69" s="9" t="s">
        <v>2560</v>
      </c>
      <c r="L69" s="9" t="s">
        <v>2561</v>
      </c>
      <c r="M69" s="9" t="s">
        <v>159</v>
      </c>
      <c r="N69" s="9" t="s">
        <v>3546</v>
      </c>
      <c r="O69" s="9" t="s">
        <v>1563</v>
      </c>
      <c r="P69" s="9" t="s">
        <v>2363</v>
      </c>
      <c r="Q69" s="9" t="s">
        <v>71</v>
      </c>
      <c r="R69" s="9" t="s">
        <v>83</v>
      </c>
      <c r="S69" s="9" t="s">
        <v>2087</v>
      </c>
      <c r="T69" s="9" t="s">
        <v>2087</v>
      </c>
      <c r="U69" s="9" t="s">
        <v>91</v>
      </c>
      <c r="V69" s="9" t="s">
        <v>148</v>
      </c>
      <c r="W69" s="9" t="s">
        <v>3589</v>
      </c>
      <c r="X69" s="9" t="s">
        <v>2562</v>
      </c>
      <c r="Y69" s="9"/>
      <c r="Z69" s="9" t="s">
        <v>1359</v>
      </c>
      <c r="AA69" s="9" t="s">
        <v>2562</v>
      </c>
    </row>
    <row r="70" spans="1:27" x14ac:dyDescent="0.35">
      <c r="A70" s="4" t="str">
        <f>IF(Table5[[#This Row],[SM_Amount__c]]="25.0","FEE",IF(IF(Table5[[#This Row],[SM_Original_Type__c]]="",Table5[[#This Row],[SM_Type__c]],Table5[[#This Row],[SM_Original_Type__c]])="AC","AC","SUBS"))</f>
        <v>SUBS</v>
      </c>
      <c r="B70" s="27">
        <f>IF(INDEX(Contract[SM_AC_start_date__c],MATCH(Table5[[#This Row],[SM_Contract__c]],Contract[Id],0))=0,"",INDEX(Contract[SM_AC_start_date__c],MATCH(Table5[[#This Row],[SM_Contract__c]],Contract[Id],0)))</f>
        <v>45546</v>
      </c>
      <c r="C70" s="27" t="str">
        <f>IF(INDEX(Contract[SM_AC_Split_Date__c],MATCH(Table5[[#This Row],[SM_Contract__c]],Contract[Id],0))=0,"",INDEX(Contract[SM_AC_Split_Date__c],MATCH(Table5[[#This Row],[SM_Contract__c]],Contract[Id],0)))</f>
        <v/>
      </c>
      <c r="D70" s="27">
        <f>IF(INDEX(Contract[SM_Start_date__c],MATCH(Table5[[#This Row],[SM_Contract__c]],Contract[Id],0))=0,"",INDEX(Contract[SM_Start_date__c],MATCH(Table5[[#This Row],[SM_Contract__c]],Contract[Id],0)))</f>
        <v>45595</v>
      </c>
      <c r="E70" s="4">
        <f ca="1">(YEAR(TODAY())-YEAR(Table5[[#This Row],[RC DATE]]))*12 + MONTH(TODAY())-MONTH(Table5[[#This Row],[RC DATE]])</f>
        <v>21</v>
      </c>
      <c r="F7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0" s="19">
        <f>IF(Table5[[#This Row],[Payment_Status__c]]="ACCEPTED",1,"")</f>
        <v>1</v>
      </c>
      <c r="H7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0" s="19">
        <f ca="1">Table5[[#This Row],['# months]]-COUNTIFS(Table5[SM_Contract__c],Table5[[#This Row],[SM_Contract__c]],Table5[TYPE],"SUBS",Table5[ACCEPTED],1)</f>
        <v>5</v>
      </c>
      <c r="J70" s="19" t="b">
        <f>ISNUMBER(MATCH(Table5[[#This Row],[SM_Contract__c]],Contract[Id],0))</f>
        <v>1</v>
      </c>
      <c r="K70" s="9" t="s">
        <v>2568</v>
      </c>
      <c r="L70" s="9" t="s">
        <v>2569</v>
      </c>
      <c r="M70" s="9" t="s">
        <v>179</v>
      </c>
      <c r="N70" s="9" t="s">
        <v>3547</v>
      </c>
      <c r="O70" s="9" t="s">
        <v>1563</v>
      </c>
      <c r="P70" s="9" t="s">
        <v>2363</v>
      </c>
      <c r="Q70" s="9" t="s">
        <v>83</v>
      </c>
      <c r="R70" s="9" t="s">
        <v>76</v>
      </c>
      <c r="S70" s="9" t="s">
        <v>91</v>
      </c>
      <c r="T70" s="9" t="s">
        <v>105</v>
      </c>
      <c r="U70" s="9" t="s">
        <v>91</v>
      </c>
      <c r="V70" s="9" t="s">
        <v>93</v>
      </c>
      <c r="W70" s="9" t="s">
        <v>3568</v>
      </c>
      <c r="X70" s="9" t="s">
        <v>2565</v>
      </c>
      <c r="Y70" s="9"/>
      <c r="Z70" s="9"/>
      <c r="AA70" s="9" t="s">
        <v>2565</v>
      </c>
    </row>
    <row r="71" spans="1:27" x14ac:dyDescent="0.35">
      <c r="A71" s="4" t="str">
        <f>IF(Table5[[#This Row],[SM_Amount__c]]="25.0","FEE",IF(IF(Table5[[#This Row],[SM_Original_Type__c]]="",Table5[[#This Row],[SM_Type__c]],Table5[[#This Row],[SM_Original_Type__c]])="AC","AC","SUBS"))</f>
        <v>SUBS</v>
      </c>
      <c r="B71" s="27">
        <f>IF(INDEX(Contract[SM_AC_start_date__c],MATCH(Table5[[#This Row],[SM_Contract__c]],Contract[Id],0))=0,"",INDEX(Contract[SM_AC_start_date__c],MATCH(Table5[[#This Row],[SM_Contract__c]],Contract[Id],0)))</f>
        <v>45546</v>
      </c>
      <c r="C71" s="27" t="str">
        <f>IF(INDEX(Contract[SM_AC_Split_Date__c],MATCH(Table5[[#This Row],[SM_Contract__c]],Contract[Id],0))=0,"",INDEX(Contract[SM_AC_Split_Date__c],MATCH(Table5[[#This Row],[SM_Contract__c]],Contract[Id],0)))</f>
        <v/>
      </c>
      <c r="D71" s="27">
        <f>IF(INDEX(Contract[SM_Start_date__c],MATCH(Table5[[#This Row],[SM_Contract__c]],Contract[Id],0))=0,"",INDEX(Contract[SM_Start_date__c],MATCH(Table5[[#This Row],[SM_Contract__c]],Contract[Id],0)))</f>
        <v>45595</v>
      </c>
      <c r="E71" s="4">
        <f ca="1">(YEAR(TODAY())-YEAR(Table5[[#This Row],[RC DATE]]))*12 + MONTH(TODAY())-MONTH(Table5[[#This Row],[RC DATE]])</f>
        <v>21</v>
      </c>
      <c r="F7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1" s="19">
        <f>IF(Table5[[#This Row],[Payment_Status__c]]="ACCEPTED",1,"")</f>
        <v>1</v>
      </c>
      <c r="H7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1" s="19">
        <f ca="1">Table5[[#This Row],['# months]]-COUNTIFS(Table5[SM_Contract__c],Table5[[#This Row],[SM_Contract__c]],Table5[TYPE],"SUBS",Table5[ACCEPTED],1)</f>
        <v>5</v>
      </c>
      <c r="J71" s="19" t="b">
        <f>ISNUMBER(MATCH(Table5[[#This Row],[SM_Contract__c]],Contract[Id],0))</f>
        <v>1</v>
      </c>
      <c r="K71" s="9" t="s">
        <v>2570</v>
      </c>
      <c r="L71" s="9" t="s">
        <v>2571</v>
      </c>
      <c r="M71" s="9" t="s">
        <v>179</v>
      </c>
      <c r="N71" s="9" t="s">
        <v>3547</v>
      </c>
      <c r="O71" s="9" t="s">
        <v>1563</v>
      </c>
      <c r="P71" s="9" t="s">
        <v>2363</v>
      </c>
      <c r="Q71" s="9" t="s">
        <v>71</v>
      </c>
      <c r="R71" s="9" t="s">
        <v>83</v>
      </c>
      <c r="S71" s="9" t="s">
        <v>2087</v>
      </c>
      <c r="T71" s="9" t="s">
        <v>104</v>
      </c>
      <c r="U71" s="9" t="s">
        <v>91</v>
      </c>
      <c r="V71" s="9" t="s">
        <v>148</v>
      </c>
      <c r="W71" s="9" t="s">
        <v>3613</v>
      </c>
      <c r="X71" s="9" t="s">
        <v>2572</v>
      </c>
      <c r="Y71" s="9"/>
      <c r="Z71" s="9" t="s">
        <v>243</v>
      </c>
      <c r="AA71" s="9" t="s">
        <v>2572</v>
      </c>
    </row>
    <row r="72" spans="1:27" x14ac:dyDescent="0.35">
      <c r="A72" s="4" t="str">
        <f>IF(Table5[[#This Row],[SM_Amount__c]]="25.0","FEE",IF(IF(Table5[[#This Row],[SM_Original_Type__c]]="",Table5[[#This Row],[SM_Type__c]],Table5[[#This Row],[SM_Original_Type__c]])="AC","AC","SUBS"))</f>
        <v>SUBS</v>
      </c>
      <c r="B72" s="27">
        <f>IF(INDEX(Contract[SM_AC_start_date__c],MATCH(Table5[[#This Row],[SM_Contract__c]],Contract[Id],0))=0,"",INDEX(Contract[SM_AC_start_date__c],MATCH(Table5[[#This Row],[SM_Contract__c]],Contract[Id],0)))</f>
        <v>45546</v>
      </c>
      <c r="C72" s="27" t="str">
        <f>IF(INDEX(Contract[SM_AC_Split_Date__c],MATCH(Table5[[#This Row],[SM_Contract__c]],Contract[Id],0))=0,"",INDEX(Contract[SM_AC_Split_Date__c],MATCH(Table5[[#This Row],[SM_Contract__c]],Contract[Id],0)))</f>
        <v/>
      </c>
      <c r="D72" s="27">
        <f>IF(INDEX(Contract[SM_Start_date__c],MATCH(Table5[[#This Row],[SM_Contract__c]],Contract[Id],0))=0,"",INDEX(Contract[SM_Start_date__c],MATCH(Table5[[#This Row],[SM_Contract__c]],Contract[Id],0)))</f>
        <v>45595</v>
      </c>
      <c r="E72" s="4">
        <f ca="1">(YEAR(TODAY())-YEAR(Table5[[#This Row],[RC DATE]]))*12 + MONTH(TODAY())-MONTH(Table5[[#This Row],[RC DATE]])</f>
        <v>21</v>
      </c>
      <c r="F7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2" s="19">
        <f>IF(Table5[[#This Row],[Payment_Status__c]]="ACCEPTED",1,"")</f>
        <v>1</v>
      </c>
      <c r="H7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2" s="19">
        <f ca="1">Table5[[#This Row],['# months]]-COUNTIFS(Table5[SM_Contract__c],Table5[[#This Row],[SM_Contract__c]],Table5[TYPE],"SUBS",Table5[ACCEPTED],1)</f>
        <v>5</v>
      </c>
      <c r="J72" s="19" t="b">
        <f>ISNUMBER(MATCH(Table5[[#This Row],[SM_Contract__c]],Contract[Id],0))</f>
        <v>1</v>
      </c>
      <c r="K72" s="9" t="s">
        <v>2573</v>
      </c>
      <c r="L72" s="9" t="s">
        <v>2574</v>
      </c>
      <c r="M72" s="9" t="s">
        <v>179</v>
      </c>
      <c r="N72" s="9" t="s">
        <v>3547</v>
      </c>
      <c r="O72" s="9" t="s">
        <v>1563</v>
      </c>
      <c r="P72" s="9" t="s">
        <v>2363</v>
      </c>
      <c r="Q72" s="9" t="s">
        <v>83</v>
      </c>
      <c r="R72" s="9" t="s">
        <v>76</v>
      </c>
      <c r="S72" s="9" t="s">
        <v>91</v>
      </c>
      <c r="T72" s="9" t="s">
        <v>105</v>
      </c>
      <c r="U72" s="9" t="s">
        <v>91</v>
      </c>
      <c r="V72" s="9" t="s">
        <v>93</v>
      </c>
      <c r="W72" s="9" t="s">
        <v>3553</v>
      </c>
      <c r="X72" s="9" t="s">
        <v>2575</v>
      </c>
      <c r="Y72" s="9"/>
      <c r="Z72" s="9"/>
      <c r="AA72" s="9" t="s">
        <v>2575</v>
      </c>
    </row>
    <row r="73" spans="1:27" x14ac:dyDescent="0.35">
      <c r="A73" s="4" t="str">
        <f>IF(Table5[[#This Row],[SM_Amount__c]]="25.0","FEE",IF(IF(Table5[[#This Row],[SM_Original_Type__c]]="",Table5[[#This Row],[SM_Type__c]],Table5[[#This Row],[SM_Original_Type__c]])="AC","AC","SUBS"))</f>
        <v>SUBS</v>
      </c>
      <c r="B73" s="27">
        <f>IF(INDEX(Contract[SM_AC_start_date__c],MATCH(Table5[[#This Row],[SM_Contract__c]],Contract[Id],0))=0,"",INDEX(Contract[SM_AC_start_date__c],MATCH(Table5[[#This Row],[SM_Contract__c]],Contract[Id],0)))</f>
        <v>45546</v>
      </c>
      <c r="C73" s="27" t="str">
        <f>IF(INDEX(Contract[SM_AC_Split_Date__c],MATCH(Table5[[#This Row],[SM_Contract__c]],Contract[Id],0))=0,"",INDEX(Contract[SM_AC_Split_Date__c],MATCH(Table5[[#This Row],[SM_Contract__c]],Contract[Id],0)))</f>
        <v/>
      </c>
      <c r="D73" s="27">
        <f>IF(INDEX(Contract[SM_Start_date__c],MATCH(Table5[[#This Row],[SM_Contract__c]],Contract[Id],0))=0,"",INDEX(Contract[SM_Start_date__c],MATCH(Table5[[#This Row],[SM_Contract__c]],Contract[Id],0)))</f>
        <v>45595</v>
      </c>
      <c r="E73" s="4">
        <f ca="1">(YEAR(TODAY())-YEAR(Table5[[#This Row],[RC DATE]]))*12 + MONTH(TODAY())-MONTH(Table5[[#This Row],[RC DATE]])</f>
        <v>21</v>
      </c>
      <c r="F7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3" s="19">
        <f>IF(Table5[[#This Row],[Payment_Status__c]]="ACCEPTED",1,"")</f>
        <v>1</v>
      </c>
      <c r="H7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3" s="19">
        <f ca="1">Table5[[#This Row],['# months]]-COUNTIFS(Table5[SM_Contract__c],Table5[[#This Row],[SM_Contract__c]],Table5[TYPE],"SUBS",Table5[ACCEPTED],1)</f>
        <v>5</v>
      </c>
      <c r="J73" s="19" t="b">
        <f>ISNUMBER(MATCH(Table5[[#This Row],[SM_Contract__c]],Contract[Id],0))</f>
        <v>1</v>
      </c>
      <c r="K73" s="9" t="s">
        <v>2576</v>
      </c>
      <c r="L73" s="9" t="s">
        <v>2577</v>
      </c>
      <c r="M73" s="9" t="s">
        <v>179</v>
      </c>
      <c r="N73" s="9" t="s">
        <v>3547</v>
      </c>
      <c r="O73" s="9" t="s">
        <v>1563</v>
      </c>
      <c r="P73" s="9" t="s">
        <v>2363</v>
      </c>
      <c r="Q73" s="9" t="s">
        <v>71</v>
      </c>
      <c r="R73" s="9" t="s">
        <v>83</v>
      </c>
      <c r="S73" s="9" t="s">
        <v>2087</v>
      </c>
      <c r="T73" s="9" t="s">
        <v>104</v>
      </c>
      <c r="U73" s="9" t="s">
        <v>91</v>
      </c>
      <c r="V73" s="9" t="s">
        <v>148</v>
      </c>
      <c r="W73" s="9" t="s">
        <v>3669</v>
      </c>
      <c r="X73" s="9" t="s">
        <v>2578</v>
      </c>
      <c r="Y73" s="9"/>
      <c r="Z73" s="9" t="s">
        <v>303</v>
      </c>
      <c r="AA73" s="9" t="s">
        <v>2578</v>
      </c>
    </row>
    <row r="74" spans="1:27" x14ac:dyDescent="0.35">
      <c r="A74" s="4" t="str">
        <f>IF(Table5[[#This Row],[SM_Amount__c]]="25.0","FEE",IF(IF(Table5[[#This Row],[SM_Original_Type__c]]="",Table5[[#This Row],[SM_Type__c]],Table5[[#This Row],[SM_Original_Type__c]])="AC","AC","SUBS"))</f>
        <v>SUBS</v>
      </c>
      <c r="B74" s="27">
        <f>IF(INDEX(Contract[SM_AC_start_date__c],MATCH(Table5[[#This Row],[SM_Contract__c]],Contract[Id],0))=0,"",INDEX(Contract[SM_AC_start_date__c],MATCH(Table5[[#This Row],[SM_Contract__c]],Contract[Id],0)))</f>
        <v>45546</v>
      </c>
      <c r="C74" s="27" t="str">
        <f>IF(INDEX(Contract[SM_AC_Split_Date__c],MATCH(Table5[[#This Row],[SM_Contract__c]],Contract[Id],0))=0,"",INDEX(Contract[SM_AC_Split_Date__c],MATCH(Table5[[#This Row],[SM_Contract__c]],Contract[Id],0)))</f>
        <v/>
      </c>
      <c r="D74" s="27">
        <f>IF(INDEX(Contract[SM_Start_date__c],MATCH(Table5[[#This Row],[SM_Contract__c]],Contract[Id],0))=0,"",INDEX(Contract[SM_Start_date__c],MATCH(Table5[[#This Row],[SM_Contract__c]],Contract[Id],0)))</f>
        <v>45595</v>
      </c>
      <c r="E74" s="4">
        <f ca="1">(YEAR(TODAY())-YEAR(Table5[[#This Row],[RC DATE]]))*12 + MONTH(TODAY())-MONTH(Table5[[#This Row],[RC DATE]])</f>
        <v>21</v>
      </c>
      <c r="F7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4" s="19">
        <f>IF(Table5[[#This Row],[Payment_Status__c]]="ACCEPTED",1,"")</f>
        <v>1</v>
      </c>
      <c r="H7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4" s="19">
        <f ca="1">Table5[[#This Row],['# months]]-COUNTIFS(Table5[SM_Contract__c],Table5[[#This Row],[SM_Contract__c]],Table5[TYPE],"SUBS",Table5[ACCEPTED],1)</f>
        <v>5</v>
      </c>
      <c r="J74" s="19" t="b">
        <f>ISNUMBER(MATCH(Table5[[#This Row],[SM_Contract__c]],Contract[Id],0))</f>
        <v>1</v>
      </c>
      <c r="K74" s="9" t="s">
        <v>2579</v>
      </c>
      <c r="L74" s="9" t="s">
        <v>2580</v>
      </c>
      <c r="M74" s="9" t="s">
        <v>179</v>
      </c>
      <c r="N74" s="9" t="s">
        <v>3547</v>
      </c>
      <c r="O74" s="9" t="s">
        <v>1563</v>
      </c>
      <c r="P74" s="9" t="s">
        <v>2363</v>
      </c>
      <c r="Q74" s="9" t="s">
        <v>71</v>
      </c>
      <c r="R74" s="9" t="s">
        <v>83</v>
      </c>
      <c r="S74" s="9" t="s">
        <v>2087</v>
      </c>
      <c r="T74" s="9" t="s">
        <v>104</v>
      </c>
      <c r="U74" s="9" t="s">
        <v>91</v>
      </c>
      <c r="V74" s="9" t="s">
        <v>148</v>
      </c>
      <c r="W74" s="9" t="s">
        <v>3575</v>
      </c>
      <c r="X74" s="9" t="s">
        <v>2581</v>
      </c>
      <c r="Y74" s="9"/>
      <c r="Z74" s="9" t="s">
        <v>342</v>
      </c>
      <c r="AA74" s="9" t="s">
        <v>2581</v>
      </c>
    </row>
    <row r="75" spans="1:27" x14ac:dyDescent="0.35">
      <c r="A75" s="4" t="str">
        <f>IF(Table5[[#This Row],[SM_Amount__c]]="25.0","FEE",IF(IF(Table5[[#This Row],[SM_Original_Type__c]]="",Table5[[#This Row],[SM_Type__c]],Table5[[#This Row],[SM_Original_Type__c]])="AC","AC","SUBS"))</f>
        <v>SUBS</v>
      </c>
      <c r="B75" s="27">
        <f>IF(INDEX(Contract[SM_AC_start_date__c],MATCH(Table5[[#This Row],[SM_Contract__c]],Contract[Id],0))=0,"",INDEX(Contract[SM_AC_start_date__c],MATCH(Table5[[#This Row],[SM_Contract__c]],Contract[Id],0)))</f>
        <v>45546</v>
      </c>
      <c r="C75" s="27" t="str">
        <f>IF(INDEX(Contract[SM_AC_Split_Date__c],MATCH(Table5[[#This Row],[SM_Contract__c]],Contract[Id],0))=0,"",INDEX(Contract[SM_AC_Split_Date__c],MATCH(Table5[[#This Row],[SM_Contract__c]],Contract[Id],0)))</f>
        <v/>
      </c>
      <c r="D75" s="27">
        <f>IF(INDEX(Contract[SM_Start_date__c],MATCH(Table5[[#This Row],[SM_Contract__c]],Contract[Id],0))=0,"",INDEX(Contract[SM_Start_date__c],MATCH(Table5[[#This Row],[SM_Contract__c]],Contract[Id],0)))</f>
        <v>45595</v>
      </c>
      <c r="E75" s="4">
        <f ca="1">(YEAR(TODAY())-YEAR(Table5[[#This Row],[RC DATE]]))*12 + MONTH(TODAY())-MONTH(Table5[[#This Row],[RC DATE]])</f>
        <v>21</v>
      </c>
      <c r="F7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5" s="19">
        <f>IF(Table5[[#This Row],[Payment_Status__c]]="ACCEPTED",1,"")</f>
        <v>1</v>
      </c>
      <c r="H7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5" s="19">
        <f ca="1">Table5[[#This Row],['# months]]-COUNTIFS(Table5[SM_Contract__c],Table5[[#This Row],[SM_Contract__c]],Table5[TYPE],"SUBS",Table5[ACCEPTED],1)</f>
        <v>5</v>
      </c>
      <c r="J75" s="19" t="b">
        <f>ISNUMBER(MATCH(Table5[[#This Row],[SM_Contract__c]],Contract[Id],0))</f>
        <v>1</v>
      </c>
      <c r="K75" s="9" t="s">
        <v>2582</v>
      </c>
      <c r="L75" s="9" t="s">
        <v>2583</v>
      </c>
      <c r="M75" s="9" t="s">
        <v>179</v>
      </c>
      <c r="N75" s="9" t="s">
        <v>3547</v>
      </c>
      <c r="O75" s="9" t="s">
        <v>1563</v>
      </c>
      <c r="P75" s="9" t="s">
        <v>2363</v>
      </c>
      <c r="Q75" s="9" t="s">
        <v>83</v>
      </c>
      <c r="R75" s="9" t="s">
        <v>76</v>
      </c>
      <c r="S75" s="9" t="s">
        <v>91</v>
      </c>
      <c r="T75" s="9" t="s">
        <v>105</v>
      </c>
      <c r="U75" s="9" t="s">
        <v>91</v>
      </c>
      <c r="V75" s="9" t="s">
        <v>93</v>
      </c>
      <c r="W75" s="9" t="s">
        <v>3556</v>
      </c>
      <c r="X75" s="9" t="s">
        <v>2566</v>
      </c>
      <c r="Y75" s="9"/>
      <c r="Z75" s="9"/>
      <c r="AA75" s="9" t="s">
        <v>2566</v>
      </c>
    </row>
    <row r="76" spans="1:27" x14ac:dyDescent="0.35">
      <c r="A76" s="4" t="str">
        <f>IF(Table5[[#This Row],[SM_Amount__c]]="25.0","FEE",IF(IF(Table5[[#This Row],[SM_Original_Type__c]]="",Table5[[#This Row],[SM_Type__c]],Table5[[#This Row],[SM_Original_Type__c]])="AC","AC","SUBS"))</f>
        <v>SUBS</v>
      </c>
      <c r="B76" s="27">
        <f>IF(INDEX(Contract[SM_AC_start_date__c],MATCH(Table5[[#This Row],[SM_Contract__c]],Contract[Id],0))=0,"",INDEX(Contract[SM_AC_start_date__c],MATCH(Table5[[#This Row],[SM_Contract__c]],Contract[Id],0)))</f>
        <v>45546</v>
      </c>
      <c r="C76" s="27" t="str">
        <f>IF(INDEX(Contract[SM_AC_Split_Date__c],MATCH(Table5[[#This Row],[SM_Contract__c]],Contract[Id],0))=0,"",INDEX(Contract[SM_AC_Split_Date__c],MATCH(Table5[[#This Row],[SM_Contract__c]],Contract[Id],0)))</f>
        <v/>
      </c>
      <c r="D76" s="27">
        <f>IF(INDEX(Contract[SM_Start_date__c],MATCH(Table5[[#This Row],[SM_Contract__c]],Contract[Id],0))=0,"",INDEX(Contract[SM_Start_date__c],MATCH(Table5[[#This Row],[SM_Contract__c]],Contract[Id],0)))</f>
        <v>45595</v>
      </c>
      <c r="E76" s="4">
        <f ca="1">(YEAR(TODAY())-YEAR(Table5[[#This Row],[RC DATE]]))*12 + MONTH(TODAY())-MONTH(Table5[[#This Row],[RC DATE]])</f>
        <v>21</v>
      </c>
      <c r="F7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6" s="19">
        <f>IF(Table5[[#This Row],[Payment_Status__c]]="ACCEPTED",1,"")</f>
        <v>1</v>
      </c>
      <c r="H7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6" s="19">
        <f ca="1">Table5[[#This Row],['# months]]-COUNTIFS(Table5[SM_Contract__c],Table5[[#This Row],[SM_Contract__c]],Table5[TYPE],"SUBS",Table5[ACCEPTED],1)</f>
        <v>5</v>
      </c>
      <c r="J76" s="19" t="b">
        <f>ISNUMBER(MATCH(Table5[[#This Row],[SM_Contract__c]],Contract[Id],0))</f>
        <v>1</v>
      </c>
      <c r="K76" s="9" t="s">
        <v>2584</v>
      </c>
      <c r="L76" s="9" t="s">
        <v>2585</v>
      </c>
      <c r="M76" s="9" t="s">
        <v>179</v>
      </c>
      <c r="N76" s="9" t="s">
        <v>3547</v>
      </c>
      <c r="O76" s="9" t="s">
        <v>1563</v>
      </c>
      <c r="P76" s="9" t="s">
        <v>2363</v>
      </c>
      <c r="Q76" s="9" t="s">
        <v>71</v>
      </c>
      <c r="R76" s="9" t="s">
        <v>83</v>
      </c>
      <c r="S76" s="9" t="s">
        <v>2087</v>
      </c>
      <c r="T76" s="9" t="s">
        <v>104</v>
      </c>
      <c r="U76" s="9" t="s">
        <v>91</v>
      </c>
      <c r="V76" s="9" t="s">
        <v>148</v>
      </c>
      <c r="W76" s="9" t="s">
        <v>3637</v>
      </c>
      <c r="X76" s="9" t="s">
        <v>2586</v>
      </c>
      <c r="Y76" s="9"/>
      <c r="Z76" s="9" t="s">
        <v>393</v>
      </c>
      <c r="AA76" s="9" t="s">
        <v>2586</v>
      </c>
    </row>
    <row r="77" spans="1:27" x14ac:dyDescent="0.35">
      <c r="A77" s="4" t="str">
        <f>IF(Table5[[#This Row],[SM_Amount__c]]="25.0","FEE",IF(IF(Table5[[#This Row],[SM_Original_Type__c]]="",Table5[[#This Row],[SM_Type__c]],Table5[[#This Row],[SM_Original_Type__c]])="AC","AC","SUBS"))</f>
        <v>SUBS</v>
      </c>
      <c r="B77" s="27">
        <f>IF(INDEX(Contract[SM_AC_start_date__c],MATCH(Table5[[#This Row],[SM_Contract__c]],Contract[Id],0))=0,"",INDEX(Contract[SM_AC_start_date__c],MATCH(Table5[[#This Row],[SM_Contract__c]],Contract[Id],0)))</f>
        <v>45546</v>
      </c>
      <c r="C77" s="27" t="str">
        <f>IF(INDEX(Contract[SM_AC_Split_Date__c],MATCH(Table5[[#This Row],[SM_Contract__c]],Contract[Id],0))=0,"",INDEX(Contract[SM_AC_Split_Date__c],MATCH(Table5[[#This Row],[SM_Contract__c]],Contract[Id],0)))</f>
        <v/>
      </c>
      <c r="D77" s="27">
        <f>IF(INDEX(Contract[SM_Start_date__c],MATCH(Table5[[#This Row],[SM_Contract__c]],Contract[Id],0))=0,"",INDEX(Contract[SM_Start_date__c],MATCH(Table5[[#This Row],[SM_Contract__c]],Contract[Id],0)))</f>
        <v>45595</v>
      </c>
      <c r="E77" s="4">
        <f ca="1">(YEAR(TODAY())-YEAR(Table5[[#This Row],[RC DATE]]))*12 + MONTH(TODAY())-MONTH(Table5[[#This Row],[RC DATE]])</f>
        <v>21</v>
      </c>
      <c r="F7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7" s="19">
        <f>IF(Table5[[#This Row],[Payment_Status__c]]="ACCEPTED",1,"")</f>
        <v>1</v>
      </c>
      <c r="H7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7" s="19">
        <f ca="1">Table5[[#This Row],['# months]]-COUNTIFS(Table5[SM_Contract__c],Table5[[#This Row],[SM_Contract__c]],Table5[TYPE],"SUBS",Table5[ACCEPTED],1)</f>
        <v>5</v>
      </c>
      <c r="J77" s="19" t="b">
        <f>ISNUMBER(MATCH(Table5[[#This Row],[SM_Contract__c]],Contract[Id],0))</f>
        <v>1</v>
      </c>
      <c r="K77" s="9" t="s">
        <v>2587</v>
      </c>
      <c r="L77" s="9" t="s">
        <v>2588</v>
      </c>
      <c r="M77" s="9" t="s">
        <v>179</v>
      </c>
      <c r="N77" s="9" t="s">
        <v>3547</v>
      </c>
      <c r="O77" s="9" t="s">
        <v>1563</v>
      </c>
      <c r="P77" s="9" t="s">
        <v>2363</v>
      </c>
      <c r="Q77" s="9" t="s">
        <v>71</v>
      </c>
      <c r="R77" s="9" t="s">
        <v>83</v>
      </c>
      <c r="S77" s="9" t="s">
        <v>2087</v>
      </c>
      <c r="T77" s="9" t="s">
        <v>104</v>
      </c>
      <c r="U77" s="9" t="s">
        <v>91</v>
      </c>
      <c r="V77" s="9" t="s">
        <v>148</v>
      </c>
      <c r="W77" s="9" t="s">
        <v>3631</v>
      </c>
      <c r="X77" s="9" t="s">
        <v>2589</v>
      </c>
      <c r="Y77" s="9"/>
      <c r="Z77" s="9" t="s">
        <v>435</v>
      </c>
      <c r="AA77" s="9" t="s">
        <v>2589</v>
      </c>
    </row>
    <row r="78" spans="1:27" x14ac:dyDescent="0.35">
      <c r="A78" s="4" t="str">
        <f>IF(Table5[[#This Row],[SM_Amount__c]]="25.0","FEE",IF(IF(Table5[[#This Row],[SM_Original_Type__c]]="",Table5[[#This Row],[SM_Type__c]],Table5[[#This Row],[SM_Original_Type__c]])="AC","AC","SUBS"))</f>
        <v>SUBS</v>
      </c>
      <c r="B78" s="27">
        <f>IF(INDEX(Contract[SM_AC_start_date__c],MATCH(Table5[[#This Row],[SM_Contract__c]],Contract[Id],0))=0,"",INDEX(Contract[SM_AC_start_date__c],MATCH(Table5[[#This Row],[SM_Contract__c]],Contract[Id],0)))</f>
        <v>45546</v>
      </c>
      <c r="C78" s="27" t="str">
        <f>IF(INDEX(Contract[SM_AC_Split_Date__c],MATCH(Table5[[#This Row],[SM_Contract__c]],Contract[Id],0))=0,"",INDEX(Contract[SM_AC_Split_Date__c],MATCH(Table5[[#This Row],[SM_Contract__c]],Contract[Id],0)))</f>
        <v/>
      </c>
      <c r="D78" s="27">
        <f>IF(INDEX(Contract[SM_Start_date__c],MATCH(Table5[[#This Row],[SM_Contract__c]],Contract[Id],0))=0,"",INDEX(Contract[SM_Start_date__c],MATCH(Table5[[#This Row],[SM_Contract__c]],Contract[Id],0)))</f>
        <v>45595</v>
      </c>
      <c r="E78" s="4">
        <f ca="1">(YEAR(TODAY())-YEAR(Table5[[#This Row],[RC DATE]]))*12 + MONTH(TODAY())-MONTH(Table5[[#This Row],[RC DATE]])</f>
        <v>21</v>
      </c>
      <c r="F7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8" s="19">
        <f>IF(Table5[[#This Row],[Payment_Status__c]]="ACCEPTED",1,"")</f>
        <v>1</v>
      </c>
      <c r="H7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8" s="19">
        <f ca="1">Table5[[#This Row],['# months]]-COUNTIFS(Table5[SM_Contract__c],Table5[[#This Row],[SM_Contract__c]],Table5[TYPE],"SUBS",Table5[ACCEPTED],1)</f>
        <v>5</v>
      </c>
      <c r="J78" s="19" t="b">
        <f>ISNUMBER(MATCH(Table5[[#This Row],[SM_Contract__c]],Contract[Id],0))</f>
        <v>1</v>
      </c>
      <c r="K78" s="9" t="s">
        <v>2590</v>
      </c>
      <c r="L78" s="9" t="s">
        <v>2591</v>
      </c>
      <c r="M78" s="9" t="s">
        <v>179</v>
      </c>
      <c r="N78" s="9" t="s">
        <v>3547</v>
      </c>
      <c r="O78" s="9" t="s">
        <v>1563</v>
      </c>
      <c r="P78" s="9" t="s">
        <v>2363</v>
      </c>
      <c r="Q78" s="9" t="s">
        <v>71</v>
      </c>
      <c r="R78" s="9" t="s">
        <v>83</v>
      </c>
      <c r="S78" s="9" t="s">
        <v>2087</v>
      </c>
      <c r="T78" s="9" t="s">
        <v>104</v>
      </c>
      <c r="U78" s="9" t="s">
        <v>91</v>
      </c>
      <c r="V78" s="9" t="s">
        <v>148</v>
      </c>
      <c r="W78" s="9" t="s">
        <v>3660</v>
      </c>
      <c r="X78" s="9" t="s">
        <v>2592</v>
      </c>
      <c r="Y78" s="9"/>
      <c r="Z78" s="9" t="s">
        <v>459</v>
      </c>
      <c r="AA78" s="9" t="s">
        <v>2592</v>
      </c>
    </row>
    <row r="79" spans="1:27" x14ac:dyDescent="0.35">
      <c r="A79" s="4" t="str">
        <f>IF(Table5[[#This Row],[SM_Amount__c]]="25.0","FEE",IF(IF(Table5[[#This Row],[SM_Original_Type__c]]="",Table5[[#This Row],[SM_Type__c]],Table5[[#This Row],[SM_Original_Type__c]])="AC","AC","SUBS"))</f>
        <v>SUBS</v>
      </c>
      <c r="B79" s="27">
        <f>IF(INDEX(Contract[SM_AC_start_date__c],MATCH(Table5[[#This Row],[SM_Contract__c]],Contract[Id],0))=0,"",INDEX(Contract[SM_AC_start_date__c],MATCH(Table5[[#This Row],[SM_Contract__c]],Contract[Id],0)))</f>
        <v>45546</v>
      </c>
      <c r="C79" s="27" t="str">
        <f>IF(INDEX(Contract[SM_AC_Split_Date__c],MATCH(Table5[[#This Row],[SM_Contract__c]],Contract[Id],0))=0,"",INDEX(Contract[SM_AC_Split_Date__c],MATCH(Table5[[#This Row],[SM_Contract__c]],Contract[Id],0)))</f>
        <v/>
      </c>
      <c r="D79" s="27">
        <f>IF(INDEX(Contract[SM_Start_date__c],MATCH(Table5[[#This Row],[SM_Contract__c]],Contract[Id],0))=0,"",INDEX(Contract[SM_Start_date__c],MATCH(Table5[[#This Row],[SM_Contract__c]],Contract[Id],0)))</f>
        <v>45595</v>
      </c>
      <c r="E79" s="4">
        <f ca="1">(YEAR(TODAY())-YEAR(Table5[[#This Row],[RC DATE]]))*12 + MONTH(TODAY())-MONTH(Table5[[#This Row],[RC DATE]])</f>
        <v>21</v>
      </c>
      <c r="F7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79" s="19">
        <f>IF(Table5[[#This Row],[Payment_Status__c]]="ACCEPTED",1,"")</f>
        <v>1</v>
      </c>
      <c r="H7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79" s="19">
        <f ca="1">Table5[[#This Row],['# months]]-COUNTIFS(Table5[SM_Contract__c],Table5[[#This Row],[SM_Contract__c]],Table5[TYPE],"SUBS",Table5[ACCEPTED],1)</f>
        <v>5</v>
      </c>
      <c r="J79" s="19" t="b">
        <f>ISNUMBER(MATCH(Table5[[#This Row],[SM_Contract__c]],Contract[Id],0))</f>
        <v>1</v>
      </c>
      <c r="K79" s="9" t="s">
        <v>2593</v>
      </c>
      <c r="L79" s="9" t="s">
        <v>2594</v>
      </c>
      <c r="M79" s="9" t="s">
        <v>179</v>
      </c>
      <c r="N79" s="9" t="s">
        <v>3547</v>
      </c>
      <c r="O79" s="9" t="s">
        <v>1563</v>
      </c>
      <c r="P79" s="9" t="s">
        <v>2363</v>
      </c>
      <c r="Q79" s="9" t="s">
        <v>83</v>
      </c>
      <c r="R79" s="9" t="s">
        <v>76</v>
      </c>
      <c r="S79" s="9" t="s">
        <v>91</v>
      </c>
      <c r="T79" s="9" t="s">
        <v>105</v>
      </c>
      <c r="U79" s="9" t="s">
        <v>91</v>
      </c>
      <c r="V79" s="9" t="s">
        <v>93</v>
      </c>
      <c r="W79" s="9" t="s">
        <v>3612</v>
      </c>
      <c r="X79" s="9" t="s">
        <v>2564</v>
      </c>
      <c r="Y79" s="9"/>
      <c r="Z79" s="9"/>
      <c r="AA79" s="9" t="s">
        <v>2564</v>
      </c>
    </row>
    <row r="80" spans="1:27" x14ac:dyDescent="0.35">
      <c r="A80" s="4" t="str">
        <f>IF(Table5[[#This Row],[SM_Amount__c]]="25.0","FEE",IF(IF(Table5[[#This Row],[SM_Original_Type__c]]="",Table5[[#This Row],[SM_Type__c]],Table5[[#This Row],[SM_Original_Type__c]])="AC","AC","SUBS"))</f>
        <v>SUBS</v>
      </c>
      <c r="B80" s="27">
        <f>IF(INDEX(Contract[SM_AC_start_date__c],MATCH(Table5[[#This Row],[SM_Contract__c]],Contract[Id],0))=0,"",INDEX(Contract[SM_AC_start_date__c],MATCH(Table5[[#This Row],[SM_Contract__c]],Contract[Id],0)))</f>
        <v>45546</v>
      </c>
      <c r="C80" s="27" t="str">
        <f>IF(INDEX(Contract[SM_AC_Split_Date__c],MATCH(Table5[[#This Row],[SM_Contract__c]],Contract[Id],0))=0,"",INDEX(Contract[SM_AC_Split_Date__c],MATCH(Table5[[#This Row],[SM_Contract__c]],Contract[Id],0)))</f>
        <v/>
      </c>
      <c r="D80" s="27">
        <f>IF(INDEX(Contract[SM_Start_date__c],MATCH(Table5[[#This Row],[SM_Contract__c]],Contract[Id],0))=0,"",INDEX(Contract[SM_Start_date__c],MATCH(Table5[[#This Row],[SM_Contract__c]],Contract[Id],0)))</f>
        <v>45595</v>
      </c>
      <c r="E80" s="4">
        <f ca="1">(YEAR(TODAY())-YEAR(Table5[[#This Row],[RC DATE]]))*12 + MONTH(TODAY())-MONTH(Table5[[#This Row],[RC DATE]])</f>
        <v>21</v>
      </c>
      <c r="F8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0" s="19">
        <f>IF(Table5[[#This Row],[Payment_Status__c]]="ACCEPTED",1,"")</f>
        <v>1</v>
      </c>
      <c r="H8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0" s="19">
        <f ca="1">Table5[[#This Row],['# months]]-COUNTIFS(Table5[SM_Contract__c],Table5[[#This Row],[SM_Contract__c]],Table5[TYPE],"SUBS",Table5[ACCEPTED],1)</f>
        <v>5</v>
      </c>
      <c r="J80" s="19" t="b">
        <f>ISNUMBER(MATCH(Table5[[#This Row],[SM_Contract__c]],Contract[Id],0))</f>
        <v>1</v>
      </c>
      <c r="K80" s="9" t="s">
        <v>2595</v>
      </c>
      <c r="L80" s="9" t="s">
        <v>2596</v>
      </c>
      <c r="M80" s="9" t="s">
        <v>179</v>
      </c>
      <c r="N80" s="9" t="s">
        <v>3547</v>
      </c>
      <c r="O80" s="9" t="s">
        <v>1563</v>
      </c>
      <c r="P80" s="9" t="s">
        <v>2363</v>
      </c>
      <c r="Q80" s="9" t="s">
        <v>71</v>
      </c>
      <c r="R80" s="9" t="s">
        <v>83</v>
      </c>
      <c r="S80" s="9" t="s">
        <v>91</v>
      </c>
      <c r="T80" s="9" t="s">
        <v>91</v>
      </c>
      <c r="U80" s="9" t="s">
        <v>91</v>
      </c>
      <c r="V80" s="9" t="s">
        <v>93</v>
      </c>
      <c r="W80" s="9" t="s">
        <v>3604</v>
      </c>
      <c r="X80" s="9" t="s">
        <v>2597</v>
      </c>
      <c r="Y80" s="9"/>
      <c r="Z80" s="9" t="s">
        <v>539</v>
      </c>
      <c r="AA80" s="9" t="s">
        <v>2597</v>
      </c>
    </row>
    <row r="81" spans="1:27" x14ac:dyDescent="0.35">
      <c r="A81" s="4" t="str">
        <f>IF(Table5[[#This Row],[SM_Amount__c]]="25.0","FEE",IF(IF(Table5[[#This Row],[SM_Original_Type__c]]="",Table5[[#This Row],[SM_Type__c]],Table5[[#This Row],[SM_Original_Type__c]])="AC","AC","SUBS"))</f>
        <v>SUBS</v>
      </c>
      <c r="B81" s="27">
        <f>IF(INDEX(Contract[SM_AC_start_date__c],MATCH(Table5[[#This Row],[SM_Contract__c]],Contract[Id],0))=0,"",INDEX(Contract[SM_AC_start_date__c],MATCH(Table5[[#This Row],[SM_Contract__c]],Contract[Id],0)))</f>
        <v>45546</v>
      </c>
      <c r="C81" s="27" t="str">
        <f>IF(INDEX(Contract[SM_AC_Split_Date__c],MATCH(Table5[[#This Row],[SM_Contract__c]],Contract[Id],0))=0,"",INDEX(Contract[SM_AC_Split_Date__c],MATCH(Table5[[#This Row],[SM_Contract__c]],Contract[Id],0)))</f>
        <v/>
      </c>
      <c r="D81" s="27">
        <f>IF(INDEX(Contract[SM_Start_date__c],MATCH(Table5[[#This Row],[SM_Contract__c]],Contract[Id],0))=0,"",INDEX(Contract[SM_Start_date__c],MATCH(Table5[[#This Row],[SM_Contract__c]],Contract[Id],0)))</f>
        <v>45595</v>
      </c>
      <c r="E81" s="4">
        <f ca="1">(YEAR(TODAY())-YEAR(Table5[[#This Row],[RC DATE]]))*12 + MONTH(TODAY())-MONTH(Table5[[#This Row],[RC DATE]])</f>
        <v>21</v>
      </c>
      <c r="F8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1" s="19">
        <f>IF(Table5[[#This Row],[Payment_Status__c]]="ACCEPTED",1,"")</f>
        <v>1</v>
      </c>
      <c r="H8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1" s="19">
        <f ca="1">Table5[[#This Row],['# months]]-COUNTIFS(Table5[SM_Contract__c],Table5[[#This Row],[SM_Contract__c]],Table5[TYPE],"SUBS",Table5[ACCEPTED],1)</f>
        <v>5</v>
      </c>
      <c r="J81" s="19" t="b">
        <f>ISNUMBER(MATCH(Table5[[#This Row],[SM_Contract__c]],Contract[Id],0))</f>
        <v>1</v>
      </c>
      <c r="K81" s="9" t="s">
        <v>2598</v>
      </c>
      <c r="L81" s="9" t="s">
        <v>2599</v>
      </c>
      <c r="M81" s="9" t="s">
        <v>179</v>
      </c>
      <c r="N81" s="9" t="s">
        <v>3547</v>
      </c>
      <c r="O81" s="9" t="s">
        <v>1563</v>
      </c>
      <c r="P81" s="9" t="s">
        <v>2363</v>
      </c>
      <c r="Q81" s="9" t="s">
        <v>71</v>
      </c>
      <c r="R81" s="9" t="s">
        <v>83</v>
      </c>
      <c r="S81" s="9" t="s">
        <v>91</v>
      </c>
      <c r="T81" s="9" t="s">
        <v>91</v>
      </c>
      <c r="U81" s="9" t="s">
        <v>91</v>
      </c>
      <c r="V81" s="9" t="s">
        <v>93</v>
      </c>
      <c r="W81" s="9" t="s">
        <v>3594</v>
      </c>
      <c r="X81" s="9" t="s">
        <v>2600</v>
      </c>
      <c r="Y81" s="9"/>
      <c r="Z81" s="9" t="s">
        <v>676</v>
      </c>
      <c r="AA81" s="9" t="s">
        <v>2600</v>
      </c>
    </row>
    <row r="82" spans="1:27" x14ac:dyDescent="0.35">
      <c r="A82" s="4" t="str">
        <f>IF(Table5[[#This Row],[SM_Amount__c]]="25.0","FEE",IF(IF(Table5[[#This Row],[SM_Original_Type__c]]="",Table5[[#This Row],[SM_Type__c]],Table5[[#This Row],[SM_Original_Type__c]])="AC","AC","SUBS"))</f>
        <v>SUBS</v>
      </c>
      <c r="B82" s="27">
        <f>IF(INDEX(Contract[SM_AC_start_date__c],MATCH(Table5[[#This Row],[SM_Contract__c]],Contract[Id],0))=0,"",INDEX(Contract[SM_AC_start_date__c],MATCH(Table5[[#This Row],[SM_Contract__c]],Contract[Id],0)))</f>
        <v>45546</v>
      </c>
      <c r="C82" s="27" t="str">
        <f>IF(INDEX(Contract[SM_AC_Split_Date__c],MATCH(Table5[[#This Row],[SM_Contract__c]],Contract[Id],0))=0,"",INDEX(Contract[SM_AC_Split_Date__c],MATCH(Table5[[#This Row],[SM_Contract__c]],Contract[Id],0)))</f>
        <v/>
      </c>
      <c r="D82" s="27">
        <f>IF(INDEX(Contract[SM_Start_date__c],MATCH(Table5[[#This Row],[SM_Contract__c]],Contract[Id],0))=0,"",INDEX(Contract[SM_Start_date__c],MATCH(Table5[[#This Row],[SM_Contract__c]],Contract[Id],0)))</f>
        <v>45595</v>
      </c>
      <c r="E82" s="4">
        <f ca="1">(YEAR(TODAY())-YEAR(Table5[[#This Row],[RC DATE]]))*12 + MONTH(TODAY())-MONTH(Table5[[#This Row],[RC DATE]])</f>
        <v>21</v>
      </c>
      <c r="F8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2" s="19">
        <f>IF(Table5[[#This Row],[Payment_Status__c]]="ACCEPTED",1,"")</f>
        <v>1</v>
      </c>
      <c r="H8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2" s="19">
        <f ca="1">Table5[[#This Row],['# months]]-COUNTIFS(Table5[SM_Contract__c],Table5[[#This Row],[SM_Contract__c]],Table5[TYPE],"SUBS",Table5[ACCEPTED],1)</f>
        <v>5</v>
      </c>
      <c r="J82" s="19" t="b">
        <f>ISNUMBER(MATCH(Table5[[#This Row],[SM_Contract__c]],Contract[Id],0))</f>
        <v>1</v>
      </c>
      <c r="K82" s="9" t="s">
        <v>2601</v>
      </c>
      <c r="L82" s="9" t="s">
        <v>2602</v>
      </c>
      <c r="M82" s="9" t="s">
        <v>179</v>
      </c>
      <c r="N82" s="9" t="s">
        <v>3547</v>
      </c>
      <c r="O82" s="9" t="s">
        <v>1563</v>
      </c>
      <c r="P82" s="9" t="s">
        <v>2363</v>
      </c>
      <c r="Q82" s="9" t="s">
        <v>71</v>
      </c>
      <c r="R82" s="9" t="s">
        <v>83</v>
      </c>
      <c r="S82" s="9" t="s">
        <v>2087</v>
      </c>
      <c r="T82" s="9" t="s">
        <v>2087</v>
      </c>
      <c r="U82" s="9" t="s">
        <v>91</v>
      </c>
      <c r="V82" s="9" t="s">
        <v>148</v>
      </c>
      <c r="W82" s="9" t="s">
        <v>3646</v>
      </c>
      <c r="X82" s="9" t="s">
        <v>2603</v>
      </c>
      <c r="Y82" s="9"/>
      <c r="Z82" s="9" t="s">
        <v>872</v>
      </c>
      <c r="AA82" s="9" t="s">
        <v>2603</v>
      </c>
    </row>
    <row r="83" spans="1:27" x14ac:dyDescent="0.35">
      <c r="A83" s="4" t="str">
        <f>IF(Table5[[#This Row],[SM_Amount__c]]="25.0","FEE",IF(IF(Table5[[#This Row],[SM_Original_Type__c]]="",Table5[[#This Row],[SM_Type__c]],Table5[[#This Row],[SM_Original_Type__c]])="AC","AC","SUBS"))</f>
        <v>SUBS</v>
      </c>
      <c r="B83" s="27">
        <f>IF(INDEX(Contract[SM_AC_start_date__c],MATCH(Table5[[#This Row],[SM_Contract__c]],Contract[Id],0))=0,"",INDEX(Contract[SM_AC_start_date__c],MATCH(Table5[[#This Row],[SM_Contract__c]],Contract[Id],0)))</f>
        <v>45589</v>
      </c>
      <c r="C83" s="27" t="str">
        <f>IF(INDEX(Contract[SM_AC_Split_Date__c],MATCH(Table5[[#This Row],[SM_Contract__c]],Contract[Id],0))=0,"",INDEX(Contract[SM_AC_Split_Date__c],MATCH(Table5[[#This Row],[SM_Contract__c]],Contract[Id],0)))</f>
        <v/>
      </c>
      <c r="D83" s="27">
        <f>IF(INDEX(Contract[SM_Start_date__c],MATCH(Table5[[#This Row],[SM_Contract__c]],Contract[Id],0))=0,"",INDEX(Contract[SM_Start_date__c],MATCH(Table5[[#This Row],[SM_Contract__c]],Contract[Id],0)))</f>
        <v>45626</v>
      </c>
      <c r="E83" s="4">
        <f ca="1">(YEAR(TODAY())-YEAR(Table5[[#This Row],[RC DATE]]))*12 + MONTH(TODAY())-MONTH(Table5[[#This Row],[RC DATE]])</f>
        <v>20</v>
      </c>
      <c r="F8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3" s="19">
        <f>IF(Table5[[#This Row],[Payment_Status__c]]="ACCEPTED",1,"")</f>
        <v>1</v>
      </c>
      <c r="H8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3" s="19">
        <f ca="1">Table5[[#This Row],['# months]]-COUNTIFS(Table5[SM_Contract__c],Table5[[#This Row],[SM_Contract__c]],Table5[TYPE],"SUBS",Table5[ACCEPTED],1)</f>
        <v>5</v>
      </c>
      <c r="J83" s="19" t="b">
        <f>ISNUMBER(MATCH(Table5[[#This Row],[SM_Contract__c]],Contract[Id],0))</f>
        <v>1</v>
      </c>
      <c r="K83" s="9" t="s">
        <v>2613</v>
      </c>
      <c r="L83" s="9" t="s">
        <v>2614</v>
      </c>
      <c r="M83" s="9" t="s">
        <v>197</v>
      </c>
      <c r="N83" s="9" t="s">
        <v>3549</v>
      </c>
      <c r="O83" s="9" t="s">
        <v>1563</v>
      </c>
      <c r="P83" s="9" t="s">
        <v>2363</v>
      </c>
      <c r="Q83" s="9" t="s">
        <v>71</v>
      </c>
      <c r="R83" s="9" t="s">
        <v>83</v>
      </c>
      <c r="S83" s="9" t="s">
        <v>94</v>
      </c>
      <c r="T83" s="9" t="s">
        <v>1972</v>
      </c>
      <c r="U83" s="9" t="s">
        <v>106</v>
      </c>
      <c r="V83" s="9" t="s">
        <v>148</v>
      </c>
      <c r="W83" s="9" t="s">
        <v>3550</v>
      </c>
      <c r="X83" s="9" t="s">
        <v>2615</v>
      </c>
      <c r="Y83" s="9"/>
      <c r="Z83" s="9" t="s">
        <v>215</v>
      </c>
      <c r="AA83" s="9" t="s">
        <v>2615</v>
      </c>
    </row>
    <row r="84" spans="1:27" x14ac:dyDescent="0.35">
      <c r="A84" s="4" t="str">
        <f>IF(Table5[[#This Row],[SM_Amount__c]]="25.0","FEE",IF(IF(Table5[[#This Row],[SM_Original_Type__c]]="",Table5[[#This Row],[SM_Type__c]],Table5[[#This Row],[SM_Original_Type__c]])="AC","AC","SUBS"))</f>
        <v>SUBS</v>
      </c>
      <c r="B84" s="27">
        <f>IF(INDEX(Contract[SM_AC_start_date__c],MATCH(Table5[[#This Row],[SM_Contract__c]],Contract[Id],0))=0,"",INDEX(Contract[SM_AC_start_date__c],MATCH(Table5[[#This Row],[SM_Contract__c]],Contract[Id],0)))</f>
        <v>45589</v>
      </c>
      <c r="C84" s="27" t="str">
        <f>IF(INDEX(Contract[SM_AC_Split_Date__c],MATCH(Table5[[#This Row],[SM_Contract__c]],Contract[Id],0))=0,"",INDEX(Contract[SM_AC_Split_Date__c],MATCH(Table5[[#This Row],[SM_Contract__c]],Contract[Id],0)))</f>
        <v/>
      </c>
      <c r="D84" s="27">
        <f>IF(INDEX(Contract[SM_Start_date__c],MATCH(Table5[[#This Row],[SM_Contract__c]],Contract[Id],0))=0,"",INDEX(Contract[SM_Start_date__c],MATCH(Table5[[#This Row],[SM_Contract__c]],Contract[Id],0)))</f>
        <v>45626</v>
      </c>
      <c r="E84" s="4">
        <f ca="1">(YEAR(TODAY())-YEAR(Table5[[#This Row],[RC DATE]]))*12 + MONTH(TODAY())-MONTH(Table5[[#This Row],[RC DATE]])</f>
        <v>20</v>
      </c>
      <c r="F8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4" s="19">
        <f>IF(Table5[[#This Row],[Payment_Status__c]]="ACCEPTED",1,"")</f>
        <v>1</v>
      </c>
      <c r="H8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4" s="19">
        <f ca="1">Table5[[#This Row],['# months]]-COUNTIFS(Table5[SM_Contract__c],Table5[[#This Row],[SM_Contract__c]],Table5[TYPE],"SUBS",Table5[ACCEPTED],1)</f>
        <v>5</v>
      </c>
      <c r="J84" s="19" t="b">
        <f>ISNUMBER(MATCH(Table5[[#This Row],[SM_Contract__c]],Contract[Id],0))</f>
        <v>1</v>
      </c>
      <c r="K84" s="9" t="s">
        <v>2616</v>
      </c>
      <c r="L84" s="9" t="s">
        <v>2617</v>
      </c>
      <c r="M84" s="9" t="s">
        <v>197</v>
      </c>
      <c r="N84" s="9" t="s">
        <v>3549</v>
      </c>
      <c r="O84" s="9" t="s">
        <v>1563</v>
      </c>
      <c r="P84" s="9" t="s">
        <v>2363</v>
      </c>
      <c r="Q84" s="9" t="s">
        <v>83</v>
      </c>
      <c r="R84" s="9" t="s">
        <v>76</v>
      </c>
      <c r="S84" s="9" t="s">
        <v>106</v>
      </c>
      <c r="T84" s="9" t="s">
        <v>149</v>
      </c>
      <c r="U84" s="9" t="s">
        <v>106</v>
      </c>
      <c r="V84" s="9" t="s">
        <v>93</v>
      </c>
      <c r="W84" s="9" t="s">
        <v>3568</v>
      </c>
      <c r="X84" s="9" t="s">
        <v>2607</v>
      </c>
      <c r="Y84" s="9"/>
      <c r="Z84" s="9"/>
      <c r="AA84" s="9" t="s">
        <v>2607</v>
      </c>
    </row>
    <row r="85" spans="1:27" x14ac:dyDescent="0.35">
      <c r="A85" s="4" t="str">
        <f>IF(Table5[[#This Row],[SM_Amount__c]]="25.0","FEE",IF(IF(Table5[[#This Row],[SM_Original_Type__c]]="",Table5[[#This Row],[SM_Type__c]],Table5[[#This Row],[SM_Original_Type__c]])="AC","AC","SUBS"))</f>
        <v>SUBS</v>
      </c>
      <c r="B85" s="27">
        <f>IF(INDEX(Contract[SM_AC_start_date__c],MATCH(Table5[[#This Row],[SM_Contract__c]],Contract[Id],0))=0,"",INDEX(Contract[SM_AC_start_date__c],MATCH(Table5[[#This Row],[SM_Contract__c]],Contract[Id],0)))</f>
        <v>45589</v>
      </c>
      <c r="C85" s="27" t="str">
        <f>IF(INDEX(Contract[SM_AC_Split_Date__c],MATCH(Table5[[#This Row],[SM_Contract__c]],Contract[Id],0))=0,"",INDEX(Contract[SM_AC_Split_Date__c],MATCH(Table5[[#This Row],[SM_Contract__c]],Contract[Id],0)))</f>
        <v/>
      </c>
      <c r="D85" s="27">
        <f>IF(INDEX(Contract[SM_Start_date__c],MATCH(Table5[[#This Row],[SM_Contract__c]],Contract[Id],0))=0,"",INDEX(Contract[SM_Start_date__c],MATCH(Table5[[#This Row],[SM_Contract__c]],Contract[Id],0)))</f>
        <v>45626</v>
      </c>
      <c r="E85" s="4">
        <f ca="1">(YEAR(TODAY())-YEAR(Table5[[#This Row],[RC DATE]]))*12 + MONTH(TODAY())-MONTH(Table5[[#This Row],[RC DATE]])</f>
        <v>20</v>
      </c>
      <c r="F8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5" s="19">
        <f>IF(Table5[[#This Row],[Payment_Status__c]]="ACCEPTED",1,"")</f>
        <v>1</v>
      </c>
      <c r="H8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5" s="19">
        <f ca="1">Table5[[#This Row],['# months]]-COUNTIFS(Table5[SM_Contract__c],Table5[[#This Row],[SM_Contract__c]],Table5[TYPE],"SUBS",Table5[ACCEPTED],1)</f>
        <v>5</v>
      </c>
      <c r="J85" s="19" t="b">
        <f>ISNUMBER(MATCH(Table5[[#This Row],[SM_Contract__c]],Contract[Id],0))</f>
        <v>1</v>
      </c>
      <c r="K85" s="9" t="s">
        <v>2618</v>
      </c>
      <c r="L85" s="9" t="s">
        <v>2619</v>
      </c>
      <c r="M85" s="9" t="s">
        <v>197</v>
      </c>
      <c r="N85" s="9" t="s">
        <v>3549</v>
      </c>
      <c r="O85" s="9" t="s">
        <v>1563</v>
      </c>
      <c r="P85" s="9" t="s">
        <v>2363</v>
      </c>
      <c r="Q85" s="9" t="s">
        <v>71</v>
      </c>
      <c r="R85" s="9" t="s">
        <v>83</v>
      </c>
      <c r="S85" s="9" t="s">
        <v>94</v>
      </c>
      <c r="T85" s="9" t="s">
        <v>1972</v>
      </c>
      <c r="U85" s="9" t="s">
        <v>106</v>
      </c>
      <c r="V85" s="9" t="s">
        <v>148</v>
      </c>
      <c r="W85" s="9" t="s">
        <v>3651</v>
      </c>
      <c r="X85" s="9" t="s">
        <v>2620</v>
      </c>
      <c r="Y85" s="9"/>
      <c r="Z85" s="9" t="s">
        <v>246</v>
      </c>
      <c r="AA85" s="9" t="s">
        <v>2620</v>
      </c>
    </row>
    <row r="86" spans="1:27" x14ac:dyDescent="0.35">
      <c r="A86" s="4" t="str">
        <f>IF(Table5[[#This Row],[SM_Amount__c]]="25.0","FEE",IF(IF(Table5[[#This Row],[SM_Original_Type__c]]="",Table5[[#This Row],[SM_Type__c]],Table5[[#This Row],[SM_Original_Type__c]])="AC","AC","SUBS"))</f>
        <v>SUBS</v>
      </c>
      <c r="B86" s="27">
        <f>IF(INDEX(Contract[SM_AC_start_date__c],MATCH(Table5[[#This Row],[SM_Contract__c]],Contract[Id],0))=0,"",INDEX(Contract[SM_AC_start_date__c],MATCH(Table5[[#This Row],[SM_Contract__c]],Contract[Id],0)))</f>
        <v>45589</v>
      </c>
      <c r="C86" s="27" t="str">
        <f>IF(INDEX(Contract[SM_AC_Split_Date__c],MATCH(Table5[[#This Row],[SM_Contract__c]],Contract[Id],0))=0,"",INDEX(Contract[SM_AC_Split_Date__c],MATCH(Table5[[#This Row],[SM_Contract__c]],Contract[Id],0)))</f>
        <v/>
      </c>
      <c r="D86" s="27">
        <f>IF(INDEX(Contract[SM_Start_date__c],MATCH(Table5[[#This Row],[SM_Contract__c]],Contract[Id],0))=0,"",INDEX(Contract[SM_Start_date__c],MATCH(Table5[[#This Row],[SM_Contract__c]],Contract[Id],0)))</f>
        <v>45626</v>
      </c>
      <c r="E86" s="4">
        <f ca="1">(YEAR(TODAY())-YEAR(Table5[[#This Row],[RC DATE]]))*12 + MONTH(TODAY())-MONTH(Table5[[#This Row],[RC DATE]])</f>
        <v>20</v>
      </c>
      <c r="F8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6" s="19">
        <f>IF(Table5[[#This Row],[Payment_Status__c]]="ACCEPTED",1,"")</f>
        <v>1</v>
      </c>
      <c r="H8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6" s="19">
        <f ca="1">Table5[[#This Row],['# months]]-COUNTIFS(Table5[SM_Contract__c],Table5[[#This Row],[SM_Contract__c]],Table5[TYPE],"SUBS",Table5[ACCEPTED],1)</f>
        <v>5</v>
      </c>
      <c r="J86" s="19" t="b">
        <f>ISNUMBER(MATCH(Table5[[#This Row],[SM_Contract__c]],Contract[Id],0))</f>
        <v>1</v>
      </c>
      <c r="K86" s="9" t="s">
        <v>2621</v>
      </c>
      <c r="L86" s="9" t="s">
        <v>2622</v>
      </c>
      <c r="M86" s="9" t="s">
        <v>197</v>
      </c>
      <c r="N86" s="9" t="s">
        <v>3549</v>
      </c>
      <c r="O86" s="9" t="s">
        <v>1563</v>
      </c>
      <c r="P86" s="9" t="s">
        <v>2363</v>
      </c>
      <c r="Q86" s="9" t="s">
        <v>83</v>
      </c>
      <c r="R86" s="9" t="s">
        <v>76</v>
      </c>
      <c r="S86" s="9" t="s">
        <v>106</v>
      </c>
      <c r="T86" s="9" t="s">
        <v>149</v>
      </c>
      <c r="U86" s="9" t="s">
        <v>106</v>
      </c>
      <c r="V86" s="9" t="s">
        <v>93</v>
      </c>
      <c r="W86" s="9" t="s">
        <v>3553</v>
      </c>
      <c r="X86" s="9" t="s">
        <v>2608</v>
      </c>
      <c r="Y86" s="9"/>
      <c r="Z86" s="9"/>
      <c r="AA86" s="9" t="s">
        <v>2608</v>
      </c>
    </row>
    <row r="87" spans="1:27" x14ac:dyDescent="0.35">
      <c r="A87" s="4" t="str">
        <f>IF(Table5[[#This Row],[SM_Amount__c]]="25.0","FEE",IF(IF(Table5[[#This Row],[SM_Original_Type__c]]="",Table5[[#This Row],[SM_Type__c]],Table5[[#This Row],[SM_Original_Type__c]])="AC","AC","SUBS"))</f>
        <v>SUBS</v>
      </c>
      <c r="B87" s="27">
        <f>IF(INDEX(Contract[SM_AC_start_date__c],MATCH(Table5[[#This Row],[SM_Contract__c]],Contract[Id],0))=0,"",INDEX(Contract[SM_AC_start_date__c],MATCH(Table5[[#This Row],[SM_Contract__c]],Contract[Id],0)))</f>
        <v>45589</v>
      </c>
      <c r="C87" s="27" t="str">
        <f>IF(INDEX(Contract[SM_AC_Split_Date__c],MATCH(Table5[[#This Row],[SM_Contract__c]],Contract[Id],0))=0,"",INDEX(Contract[SM_AC_Split_Date__c],MATCH(Table5[[#This Row],[SM_Contract__c]],Contract[Id],0)))</f>
        <v/>
      </c>
      <c r="D87" s="27">
        <f>IF(INDEX(Contract[SM_Start_date__c],MATCH(Table5[[#This Row],[SM_Contract__c]],Contract[Id],0))=0,"",INDEX(Contract[SM_Start_date__c],MATCH(Table5[[#This Row],[SM_Contract__c]],Contract[Id],0)))</f>
        <v>45626</v>
      </c>
      <c r="E87" s="4">
        <f ca="1">(YEAR(TODAY())-YEAR(Table5[[#This Row],[RC DATE]]))*12 + MONTH(TODAY())-MONTH(Table5[[#This Row],[RC DATE]])</f>
        <v>20</v>
      </c>
      <c r="F8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7" s="19">
        <f>IF(Table5[[#This Row],[Payment_Status__c]]="ACCEPTED",1,"")</f>
        <v>1</v>
      </c>
      <c r="H8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7" s="19">
        <f ca="1">Table5[[#This Row],['# months]]-COUNTIFS(Table5[SM_Contract__c],Table5[[#This Row],[SM_Contract__c]],Table5[TYPE],"SUBS",Table5[ACCEPTED],1)</f>
        <v>5</v>
      </c>
      <c r="J87" s="19" t="b">
        <f>ISNUMBER(MATCH(Table5[[#This Row],[SM_Contract__c]],Contract[Id],0))</f>
        <v>1</v>
      </c>
      <c r="K87" s="9" t="s">
        <v>2623</v>
      </c>
      <c r="L87" s="9" t="s">
        <v>2624</v>
      </c>
      <c r="M87" s="9" t="s">
        <v>197</v>
      </c>
      <c r="N87" s="9" t="s">
        <v>3549</v>
      </c>
      <c r="O87" s="9" t="s">
        <v>1563</v>
      </c>
      <c r="P87" s="9" t="s">
        <v>2363</v>
      </c>
      <c r="Q87" s="9" t="s">
        <v>71</v>
      </c>
      <c r="R87" s="9" t="s">
        <v>83</v>
      </c>
      <c r="S87" s="9" t="s">
        <v>94</v>
      </c>
      <c r="T87" s="9" t="s">
        <v>1972</v>
      </c>
      <c r="U87" s="9" t="s">
        <v>106</v>
      </c>
      <c r="V87" s="9" t="s">
        <v>148</v>
      </c>
      <c r="W87" s="9" t="s">
        <v>3590</v>
      </c>
      <c r="X87" s="9" t="s">
        <v>2625</v>
      </c>
      <c r="Y87" s="9"/>
      <c r="Z87" s="9" t="s">
        <v>306</v>
      </c>
      <c r="AA87" s="9" t="s">
        <v>2625</v>
      </c>
    </row>
    <row r="88" spans="1:27" x14ac:dyDescent="0.35">
      <c r="A88" s="4" t="str">
        <f>IF(Table5[[#This Row],[SM_Amount__c]]="25.0","FEE",IF(IF(Table5[[#This Row],[SM_Original_Type__c]]="",Table5[[#This Row],[SM_Type__c]],Table5[[#This Row],[SM_Original_Type__c]])="AC","AC","SUBS"))</f>
        <v>SUBS</v>
      </c>
      <c r="B88" s="27">
        <f>IF(INDEX(Contract[SM_AC_start_date__c],MATCH(Table5[[#This Row],[SM_Contract__c]],Contract[Id],0))=0,"",INDEX(Contract[SM_AC_start_date__c],MATCH(Table5[[#This Row],[SM_Contract__c]],Contract[Id],0)))</f>
        <v>45589</v>
      </c>
      <c r="C88" s="27" t="str">
        <f>IF(INDEX(Contract[SM_AC_Split_Date__c],MATCH(Table5[[#This Row],[SM_Contract__c]],Contract[Id],0))=0,"",INDEX(Contract[SM_AC_Split_Date__c],MATCH(Table5[[#This Row],[SM_Contract__c]],Contract[Id],0)))</f>
        <v/>
      </c>
      <c r="D88" s="27">
        <f>IF(INDEX(Contract[SM_Start_date__c],MATCH(Table5[[#This Row],[SM_Contract__c]],Contract[Id],0))=0,"",INDEX(Contract[SM_Start_date__c],MATCH(Table5[[#This Row],[SM_Contract__c]],Contract[Id],0)))</f>
        <v>45626</v>
      </c>
      <c r="E88" s="4">
        <f ca="1">(YEAR(TODAY())-YEAR(Table5[[#This Row],[RC DATE]]))*12 + MONTH(TODAY())-MONTH(Table5[[#This Row],[RC DATE]])</f>
        <v>20</v>
      </c>
      <c r="F8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8" s="19">
        <f>IF(Table5[[#This Row],[Payment_Status__c]]="ACCEPTED",1,"")</f>
        <v>1</v>
      </c>
      <c r="H8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8" s="19">
        <f ca="1">Table5[[#This Row],['# months]]-COUNTIFS(Table5[SM_Contract__c],Table5[[#This Row],[SM_Contract__c]],Table5[TYPE],"SUBS",Table5[ACCEPTED],1)</f>
        <v>5</v>
      </c>
      <c r="J88" s="19" t="b">
        <f>ISNUMBER(MATCH(Table5[[#This Row],[SM_Contract__c]],Contract[Id],0))</f>
        <v>1</v>
      </c>
      <c r="K88" s="9" t="s">
        <v>2626</v>
      </c>
      <c r="L88" s="9" t="s">
        <v>2627</v>
      </c>
      <c r="M88" s="9" t="s">
        <v>197</v>
      </c>
      <c r="N88" s="9" t="s">
        <v>3549</v>
      </c>
      <c r="O88" s="9" t="s">
        <v>1563</v>
      </c>
      <c r="P88" s="9" t="s">
        <v>2363</v>
      </c>
      <c r="Q88" s="9" t="s">
        <v>71</v>
      </c>
      <c r="R88" s="9" t="s">
        <v>83</v>
      </c>
      <c r="S88" s="9" t="s">
        <v>94</v>
      </c>
      <c r="T88" s="9" t="s">
        <v>1972</v>
      </c>
      <c r="U88" s="9" t="s">
        <v>106</v>
      </c>
      <c r="V88" s="9" t="s">
        <v>148</v>
      </c>
      <c r="W88" s="9" t="s">
        <v>3624</v>
      </c>
      <c r="X88" s="9" t="s">
        <v>2628</v>
      </c>
      <c r="Y88" s="9"/>
      <c r="Z88" s="9" t="s">
        <v>345</v>
      </c>
      <c r="AA88" s="9" t="s">
        <v>2628</v>
      </c>
    </row>
    <row r="89" spans="1:27" x14ac:dyDescent="0.35">
      <c r="A89" s="4" t="str">
        <f>IF(Table5[[#This Row],[SM_Amount__c]]="25.0","FEE",IF(IF(Table5[[#This Row],[SM_Original_Type__c]]="",Table5[[#This Row],[SM_Type__c]],Table5[[#This Row],[SM_Original_Type__c]])="AC","AC","SUBS"))</f>
        <v>SUBS</v>
      </c>
      <c r="B89" s="27">
        <f>IF(INDEX(Contract[SM_AC_start_date__c],MATCH(Table5[[#This Row],[SM_Contract__c]],Contract[Id],0))=0,"",INDEX(Contract[SM_AC_start_date__c],MATCH(Table5[[#This Row],[SM_Contract__c]],Contract[Id],0)))</f>
        <v>45589</v>
      </c>
      <c r="C89" s="27" t="str">
        <f>IF(INDEX(Contract[SM_AC_Split_Date__c],MATCH(Table5[[#This Row],[SM_Contract__c]],Contract[Id],0))=0,"",INDEX(Contract[SM_AC_Split_Date__c],MATCH(Table5[[#This Row],[SM_Contract__c]],Contract[Id],0)))</f>
        <v/>
      </c>
      <c r="D89" s="27">
        <f>IF(INDEX(Contract[SM_Start_date__c],MATCH(Table5[[#This Row],[SM_Contract__c]],Contract[Id],0))=0,"",INDEX(Contract[SM_Start_date__c],MATCH(Table5[[#This Row],[SM_Contract__c]],Contract[Id],0)))</f>
        <v>45626</v>
      </c>
      <c r="E89" s="4">
        <f ca="1">(YEAR(TODAY())-YEAR(Table5[[#This Row],[RC DATE]]))*12 + MONTH(TODAY())-MONTH(Table5[[#This Row],[RC DATE]])</f>
        <v>20</v>
      </c>
      <c r="F8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89" s="19">
        <f>IF(Table5[[#This Row],[Payment_Status__c]]="ACCEPTED",1,"")</f>
        <v>1</v>
      </c>
      <c r="H8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89" s="19">
        <f ca="1">Table5[[#This Row],['# months]]-COUNTIFS(Table5[SM_Contract__c],Table5[[#This Row],[SM_Contract__c]],Table5[TYPE],"SUBS",Table5[ACCEPTED],1)</f>
        <v>5</v>
      </c>
      <c r="J89" s="19" t="b">
        <f>ISNUMBER(MATCH(Table5[[#This Row],[SM_Contract__c]],Contract[Id],0))</f>
        <v>1</v>
      </c>
      <c r="K89" s="9" t="s">
        <v>2629</v>
      </c>
      <c r="L89" s="9" t="s">
        <v>2630</v>
      </c>
      <c r="M89" s="9" t="s">
        <v>197</v>
      </c>
      <c r="N89" s="9" t="s">
        <v>3549</v>
      </c>
      <c r="O89" s="9" t="s">
        <v>1563</v>
      </c>
      <c r="P89" s="9" t="s">
        <v>2363</v>
      </c>
      <c r="Q89" s="9" t="s">
        <v>83</v>
      </c>
      <c r="R89" s="9" t="s">
        <v>76</v>
      </c>
      <c r="S89" s="9" t="s">
        <v>106</v>
      </c>
      <c r="T89" s="9" t="s">
        <v>149</v>
      </c>
      <c r="U89" s="9" t="s">
        <v>106</v>
      </c>
      <c r="V89" s="9" t="s">
        <v>93</v>
      </c>
      <c r="W89" s="9" t="s">
        <v>3556</v>
      </c>
      <c r="X89" s="9" t="s">
        <v>2609</v>
      </c>
      <c r="Y89" s="9"/>
      <c r="Z89" s="9"/>
      <c r="AA89" s="9" t="s">
        <v>2609</v>
      </c>
    </row>
    <row r="90" spans="1:27" x14ac:dyDescent="0.35">
      <c r="A90" s="4" t="str">
        <f>IF(Table5[[#This Row],[SM_Amount__c]]="25.0","FEE",IF(IF(Table5[[#This Row],[SM_Original_Type__c]]="",Table5[[#This Row],[SM_Type__c]],Table5[[#This Row],[SM_Original_Type__c]])="AC","AC","SUBS"))</f>
        <v>SUBS</v>
      </c>
      <c r="B90" s="27">
        <f>IF(INDEX(Contract[SM_AC_start_date__c],MATCH(Table5[[#This Row],[SM_Contract__c]],Contract[Id],0))=0,"",INDEX(Contract[SM_AC_start_date__c],MATCH(Table5[[#This Row],[SM_Contract__c]],Contract[Id],0)))</f>
        <v>45589</v>
      </c>
      <c r="C90" s="27" t="str">
        <f>IF(INDEX(Contract[SM_AC_Split_Date__c],MATCH(Table5[[#This Row],[SM_Contract__c]],Contract[Id],0))=0,"",INDEX(Contract[SM_AC_Split_Date__c],MATCH(Table5[[#This Row],[SM_Contract__c]],Contract[Id],0)))</f>
        <v/>
      </c>
      <c r="D90" s="27">
        <f>IF(INDEX(Contract[SM_Start_date__c],MATCH(Table5[[#This Row],[SM_Contract__c]],Contract[Id],0))=0,"",INDEX(Contract[SM_Start_date__c],MATCH(Table5[[#This Row],[SM_Contract__c]],Contract[Id],0)))</f>
        <v>45626</v>
      </c>
      <c r="E90" s="4">
        <f ca="1">(YEAR(TODAY())-YEAR(Table5[[#This Row],[RC DATE]]))*12 + MONTH(TODAY())-MONTH(Table5[[#This Row],[RC DATE]])</f>
        <v>20</v>
      </c>
      <c r="F9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0" s="19">
        <f>IF(Table5[[#This Row],[Payment_Status__c]]="ACCEPTED",1,"")</f>
        <v>1</v>
      </c>
      <c r="H9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0" s="19">
        <f ca="1">Table5[[#This Row],['# months]]-COUNTIFS(Table5[SM_Contract__c],Table5[[#This Row],[SM_Contract__c]],Table5[TYPE],"SUBS",Table5[ACCEPTED],1)</f>
        <v>5</v>
      </c>
      <c r="J90" s="19" t="b">
        <f>ISNUMBER(MATCH(Table5[[#This Row],[SM_Contract__c]],Contract[Id],0))</f>
        <v>1</v>
      </c>
      <c r="K90" s="9" t="s">
        <v>2631</v>
      </c>
      <c r="L90" s="9" t="s">
        <v>2632</v>
      </c>
      <c r="M90" s="9" t="s">
        <v>197</v>
      </c>
      <c r="N90" s="9" t="s">
        <v>3549</v>
      </c>
      <c r="O90" s="9" t="s">
        <v>1563</v>
      </c>
      <c r="P90" s="9" t="s">
        <v>2363</v>
      </c>
      <c r="Q90" s="9" t="s">
        <v>83</v>
      </c>
      <c r="R90" s="9" t="s">
        <v>76</v>
      </c>
      <c r="S90" s="9" t="s">
        <v>106</v>
      </c>
      <c r="T90" s="9" t="s">
        <v>149</v>
      </c>
      <c r="U90" s="9" t="s">
        <v>106</v>
      </c>
      <c r="V90" s="9" t="s">
        <v>93</v>
      </c>
      <c r="W90" s="9" t="s">
        <v>3557</v>
      </c>
      <c r="X90" s="9" t="s">
        <v>2610</v>
      </c>
      <c r="Y90" s="9"/>
      <c r="Z90" s="9"/>
      <c r="AA90" s="9" t="s">
        <v>2610</v>
      </c>
    </row>
    <row r="91" spans="1:27" x14ac:dyDescent="0.35">
      <c r="A91" s="4" t="str">
        <f>IF(Table5[[#This Row],[SM_Amount__c]]="25.0","FEE",IF(IF(Table5[[#This Row],[SM_Original_Type__c]]="",Table5[[#This Row],[SM_Type__c]],Table5[[#This Row],[SM_Original_Type__c]])="AC","AC","SUBS"))</f>
        <v>SUBS</v>
      </c>
      <c r="B91" s="27">
        <f>IF(INDEX(Contract[SM_AC_start_date__c],MATCH(Table5[[#This Row],[SM_Contract__c]],Contract[Id],0))=0,"",INDEX(Contract[SM_AC_start_date__c],MATCH(Table5[[#This Row],[SM_Contract__c]],Contract[Id],0)))</f>
        <v>45589</v>
      </c>
      <c r="C91" s="27" t="str">
        <f>IF(INDEX(Contract[SM_AC_Split_Date__c],MATCH(Table5[[#This Row],[SM_Contract__c]],Contract[Id],0))=0,"",INDEX(Contract[SM_AC_Split_Date__c],MATCH(Table5[[#This Row],[SM_Contract__c]],Contract[Id],0)))</f>
        <v/>
      </c>
      <c r="D91" s="27">
        <f>IF(INDEX(Contract[SM_Start_date__c],MATCH(Table5[[#This Row],[SM_Contract__c]],Contract[Id],0))=0,"",INDEX(Contract[SM_Start_date__c],MATCH(Table5[[#This Row],[SM_Contract__c]],Contract[Id],0)))</f>
        <v>45626</v>
      </c>
      <c r="E91" s="4">
        <f ca="1">(YEAR(TODAY())-YEAR(Table5[[#This Row],[RC DATE]]))*12 + MONTH(TODAY())-MONTH(Table5[[#This Row],[RC DATE]])</f>
        <v>20</v>
      </c>
      <c r="F9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1" s="19">
        <f>IF(Table5[[#This Row],[Payment_Status__c]]="ACCEPTED",1,"")</f>
        <v>1</v>
      </c>
      <c r="H9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1" s="19">
        <f ca="1">Table5[[#This Row],['# months]]-COUNTIFS(Table5[SM_Contract__c],Table5[[#This Row],[SM_Contract__c]],Table5[TYPE],"SUBS",Table5[ACCEPTED],1)</f>
        <v>5</v>
      </c>
      <c r="J91" s="19" t="b">
        <f>ISNUMBER(MATCH(Table5[[#This Row],[SM_Contract__c]],Contract[Id],0))</f>
        <v>1</v>
      </c>
      <c r="K91" s="9" t="s">
        <v>2633</v>
      </c>
      <c r="L91" s="9" t="s">
        <v>2634</v>
      </c>
      <c r="M91" s="9" t="s">
        <v>197</v>
      </c>
      <c r="N91" s="9" t="s">
        <v>3549</v>
      </c>
      <c r="O91" s="9" t="s">
        <v>1563</v>
      </c>
      <c r="P91" s="9" t="s">
        <v>2363</v>
      </c>
      <c r="Q91" s="9" t="s">
        <v>83</v>
      </c>
      <c r="R91" s="9" t="s">
        <v>76</v>
      </c>
      <c r="S91" s="9" t="s">
        <v>106</v>
      </c>
      <c r="T91" s="9" t="s">
        <v>149</v>
      </c>
      <c r="U91" s="9" t="s">
        <v>106</v>
      </c>
      <c r="V91" s="9" t="s">
        <v>93</v>
      </c>
      <c r="W91" s="9" t="s">
        <v>3558</v>
      </c>
      <c r="X91" s="9" t="s">
        <v>2635</v>
      </c>
      <c r="Y91" s="9"/>
      <c r="Z91" s="9"/>
      <c r="AA91" s="9" t="s">
        <v>2635</v>
      </c>
    </row>
    <row r="92" spans="1:27" x14ac:dyDescent="0.35">
      <c r="A92" s="4" t="str">
        <f>IF(Table5[[#This Row],[SM_Amount__c]]="25.0","FEE",IF(IF(Table5[[#This Row],[SM_Original_Type__c]]="",Table5[[#This Row],[SM_Type__c]],Table5[[#This Row],[SM_Original_Type__c]])="AC","AC","SUBS"))</f>
        <v>SUBS</v>
      </c>
      <c r="B92" s="27">
        <f>IF(INDEX(Contract[SM_AC_start_date__c],MATCH(Table5[[#This Row],[SM_Contract__c]],Contract[Id],0))=0,"",INDEX(Contract[SM_AC_start_date__c],MATCH(Table5[[#This Row],[SM_Contract__c]],Contract[Id],0)))</f>
        <v>45589</v>
      </c>
      <c r="C92" s="27" t="str">
        <f>IF(INDEX(Contract[SM_AC_Split_Date__c],MATCH(Table5[[#This Row],[SM_Contract__c]],Contract[Id],0))=0,"",INDEX(Contract[SM_AC_Split_Date__c],MATCH(Table5[[#This Row],[SM_Contract__c]],Contract[Id],0)))</f>
        <v/>
      </c>
      <c r="D92" s="27">
        <f>IF(INDEX(Contract[SM_Start_date__c],MATCH(Table5[[#This Row],[SM_Contract__c]],Contract[Id],0))=0,"",INDEX(Contract[SM_Start_date__c],MATCH(Table5[[#This Row],[SM_Contract__c]],Contract[Id],0)))</f>
        <v>45626</v>
      </c>
      <c r="E92" s="4">
        <f ca="1">(YEAR(TODAY())-YEAR(Table5[[#This Row],[RC DATE]]))*12 + MONTH(TODAY())-MONTH(Table5[[#This Row],[RC DATE]])</f>
        <v>20</v>
      </c>
      <c r="F9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2" s="19">
        <f>IF(Table5[[#This Row],[Payment_Status__c]]="ACCEPTED",1,"")</f>
        <v>1</v>
      </c>
      <c r="H9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2" s="19">
        <f ca="1">Table5[[#This Row],['# months]]-COUNTIFS(Table5[SM_Contract__c],Table5[[#This Row],[SM_Contract__c]],Table5[TYPE],"SUBS",Table5[ACCEPTED],1)</f>
        <v>5</v>
      </c>
      <c r="J92" s="19" t="b">
        <f>ISNUMBER(MATCH(Table5[[#This Row],[SM_Contract__c]],Contract[Id],0))</f>
        <v>1</v>
      </c>
      <c r="K92" s="9" t="s">
        <v>2636</v>
      </c>
      <c r="L92" s="9" t="s">
        <v>2637</v>
      </c>
      <c r="M92" s="9" t="s">
        <v>197</v>
      </c>
      <c r="N92" s="9" t="s">
        <v>3549</v>
      </c>
      <c r="O92" s="9" t="s">
        <v>1563</v>
      </c>
      <c r="P92" s="9" t="s">
        <v>2363</v>
      </c>
      <c r="Q92" s="9" t="s">
        <v>83</v>
      </c>
      <c r="R92" s="9" t="s">
        <v>76</v>
      </c>
      <c r="S92" s="9" t="s">
        <v>106</v>
      </c>
      <c r="T92" s="9" t="s">
        <v>149</v>
      </c>
      <c r="U92" s="9" t="s">
        <v>106</v>
      </c>
      <c r="V92" s="9" t="s">
        <v>93</v>
      </c>
      <c r="W92" s="9" t="s">
        <v>3559</v>
      </c>
      <c r="X92" s="9" t="s">
        <v>2605</v>
      </c>
      <c r="Y92" s="9"/>
      <c r="Z92" s="9"/>
      <c r="AA92" s="9" t="s">
        <v>2605</v>
      </c>
    </row>
    <row r="93" spans="1:27" x14ac:dyDescent="0.35">
      <c r="A93" s="4" t="str">
        <f>IF(Table5[[#This Row],[SM_Amount__c]]="25.0","FEE",IF(IF(Table5[[#This Row],[SM_Original_Type__c]]="",Table5[[#This Row],[SM_Type__c]],Table5[[#This Row],[SM_Original_Type__c]])="AC","AC","SUBS"))</f>
        <v>SUBS</v>
      </c>
      <c r="B93" s="27">
        <f>IF(INDEX(Contract[SM_AC_start_date__c],MATCH(Table5[[#This Row],[SM_Contract__c]],Contract[Id],0))=0,"",INDEX(Contract[SM_AC_start_date__c],MATCH(Table5[[#This Row],[SM_Contract__c]],Contract[Id],0)))</f>
        <v>45589</v>
      </c>
      <c r="C93" s="27" t="str">
        <f>IF(INDEX(Contract[SM_AC_Split_Date__c],MATCH(Table5[[#This Row],[SM_Contract__c]],Contract[Id],0))=0,"",INDEX(Contract[SM_AC_Split_Date__c],MATCH(Table5[[#This Row],[SM_Contract__c]],Contract[Id],0)))</f>
        <v/>
      </c>
      <c r="D93" s="27">
        <f>IF(INDEX(Contract[SM_Start_date__c],MATCH(Table5[[#This Row],[SM_Contract__c]],Contract[Id],0))=0,"",INDEX(Contract[SM_Start_date__c],MATCH(Table5[[#This Row],[SM_Contract__c]],Contract[Id],0)))</f>
        <v>45626</v>
      </c>
      <c r="E93" s="4">
        <f ca="1">(YEAR(TODAY())-YEAR(Table5[[#This Row],[RC DATE]]))*12 + MONTH(TODAY())-MONTH(Table5[[#This Row],[RC DATE]])</f>
        <v>20</v>
      </c>
      <c r="F9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3" s="19">
        <f>IF(Table5[[#This Row],[Payment_Status__c]]="ACCEPTED",1,"")</f>
        <v>1</v>
      </c>
      <c r="H9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3" s="19">
        <f ca="1">Table5[[#This Row],['# months]]-COUNTIFS(Table5[SM_Contract__c],Table5[[#This Row],[SM_Contract__c]],Table5[TYPE],"SUBS",Table5[ACCEPTED],1)</f>
        <v>5</v>
      </c>
      <c r="J93" s="19" t="b">
        <f>ISNUMBER(MATCH(Table5[[#This Row],[SM_Contract__c]],Contract[Id],0))</f>
        <v>1</v>
      </c>
      <c r="K93" s="9" t="s">
        <v>2638</v>
      </c>
      <c r="L93" s="9" t="s">
        <v>2639</v>
      </c>
      <c r="M93" s="9" t="s">
        <v>197</v>
      </c>
      <c r="N93" s="9" t="s">
        <v>3549</v>
      </c>
      <c r="O93" s="9" t="s">
        <v>1563</v>
      </c>
      <c r="P93" s="9" t="s">
        <v>2363</v>
      </c>
      <c r="Q93" s="9" t="s">
        <v>83</v>
      </c>
      <c r="R93" s="9" t="s">
        <v>76</v>
      </c>
      <c r="S93" s="9" t="s">
        <v>106</v>
      </c>
      <c r="T93" s="9" t="s">
        <v>149</v>
      </c>
      <c r="U93" s="9" t="s">
        <v>106</v>
      </c>
      <c r="V93" s="9" t="s">
        <v>93</v>
      </c>
      <c r="W93" s="9" t="s">
        <v>3612</v>
      </c>
      <c r="X93" s="9" t="s">
        <v>2567</v>
      </c>
      <c r="Y93" s="9"/>
      <c r="Z93" s="9"/>
      <c r="AA93" s="9" t="s">
        <v>2567</v>
      </c>
    </row>
    <row r="94" spans="1:27" x14ac:dyDescent="0.35">
      <c r="A94" s="4" t="str">
        <f>IF(Table5[[#This Row],[SM_Amount__c]]="25.0","FEE",IF(IF(Table5[[#This Row],[SM_Original_Type__c]]="",Table5[[#This Row],[SM_Type__c]],Table5[[#This Row],[SM_Original_Type__c]])="AC","AC","SUBS"))</f>
        <v>SUBS</v>
      </c>
      <c r="B94" s="27">
        <f>IF(INDEX(Contract[SM_AC_start_date__c],MATCH(Table5[[#This Row],[SM_Contract__c]],Contract[Id],0))=0,"",INDEX(Contract[SM_AC_start_date__c],MATCH(Table5[[#This Row],[SM_Contract__c]],Contract[Id],0)))</f>
        <v>45589</v>
      </c>
      <c r="C94" s="27" t="str">
        <f>IF(INDEX(Contract[SM_AC_Split_Date__c],MATCH(Table5[[#This Row],[SM_Contract__c]],Contract[Id],0))=0,"",INDEX(Contract[SM_AC_Split_Date__c],MATCH(Table5[[#This Row],[SM_Contract__c]],Contract[Id],0)))</f>
        <v/>
      </c>
      <c r="D94" s="27">
        <f>IF(INDEX(Contract[SM_Start_date__c],MATCH(Table5[[#This Row],[SM_Contract__c]],Contract[Id],0))=0,"",INDEX(Contract[SM_Start_date__c],MATCH(Table5[[#This Row],[SM_Contract__c]],Contract[Id],0)))</f>
        <v>45626</v>
      </c>
      <c r="E94" s="4">
        <f ca="1">(YEAR(TODAY())-YEAR(Table5[[#This Row],[RC DATE]]))*12 + MONTH(TODAY())-MONTH(Table5[[#This Row],[RC DATE]])</f>
        <v>20</v>
      </c>
      <c r="F9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4" s="19">
        <f>IF(Table5[[#This Row],[Payment_Status__c]]="ACCEPTED",1,"")</f>
        <v>1</v>
      </c>
      <c r="H9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4" s="19">
        <f ca="1">Table5[[#This Row],['# months]]-COUNTIFS(Table5[SM_Contract__c],Table5[[#This Row],[SM_Contract__c]],Table5[TYPE],"SUBS",Table5[ACCEPTED],1)</f>
        <v>5</v>
      </c>
      <c r="J94" s="19" t="b">
        <f>ISNUMBER(MATCH(Table5[[#This Row],[SM_Contract__c]],Contract[Id],0))</f>
        <v>1</v>
      </c>
      <c r="K94" s="9" t="s">
        <v>2640</v>
      </c>
      <c r="L94" s="9" t="s">
        <v>2641</v>
      </c>
      <c r="M94" s="9" t="s">
        <v>197</v>
      </c>
      <c r="N94" s="9" t="s">
        <v>3549</v>
      </c>
      <c r="O94" s="9" t="s">
        <v>1563</v>
      </c>
      <c r="P94" s="9" t="s">
        <v>2363</v>
      </c>
      <c r="Q94" s="9" t="s">
        <v>83</v>
      </c>
      <c r="R94" s="9" t="s">
        <v>76</v>
      </c>
      <c r="S94" s="9" t="s">
        <v>106</v>
      </c>
      <c r="T94" s="9" t="s">
        <v>106</v>
      </c>
      <c r="U94" s="9" t="s">
        <v>106</v>
      </c>
      <c r="V94" s="9" t="s">
        <v>93</v>
      </c>
      <c r="W94" s="9" t="s">
        <v>3561</v>
      </c>
      <c r="X94" s="9" t="s">
        <v>2611</v>
      </c>
      <c r="Y94" s="9"/>
      <c r="Z94" s="9"/>
      <c r="AA94" s="9" t="s">
        <v>2611</v>
      </c>
    </row>
    <row r="95" spans="1:27" x14ac:dyDescent="0.35">
      <c r="A95" s="4" t="str">
        <f>IF(Table5[[#This Row],[SM_Amount__c]]="25.0","FEE",IF(IF(Table5[[#This Row],[SM_Original_Type__c]]="",Table5[[#This Row],[SM_Type__c]],Table5[[#This Row],[SM_Original_Type__c]])="AC","AC","SUBS"))</f>
        <v>SUBS</v>
      </c>
      <c r="B95" s="27">
        <f>IF(INDEX(Contract[SM_AC_start_date__c],MATCH(Table5[[#This Row],[SM_Contract__c]],Contract[Id],0))=0,"",INDEX(Contract[SM_AC_start_date__c],MATCH(Table5[[#This Row],[SM_Contract__c]],Contract[Id],0)))</f>
        <v>45589</v>
      </c>
      <c r="C95" s="27" t="str">
        <f>IF(INDEX(Contract[SM_AC_Split_Date__c],MATCH(Table5[[#This Row],[SM_Contract__c]],Contract[Id],0))=0,"",INDEX(Contract[SM_AC_Split_Date__c],MATCH(Table5[[#This Row],[SM_Contract__c]],Contract[Id],0)))</f>
        <v/>
      </c>
      <c r="D95" s="27">
        <f>IF(INDEX(Contract[SM_Start_date__c],MATCH(Table5[[#This Row],[SM_Contract__c]],Contract[Id],0))=0,"",INDEX(Contract[SM_Start_date__c],MATCH(Table5[[#This Row],[SM_Contract__c]],Contract[Id],0)))</f>
        <v>45626</v>
      </c>
      <c r="E95" s="4">
        <f ca="1">(YEAR(TODAY())-YEAR(Table5[[#This Row],[RC DATE]]))*12 + MONTH(TODAY())-MONTH(Table5[[#This Row],[RC DATE]])</f>
        <v>20</v>
      </c>
      <c r="F9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5" s="19">
        <f>IF(Table5[[#This Row],[Payment_Status__c]]="ACCEPTED",1,"")</f>
        <v>1</v>
      </c>
      <c r="H9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5" s="19">
        <f ca="1">Table5[[#This Row],['# months]]-COUNTIFS(Table5[SM_Contract__c],Table5[[#This Row],[SM_Contract__c]],Table5[TYPE],"SUBS",Table5[ACCEPTED],1)</f>
        <v>5</v>
      </c>
      <c r="J95" s="19" t="b">
        <f>ISNUMBER(MATCH(Table5[[#This Row],[SM_Contract__c]],Contract[Id],0))</f>
        <v>1</v>
      </c>
      <c r="K95" s="9" t="s">
        <v>2642</v>
      </c>
      <c r="L95" s="9" t="s">
        <v>2643</v>
      </c>
      <c r="M95" s="9" t="s">
        <v>197</v>
      </c>
      <c r="N95" s="9" t="s">
        <v>3549</v>
      </c>
      <c r="O95" s="9" t="s">
        <v>1563</v>
      </c>
      <c r="P95" s="9" t="s">
        <v>2363</v>
      </c>
      <c r="Q95" s="9" t="s">
        <v>83</v>
      </c>
      <c r="R95" s="9" t="s">
        <v>76</v>
      </c>
      <c r="S95" s="9" t="s">
        <v>106</v>
      </c>
      <c r="T95" s="9" t="s">
        <v>106</v>
      </c>
      <c r="U95" s="9" t="s">
        <v>106</v>
      </c>
      <c r="V95" s="9" t="s">
        <v>93</v>
      </c>
      <c r="W95" s="9" t="s">
        <v>3562</v>
      </c>
      <c r="X95" s="9" t="s">
        <v>2612</v>
      </c>
      <c r="Y95" s="9"/>
      <c r="Z95" s="9"/>
      <c r="AA95" s="9" t="s">
        <v>2612</v>
      </c>
    </row>
    <row r="96" spans="1:27" x14ac:dyDescent="0.35">
      <c r="A96" s="4" t="str">
        <f>IF(Table5[[#This Row],[SM_Amount__c]]="25.0","FEE",IF(IF(Table5[[#This Row],[SM_Original_Type__c]]="",Table5[[#This Row],[SM_Type__c]],Table5[[#This Row],[SM_Original_Type__c]])="AC","AC","SUBS"))</f>
        <v>SUBS</v>
      </c>
      <c r="B96" s="27">
        <f>IF(INDEX(Contract[SM_AC_start_date__c],MATCH(Table5[[#This Row],[SM_Contract__c]],Contract[Id],0))=0,"",INDEX(Contract[SM_AC_start_date__c],MATCH(Table5[[#This Row],[SM_Contract__c]],Contract[Id],0)))</f>
        <v>45589</v>
      </c>
      <c r="C96" s="27" t="str">
        <f>IF(INDEX(Contract[SM_AC_Split_Date__c],MATCH(Table5[[#This Row],[SM_Contract__c]],Contract[Id],0))=0,"",INDEX(Contract[SM_AC_Split_Date__c],MATCH(Table5[[#This Row],[SM_Contract__c]],Contract[Id],0)))</f>
        <v/>
      </c>
      <c r="D96" s="27">
        <f>IF(INDEX(Contract[SM_Start_date__c],MATCH(Table5[[#This Row],[SM_Contract__c]],Contract[Id],0))=0,"",INDEX(Contract[SM_Start_date__c],MATCH(Table5[[#This Row],[SM_Contract__c]],Contract[Id],0)))</f>
        <v>45626</v>
      </c>
      <c r="E96" s="4">
        <f ca="1">(YEAR(TODAY())-YEAR(Table5[[#This Row],[RC DATE]]))*12 + MONTH(TODAY())-MONTH(Table5[[#This Row],[RC DATE]])</f>
        <v>20</v>
      </c>
      <c r="F9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6" s="19">
        <f>IF(Table5[[#This Row],[Payment_Status__c]]="ACCEPTED",1,"")</f>
        <v>1</v>
      </c>
      <c r="H9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6" s="19">
        <f ca="1">Table5[[#This Row],['# months]]-COUNTIFS(Table5[SM_Contract__c],Table5[[#This Row],[SM_Contract__c]],Table5[TYPE],"SUBS",Table5[ACCEPTED],1)</f>
        <v>5</v>
      </c>
      <c r="J96" s="19" t="b">
        <f>ISNUMBER(MATCH(Table5[[#This Row],[SM_Contract__c]],Contract[Id],0))</f>
        <v>1</v>
      </c>
      <c r="K96" s="9" t="s">
        <v>2644</v>
      </c>
      <c r="L96" s="9" t="s">
        <v>2645</v>
      </c>
      <c r="M96" s="9" t="s">
        <v>197</v>
      </c>
      <c r="N96" s="9" t="s">
        <v>3549</v>
      </c>
      <c r="O96" s="9" t="s">
        <v>1563</v>
      </c>
      <c r="P96" s="9" t="s">
        <v>2363</v>
      </c>
      <c r="Q96" s="9" t="s">
        <v>83</v>
      </c>
      <c r="R96" s="9" t="s">
        <v>76</v>
      </c>
      <c r="S96" s="9" t="s">
        <v>106</v>
      </c>
      <c r="T96" s="9" t="s">
        <v>106</v>
      </c>
      <c r="U96" s="9" t="s">
        <v>106</v>
      </c>
      <c r="V96" s="9" t="s">
        <v>93</v>
      </c>
      <c r="W96" s="9" t="s">
        <v>3597</v>
      </c>
      <c r="X96" s="9" t="s">
        <v>2563</v>
      </c>
      <c r="Y96" s="9"/>
      <c r="Z96" s="9"/>
      <c r="AA96" s="9" t="s">
        <v>2563</v>
      </c>
    </row>
    <row r="97" spans="1:27" x14ac:dyDescent="0.35">
      <c r="A97" s="4" t="str">
        <f>IF(Table5[[#This Row],[SM_Amount__c]]="25.0","FEE",IF(IF(Table5[[#This Row],[SM_Original_Type__c]]="",Table5[[#This Row],[SM_Type__c]],Table5[[#This Row],[SM_Original_Type__c]])="AC","AC","SUBS"))</f>
        <v>AC</v>
      </c>
      <c r="B97" s="27">
        <f>IF(INDEX(Contract[SM_AC_start_date__c],MATCH(Table5[[#This Row],[SM_Contract__c]],Contract[Id],0))=0,"",INDEX(Contract[SM_AC_start_date__c],MATCH(Table5[[#This Row],[SM_Contract__c]],Contract[Id],0)))</f>
        <v>45702</v>
      </c>
      <c r="C97" s="27">
        <f>IF(INDEX(Contract[SM_AC_Split_Date__c],MATCH(Table5[[#This Row],[SM_Contract__c]],Contract[Id],0))=0,"",INDEX(Contract[SM_AC_Split_Date__c],MATCH(Table5[[#This Row],[SM_Contract__c]],Contract[Id],0)))</f>
        <v>45716</v>
      </c>
      <c r="D97" s="27">
        <f>IF(INDEX(Contract[SM_Start_date__c],MATCH(Table5[[#This Row],[SM_Contract__c]],Contract[Id],0))=0,"",INDEX(Contract[SM_Start_date__c],MATCH(Table5[[#This Row],[SM_Contract__c]],Contract[Id],0)))</f>
        <v>45746</v>
      </c>
      <c r="E97" s="4">
        <f ca="1">(YEAR(TODAY())-YEAR(Table5[[#This Row],[RC DATE]]))*12 + MONTH(TODAY())-MONTH(Table5[[#This Row],[RC DATE]])</f>
        <v>16</v>
      </c>
      <c r="F9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7" s="19">
        <f>IF(Table5[[#This Row],[Payment_Status__c]]="ACCEPTED",1,"")</f>
        <v>1</v>
      </c>
      <c r="H9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7" s="19">
        <f ca="1">Table5[[#This Row],['# months]]-COUNTIFS(Table5[SM_Contract__c],Table5[[#This Row],[SM_Contract__c]],Table5[TYPE],"SUBS",Table5[ACCEPTED],1)</f>
        <v>5</v>
      </c>
      <c r="J97" s="19" t="b">
        <f>ISNUMBER(MATCH(Table5[[#This Row],[SM_Contract__c]],Contract[Id],0))</f>
        <v>1</v>
      </c>
      <c r="K97" s="9" t="s">
        <v>2647</v>
      </c>
      <c r="L97" s="9" t="s">
        <v>2648</v>
      </c>
      <c r="M97" s="9" t="s">
        <v>220</v>
      </c>
      <c r="N97" s="9" t="s">
        <v>3692</v>
      </c>
      <c r="O97" s="9" t="s">
        <v>1563</v>
      </c>
      <c r="P97" s="9" t="s">
        <v>2363</v>
      </c>
      <c r="Q97" s="9" t="s">
        <v>77</v>
      </c>
      <c r="R97" s="9" t="s">
        <v>77</v>
      </c>
      <c r="S97" s="9" t="s">
        <v>1936</v>
      </c>
      <c r="T97" s="9" t="s">
        <v>1933</v>
      </c>
      <c r="U97" s="9" t="s">
        <v>1936</v>
      </c>
      <c r="V97" s="9" t="s">
        <v>93</v>
      </c>
      <c r="W97" s="9" t="s">
        <v>3573</v>
      </c>
      <c r="X97" s="9" t="s">
        <v>2649</v>
      </c>
      <c r="Y97" s="9"/>
      <c r="Z97" s="9"/>
      <c r="AA97" s="9" t="s">
        <v>2649</v>
      </c>
    </row>
    <row r="98" spans="1:27" x14ac:dyDescent="0.35">
      <c r="A98" s="4" t="str">
        <f>IF(Table5[[#This Row],[SM_Amount__c]]="25.0","FEE",IF(IF(Table5[[#This Row],[SM_Original_Type__c]]="",Table5[[#This Row],[SM_Type__c]],Table5[[#This Row],[SM_Original_Type__c]])="AC","AC","SUBS"))</f>
        <v>AC</v>
      </c>
      <c r="B98" s="27">
        <f>IF(INDEX(Contract[SM_AC_start_date__c],MATCH(Table5[[#This Row],[SM_Contract__c]],Contract[Id],0))=0,"",INDEX(Contract[SM_AC_start_date__c],MATCH(Table5[[#This Row],[SM_Contract__c]],Contract[Id],0)))</f>
        <v>45702</v>
      </c>
      <c r="C98" s="27">
        <f>IF(INDEX(Contract[SM_AC_Split_Date__c],MATCH(Table5[[#This Row],[SM_Contract__c]],Contract[Id],0))=0,"",INDEX(Contract[SM_AC_Split_Date__c],MATCH(Table5[[#This Row],[SM_Contract__c]],Contract[Id],0)))</f>
        <v>45716</v>
      </c>
      <c r="D98" s="27">
        <f>IF(INDEX(Contract[SM_Start_date__c],MATCH(Table5[[#This Row],[SM_Contract__c]],Contract[Id],0))=0,"",INDEX(Contract[SM_Start_date__c],MATCH(Table5[[#This Row],[SM_Contract__c]],Contract[Id],0)))</f>
        <v>45746</v>
      </c>
      <c r="E98" s="4">
        <f ca="1">(YEAR(TODAY())-YEAR(Table5[[#This Row],[RC DATE]]))*12 + MONTH(TODAY())-MONTH(Table5[[#This Row],[RC DATE]])</f>
        <v>16</v>
      </c>
      <c r="F9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8" s="19">
        <f>IF(Table5[[#This Row],[Payment_Status__c]]="ACCEPTED",1,"")</f>
        <v>1</v>
      </c>
      <c r="H9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8" s="19">
        <f ca="1">Table5[[#This Row],['# months]]-COUNTIFS(Table5[SM_Contract__c],Table5[[#This Row],[SM_Contract__c]],Table5[TYPE],"SUBS",Table5[ACCEPTED],1)</f>
        <v>5</v>
      </c>
      <c r="J98" s="19" t="b">
        <f>ISNUMBER(MATCH(Table5[[#This Row],[SM_Contract__c]],Contract[Id],0))</f>
        <v>1</v>
      </c>
      <c r="K98" s="9" t="s">
        <v>2650</v>
      </c>
      <c r="L98" s="9" t="s">
        <v>2651</v>
      </c>
      <c r="M98" s="9" t="s">
        <v>220</v>
      </c>
      <c r="N98" s="9" t="s">
        <v>3692</v>
      </c>
      <c r="O98" s="9" t="s">
        <v>1563</v>
      </c>
      <c r="P98" s="9" t="s">
        <v>2363</v>
      </c>
      <c r="Q98" s="9" t="s">
        <v>77</v>
      </c>
      <c r="R98" s="9" t="s">
        <v>77</v>
      </c>
      <c r="S98" s="9" t="s">
        <v>1936</v>
      </c>
      <c r="T98" s="9" t="s">
        <v>1933</v>
      </c>
      <c r="U98" s="9" t="s">
        <v>1936</v>
      </c>
      <c r="V98" s="9" t="s">
        <v>93</v>
      </c>
      <c r="W98" s="9" t="s">
        <v>3552</v>
      </c>
      <c r="X98" s="9" t="s">
        <v>2652</v>
      </c>
      <c r="Y98" s="9"/>
      <c r="Z98" s="9"/>
      <c r="AA98" s="9" t="s">
        <v>2652</v>
      </c>
    </row>
    <row r="99" spans="1:27" x14ac:dyDescent="0.35">
      <c r="A99" s="4" t="str">
        <f>IF(Table5[[#This Row],[SM_Amount__c]]="25.0","FEE",IF(IF(Table5[[#This Row],[SM_Original_Type__c]]="",Table5[[#This Row],[SM_Type__c]],Table5[[#This Row],[SM_Original_Type__c]])="AC","AC","SUBS"))</f>
        <v>SUBS</v>
      </c>
      <c r="B99" s="27">
        <f>IF(INDEX(Contract[SM_AC_start_date__c],MATCH(Table5[[#This Row],[SM_Contract__c]],Contract[Id],0))=0,"",INDEX(Contract[SM_AC_start_date__c],MATCH(Table5[[#This Row],[SM_Contract__c]],Contract[Id],0)))</f>
        <v>45702</v>
      </c>
      <c r="C99" s="27">
        <f>IF(INDEX(Contract[SM_AC_Split_Date__c],MATCH(Table5[[#This Row],[SM_Contract__c]],Contract[Id],0))=0,"",INDEX(Contract[SM_AC_Split_Date__c],MATCH(Table5[[#This Row],[SM_Contract__c]],Contract[Id],0)))</f>
        <v>45716</v>
      </c>
      <c r="D99" s="27">
        <f>IF(INDEX(Contract[SM_Start_date__c],MATCH(Table5[[#This Row],[SM_Contract__c]],Contract[Id],0))=0,"",INDEX(Contract[SM_Start_date__c],MATCH(Table5[[#This Row],[SM_Contract__c]],Contract[Id],0)))</f>
        <v>45746</v>
      </c>
      <c r="E99" s="4">
        <f ca="1">(YEAR(TODAY())-YEAR(Table5[[#This Row],[RC DATE]]))*12 + MONTH(TODAY())-MONTH(Table5[[#This Row],[RC DATE]])</f>
        <v>16</v>
      </c>
      <c r="F9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99" s="19">
        <f>IF(Table5[[#This Row],[Payment_Status__c]]="ACCEPTED",1,"")</f>
        <v>1</v>
      </c>
      <c r="H9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99" s="19">
        <f ca="1">Table5[[#This Row],['# months]]-COUNTIFS(Table5[SM_Contract__c],Table5[[#This Row],[SM_Contract__c]],Table5[TYPE],"SUBS",Table5[ACCEPTED],1)</f>
        <v>5</v>
      </c>
      <c r="J99" s="19" t="b">
        <f>ISNUMBER(MATCH(Table5[[#This Row],[SM_Contract__c]],Contract[Id],0))</f>
        <v>1</v>
      </c>
      <c r="K99" s="9" t="s">
        <v>2653</v>
      </c>
      <c r="L99" s="9" t="s">
        <v>2654</v>
      </c>
      <c r="M99" s="9" t="s">
        <v>220</v>
      </c>
      <c r="N99" s="9" t="s">
        <v>3692</v>
      </c>
      <c r="O99" s="9" t="s">
        <v>1563</v>
      </c>
      <c r="P99" s="9" t="s">
        <v>2363</v>
      </c>
      <c r="Q99" s="9" t="s">
        <v>83</v>
      </c>
      <c r="R99" s="9" t="s">
        <v>76</v>
      </c>
      <c r="S99" s="9" t="s">
        <v>91</v>
      </c>
      <c r="T99" s="9" t="s">
        <v>105</v>
      </c>
      <c r="U99" s="9" t="s">
        <v>91</v>
      </c>
      <c r="V99" s="9" t="s">
        <v>93</v>
      </c>
      <c r="W99" s="9" t="s">
        <v>3553</v>
      </c>
      <c r="X99" s="9" t="s">
        <v>2655</v>
      </c>
      <c r="Y99" s="9"/>
      <c r="Z99" s="9"/>
      <c r="AA99" s="9" t="s">
        <v>2655</v>
      </c>
    </row>
    <row r="100" spans="1:27" x14ac:dyDescent="0.35">
      <c r="A100" s="4" t="str">
        <f>IF(Table5[[#This Row],[SM_Amount__c]]="25.0","FEE",IF(IF(Table5[[#This Row],[SM_Original_Type__c]]="",Table5[[#This Row],[SM_Type__c]],Table5[[#This Row],[SM_Original_Type__c]])="AC","AC","SUBS"))</f>
        <v>SUBS</v>
      </c>
      <c r="B100" s="27">
        <f>IF(INDEX(Contract[SM_AC_start_date__c],MATCH(Table5[[#This Row],[SM_Contract__c]],Contract[Id],0))=0,"",INDEX(Contract[SM_AC_start_date__c],MATCH(Table5[[#This Row],[SM_Contract__c]],Contract[Id],0)))</f>
        <v>45702</v>
      </c>
      <c r="C100" s="27">
        <f>IF(INDEX(Contract[SM_AC_Split_Date__c],MATCH(Table5[[#This Row],[SM_Contract__c]],Contract[Id],0))=0,"",INDEX(Contract[SM_AC_Split_Date__c],MATCH(Table5[[#This Row],[SM_Contract__c]],Contract[Id],0)))</f>
        <v>45716</v>
      </c>
      <c r="D100" s="27">
        <f>IF(INDEX(Contract[SM_Start_date__c],MATCH(Table5[[#This Row],[SM_Contract__c]],Contract[Id],0))=0,"",INDEX(Contract[SM_Start_date__c],MATCH(Table5[[#This Row],[SM_Contract__c]],Contract[Id],0)))</f>
        <v>45746</v>
      </c>
      <c r="E100" s="4">
        <f ca="1">(YEAR(TODAY())-YEAR(Table5[[#This Row],[RC DATE]]))*12 + MONTH(TODAY())-MONTH(Table5[[#This Row],[RC DATE]])</f>
        <v>16</v>
      </c>
      <c r="F10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0" s="19">
        <f>IF(Table5[[#This Row],[Payment_Status__c]]="ACCEPTED",1,"")</f>
        <v>1</v>
      </c>
      <c r="H10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0" s="19">
        <f ca="1">Table5[[#This Row],['# months]]-COUNTIFS(Table5[SM_Contract__c],Table5[[#This Row],[SM_Contract__c]],Table5[TYPE],"SUBS",Table5[ACCEPTED],1)</f>
        <v>5</v>
      </c>
      <c r="J100" s="19" t="b">
        <f>ISNUMBER(MATCH(Table5[[#This Row],[SM_Contract__c]],Contract[Id],0))</f>
        <v>1</v>
      </c>
      <c r="K100" s="9" t="s">
        <v>2656</v>
      </c>
      <c r="L100" s="9" t="s">
        <v>2657</v>
      </c>
      <c r="M100" s="9" t="s">
        <v>220</v>
      </c>
      <c r="N100" s="9" t="s">
        <v>3692</v>
      </c>
      <c r="O100" s="9" t="s">
        <v>1563</v>
      </c>
      <c r="P100" s="9" t="s">
        <v>2363</v>
      </c>
      <c r="Q100" s="9" t="s">
        <v>71</v>
      </c>
      <c r="R100" s="9" t="s">
        <v>83</v>
      </c>
      <c r="S100" s="9" t="s">
        <v>2087</v>
      </c>
      <c r="T100" s="9" t="s">
        <v>104</v>
      </c>
      <c r="U100" s="9" t="s">
        <v>91</v>
      </c>
      <c r="V100" s="9" t="s">
        <v>148</v>
      </c>
      <c r="W100" s="9" t="s">
        <v>3676</v>
      </c>
      <c r="X100" s="9" t="s">
        <v>2658</v>
      </c>
      <c r="Y100" s="9"/>
      <c r="Z100" s="9" t="s">
        <v>309</v>
      </c>
      <c r="AA100" s="9" t="s">
        <v>2658</v>
      </c>
    </row>
    <row r="101" spans="1:27" x14ac:dyDescent="0.35">
      <c r="A101" s="4" t="str">
        <f>IF(Table5[[#This Row],[SM_Amount__c]]="25.0","FEE",IF(IF(Table5[[#This Row],[SM_Original_Type__c]]="",Table5[[#This Row],[SM_Type__c]],Table5[[#This Row],[SM_Original_Type__c]])="AC","AC","SUBS"))</f>
        <v>SUBS</v>
      </c>
      <c r="B101" s="27">
        <f>IF(INDEX(Contract[SM_AC_start_date__c],MATCH(Table5[[#This Row],[SM_Contract__c]],Contract[Id],0))=0,"",INDEX(Contract[SM_AC_start_date__c],MATCH(Table5[[#This Row],[SM_Contract__c]],Contract[Id],0)))</f>
        <v>45702</v>
      </c>
      <c r="C101" s="27">
        <f>IF(INDEX(Contract[SM_AC_Split_Date__c],MATCH(Table5[[#This Row],[SM_Contract__c]],Contract[Id],0))=0,"",INDEX(Contract[SM_AC_Split_Date__c],MATCH(Table5[[#This Row],[SM_Contract__c]],Contract[Id],0)))</f>
        <v>45716</v>
      </c>
      <c r="D101" s="27">
        <f>IF(INDEX(Contract[SM_Start_date__c],MATCH(Table5[[#This Row],[SM_Contract__c]],Contract[Id],0))=0,"",INDEX(Contract[SM_Start_date__c],MATCH(Table5[[#This Row],[SM_Contract__c]],Contract[Id],0)))</f>
        <v>45746</v>
      </c>
      <c r="E101" s="4">
        <f ca="1">(YEAR(TODAY())-YEAR(Table5[[#This Row],[RC DATE]]))*12 + MONTH(TODAY())-MONTH(Table5[[#This Row],[RC DATE]])</f>
        <v>16</v>
      </c>
      <c r="F10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1" s="19">
        <f>IF(Table5[[#This Row],[Payment_Status__c]]="ACCEPTED",1,"")</f>
        <v>1</v>
      </c>
      <c r="H10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1" s="19">
        <f ca="1">Table5[[#This Row],['# months]]-COUNTIFS(Table5[SM_Contract__c],Table5[[#This Row],[SM_Contract__c]],Table5[TYPE],"SUBS",Table5[ACCEPTED],1)</f>
        <v>5</v>
      </c>
      <c r="J101" s="19" t="b">
        <f>ISNUMBER(MATCH(Table5[[#This Row],[SM_Contract__c]],Contract[Id],0))</f>
        <v>1</v>
      </c>
      <c r="K101" s="9" t="s">
        <v>2659</v>
      </c>
      <c r="L101" s="9" t="s">
        <v>2660</v>
      </c>
      <c r="M101" s="9" t="s">
        <v>220</v>
      </c>
      <c r="N101" s="9" t="s">
        <v>3692</v>
      </c>
      <c r="O101" s="9" t="s">
        <v>1563</v>
      </c>
      <c r="P101" s="9" t="s">
        <v>2363</v>
      </c>
      <c r="Q101" s="9" t="s">
        <v>83</v>
      </c>
      <c r="R101" s="9" t="s">
        <v>76</v>
      </c>
      <c r="S101" s="9" t="s">
        <v>91</v>
      </c>
      <c r="T101" s="9" t="s">
        <v>105</v>
      </c>
      <c r="U101" s="9" t="s">
        <v>91</v>
      </c>
      <c r="V101" s="9" t="s">
        <v>93</v>
      </c>
      <c r="W101" s="9" t="s">
        <v>3555</v>
      </c>
      <c r="X101" s="9" t="s">
        <v>2661</v>
      </c>
      <c r="Y101" s="9"/>
      <c r="Z101" s="9"/>
      <c r="AA101" s="9" t="s">
        <v>2661</v>
      </c>
    </row>
    <row r="102" spans="1:27" x14ac:dyDescent="0.35">
      <c r="A102" s="4" t="str">
        <f>IF(Table5[[#This Row],[SM_Amount__c]]="25.0","FEE",IF(IF(Table5[[#This Row],[SM_Original_Type__c]]="",Table5[[#This Row],[SM_Type__c]],Table5[[#This Row],[SM_Original_Type__c]])="AC","AC","SUBS"))</f>
        <v>SUBS</v>
      </c>
      <c r="B102" s="27">
        <f>IF(INDEX(Contract[SM_AC_start_date__c],MATCH(Table5[[#This Row],[SM_Contract__c]],Contract[Id],0))=0,"",INDEX(Contract[SM_AC_start_date__c],MATCH(Table5[[#This Row],[SM_Contract__c]],Contract[Id],0)))</f>
        <v>45702</v>
      </c>
      <c r="C102" s="27">
        <f>IF(INDEX(Contract[SM_AC_Split_Date__c],MATCH(Table5[[#This Row],[SM_Contract__c]],Contract[Id],0))=0,"",INDEX(Contract[SM_AC_Split_Date__c],MATCH(Table5[[#This Row],[SM_Contract__c]],Contract[Id],0)))</f>
        <v>45716</v>
      </c>
      <c r="D102" s="27">
        <f>IF(INDEX(Contract[SM_Start_date__c],MATCH(Table5[[#This Row],[SM_Contract__c]],Contract[Id],0))=0,"",INDEX(Contract[SM_Start_date__c],MATCH(Table5[[#This Row],[SM_Contract__c]],Contract[Id],0)))</f>
        <v>45746</v>
      </c>
      <c r="E102" s="4">
        <f ca="1">(YEAR(TODAY())-YEAR(Table5[[#This Row],[RC DATE]]))*12 + MONTH(TODAY())-MONTH(Table5[[#This Row],[RC DATE]])</f>
        <v>16</v>
      </c>
      <c r="F10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2" s="19">
        <f>IF(Table5[[#This Row],[Payment_Status__c]]="ACCEPTED",1,"")</f>
        <v>1</v>
      </c>
      <c r="H10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2" s="19">
        <f ca="1">Table5[[#This Row],['# months]]-COUNTIFS(Table5[SM_Contract__c],Table5[[#This Row],[SM_Contract__c]],Table5[TYPE],"SUBS",Table5[ACCEPTED],1)</f>
        <v>5</v>
      </c>
      <c r="J102" s="19" t="b">
        <f>ISNUMBER(MATCH(Table5[[#This Row],[SM_Contract__c]],Contract[Id],0))</f>
        <v>1</v>
      </c>
      <c r="K102" s="9" t="s">
        <v>2662</v>
      </c>
      <c r="L102" s="9" t="s">
        <v>2663</v>
      </c>
      <c r="M102" s="9" t="s">
        <v>220</v>
      </c>
      <c r="N102" s="9" t="s">
        <v>3692</v>
      </c>
      <c r="O102" s="9" t="s">
        <v>1563</v>
      </c>
      <c r="P102" s="9" t="s">
        <v>2363</v>
      </c>
      <c r="Q102" s="9" t="s">
        <v>83</v>
      </c>
      <c r="R102" s="9" t="s">
        <v>76</v>
      </c>
      <c r="S102" s="9" t="s">
        <v>91</v>
      </c>
      <c r="T102" s="9" t="s">
        <v>105</v>
      </c>
      <c r="U102" s="9" t="s">
        <v>91</v>
      </c>
      <c r="V102" s="9" t="s">
        <v>93</v>
      </c>
      <c r="W102" s="9" t="s">
        <v>3556</v>
      </c>
      <c r="X102" s="9" t="s">
        <v>2664</v>
      </c>
      <c r="Y102" s="9"/>
      <c r="Z102" s="9"/>
      <c r="AA102" s="9" t="s">
        <v>2664</v>
      </c>
    </row>
    <row r="103" spans="1:27" x14ac:dyDescent="0.35">
      <c r="A103" s="4" t="str">
        <f>IF(Table5[[#This Row],[SM_Amount__c]]="25.0","FEE",IF(IF(Table5[[#This Row],[SM_Original_Type__c]]="",Table5[[#This Row],[SM_Type__c]],Table5[[#This Row],[SM_Original_Type__c]])="AC","AC","SUBS"))</f>
        <v>SUBS</v>
      </c>
      <c r="B103" s="27">
        <f>IF(INDEX(Contract[SM_AC_start_date__c],MATCH(Table5[[#This Row],[SM_Contract__c]],Contract[Id],0))=0,"",INDEX(Contract[SM_AC_start_date__c],MATCH(Table5[[#This Row],[SM_Contract__c]],Contract[Id],0)))</f>
        <v>45702</v>
      </c>
      <c r="C103" s="27">
        <f>IF(INDEX(Contract[SM_AC_Split_Date__c],MATCH(Table5[[#This Row],[SM_Contract__c]],Contract[Id],0))=0,"",INDEX(Contract[SM_AC_Split_Date__c],MATCH(Table5[[#This Row],[SM_Contract__c]],Contract[Id],0)))</f>
        <v>45716</v>
      </c>
      <c r="D103" s="27">
        <f>IF(INDEX(Contract[SM_Start_date__c],MATCH(Table5[[#This Row],[SM_Contract__c]],Contract[Id],0))=0,"",INDEX(Contract[SM_Start_date__c],MATCH(Table5[[#This Row],[SM_Contract__c]],Contract[Id],0)))</f>
        <v>45746</v>
      </c>
      <c r="E103" s="4">
        <f ca="1">(YEAR(TODAY())-YEAR(Table5[[#This Row],[RC DATE]]))*12 + MONTH(TODAY())-MONTH(Table5[[#This Row],[RC DATE]])</f>
        <v>16</v>
      </c>
      <c r="F10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3" s="19">
        <f>IF(Table5[[#This Row],[Payment_Status__c]]="ACCEPTED",1,"")</f>
        <v>1</v>
      </c>
      <c r="H10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3" s="19">
        <f ca="1">Table5[[#This Row],['# months]]-COUNTIFS(Table5[SM_Contract__c],Table5[[#This Row],[SM_Contract__c]],Table5[TYPE],"SUBS",Table5[ACCEPTED],1)</f>
        <v>5</v>
      </c>
      <c r="J103" s="19" t="b">
        <f>ISNUMBER(MATCH(Table5[[#This Row],[SM_Contract__c]],Contract[Id],0))</f>
        <v>1</v>
      </c>
      <c r="K103" s="9" t="s">
        <v>2665</v>
      </c>
      <c r="L103" s="9" t="s">
        <v>2666</v>
      </c>
      <c r="M103" s="9" t="s">
        <v>220</v>
      </c>
      <c r="N103" s="9" t="s">
        <v>3692</v>
      </c>
      <c r="O103" s="9" t="s">
        <v>1563</v>
      </c>
      <c r="P103" s="9" t="s">
        <v>2363</v>
      </c>
      <c r="Q103" s="9" t="s">
        <v>83</v>
      </c>
      <c r="R103" s="9" t="s">
        <v>76</v>
      </c>
      <c r="S103" s="9" t="s">
        <v>91</v>
      </c>
      <c r="T103" s="9" t="s">
        <v>105</v>
      </c>
      <c r="U103" s="9" t="s">
        <v>91</v>
      </c>
      <c r="V103" s="9" t="s">
        <v>93</v>
      </c>
      <c r="W103" s="9" t="s">
        <v>3557</v>
      </c>
      <c r="X103" s="9" t="s">
        <v>2667</v>
      </c>
      <c r="Y103" s="9"/>
      <c r="Z103" s="9"/>
      <c r="AA103" s="9" t="s">
        <v>2667</v>
      </c>
    </row>
    <row r="104" spans="1:27" x14ac:dyDescent="0.35">
      <c r="A104" s="4" t="str">
        <f>IF(Table5[[#This Row],[SM_Amount__c]]="25.0","FEE",IF(IF(Table5[[#This Row],[SM_Original_Type__c]]="",Table5[[#This Row],[SM_Type__c]],Table5[[#This Row],[SM_Original_Type__c]])="AC","AC","SUBS"))</f>
        <v>SUBS</v>
      </c>
      <c r="B104" s="27">
        <f>IF(INDEX(Contract[SM_AC_start_date__c],MATCH(Table5[[#This Row],[SM_Contract__c]],Contract[Id],0))=0,"",INDEX(Contract[SM_AC_start_date__c],MATCH(Table5[[#This Row],[SM_Contract__c]],Contract[Id],0)))</f>
        <v>45702</v>
      </c>
      <c r="C104" s="27">
        <f>IF(INDEX(Contract[SM_AC_Split_Date__c],MATCH(Table5[[#This Row],[SM_Contract__c]],Contract[Id],0))=0,"",INDEX(Contract[SM_AC_Split_Date__c],MATCH(Table5[[#This Row],[SM_Contract__c]],Contract[Id],0)))</f>
        <v>45716</v>
      </c>
      <c r="D104" s="27">
        <f>IF(INDEX(Contract[SM_Start_date__c],MATCH(Table5[[#This Row],[SM_Contract__c]],Contract[Id],0))=0,"",INDEX(Contract[SM_Start_date__c],MATCH(Table5[[#This Row],[SM_Contract__c]],Contract[Id],0)))</f>
        <v>45746</v>
      </c>
      <c r="E104" s="4">
        <f ca="1">(YEAR(TODAY())-YEAR(Table5[[#This Row],[RC DATE]]))*12 + MONTH(TODAY())-MONTH(Table5[[#This Row],[RC DATE]])</f>
        <v>16</v>
      </c>
      <c r="F10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4" s="19">
        <f>IF(Table5[[#This Row],[Payment_Status__c]]="ACCEPTED",1,"")</f>
        <v>1</v>
      </c>
      <c r="H10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4" s="19">
        <f ca="1">Table5[[#This Row],['# months]]-COUNTIFS(Table5[SM_Contract__c],Table5[[#This Row],[SM_Contract__c]],Table5[TYPE],"SUBS",Table5[ACCEPTED],1)</f>
        <v>5</v>
      </c>
      <c r="J104" s="19" t="b">
        <f>ISNUMBER(MATCH(Table5[[#This Row],[SM_Contract__c]],Contract[Id],0))</f>
        <v>1</v>
      </c>
      <c r="K104" s="9" t="s">
        <v>2668</v>
      </c>
      <c r="L104" s="9" t="s">
        <v>2669</v>
      </c>
      <c r="M104" s="9" t="s">
        <v>220</v>
      </c>
      <c r="N104" s="9" t="s">
        <v>3692</v>
      </c>
      <c r="O104" s="9" t="s">
        <v>1563</v>
      </c>
      <c r="P104" s="9" t="s">
        <v>2363</v>
      </c>
      <c r="Q104" s="9" t="s">
        <v>83</v>
      </c>
      <c r="R104" s="9" t="s">
        <v>76</v>
      </c>
      <c r="S104" s="9" t="s">
        <v>91</v>
      </c>
      <c r="T104" s="9" t="s">
        <v>105</v>
      </c>
      <c r="U104" s="9" t="s">
        <v>91</v>
      </c>
      <c r="V104" s="9" t="s">
        <v>93</v>
      </c>
      <c r="W104" s="9" t="s">
        <v>3558</v>
      </c>
      <c r="X104" s="9" t="s">
        <v>2670</v>
      </c>
      <c r="Y104" s="9"/>
      <c r="Z104" s="9"/>
      <c r="AA104" s="9" t="s">
        <v>2670</v>
      </c>
    </row>
    <row r="105" spans="1:27" x14ac:dyDescent="0.35">
      <c r="A105" s="4" t="str">
        <f>IF(Table5[[#This Row],[SM_Amount__c]]="25.0","FEE",IF(IF(Table5[[#This Row],[SM_Original_Type__c]]="",Table5[[#This Row],[SM_Type__c]],Table5[[#This Row],[SM_Original_Type__c]])="AC","AC","SUBS"))</f>
        <v>SUBS</v>
      </c>
      <c r="B105" s="27">
        <f>IF(INDEX(Contract[SM_AC_start_date__c],MATCH(Table5[[#This Row],[SM_Contract__c]],Contract[Id],0))=0,"",INDEX(Contract[SM_AC_start_date__c],MATCH(Table5[[#This Row],[SM_Contract__c]],Contract[Id],0)))</f>
        <v>45702</v>
      </c>
      <c r="C105" s="27">
        <f>IF(INDEX(Contract[SM_AC_Split_Date__c],MATCH(Table5[[#This Row],[SM_Contract__c]],Contract[Id],0))=0,"",INDEX(Contract[SM_AC_Split_Date__c],MATCH(Table5[[#This Row],[SM_Contract__c]],Contract[Id],0)))</f>
        <v>45716</v>
      </c>
      <c r="D105" s="27">
        <f>IF(INDEX(Contract[SM_Start_date__c],MATCH(Table5[[#This Row],[SM_Contract__c]],Contract[Id],0))=0,"",INDEX(Contract[SM_Start_date__c],MATCH(Table5[[#This Row],[SM_Contract__c]],Contract[Id],0)))</f>
        <v>45746</v>
      </c>
      <c r="E105" s="4">
        <f ca="1">(YEAR(TODAY())-YEAR(Table5[[#This Row],[RC DATE]]))*12 + MONTH(TODAY())-MONTH(Table5[[#This Row],[RC DATE]])</f>
        <v>16</v>
      </c>
      <c r="F10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5" s="19">
        <f>IF(Table5[[#This Row],[Payment_Status__c]]="ACCEPTED",1,"")</f>
        <v>1</v>
      </c>
      <c r="H10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5" s="19">
        <f ca="1">Table5[[#This Row],['# months]]-COUNTIFS(Table5[SM_Contract__c],Table5[[#This Row],[SM_Contract__c]],Table5[TYPE],"SUBS",Table5[ACCEPTED],1)</f>
        <v>5</v>
      </c>
      <c r="J105" s="19" t="b">
        <f>ISNUMBER(MATCH(Table5[[#This Row],[SM_Contract__c]],Contract[Id],0))</f>
        <v>1</v>
      </c>
      <c r="K105" s="9" t="s">
        <v>2671</v>
      </c>
      <c r="L105" s="9" t="s">
        <v>2672</v>
      </c>
      <c r="M105" s="9" t="s">
        <v>220</v>
      </c>
      <c r="N105" s="9" t="s">
        <v>3692</v>
      </c>
      <c r="O105" s="9" t="s">
        <v>1563</v>
      </c>
      <c r="P105" s="9" t="s">
        <v>2363</v>
      </c>
      <c r="Q105" s="9" t="s">
        <v>83</v>
      </c>
      <c r="R105" s="9" t="s">
        <v>76</v>
      </c>
      <c r="S105" s="9" t="s">
        <v>91</v>
      </c>
      <c r="T105" s="9" t="s">
        <v>105</v>
      </c>
      <c r="U105" s="9" t="s">
        <v>91</v>
      </c>
      <c r="V105" s="9" t="s">
        <v>93</v>
      </c>
      <c r="W105" s="9" t="s">
        <v>3559</v>
      </c>
      <c r="X105" s="9" t="s">
        <v>2673</v>
      </c>
      <c r="Y105" s="9"/>
      <c r="Z105" s="9"/>
      <c r="AA105" s="9" t="s">
        <v>2673</v>
      </c>
    </row>
    <row r="106" spans="1:27" x14ac:dyDescent="0.35">
      <c r="A106" s="4" t="str">
        <f>IF(Table5[[#This Row],[SM_Amount__c]]="25.0","FEE",IF(IF(Table5[[#This Row],[SM_Original_Type__c]]="",Table5[[#This Row],[SM_Type__c]],Table5[[#This Row],[SM_Original_Type__c]])="AC","AC","SUBS"))</f>
        <v>SUBS</v>
      </c>
      <c r="B106" s="27">
        <f>IF(INDEX(Contract[SM_AC_start_date__c],MATCH(Table5[[#This Row],[SM_Contract__c]],Contract[Id],0))=0,"",INDEX(Contract[SM_AC_start_date__c],MATCH(Table5[[#This Row],[SM_Contract__c]],Contract[Id],0)))</f>
        <v>45702</v>
      </c>
      <c r="C106" s="27">
        <f>IF(INDEX(Contract[SM_AC_Split_Date__c],MATCH(Table5[[#This Row],[SM_Contract__c]],Contract[Id],0))=0,"",INDEX(Contract[SM_AC_Split_Date__c],MATCH(Table5[[#This Row],[SM_Contract__c]],Contract[Id],0)))</f>
        <v>45716</v>
      </c>
      <c r="D106" s="27">
        <f>IF(INDEX(Contract[SM_Start_date__c],MATCH(Table5[[#This Row],[SM_Contract__c]],Contract[Id],0))=0,"",INDEX(Contract[SM_Start_date__c],MATCH(Table5[[#This Row],[SM_Contract__c]],Contract[Id],0)))</f>
        <v>45746</v>
      </c>
      <c r="E106" s="4">
        <f ca="1">(YEAR(TODAY())-YEAR(Table5[[#This Row],[RC DATE]]))*12 + MONTH(TODAY())-MONTH(Table5[[#This Row],[RC DATE]])</f>
        <v>16</v>
      </c>
      <c r="F10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6" s="19">
        <f>IF(Table5[[#This Row],[Payment_Status__c]]="ACCEPTED",1,"")</f>
        <v>1</v>
      </c>
      <c r="H10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6" s="19">
        <f ca="1">Table5[[#This Row],['# months]]-COUNTIFS(Table5[SM_Contract__c],Table5[[#This Row],[SM_Contract__c]],Table5[TYPE],"SUBS",Table5[ACCEPTED],1)</f>
        <v>5</v>
      </c>
      <c r="J106" s="19" t="b">
        <f>ISNUMBER(MATCH(Table5[[#This Row],[SM_Contract__c]],Contract[Id],0))</f>
        <v>1</v>
      </c>
      <c r="K106" s="9" t="s">
        <v>2674</v>
      </c>
      <c r="L106" s="9" t="s">
        <v>2675</v>
      </c>
      <c r="M106" s="9" t="s">
        <v>220</v>
      </c>
      <c r="N106" s="9" t="s">
        <v>3692</v>
      </c>
      <c r="O106" s="9" t="s">
        <v>1563</v>
      </c>
      <c r="P106" s="9" t="s">
        <v>2363</v>
      </c>
      <c r="Q106" s="9" t="s">
        <v>71</v>
      </c>
      <c r="R106" s="9" t="s">
        <v>83</v>
      </c>
      <c r="S106" s="9" t="s">
        <v>2087</v>
      </c>
      <c r="T106" s="9" t="s">
        <v>2087</v>
      </c>
      <c r="U106" s="9" t="s">
        <v>91</v>
      </c>
      <c r="V106" s="9" t="s">
        <v>148</v>
      </c>
      <c r="W106" s="9" t="s">
        <v>3638</v>
      </c>
      <c r="X106" s="9" t="s">
        <v>2676</v>
      </c>
      <c r="Y106" s="9"/>
      <c r="Z106" s="9" t="s">
        <v>501</v>
      </c>
      <c r="AA106" s="9" t="s">
        <v>2676</v>
      </c>
    </row>
    <row r="107" spans="1:27" x14ac:dyDescent="0.35">
      <c r="A107" s="4" t="str">
        <f>IF(Table5[[#This Row],[SM_Amount__c]]="25.0","FEE",IF(IF(Table5[[#This Row],[SM_Original_Type__c]]="",Table5[[#This Row],[SM_Type__c]],Table5[[#This Row],[SM_Original_Type__c]])="AC","AC","SUBS"))</f>
        <v>SUBS</v>
      </c>
      <c r="B107" s="27">
        <f>IF(INDEX(Contract[SM_AC_start_date__c],MATCH(Table5[[#This Row],[SM_Contract__c]],Contract[Id],0))=0,"",INDEX(Contract[SM_AC_start_date__c],MATCH(Table5[[#This Row],[SM_Contract__c]],Contract[Id],0)))</f>
        <v>45702</v>
      </c>
      <c r="C107" s="27">
        <f>IF(INDEX(Contract[SM_AC_Split_Date__c],MATCH(Table5[[#This Row],[SM_Contract__c]],Contract[Id],0))=0,"",INDEX(Contract[SM_AC_Split_Date__c],MATCH(Table5[[#This Row],[SM_Contract__c]],Contract[Id],0)))</f>
        <v>45716</v>
      </c>
      <c r="D107" s="27">
        <f>IF(INDEX(Contract[SM_Start_date__c],MATCH(Table5[[#This Row],[SM_Contract__c]],Contract[Id],0))=0,"",INDEX(Contract[SM_Start_date__c],MATCH(Table5[[#This Row],[SM_Contract__c]],Contract[Id],0)))</f>
        <v>45746</v>
      </c>
      <c r="E107" s="4">
        <f ca="1">(YEAR(TODAY())-YEAR(Table5[[#This Row],[RC DATE]]))*12 + MONTH(TODAY())-MONTH(Table5[[#This Row],[RC DATE]])</f>
        <v>16</v>
      </c>
      <c r="F10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7" s="19">
        <f>IF(Table5[[#This Row],[Payment_Status__c]]="ACCEPTED",1,"")</f>
        <v>1</v>
      </c>
      <c r="H10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7" s="19">
        <f ca="1">Table5[[#This Row],['# months]]-COUNTIFS(Table5[SM_Contract__c],Table5[[#This Row],[SM_Contract__c]],Table5[TYPE],"SUBS",Table5[ACCEPTED],1)</f>
        <v>5</v>
      </c>
      <c r="J107" s="19" t="b">
        <f>ISNUMBER(MATCH(Table5[[#This Row],[SM_Contract__c]],Contract[Id],0))</f>
        <v>1</v>
      </c>
      <c r="K107" s="9" t="s">
        <v>2677</v>
      </c>
      <c r="L107" s="9" t="s">
        <v>2678</v>
      </c>
      <c r="M107" s="9" t="s">
        <v>220</v>
      </c>
      <c r="N107" s="9" t="s">
        <v>3692</v>
      </c>
      <c r="O107" s="9" t="s">
        <v>1563</v>
      </c>
      <c r="P107" s="9" t="s">
        <v>2363</v>
      </c>
      <c r="Q107" s="9" t="s">
        <v>71</v>
      </c>
      <c r="R107" s="9" t="s">
        <v>83</v>
      </c>
      <c r="S107" s="9" t="s">
        <v>2087</v>
      </c>
      <c r="T107" s="9" t="s">
        <v>2087</v>
      </c>
      <c r="U107" s="9" t="s">
        <v>91</v>
      </c>
      <c r="V107" s="9" t="s">
        <v>148</v>
      </c>
      <c r="W107" s="9" t="s">
        <v>3605</v>
      </c>
      <c r="X107" s="9" t="s">
        <v>2679</v>
      </c>
      <c r="Y107" s="9"/>
      <c r="Z107" s="9" t="s">
        <v>545</v>
      </c>
      <c r="AA107" s="9" t="s">
        <v>2679</v>
      </c>
    </row>
    <row r="108" spans="1:27" x14ac:dyDescent="0.35">
      <c r="A108" s="4" t="str">
        <f>IF(Table5[[#This Row],[SM_Amount__c]]="25.0","FEE",IF(IF(Table5[[#This Row],[SM_Original_Type__c]]="",Table5[[#This Row],[SM_Type__c]],Table5[[#This Row],[SM_Original_Type__c]])="AC","AC","SUBS"))</f>
        <v>SUBS</v>
      </c>
      <c r="B108" s="27">
        <f>IF(INDEX(Contract[SM_AC_start_date__c],MATCH(Table5[[#This Row],[SM_Contract__c]],Contract[Id],0))=0,"",INDEX(Contract[SM_AC_start_date__c],MATCH(Table5[[#This Row],[SM_Contract__c]],Contract[Id],0)))</f>
        <v>45702</v>
      </c>
      <c r="C108" s="27">
        <f>IF(INDEX(Contract[SM_AC_Split_Date__c],MATCH(Table5[[#This Row],[SM_Contract__c]],Contract[Id],0))=0,"",INDEX(Contract[SM_AC_Split_Date__c],MATCH(Table5[[#This Row],[SM_Contract__c]],Contract[Id],0)))</f>
        <v>45716</v>
      </c>
      <c r="D108" s="27">
        <f>IF(INDEX(Contract[SM_Start_date__c],MATCH(Table5[[#This Row],[SM_Contract__c]],Contract[Id],0))=0,"",INDEX(Contract[SM_Start_date__c],MATCH(Table5[[#This Row],[SM_Contract__c]],Contract[Id],0)))</f>
        <v>45746</v>
      </c>
      <c r="E108" s="4">
        <f ca="1">(YEAR(TODAY())-YEAR(Table5[[#This Row],[RC DATE]]))*12 + MONTH(TODAY())-MONTH(Table5[[#This Row],[RC DATE]])</f>
        <v>16</v>
      </c>
      <c r="F10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8" s="19">
        <f>IF(Table5[[#This Row],[Payment_Status__c]]="ACCEPTED",1,"")</f>
        <v>1</v>
      </c>
      <c r="H10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8" s="19">
        <f ca="1">Table5[[#This Row],['# months]]-COUNTIFS(Table5[SM_Contract__c],Table5[[#This Row],[SM_Contract__c]],Table5[TYPE],"SUBS",Table5[ACCEPTED],1)</f>
        <v>5</v>
      </c>
      <c r="J108" s="19" t="b">
        <f>ISNUMBER(MATCH(Table5[[#This Row],[SM_Contract__c]],Contract[Id],0))</f>
        <v>1</v>
      </c>
      <c r="K108" s="9" t="s">
        <v>2680</v>
      </c>
      <c r="L108" s="9" t="s">
        <v>2681</v>
      </c>
      <c r="M108" s="9" t="s">
        <v>220</v>
      </c>
      <c r="N108" s="9" t="s">
        <v>3692</v>
      </c>
      <c r="O108" s="9" t="s">
        <v>1563</v>
      </c>
      <c r="P108" s="9" t="s">
        <v>2363</v>
      </c>
      <c r="Q108" s="9" t="s">
        <v>71</v>
      </c>
      <c r="R108" s="9" t="s">
        <v>83</v>
      </c>
      <c r="S108" s="9" t="s">
        <v>2087</v>
      </c>
      <c r="T108" s="9" t="s">
        <v>2087</v>
      </c>
      <c r="U108" s="9" t="s">
        <v>91</v>
      </c>
      <c r="V108" s="9" t="s">
        <v>148</v>
      </c>
      <c r="W108" s="9" t="s">
        <v>3663</v>
      </c>
      <c r="X108" s="9" t="s">
        <v>2682</v>
      </c>
      <c r="Y108" s="9"/>
      <c r="Z108" s="9" t="s">
        <v>685</v>
      </c>
      <c r="AA108" s="9" t="s">
        <v>2682</v>
      </c>
    </row>
    <row r="109" spans="1:27" x14ac:dyDescent="0.35">
      <c r="A109" s="4" t="str">
        <f>IF(Table5[[#This Row],[SM_Amount__c]]="25.0","FEE",IF(IF(Table5[[#This Row],[SM_Original_Type__c]]="",Table5[[#This Row],[SM_Type__c]],Table5[[#This Row],[SM_Original_Type__c]])="AC","AC","SUBS"))</f>
        <v>SUBS</v>
      </c>
      <c r="B109" s="27">
        <f>IF(INDEX(Contract[SM_AC_start_date__c],MATCH(Table5[[#This Row],[SM_Contract__c]],Contract[Id],0))=0,"",INDEX(Contract[SM_AC_start_date__c],MATCH(Table5[[#This Row],[SM_Contract__c]],Contract[Id],0)))</f>
        <v>45702</v>
      </c>
      <c r="C109" s="27">
        <f>IF(INDEX(Contract[SM_AC_Split_Date__c],MATCH(Table5[[#This Row],[SM_Contract__c]],Contract[Id],0))=0,"",INDEX(Contract[SM_AC_Split_Date__c],MATCH(Table5[[#This Row],[SM_Contract__c]],Contract[Id],0)))</f>
        <v>45716</v>
      </c>
      <c r="D109" s="27">
        <f>IF(INDEX(Contract[SM_Start_date__c],MATCH(Table5[[#This Row],[SM_Contract__c]],Contract[Id],0))=0,"",INDEX(Contract[SM_Start_date__c],MATCH(Table5[[#This Row],[SM_Contract__c]],Contract[Id],0)))</f>
        <v>45746</v>
      </c>
      <c r="E109" s="4">
        <f ca="1">(YEAR(TODAY())-YEAR(Table5[[#This Row],[RC DATE]]))*12 + MONTH(TODAY())-MONTH(Table5[[#This Row],[RC DATE]])</f>
        <v>16</v>
      </c>
      <c r="F10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09" s="19">
        <f>IF(Table5[[#This Row],[Payment_Status__c]]="ACCEPTED",1,"")</f>
        <v>1</v>
      </c>
      <c r="H10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09" s="19">
        <f ca="1">Table5[[#This Row],['# months]]-COUNTIFS(Table5[SM_Contract__c],Table5[[#This Row],[SM_Contract__c]],Table5[TYPE],"SUBS",Table5[ACCEPTED],1)</f>
        <v>5</v>
      </c>
      <c r="J109" s="19" t="b">
        <f>ISNUMBER(MATCH(Table5[[#This Row],[SM_Contract__c]],Contract[Id],0))</f>
        <v>1</v>
      </c>
      <c r="K109" s="9" t="s">
        <v>2683</v>
      </c>
      <c r="L109" s="9" t="s">
        <v>2684</v>
      </c>
      <c r="M109" s="9" t="s">
        <v>220</v>
      </c>
      <c r="N109" s="9" t="s">
        <v>3692</v>
      </c>
      <c r="O109" s="9" t="s">
        <v>1563</v>
      </c>
      <c r="P109" s="9" t="s">
        <v>2363</v>
      </c>
      <c r="Q109" s="9" t="s">
        <v>71</v>
      </c>
      <c r="R109" s="9" t="s">
        <v>83</v>
      </c>
      <c r="S109" s="9" t="s">
        <v>2087</v>
      </c>
      <c r="T109" s="9" t="s">
        <v>2087</v>
      </c>
      <c r="U109" s="9" t="s">
        <v>91</v>
      </c>
      <c r="V109" s="9" t="s">
        <v>148</v>
      </c>
      <c r="W109" s="9" t="s">
        <v>3671</v>
      </c>
      <c r="X109" s="9" t="s">
        <v>2685</v>
      </c>
      <c r="Y109" s="9"/>
      <c r="Z109" s="9" t="s">
        <v>881</v>
      </c>
      <c r="AA109" s="9" t="s">
        <v>2685</v>
      </c>
    </row>
    <row r="110" spans="1:27" x14ac:dyDescent="0.35">
      <c r="A110" s="4" t="str">
        <f>IF(Table5[[#This Row],[SM_Amount__c]]="25.0","FEE",IF(IF(Table5[[#This Row],[SM_Original_Type__c]]="",Table5[[#This Row],[SM_Type__c]],Table5[[#This Row],[SM_Original_Type__c]])="AC","AC","SUBS"))</f>
        <v>AC</v>
      </c>
      <c r="B110" s="27">
        <f>IF(INDEX(Contract[SM_AC_start_date__c],MATCH(Table5[[#This Row],[SM_Contract__c]],Contract[Id],0))=0,"",INDEX(Contract[SM_AC_start_date__c],MATCH(Table5[[#This Row],[SM_Contract__c]],Contract[Id],0)))</f>
        <v>45702</v>
      </c>
      <c r="C110" s="27" t="str">
        <f>IF(INDEX(Contract[SM_AC_Split_Date__c],MATCH(Table5[[#This Row],[SM_Contract__c]],Contract[Id],0))=0,"",INDEX(Contract[SM_AC_Split_Date__c],MATCH(Table5[[#This Row],[SM_Contract__c]],Contract[Id],0)))</f>
        <v/>
      </c>
      <c r="D110" s="27">
        <f>IF(INDEX(Contract[SM_Start_date__c],MATCH(Table5[[#This Row],[SM_Contract__c]],Contract[Id],0))=0,"",INDEX(Contract[SM_Start_date__c],MATCH(Table5[[#This Row],[SM_Contract__c]],Contract[Id],0)))</f>
        <v>45746</v>
      </c>
      <c r="E110" s="4">
        <f ca="1">(YEAR(TODAY())-YEAR(Table5[[#This Row],[RC DATE]]))*12 + MONTH(TODAY())-MONTH(Table5[[#This Row],[RC DATE]])</f>
        <v>16</v>
      </c>
      <c r="F11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0" s="19">
        <f>IF(Table5[[#This Row],[Payment_Status__c]]="ACCEPTED",1,"")</f>
        <v>1</v>
      </c>
      <c r="H11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0" s="19">
        <f ca="1">Table5[[#This Row],['# months]]-COUNTIFS(Table5[SM_Contract__c],Table5[[#This Row],[SM_Contract__c]],Table5[TYPE],"SUBS",Table5[ACCEPTED],1)</f>
        <v>5</v>
      </c>
      <c r="J110" s="19" t="b">
        <f>ISNUMBER(MATCH(Table5[[#This Row],[SM_Contract__c]],Contract[Id],0))</f>
        <v>1</v>
      </c>
      <c r="K110" s="9" t="s">
        <v>2686</v>
      </c>
      <c r="L110" s="9" t="s">
        <v>2687</v>
      </c>
      <c r="M110" s="9" t="s">
        <v>235</v>
      </c>
      <c r="N110" s="9" t="s">
        <v>3695</v>
      </c>
      <c r="O110" s="9" t="s">
        <v>1563</v>
      </c>
      <c r="P110" s="9" t="s">
        <v>2363</v>
      </c>
      <c r="Q110" s="9" t="s">
        <v>77</v>
      </c>
      <c r="R110" s="9" t="s">
        <v>77</v>
      </c>
      <c r="S110" s="9" t="s">
        <v>167</v>
      </c>
      <c r="T110" s="9" t="s">
        <v>168</v>
      </c>
      <c r="U110" s="9" t="s">
        <v>167</v>
      </c>
      <c r="V110" s="9" t="s">
        <v>93</v>
      </c>
      <c r="W110" s="9" t="s">
        <v>3573</v>
      </c>
      <c r="X110" s="9" t="s">
        <v>2688</v>
      </c>
      <c r="Y110" s="9"/>
      <c r="Z110" s="9"/>
      <c r="AA110" s="9" t="s">
        <v>2688</v>
      </c>
    </row>
    <row r="111" spans="1:27" x14ac:dyDescent="0.35">
      <c r="A111" s="4" t="str">
        <f>IF(Table5[[#This Row],[SM_Amount__c]]="25.0","FEE",IF(IF(Table5[[#This Row],[SM_Original_Type__c]]="",Table5[[#This Row],[SM_Type__c]],Table5[[#This Row],[SM_Original_Type__c]])="AC","AC","SUBS"))</f>
        <v>SUBS</v>
      </c>
      <c r="B111" s="27">
        <f>IF(INDEX(Contract[SM_AC_start_date__c],MATCH(Table5[[#This Row],[SM_Contract__c]],Contract[Id],0))=0,"",INDEX(Contract[SM_AC_start_date__c],MATCH(Table5[[#This Row],[SM_Contract__c]],Contract[Id],0)))</f>
        <v>45702</v>
      </c>
      <c r="C111" s="27" t="str">
        <f>IF(INDEX(Contract[SM_AC_Split_Date__c],MATCH(Table5[[#This Row],[SM_Contract__c]],Contract[Id],0))=0,"",INDEX(Contract[SM_AC_Split_Date__c],MATCH(Table5[[#This Row],[SM_Contract__c]],Contract[Id],0)))</f>
        <v/>
      </c>
      <c r="D111" s="27">
        <f>IF(INDEX(Contract[SM_Start_date__c],MATCH(Table5[[#This Row],[SM_Contract__c]],Contract[Id],0))=0,"",INDEX(Contract[SM_Start_date__c],MATCH(Table5[[#This Row],[SM_Contract__c]],Contract[Id],0)))</f>
        <v>45746</v>
      </c>
      <c r="E111" s="4">
        <f ca="1">(YEAR(TODAY())-YEAR(Table5[[#This Row],[RC DATE]]))*12 + MONTH(TODAY())-MONTH(Table5[[#This Row],[RC DATE]])</f>
        <v>16</v>
      </c>
      <c r="F11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1" s="19">
        <f>IF(Table5[[#This Row],[Payment_Status__c]]="ACCEPTED",1,"")</f>
        <v>1</v>
      </c>
      <c r="H11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1" s="19">
        <f ca="1">Table5[[#This Row],['# months]]-COUNTIFS(Table5[SM_Contract__c],Table5[[#This Row],[SM_Contract__c]],Table5[TYPE],"SUBS",Table5[ACCEPTED],1)</f>
        <v>5</v>
      </c>
      <c r="J111" s="19" t="b">
        <f>ISNUMBER(MATCH(Table5[[#This Row],[SM_Contract__c]],Contract[Id],0))</f>
        <v>1</v>
      </c>
      <c r="K111" s="9" t="s">
        <v>2689</v>
      </c>
      <c r="L111" s="9" t="s">
        <v>2690</v>
      </c>
      <c r="M111" s="9" t="s">
        <v>235</v>
      </c>
      <c r="N111" s="9" t="s">
        <v>3695</v>
      </c>
      <c r="O111" s="9" t="s">
        <v>1563</v>
      </c>
      <c r="P111" s="9" t="s">
        <v>2363</v>
      </c>
      <c r="Q111" s="9" t="s">
        <v>71</v>
      </c>
      <c r="R111" s="9" t="s">
        <v>83</v>
      </c>
      <c r="S111" s="9" t="s">
        <v>2087</v>
      </c>
      <c r="T111" s="9" t="s">
        <v>104</v>
      </c>
      <c r="U111" s="9" t="s">
        <v>91</v>
      </c>
      <c r="V111" s="9" t="s">
        <v>148</v>
      </c>
      <c r="W111" s="9" t="s">
        <v>3648</v>
      </c>
      <c r="X111" s="9" t="s">
        <v>2691</v>
      </c>
      <c r="Y111" s="9"/>
      <c r="Z111" s="9" t="s">
        <v>290</v>
      </c>
      <c r="AA111" s="9" t="s">
        <v>2691</v>
      </c>
    </row>
    <row r="112" spans="1:27" x14ac:dyDescent="0.35">
      <c r="A112" s="4" t="str">
        <f>IF(Table5[[#This Row],[SM_Amount__c]]="25.0","FEE",IF(IF(Table5[[#This Row],[SM_Original_Type__c]]="",Table5[[#This Row],[SM_Type__c]],Table5[[#This Row],[SM_Original_Type__c]])="AC","AC","SUBS"))</f>
        <v>SUBS</v>
      </c>
      <c r="B112" s="27">
        <f>IF(INDEX(Contract[SM_AC_start_date__c],MATCH(Table5[[#This Row],[SM_Contract__c]],Contract[Id],0))=0,"",INDEX(Contract[SM_AC_start_date__c],MATCH(Table5[[#This Row],[SM_Contract__c]],Contract[Id],0)))</f>
        <v>45702</v>
      </c>
      <c r="C112" s="27" t="str">
        <f>IF(INDEX(Contract[SM_AC_Split_Date__c],MATCH(Table5[[#This Row],[SM_Contract__c]],Contract[Id],0))=0,"",INDEX(Contract[SM_AC_Split_Date__c],MATCH(Table5[[#This Row],[SM_Contract__c]],Contract[Id],0)))</f>
        <v/>
      </c>
      <c r="D112" s="27">
        <f>IF(INDEX(Contract[SM_Start_date__c],MATCH(Table5[[#This Row],[SM_Contract__c]],Contract[Id],0))=0,"",INDEX(Contract[SM_Start_date__c],MATCH(Table5[[#This Row],[SM_Contract__c]],Contract[Id],0)))</f>
        <v>45746</v>
      </c>
      <c r="E112" s="4">
        <f ca="1">(YEAR(TODAY())-YEAR(Table5[[#This Row],[RC DATE]]))*12 + MONTH(TODAY())-MONTH(Table5[[#This Row],[RC DATE]])</f>
        <v>16</v>
      </c>
      <c r="F11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2" s="19">
        <f>IF(Table5[[#This Row],[Payment_Status__c]]="ACCEPTED",1,"")</f>
        <v>1</v>
      </c>
      <c r="H11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2" s="19">
        <f ca="1">Table5[[#This Row],['# months]]-COUNTIFS(Table5[SM_Contract__c],Table5[[#This Row],[SM_Contract__c]],Table5[TYPE],"SUBS",Table5[ACCEPTED],1)</f>
        <v>5</v>
      </c>
      <c r="J112" s="19" t="b">
        <f>ISNUMBER(MATCH(Table5[[#This Row],[SM_Contract__c]],Contract[Id],0))</f>
        <v>1</v>
      </c>
      <c r="K112" s="9" t="s">
        <v>2692</v>
      </c>
      <c r="L112" s="9" t="s">
        <v>2693</v>
      </c>
      <c r="M112" s="9" t="s">
        <v>235</v>
      </c>
      <c r="N112" s="9" t="s">
        <v>3695</v>
      </c>
      <c r="O112" s="9" t="s">
        <v>1563</v>
      </c>
      <c r="P112" s="9" t="s">
        <v>2363</v>
      </c>
      <c r="Q112" s="9" t="s">
        <v>83</v>
      </c>
      <c r="R112" s="9" t="s">
        <v>76</v>
      </c>
      <c r="S112" s="9" t="s">
        <v>91</v>
      </c>
      <c r="T112" s="9" t="s">
        <v>105</v>
      </c>
      <c r="U112" s="9" t="s">
        <v>91</v>
      </c>
      <c r="V112" s="9" t="s">
        <v>93</v>
      </c>
      <c r="W112" s="9" t="s">
        <v>3554</v>
      </c>
      <c r="X112" s="9" t="s">
        <v>2694</v>
      </c>
      <c r="Y112" s="9"/>
      <c r="Z112" s="9"/>
      <c r="AA112" s="9" t="s">
        <v>2694</v>
      </c>
    </row>
    <row r="113" spans="1:27" x14ac:dyDescent="0.35">
      <c r="A113" s="4" t="str">
        <f>IF(Table5[[#This Row],[SM_Amount__c]]="25.0","FEE",IF(IF(Table5[[#This Row],[SM_Original_Type__c]]="",Table5[[#This Row],[SM_Type__c]],Table5[[#This Row],[SM_Original_Type__c]])="AC","AC","SUBS"))</f>
        <v>SUBS</v>
      </c>
      <c r="B113" s="27">
        <f>IF(INDEX(Contract[SM_AC_start_date__c],MATCH(Table5[[#This Row],[SM_Contract__c]],Contract[Id],0))=0,"",INDEX(Contract[SM_AC_start_date__c],MATCH(Table5[[#This Row],[SM_Contract__c]],Contract[Id],0)))</f>
        <v>45702</v>
      </c>
      <c r="C113" s="27" t="str">
        <f>IF(INDEX(Contract[SM_AC_Split_Date__c],MATCH(Table5[[#This Row],[SM_Contract__c]],Contract[Id],0))=0,"",INDEX(Contract[SM_AC_Split_Date__c],MATCH(Table5[[#This Row],[SM_Contract__c]],Contract[Id],0)))</f>
        <v/>
      </c>
      <c r="D113" s="27">
        <f>IF(INDEX(Contract[SM_Start_date__c],MATCH(Table5[[#This Row],[SM_Contract__c]],Contract[Id],0))=0,"",INDEX(Contract[SM_Start_date__c],MATCH(Table5[[#This Row],[SM_Contract__c]],Contract[Id],0)))</f>
        <v>45746</v>
      </c>
      <c r="E113" s="4">
        <f ca="1">(YEAR(TODAY())-YEAR(Table5[[#This Row],[RC DATE]]))*12 + MONTH(TODAY())-MONTH(Table5[[#This Row],[RC DATE]])</f>
        <v>16</v>
      </c>
      <c r="F11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3" s="19">
        <f>IF(Table5[[#This Row],[Payment_Status__c]]="ACCEPTED",1,"")</f>
        <v>1</v>
      </c>
      <c r="H11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3" s="19">
        <f ca="1">Table5[[#This Row],['# months]]-COUNTIFS(Table5[SM_Contract__c],Table5[[#This Row],[SM_Contract__c]],Table5[TYPE],"SUBS",Table5[ACCEPTED],1)</f>
        <v>5</v>
      </c>
      <c r="J113" s="19" t="b">
        <f>ISNUMBER(MATCH(Table5[[#This Row],[SM_Contract__c]],Contract[Id],0))</f>
        <v>1</v>
      </c>
      <c r="K113" s="9" t="s">
        <v>2695</v>
      </c>
      <c r="L113" s="9" t="s">
        <v>2696</v>
      </c>
      <c r="M113" s="9" t="s">
        <v>235</v>
      </c>
      <c r="N113" s="9" t="s">
        <v>3695</v>
      </c>
      <c r="O113" s="9" t="s">
        <v>1563</v>
      </c>
      <c r="P113" s="9" t="s">
        <v>2363</v>
      </c>
      <c r="Q113" s="9" t="s">
        <v>83</v>
      </c>
      <c r="R113" s="9" t="s">
        <v>76</v>
      </c>
      <c r="S113" s="9" t="s">
        <v>91</v>
      </c>
      <c r="T113" s="9" t="s">
        <v>105</v>
      </c>
      <c r="U113" s="9" t="s">
        <v>91</v>
      </c>
      <c r="V113" s="9" t="s">
        <v>93</v>
      </c>
      <c r="W113" s="9" t="s">
        <v>3555</v>
      </c>
      <c r="X113" s="9" t="s">
        <v>2697</v>
      </c>
      <c r="Y113" s="9"/>
      <c r="Z113" s="9"/>
      <c r="AA113" s="9" t="s">
        <v>2697</v>
      </c>
    </row>
    <row r="114" spans="1:27" x14ac:dyDescent="0.35">
      <c r="A114" s="4" t="str">
        <f>IF(Table5[[#This Row],[SM_Amount__c]]="25.0","FEE",IF(IF(Table5[[#This Row],[SM_Original_Type__c]]="",Table5[[#This Row],[SM_Type__c]],Table5[[#This Row],[SM_Original_Type__c]])="AC","AC","SUBS"))</f>
        <v>SUBS</v>
      </c>
      <c r="B114" s="27">
        <f>IF(INDEX(Contract[SM_AC_start_date__c],MATCH(Table5[[#This Row],[SM_Contract__c]],Contract[Id],0))=0,"",INDEX(Contract[SM_AC_start_date__c],MATCH(Table5[[#This Row],[SM_Contract__c]],Contract[Id],0)))</f>
        <v>45702</v>
      </c>
      <c r="C114" s="27" t="str">
        <f>IF(INDEX(Contract[SM_AC_Split_Date__c],MATCH(Table5[[#This Row],[SM_Contract__c]],Contract[Id],0))=0,"",INDEX(Contract[SM_AC_Split_Date__c],MATCH(Table5[[#This Row],[SM_Contract__c]],Contract[Id],0)))</f>
        <v/>
      </c>
      <c r="D114" s="27">
        <f>IF(INDEX(Contract[SM_Start_date__c],MATCH(Table5[[#This Row],[SM_Contract__c]],Contract[Id],0))=0,"",INDEX(Contract[SM_Start_date__c],MATCH(Table5[[#This Row],[SM_Contract__c]],Contract[Id],0)))</f>
        <v>45746</v>
      </c>
      <c r="E114" s="4">
        <f ca="1">(YEAR(TODAY())-YEAR(Table5[[#This Row],[RC DATE]]))*12 + MONTH(TODAY())-MONTH(Table5[[#This Row],[RC DATE]])</f>
        <v>16</v>
      </c>
      <c r="F11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4" s="19">
        <f>IF(Table5[[#This Row],[Payment_Status__c]]="ACCEPTED",1,"")</f>
        <v>1</v>
      </c>
      <c r="H11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4" s="19">
        <f ca="1">Table5[[#This Row],['# months]]-COUNTIFS(Table5[SM_Contract__c],Table5[[#This Row],[SM_Contract__c]],Table5[TYPE],"SUBS",Table5[ACCEPTED],1)</f>
        <v>5</v>
      </c>
      <c r="J114" s="19" t="b">
        <f>ISNUMBER(MATCH(Table5[[#This Row],[SM_Contract__c]],Contract[Id],0))</f>
        <v>1</v>
      </c>
      <c r="K114" s="9" t="s">
        <v>2698</v>
      </c>
      <c r="L114" s="9" t="s">
        <v>2699</v>
      </c>
      <c r="M114" s="9" t="s">
        <v>235</v>
      </c>
      <c r="N114" s="9" t="s">
        <v>3695</v>
      </c>
      <c r="O114" s="9" t="s">
        <v>1563</v>
      </c>
      <c r="P114" s="9" t="s">
        <v>2363</v>
      </c>
      <c r="Q114" s="9" t="s">
        <v>71</v>
      </c>
      <c r="R114" s="9" t="s">
        <v>83</v>
      </c>
      <c r="S114" s="9" t="s">
        <v>2087</v>
      </c>
      <c r="T114" s="9" t="s">
        <v>104</v>
      </c>
      <c r="U114" s="9" t="s">
        <v>91</v>
      </c>
      <c r="V114" s="9" t="s">
        <v>148</v>
      </c>
      <c r="W114" s="9" t="s">
        <v>3592</v>
      </c>
      <c r="X114" s="9" t="s">
        <v>2700</v>
      </c>
      <c r="Y114" s="9"/>
      <c r="Z114" s="9" t="s">
        <v>365</v>
      </c>
      <c r="AA114" s="9" t="s">
        <v>2700</v>
      </c>
    </row>
    <row r="115" spans="1:27" x14ac:dyDescent="0.35">
      <c r="A115" s="4" t="str">
        <f>IF(Table5[[#This Row],[SM_Amount__c]]="25.0","FEE",IF(IF(Table5[[#This Row],[SM_Original_Type__c]]="",Table5[[#This Row],[SM_Type__c]],Table5[[#This Row],[SM_Original_Type__c]])="AC","AC","SUBS"))</f>
        <v>SUBS</v>
      </c>
      <c r="B115" s="27">
        <f>IF(INDEX(Contract[SM_AC_start_date__c],MATCH(Table5[[#This Row],[SM_Contract__c]],Contract[Id],0))=0,"",INDEX(Contract[SM_AC_start_date__c],MATCH(Table5[[#This Row],[SM_Contract__c]],Contract[Id],0)))</f>
        <v>45702</v>
      </c>
      <c r="C115" s="27" t="str">
        <f>IF(INDEX(Contract[SM_AC_Split_Date__c],MATCH(Table5[[#This Row],[SM_Contract__c]],Contract[Id],0))=0,"",INDEX(Contract[SM_AC_Split_Date__c],MATCH(Table5[[#This Row],[SM_Contract__c]],Contract[Id],0)))</f>
        <v/>
      </c>
      <c r="D115" s="27">
        <f>IF(INDEX(Contract[SM_Start_date__c],MATCH(Table5[[#This Row],[SM_Contract__c]],Contract[Id],0))=0,"",INDEX(Contract[SM_Start_date__c],MATCH(Table5[[#This Row],[SM_Contract__c]],Contract[Id],0)))</f>
        <v>45746</v>
      </c>
      <c r="E115" s="4">
        <f ca="1">(YEAR(TODAY())-YEAR(Table5[[#This Row],[RC DATE]]))*12 + MONTH(TODAY())-MONTH(Table5[[#This Row],[RC DATE]])</f>
        <v>16</v>
      </c>
      <c r="F11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5" s="19">
        <f>IF(Table5[[#This Row],[Payment_Status__c]]="ACCEPTED",1,"")</f>
        <v>1</v>
      </c>
      <c r="H11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5" s="19">
        <f ca="1">Table5[[#This Row],['# months]]-COUNTIFS(Table5[SM_Contract__c],Table5[[#This Row],[SM_Contract__c]],Table5[TYPE],"SUBS",Table5[ACCEPTED],1)</f>
        <v>5</v>
      </c>
      <c r="J115" s="19" t="b">
        <f>ISNUMBER(MATCH(Table5[[#This Row],[SM_Contract__c]],Contract[Id],0))</f>
        <v>1</v>
      </c>
      <c r="K115" s="9" t="s">
        <v>2701</v>
      </c>
      <c r="L115" s="9" t="s">
        <v>2702</v>
      </c>
      <c r="M115" s="9" t="s">
        <v>235</v>
      </c>
      <c r="N115" s="9" t="s">
        <v>3695</v>
      </c>
      <c r="O115" s="9" t="s">
        <v>1563</v>
      </c>
      <c r="P115" s="9" t="s">
        <v>2363</v>
      </c>
      <c r="Q115" s="9" t="s">
        <v>71</v>
      </c>
      <c r="R115" s="9" t="s">
        <v>83</v>
      </c>
      <c r="S115" s="9" t="s">
        <v>2087</v>
      </c>
      <c r="T115" s="9" t="s">
        <v>104</v>
      </c>
      <c r="U115" s="9" t="s">
        <v>91</v>
      </c>
      <c r="V115" s="9" t="s">
        <v>148</v>
      </c>
      <c r="W115" s="9" t="s">
        <v>3667</v>
      </c>
      <c r="X115" s="9" t="s">
        <v>2703</v>
      </c>
      <c r="Y115" s="9"/>
      <c r="Z115" s="9" t="s">
        <v>399</v>
      </c>
      <c r="AA115" s="9" t="s">
        <v>2703</v>
      </c>
    </row>
    <row r="116" spans="1:27" x14ac:dyDescent="0.35">
      <c r="A116" s="4" t="str">
        <f>IF(Table5[[#This Row],[SM_Amount__c]]="25.0","FEE",IF(IF(Table5[[#This Row],[SM_Original_Type__c]]="",Table5[[#This Row],[SM_Type__c]],Table5[[#This Row],[SM_Original_Type__c]])="AC","AC","SUBS"))</f>
        <v>SUBS</v>
      </c>
      <c r="B116" s="27">
        <f>IF(INDEX(Contract[SM_AC_start_date__c],MATCH(Table5[[#This Row],[SM_Contract__c]],Contract[Id],0))=0,"",INDEX(Contract[SM_AC_start_date__c],MATCH(Table5[[#This Row],[SM_Contract__c]],Contract[Id],0)))</f>
        <v>45702</v>
      </c>
      <c r="C116" s="27" t="str">
        <f>IF(INDEX(Contract[SM_AC_Split_Date__c],MATCH(Table5[[#This Row],[SM_Contract__c]],Contract[Id],0))=0,"",INDEX(Contract[SM_AC_Split_Date__c],MATCH(Table5[[#This Row],[SM_Contract__c]],Contract[Id],0)))</f>
        <v/>
      </c>
      <c r="D116" s="27">
        <f>IF(INDEX(Contract[SM_Start_date__c],MATCH(Table5[[#This Row],[SM_Contract__c]],Contract[Id],0))=0,"",INDEX(Contract[SM_Start_date__c],MATCH(Table5[[#This Row],[SM_Contract__c]],Contract[Id],0)))</f>
        <v>45746</v>
      </c>
      <c r="E116" s="4">
        <f ca="1">(YEAR(TODAY())-YEAR(Table5[[#This Row],[RC DATE]]))*12 + MONTH(TODAY())-MONTH(Table5[[#This Row],[RC DATE]])</f>
        <v>16</v>
      </c>
      <c r="F11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6" s="19">
        <f>IF(Table5[[#This Row],[Payment_Status__c]]="ACCEPTED",1,"")</f>
        <v>1</v>
      </c>
      <c r="H11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6" s="19">
        <f ca="1">Table5[[#This Row],['# months]]-COUNTIFS(Table5[SM_Contract__c],Table5[[#This Row],[SM_Contract__c]],Table5[TYPE],"SUBS",Table5[ACCEPTED],1)</f>
        <v>5</v>
      </c>
      <c r="J116" s="19" t="b">
        <f>ISNUMBER(MATCH(Table5[[#This Row],[SM_Contract__c]],Contract[Id],0))</f>
        <v>1</v>
      </c>
      <c r="K116" s="9" t="s">
        <v>2704</v>
      </c>
      <c r="L116" s="9" t="s">
        <v>2705</v>
      </c>
      <c r="M116" s="9" t="s">
        <v>235</v>
      </c>
      <c r="N116" s="9" t="s">
        <v>3695</v>
      </c>
      <c r="O116" s="9" t="s">
        <v>1563</v>
      </c>
      <c r="P116" s="9" t="s">
        <v>2363</v>
      </c>
      <c r="Q116" s="9" t="s">
        <v>71</v>
      </c>
      <c r="R116" s="9" t="s">
        <v>83</v>
      </c>
      <c r="S116" s="9" t="s">
        <v>2087</v>
      </c>
      <c r="T116" s="9" t="s">
        <v>104</v>
      </c>
      <c r="U116" s="9" t="s">
        <v>91</v>
      </c>
      <c r="V116" s="9" t="s">
        <v>148</v>
      </c>
      <c r="W116" s="9" t="s">
        <v>3569</v>
      </c>
      <c r="X116" s="9" t="s">
        <v>2646</v>
      </c>
      <c r="Y116" s="9"/>
      <c r="Z116" s="9" t="s">
        <v>438</v>
      </c>
      <c r="AA116" s="9" t="s">
        <v>2646</v>
      </c>
    </row>
    <row r="117" spans="1:27" x14ac:dyDescent="0.35">
      <c r="A117" s="4" t="str">
        <f>IF(Table5[[#This Row],[SM_Amount__c]]="25.0","FEE",IF(IF(Table5[[#This Row],[SM_Original_Type__c]]="",Table5[[#This Row],[SM_Type__c]],Table5[[#This Row],[SM_Original_Type__c]])="AC","AC","SUBS"))</f>
        <v>SUBS</v>
      </c>
      <c r="B117" s="27">
        <f>IF(INDEX(Contract[SM_AC_start_date__c],MATCH(Table5[[#This Row],[SM_Contract__c]],Contract[Id],0))=0,"",INDEX(Contract[SM_AC_start_date__c],MATCH(Table5[[#This Row],[SM_Contract__c]],Contract[Id],0)))</f>
        <v>45702</v>
      </c>
      <c r="C117" s="27" t="str">
        <f>IF(INDEX(Contract[SM_AC_Split_Date__c],MATCH(Table5[[#This Row],[SM_Contract__c]],Contract[Id],0))=0,"",INDEX(Contract[SM_AC_Split_Date__c],MATCH(Table5[[#This Row],[SM_Contract__c]],Contract[Id],0)))</f>
        <v/>
      </c>
      <c r="D117" s="27">
        <f>IF(INDEX(Contract[SM_Start_date__c],MATCH(Table5[[#This Row],[SM_Contract__c]],Contract[Id],0))=0,"",INDEX(Contract[SM_Start_date__c],MATCH(Table5[[#This Row],[SM_Contract__c]],Contract[Id],0)))</f>
        <v>45746</v>
      </c>
      <c r="E117" s="4">
        <f ca="1">(YEAR(TODAY())-YEAR(Table5[[#This Row],[RC DATE]]))*12 + MONTH(TODAY())-MONTH(Table5[[#This Row],[RC DATE]])</f>
        <v>16</v>
      </c>
      <c r="F11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7" s="19">
        <f>IF(Table5[[#This Row],[Payment_Status__c]]="ACCEPTED",1,"")</f>
        <v>1</v>
      </c>
      <c r="H11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7" s="19">
        <f ca="1">Table5[[#This Row],['# months]]-COUNTIFS(Table5[SM_Contract__c],Table5[[#This Row],[SM_Contract__c]],Table5[TYPE],"SUBS",Table5[ACCEPTED],1)</f>
        <v>5</v>
      </c>
      <c r="J117" s="19" t="b">
        <f>ISNUMBER(MATCH(Table5[[#This Row],[SM_Contract__c]],Contract[Id],0))</f>
        <v>1</v>
      </c>
      <c r="K117" s="9" t="s">
        <v>2706</v>
      </c>
      <c r="L117" s="9" t="s">
        <v>2707</v>
      </c>
      <c r="M117" s="9" t="s">
        <v>235</v>
      </c>
      <c r="N117" s="9" t="s">
        <v>3695</v>
      </c>
      <c r="O117" s="9" t="s">
        <v>1563</v>
      </c>
      <c r="P117" s="9" t="s">
        <v>2363</v>
      </c>
      <c r="Q117" s="9" t="s">
        <v>83</v>
      </c>
      <c r="R117" s="9" t="s">
        <v>76</v>
      </c>
      <c r="S117" s="9" t="s">
        <v>91</v>
      </c>
      <c r="T117" s="9" t="s">
        <v>105</v>
      </c>
      <c r="U117" s="9" t="s">
        <v>91</v>
      </c>
      <c r="V117" s="9" t="s">
        <v>93</v>
      </c>
      <c r="W117" s="9" t="s">
        <v>3559</v>
      </c>
      <c r="X117" s="9" t="s">
        <v>2708</v>
      </c>
      <c r="Y117" s="9"/>
      <c r="Z117" s="9"/>
      <c r="AA117" s="9" t="s">
        <v>2708</v>
      </c>
    </row>
    <row r="118" spans="1:27" x14ac:dyDescent="0.35">
      <c r="A118" s="4" t="str">
        <f>IF(Table5[[#This Row],[SM_Amount__c]]="25.0","FEE",IF(IF(Table5[[#This Row],[SM_Original_Type__c]]="",Table5[[#This Row],[SM_Type__c]],Table5[[#This Row],[SM_Original_Type__c]])="AC","AC","SUBS"))</f>
        <v>SUBS</v>
      </c>
      <c r="B118" s="27">
        <f>IF(INDEX(Contract[SM_AC_start_date__c],MATCH(Table5[[#This Row],[SM_Contract__c]],Contract[Id],0))=0,"",INDEX(Contract[SM_AC_start_date__c],MATCH(Table5[[#This Row],[SM_Contract__c]],Contract[Id],0)))</f>
        <v>45702</v>
      </c>
      <c r="C118" s="27" t="str">
        <f>IF(INDEX(Contract[SM_AC_Split_Date__c],MATCH(Table5[[#This Row],[SM_Contract__c]],Contract[Id],0))=0,"",INDEX(Contract[SM_AC_Split_Date__c],MATCH(Table5[[#This Row],[SM_Contract__c]],Contract[Id],0)))</f>
        <v/>
      </c>
      <c r="D118" s="27">
        <f>IF(INDEX(Contract[SM_Start_date__c],MATCH(Table5[[#This Row],[SM_Contract__c]],Contract[Id],0))=0,"",INDEX(Contract[SM_Start_date__c],MATCH(Table5[[#This Row],[SM_Contract__c]],Contract[Id],0)))</f>
        <v>45746</v>
      </c>
      <c r="E118" s="4">
        <f ca="1">(YEAR(TODAY())-YEAR(Table5[[#This Row],[RC DATE]]))*12 + MONTH(TODAY())-MONTH(Table5[[#This Row],[RC DATE]])</f>
        <v>16</v>
      </c>
      <c r="F11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8" s="19">
        <f>IF(Table5[[#This Row],[Payment_Status__c]]="ACCEPTED",1,"")</f>
        <v>1</v>
      </c>
      <c r="H11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8" s="19">
        <f ca="1">Table5[[#This Row],['# months]]-COUNTIFS(Table5[SM_Contract__c],Table5[[#This Row],[SM_Contract__c]],Table5[TYPE],"SUBS",Table5[ACCEPTED],1)</f>
        <v>5</v>
      </c>
      <c r="J118" s="19" t="b">
        <f>ISNUMBER(MATCH(Table5[[#This Row],[SM_Contract__c]],Contract[Id],0))</f>
        <v>1</v>
      </c>
      <c r="K118" s="9" t="s">
        <v>2709</v>
      </c>
      <c r="L118" s="9" t="s">
        <v>2710</v>
      </c>
      <c r="M118" s="9" t="s">
        <v>235</v>
      </c>
      <c r="N118" s="9" t="s">
        <v>3695</v>
      </c>
      <c r="O118" s="9" t="s">
        <v>1563</v>
      </c>
      <c r="P118" s="9" t="s">
        <v>2363</v>
      </c>
      <c r="Q118" s="9" t="s">
        <v>71</v>
      </c>
      <c r="R118" s="9" t="s">
        <v>83</v>
      </c>
      <c r="S118" s="9" t="s">
        <v>2087</v>
      </c>
      <c r="T118" s="9" t="s">
        <v>2087</v>
      </c>
      <c r="U118" s="9" t="s">
        <v>91</v>
      </c>
      <c r="V118" s="9" t="s">
        <v>148</v>
      </c>
      <c r="W118" s="9" t="s">
        <v>3625</v>
      </c>
      <c r="X118" s="9" t="s">
        <v>2711</v>
      </c>
      <c r="Y118" s="9"/>
      <c r="Z118" s="9" t="s">
        <v>498</v>
      </c>
      <c r="AA118" s="9" t="s">
        <v>2711</v>
      </c>
    </row>
    <row r="119" spans="1:27" x14ac:dyDescent="0.35">
      <c r="A119" s="4" t="str">
        <f>IF(Table5[[#This Row],[SM_Amount__c]]="25.0","FEE",IF(IF(Table5[[#This Row],[SM_Original_Type__c]]="",Table5[[#This Row],[SM_Type__c]],Table5[[#This Row],[SM_Original_Type__c]])="AC","AC","SUBS"))</f>
        <v>SUBS</v>
      </c>
      <c r="B119" s="27">
        <f>IF(INDEX(Contract[SM_AC_start_date__c],MATCH(Table5[[#This Row],[SM_Contract__c]],Contract[Id],0))=0,"",INDEX(Contract[SM_AC_start_date__c],MATCH(Table5[[#This Row],[SM_Contract__c]],Contract[Id],0)))</f>
        <v>45702</v>
      </c>
      <c r="C119" s="27" t="str">
        <f>IF(INDEX(Contract[SM_AC_Split_Date__c],MATCH(Table5[[#This Row],[SM_Contract__c]],Contract[Id],0))=0,"",INDEX(Contract[SM_AC_Split_Date__c],MATCH(Table5[[#This Row],[SM_Contract__c]],Contract[Id],0)))</f>
        <v/>
      </c>
      <c r="D119" s="27">
        <f>IF(INDEX(Contract[SM_Start_date__c],MATCH(Table5[[#This Row],[SM_Contract__c]],Contract[Id],0))=0,"",INDEX(Contract[SM_Start_date__c],MATCH(Table5[[#This Row],[SM_Contract__c]],Contract[Id],0)))</f>
        <v>45746</v>
      </c>
      <c r="E119" s="4">
        <f ca="1">(YEAR(TODAY())-YEAR(Table5[[#This Row],[RC DATE]]))*12 + MONTH(TODAY())-MONTH(Table5[[#This Row],[RC DATE]])</f>
        <v>16</v>
      </c>
      <c r="F11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19" s="19">
        <f>IF(Table5[[#This Row],[Payment_Status__c]]="ACCEPTED",1,"")</f>
        <v>1</v>
      </c>
      <c r="H11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19" s="19">
        <f ca="1">Table5[[#This Row],['# months]]-COUNTIFS(Table5[SM_Contract__c],Table5[[#This Row],[SM_Contract__c]],Table5[TYPE],"SUBS",Table5[ACCEPTED],1)</f>
        <v>5</v>
      </c>
      <c r="J119" s="19" t="b">
        <f>ISNUMBER(MATCH(Table5[[#This Row],[SM_Contract__c]],Contract[Id],0))</f>
        <v>1</v>
      </c>
      <c r="K119" s="9" t="s">
        <v>2712</v>
      </c>
      <c r="L119" s="9" t="s">
        <v>2713</v>
      </c>
      <c r="M119" s="9" t="s">
        <v>235</v>
      </c>
      <c r="N119" s="9" t="s">
        <v>3695</v>
      </c>
      <c r="O119" s="9" t="s">
        <v>1563</v>
      </c>
      <c r="P119" s="9" t="s">
        <v>2363</v>
      </c>
      <c r="Q119" s="9" t="s">
        <v>71</v>
      </c>
      <c r="R119" s="9" t="s">
        <v>83</v>
      </c>
      <c r="S119" s="9" t="s">
        <v>2087</v>
      </c>
      <c r="T119" s="9" t="s">
        <v>2087</v>
      </c>
      <c r="U119" s="9" t="s">
        <v>91</v>
      </c>
      <c r="V119" s="9" t="s">
        <v>148</v>
      </c>
      <c r="W119" s="9" t="s">
        <v>3604</v>
      </c>
      <c r="X119" s="9" t="s">
        <v>2714</v>
      </c>
      <c r="Y119" s="9"/>
      <c r="Z119" s="9" t="s">
        <v>542</v>
      </c>
      <c r="AA119" s="9" t="s">
        <v>2714</v>
      </c>
    </row>
    <row r="120" spans="1:27" x14ac:dyDescent="0.35">
      <c r="A120" s="4" t="str">
        <f>IF(Table5[[#This Row],[SM_Amount__c]]="25.0","FEE",IF(IF(Table5[[#This Row],[SM_Original_Type__c]]="",Table5[[#This Row],[SM_Type__c]],Table5[[#This Row],[SM_Original_Type__c]])="AC","AC","SUBS"))</f>
        <v>SUBS</v>
      </c>
      <c r="B120" s="27">
        <f>IF(INDEX(Contract[SM_AC_start_date__c],MATCH(Table5[[#This Row],[SM_Contract__c]],Contract[Id],0))=0,"",INDEX(Contract[SM_AC_start_date__c],MATCH(Table5[[#This Row],[SM_Contract__c]],Contract[Id],0)))</f>
        <v>45702</v>
      </c>
      <c r="C120" s="27" t="str">
        <f>IF(INDEX(Contract[SM_AC_Split_Date__c],MATCH(Table5[[#This Row],[SM_Contract__c]],Contract[Id],0))=0,"",INDEX(Contract[SM_AC_Split_Date__c],MATCH(Table5[[#This Row],[SM_Contract__c]],Contract[Id],0)))</f>
        <v/>
      </c>
      <c r="D120" s="27">
        <f>IF(INDEX(Contract[SM_Start_date__c],MATCH(Table5[[#This Row],[SM_Contract__c]],Contract[Id],0))=0,"",INDEX(Contract[SM_Start_date__c],MATCH(Table5[[#This Row],[SM_Contract__c]],Contract[Id],0)))</f>
        <v>45746</v>
      </c>
      <c r="E120" s="4">
        <f ca="1">(YEAR(TODAY())-YEAR(Table5[[#This Row],[RC DATE]]))*12 + MONTH(TODAY())-MONTH(Table5[[#This Row],[RC DATE]])</f>
        <v>16</v>
      </c>
      <c r="F12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0" s="19">
        <f>IF(Table5[[#This Row],[Payment_Status__c]]="ACCEPTED",1,"")</f>
        <v>1</v>
      </c>
      <c r="H12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0" s="19">
        <f ca="1">Table5[[#This Row],['# months]]-COUNTIFS(Table5[SM_Contract__c],Table5[[#This Row],[SM_Contract__c]],Table5[TYPE],"SUBS",Table5[ACCEPTED],1)</f>
        <v>5</v>
      </c>
      <c r="J120" s="19" t="b">
        <f>ISNUMBER(MATCH(Table5[[#This Row],[SM_Contract__c]],Contract[Id],0))</f>
        <v>1</v>
      </c>
      <c r="K120" s="9" t="s">
        <v>2715</v>
      </c>
      <c r="L120" s="9" t="s">
        <v>2716</v>
      </c>
      <c r="M120" s="9" t="s">
        <v>235</v>
      </c>
      <c r="N120" s="9" t="s">
        <v>3695</v>
      </c>
      <c r="O120" s="9" t="s">
        <v>1563</v>
      </c>
      <c r="P120" s="9" t="s">
        <v>2363</v>
      </c>
      <c r="Q120" s="9" t="s">
        <v>71</v>
      </c>
      <c r="R120" s="9" t="s">
        <v>83</v>
      </c>
      <c r="S120" s="9" t="s">
        <v>2087</v>
      </c>
      <c r="T120" s="9" t="s">
        <v>2087</v>
      </c>
      <c r="U120" s="9" t="s">
        <v>91</v>
      </c>
      <c r="V120" s="9" t="s">
        <v>148</v>
      </c>
      <c r="W120" s="9" t="s">
        <v>3644</v>
      </c>
      <c r="X120" s="9" t="s">
        <v>2717</v>
      </c>
      <c r="Y120" s="9"/>
      <c r="Z120" s="9" t="s">
        <v>878</v>
      </c>
      <c r="AA120" s="9" t="s">
        <v>2717</v>
      </c>
    </row>
    <row r="121" spans="1:27" x14ac:dyDescent="0.35">
      <c r="A121" s="4" t="str">
        <f>IF(Table5[[#This Row],[SM_Amount__c]]="25.0","FEE",IF(IF(Table5[[#This Row],[SM_Original_Type__c]]="",Table5[[#This Row],[SM_Type__c]],Table5[[#This Row],[SM_Original_Type__c]])="AC","AC","SUBS"))</f>
        <v>SUBS</v>
      </c>
      <c r="B121" s="27">
        <f>IF(INDEX(Contract[SM_AC_start_date__c],MATCH(Table5[[#This Row],[SM_Contract__c]],Contract[Id],0))=0,"",INDEX(Contract[SM_AC_start_date__c],MATCH(Table5[[#This Row],[SM_Contract__c]],Contract[Id],0)))</f>
        <v>45702</v>
      </c>
      <c r="C121" s="27" t="str">
        <f>IF(INDEX(Contract[SM_AC_Split_Date__c],MATCH(Table5[[#This Row],[SM_Contract__c]],Contract[Id],0))=0,"",INDEX(Contract[SM_AC_Split_Date__c],MATCH(Table5[[#This Row],[SM_Contract__c]],Contract[Id],0)))</f>
        <v/>
      </c>
      <c r="D121" s="27">
        <f>IF(INDEX(Contract[SM_Start_date__c],MATCH(Table5[[#This Row],[SM_Contract__c]],Contract[Id],0))=0,"",INDEX(Contract[SM_Start_date__c],MATCH(Table5[[#This Row],[SM_Contract__c]],Contract[Id],0)))</f>
        <v>45746</v>
      </c>
      <c r="E121" s="4">
        <f ca="1">(YEAR(TODAY())-YEAR(Table5[[#This Row],[RC DATE]]))*12 + MONTH(TODAY())-MONTH(Table5[[#This Row],[RC DATE]])</f>
        <v>16</v>
      </c>
      <c r="F12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1" s="19">
        <f>IF(Table5[[#This Row],[Payment_Status__c]]="ACCEPTED",1,"")</f>
        <v>1</v>
      </c>
      <c r="H12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1" s="19">
        <f ca="1">Table5[[#This Row],['# months]]-COUNTIFS(Table5[SM_Contract__c],Table5[[#This Row],[SM_Contract__c]],Table5[TYPE],"SUBS",Table5[ACCEPTED],1)</f>
        <v>5</v>
      </c>
      <c r="J121" s="19" t="b">
        <f>ISNUMBER(MATCH(Table5[[#This Row],[SM_Contract__c]],Contract[Id],0))</f>
        <v>1</v>
      </c>
      <c r="K121" s="9" t="s">
        <v>2718</v>
      </c>
      <c r="L121" s="9" t="s">
        <v>2719</v>
      </c>
      <c r="M121" s="9" t="s">
        <v>235</v>
      </c>
      <c r="N121" s="9" t="s">
        <v>3695</v>
      </c>
      <c r="O121" s="9" t="s">
        <v>1563</v>
      </c>
      <c r="P121" s="9" t="s">
        <v>2363</v>
      </c>
      <c r="Q121" s="9" t="s">
        <v>71</v>
      </c>
      <c r="R121" s="9" t="s">
        <v>83</v>
      </c>
      <c r="S121" s="9" t="s">
        <v>2087</v>
      </c>
      <c r="T121" s="9" t="s">
        <v>2087</v>
      </c>
      <c r="U121" s="9" t="s">
        <v>91</v>
      </c>
      <c r="V121" s="9" t="s">
        <v>148</v>
      </c>
      <c r="W121" s="9" t="s">
        <v>3644</v>
      </c>
      <c r="X121" s="9" t="s">
        <v>2720</v>
      </c>
      <c r="Y121" s="9"/>
      <c r="Z121" s="9" t="s">
        <v>1033</v>
      </c>
      <c r="AA121" s="9" t="s">
        <v>2720</v>
      </c>
    </row>
    <row r="122" spans="1:27" x14ac:dyDescent="0.35">
      <c r="A122" s="4" t="str">
        <f>IF(Table5[[#This Row],[SM_Amount__c]]="25.0","FEE",IF(IF(Table5[[#This Row],[SM_Original_Type__c]]="",Table5[[#This Row],[SM_Type__c]],Table5[[#This Row],[SM_Original_Type__c]])="AC","AC","SUBS"))</f>
        <v>AC</v>
      </c>
      <c r="B122" s="27">
        <f>IF(INDEX(Contract[SM_AC_start_date__c],MATCH(Table5[[#This Row],[SM_Contract__c]],Contract[Id],0))=0,"",INDEX(Contract[SM_AC_start_date__c],MATCH(Table5[[#This Row],[SM_Contract__c]],Contract[Id],0)))</f>
        <v>45723</v>
      </c>
      <c r="C122" s="27" t="str">
        <f>IF(INDEX(Contract[SM_AC_Split_Date__c],MATCH(Table5[[#This Row],[SM_Contract__c]],Contract[Id],0))=0,"",INDEX(Contract[SM_AC_Split_Date__c],MATCH(Table5[[#This Row],[SM_Contract__c]],Contract[Id],0)))</f>
        <v/>
      </c>
      <c r="D122" s="27">
        <f>IF(INDEX(Contract[SM_Start_date__c],MATCH(Table5[[#This Row],[SM_Contract__c]],Contract[Id],0))=0,"",INDEX(Contract[SM_Start_date__c],MATCH(Table5[[#This Row],[SM_Contract__c]],Contract[Id],0)))</f>
        <v>45777</v>
      </c>
      <c r="E122" s="4">
        <f ca="1">(YEAR(TODAY())-YEAR(Table5[[#This Row],[RC DATE]]))*12 + MONTH(TODAY())-MONTH(Table5[[#This Row],[RC DATE]])</f>
        <v>15</v>
      </c>
      <c r="F12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2" s="19">
        <f>IF(Table5[[#This Row],[Payment_Status__c]]="ACCEPTED",1,"")</f>
        <v>1</v>
      </c>
      <c r="H12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2" s="19">
        <f ca="1">Table5[[#This Row],['# months]]-COUNTIFS(Table5[SM_Contract__c],Table5[[#This Row],[SM_Contract__c]],Table5[TYPE],"SUBS",Table5[ACCEPTED],1)</f>
        <v>5</v>
      </c>
      <c r="J122" s="19" t="b">
        <f>ISNUMBER(MATCH(Table5[[#This Row],[SM_Contract__c]],Contract[Id],0))</f>
        <v>1</v>
      </c>
      <c r="K122" s="9" t="s">
        <v>2721</v>
      </c>
      <c r="L122" s="9" t="s">
        <v>2722</v>
      </c>
      <c r="M122" s="9" t="s">
        <v>253</v>
      </c>
      <c r="N122" s="9" t="s">
        <v>3699</v>
      </c>
      <c r="O122" s="9" t="s">
        <v>1563</v>
      </c>
      <c r="P122" s="9" t="s">
        <v>2363</v>
      </c>
      <c r="Q122" s="9" t="s">
        <v>77</v>
      </c>
      <c r="R122" s="9" t="s">
        <v>77</v>
      </c>
      <c r="S122" s="9" t="s">
        <v>2414</v>
      </c>
      <c r="T122" s="9" t="s">
        <v>2001</v>
      </c>
      <c r="U122" s="9" t="s">
        <v>2414</v>
      </c>
      <c r="V122" s="9" t="s">
        <v>93</v>
      </c>
      <c r="W122" s="9" t="s">
        <v>3630</v>
      </c>
      <c r="X122" s="9" t="s">
        <v>2723</v>
      </c>
      <c r="Y122" s="9"/>
      <c r="Z122" s="9"/>
      <c r="AA122" s="9" t="s">
        <v>2723</v>
      </c>
    </row>
    <row r="123" spans="1:27" x14ac:dyDescent="0.35">
      <c r="A123" s="4" t="str">
        <f>IF(Table5[[#This Row],[SM_Amount__c]]="25.0","FEE",IF(IF(Table5[[#This Row],[SM_Original_Type__c]]="",Table5[[#This Row],[SM_Type__c]],Table5[[#This Row],[SM_Original_Type__c]])="AC","AC","SUBS"))</f>
        <v>SUBS</v>
      </c>
      <c r="B123" s="27">
        <f>IF(INDEX(Contract[SM_AC_start_date__c],MATCH(Table5[[#This Row],[SM_Contract__c]],Contract[Id],0))=0,"",INDEX(Contract[SM_AC_start_date__c],MATCH(Table5[[#This Row],[SM_Contract__c]],Contract[Id],0)))</f>
        <v>45723</v>
      </c>
      <c r="C123" s="27" t="str">
        <f>IF(INDEX(Contract[SM_AC_Split_Date__c],MATCH(Table5[[#This Row],[SM_Contract__c]],Contract[Id],0))=0,"",INDEX(Contract[SM_AC_Split_Date__c],MATCH(Table5[[#This Row],[SM_Contract__c]],Contract[Id],0)))</f>
        <v/>
      </c>
      <c r="D123" s="27">
        <f>IF(INDEX(Contract[SM_Start_date__c],MATCH(Table5[[#This Row],[SM_Contract__c]],Contract[Id],0))=0,"",INDEX(Contract[SM_Start_date__c],MATCH(Table5[[#This Row],[SM_Contract__c]],Contract[Id],0)))</f>
        <v>45777</v>
      </c>
      <c r="E123" s="4">
        <f ca="1">(YEAR(TODAY())-YEAR(Table5[[#This Row],[RC DATE]]))*12 + MONTH(TODAY())-MONTH(Table5[[#This Row],[RC DATE]])</f>
        <v>15</v>
      </c>
      <c r="F12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3" s="19">
        <f>IF(Table5[[#This Row],[Payment_Status__c]]="ACCEPTED",1,"")</f>
        <v>1</v>
      </c>
      <c r="H12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3" s="19">
        <f ca="1">Table5[[#This Row],['# months]]-COUNTIFS(Table5[SM_Contract__c],Table5[[#This Row],[SM_Contract__c]],Table5[TYPE],"SUBS",Table5[ACCEPTED],1)</f>
        <v>5</v>
      </c>
      <c r="J123" s="19" t="b">
        <f>ISNUMBER(MATCH(Table5[[#This Row],[SM_Contract__c]],Contract[Id],0))</f>
        <v>1</v>
      </c>
      <c r="K123" s="9" t="s">
        <v>2724</v>
      </c>
      <c r="L123" s="9" t="s">
        <v>2725</v>
      </c>
      <c r="M123" s="9" t="s">
        <v>253</v>
      </c>
      <c r="N123" s="9" t="s">
        <v>3699</v>
      </c>
      <c r="O123" s="9" t="s">
        <v>1563</v>
      </c>
      <c r="P123" s="9" t="s">
        <v>2363</v>
      </c>
      <c r="Q123" s="9" t="s">
        <v>71</v>
      </c>
      <c r="R123" s="9" t="s">
        <v>83</v>
      </c>
      <c r="S123" s="9" t="s">
        <v>2087</v>
      </c>
      <c r="T123" s="9" t="s">
        <v>104</v>
      </c>
      <c r="U123" s="9" t="s">
        <v>91</v>
      </c>
      <c r="V123" s="9" t="s">
        <v>148</v>
      </c>
      <c r="W123" s="9" t="s">
        <v>3620</v>
      </c>
      <c r="X123" s="9" t="s">
        <v>2726</v>
      </c>
      <c r="Y123" s="9"/>
      <c r="Z123" s="9" t="s">
        <v>312</v>
      </c>
      <c r="AA123" s="9" t="s">
        <v>2726</v>
      </c>
    </row>
    <row r="124" spans="1:27" x14ac:dyDescent="0.35">
      <c r="A124" s="4" t="str">
        <f>IF(Table5[[#This Row],[SM_Amount__c]]="25.0","FEE",IF(IF(Table5[[#This Row],[SM_Original_Type__c]]="",Table5[[#This Row],[SM_Type__c]],Table5[[#This Row],[SM_Original_Type__c]])="AC","AC","SUBS"))</f>
        <v>SUBS</v>
      </c>
      <c r="B124" s="27">
        <f>IF(INDEX(Contract[SM_AC_start_date__c],MATCH(Table5[[#This Row],[SM_Contract__c]],Contract[Id],0))=0,"",INDEX(Contract[SM_AC_start_date__c],MATCH(Table5[[#This Row],[SM_Contract__c]],Contract[Id],0)))</f>
        <v>45723</v>
      </c>
      <c r="C124" s="27" t="str">
        <f>IF(INDEX(Contract[SM_AC_Split_Date__c],MATCH(Table5[[#This Row],[SM_Contract__c]],Contract[Id],0))=0,"",INDEX(Contract[SM_AC_Split_Date__c],MATCH(Table5[[#This Row],[SM_Contract__c]],Contract[Id],0)))</f>
        <v/>
      </c>
      <c r="D124" s="27">
        <f>IF(INDEX(Contract[SM_Start_date__c],MATCH(Table5[[#This Row],[SM_Contract__c]],Contract[Id],0))=0,"",INDEX(Contract[SM_Start_date__c],MATCH(Table5[[#This Row],[SM_Contract__c]],Contract[Id],0)))</f>
        <v>45777</v>
      </c>
      <c r="E124" s="4">
        <f ca="1">(YEAR(TODAY())-YEAR(Table5[[#This Row],[RC DATE]]))*12 + MONTH(TODAY())-MONTH(Table5[[#This Row],[RC DATE]])</f>
        <v>15</v>
      </c>
      <c r="F12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4" s="19">
        <f>IF(Table5[[#This Row],[Payment_Status__c]]="ACCEPTED",1,"")</f>
        <v>1</v>
      </c>
      <c r="H12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4" s="19">
        <f ca="1">Table5[[#This Row],['# months]]-COUNTIFS(Table5[SM_Contract__c],Table5[[#This Row],[SM_Contract__c]],Table5[TYPE],"SUBS",Table5[ACCEPTED],1)</f>
        <v>5</v>
      </c>
      <c r="J124" s="19" t="b">
        <f>ISNUMBER(MATCH(Table5[[#This Row],[SM_Contract__c]],Contract[Id],0))</f>
        <v>1</v>
      </c>
      <c r="K124" s="9" t="s">
        <v>2727</v>
      </c>
      <c r="L124" s="9" t="s">
        <v>2728</v>
      </c>
      <c r="M124" s="9" t="s">
        <v>253</v>
      </c>
      <c r="N124" s="9" t="s">
        <v>3699</v>
      </c>
      <c r="O124" s="9" t="s">
        <v>1563</v>
      </c>
      <c r="P124" s="9" t="s">
        <v>2363</v>
      </c>
      <c r="Q124" s="9" t="s">
        <v>71</v>
      </c>
      <c r="R124" s="9" t="s">
        <v>83</v>
      </c>
      <c r="S124" s="9" t="s">
        <v>91</v>
      </c>
      <c r="T124" s="9" t="s">
        <v>105</v>
      </c>
      <c r="U124" s="9" t="s">
        <v>91</v>
      </c>
      <c r="V124" s="9" t="s">
        <v>93</v>
      </c>
      <c r="W124" s="9" t="s">
        <v>3628</v>
      </c>
      <c r="X124" s="9" t="s">
        <v>2729</v>
      </c>
      <c r="Y124" s="9"/>
      <c r="Z124" s="9" t="s">
        <v>349</v>
      </c>
      <c r="AA124" s="9" t="s">
        <v>2729</v>
      </c>
    </row>
    <row r="125" spans="1:27" x14ac:dyDescent="0.35">
      <c r="A125" s="4" t="str">
        <f>IF(Table5[[#This Row],[SM_Amount__c]]="25.0","FEE",IF(IF(Table5[[#This Row],[SM_Original_Type__c]]="",Table5[[#This Row],[SM_Type__c]],Table5[[#This Row],[SM_Original_Type__c]])="AC","AC","SUBS"))</f>
        <v>SUBS</v>
      </c>
      <c r="B125" s="27">
        <f>IF(INDEX(Contract[SM_AC_start_date__c],MATCH(Table5[[#This Row],[SM_Contract__c]],Contract[Id],0))=0,"",INDEX(Contract[SM_AC_start_date__c],MATCH(Table5[[#This Row],[SM_Contract__c]],Contract[Id],0)))</f>
        <v>45723</v>
      </c>
      <c r="C125" s="27" t="str">
        <f>IF(INDEX(Contract[SM_AC_Split_Date__c],MATCH(Table5[[#This Row],[SM_Contract__c]],Contract[Id],0))=0,"",INDEX(Contract[SM_AC_Split_Date__c],MATCH(Table5[[#This Row],[SM_Contract__c]],Contract[Id],0)))</f>
        <v/>
      </c>
      <c r="D125" s="27">
        <f>IF(INDEX(Contract[SM_Start_date__c],MATCH(Table5[[#This Row],[SM_Contract__c]],Contract[Id],0))=0,"",INDEX(Contract[SM_Start_date__c],MATCH(Table5[[#This Row],[SM_Contract__c]],Contract[Id],0)))</f>
        <v>45777</v>
      </c>
      <c r="E125" s="4">
        <f ca="1">(YEAR(TODAY())-YEAR(Table5[[#This Row],[RC DATE]]))*12 + MONTH(TODAY())-MONTH(Table5[[#This Row],[RC DATE]])</f>
        <v>15</v>
      </c>
      <c r="F12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5" s="19">
        <f>IF(Table5[[#This Row],[Payment_Status__c]]="ACCEPTED",1,"")</f>
        <v>1</v>
      </c>
      <c r="H12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5" s="19">
        <f ca="1">Table5[[#This Row],['# months]]-COUNTIFS(Table5[SM_Contract__c],Table5[[#This Row],[SM_Contract__c]],Table5[TYPE],"SUBS",Table5[ACCEPTED],1)</f>
        <v>5</v>
      </c>
      <c r="J125" s="19" t="b">
        <f>ISNUMBER(MATCH(Table5[[#This Row],[SM_Contract__c]],Contract[Id],0))</f>
        <v>1</v>
      </c>
      <c r="K125" s="9" t="s">
        <v>2730</v>
      </c>
      <c r="L125" s="9" t="s">
        <v>2731</v>
      </c>
      <c r="M125" s="9" t="s">
        <v>253</v>
      </c>
      <c r="N125" s="9" t="s">
        <v>3699</v>
      </c>
      <c r="O125" s="9" t="s">
        <v>1563</v>
      </c>
      <c r="P125" s="9" t="s">
        <v>2363</v>
      </c>
      <c r="Q125" s="9" t="s">
        <v>71</v>
      </c>
      <c r="R125" s="9" t="s">
        <v>83</v>
      </c>
      <c r="S125" s="9" t="s">
        <v>2087</v>
      </c>
      <c r="T125" s="9" t="s">
        <v>104</v>
      </c>
      <c r="U125" s="9" t="s">
        <v>91</v>
      </c>
      <c r="V125" s="9" t="s">
        <v>148</v>
      </c>
      <c r="W125" s="9" t="s">
        <v>3628</v>
      </c>
      <c r="X125" s="9" t="s">
        <v>2732</v>
      </c>
      <c r="Y125" s="9"/>
      <c r="Z125" s="9" t="s">
        <v>402</v>
      </c>
      <c r="AA125" s="9" t="s">
        <v>2732</v>
      </c>
    </row>
    <row r="126" spans="1:27" x14ac:dyDescent="0.35">
      <c r="A126" s="4" t="str">
        <f>IF(Table5[[#This Row],[SM_Amount__c]]="25.0","FEE",IF(IF(Table5[[#This Row],[SM_Original_Type__c]]="",Table5[[#This Row],[SM_Type__c]],Table5[[#This Row],[SM_Original_Type__c]])="AC","AC","SUBS"))</f>
        <v>SUBS</v>
      </c>
      <c r="B126" s="27">
        <f>IF(INDEX(Contract[SM_AC_start_date__c],MATCH(Table5[[#This Row],[SM_Contract__c]],Contract[Id],0))=0,"",INDEX(Contract[SM_AC_start_date__c],MATCH(Table5[[#This Row],[SM_Contract__c]],Contract[Id],0)))</f>
        <v>45723</v>
      </c>
      <c r="C126" s="27" t="str">
        <f>IF(INDEX(Contract[SM_AC_Split_Date__c],MATCH(Table5[[#This Row],[SM_Contract__c]],Contract[Id],0))=0,"",INDEX(Contract[SM_AC_Split_Date__c],MATCH(Table5[[#This Row],[SM_Contract__c]],Contract[Id],0)))</f>
        <v/>
      </c>
      <c r="D126" s="27">
        <f>IF(INDEX(Contract[SM_Start_date__c],MATCH(Table5[[#This Row],[SM_Contract__c]],Contract[Id],0))=0,"",INDEX(Contract[SM_Start_date__c],MATCH(Table5[[#This Row],[SM_Contract__c]],Contract[Id],0)))</f>
        <v>45777</v>
      </c>
      <c r="E126" s="4">
        <f ca="1">(YEAR(TODAY())-YEAR(Table5[[#This Row],[RC DATE]]))*12 + MONTH(TODAY())-MONTH(Table5[[#This Row],[RC DATE]])</f>
        <v>15</v>
      </c>
      <c r="F12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6" s="19">
        <f>IF(Table5[[#This Row],[Payment_Status__c]]="ACCEPTED",1,"")</f>
        <v>1</v>
      </c>
      <c r="H12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6" s="19">
        <f ca="1">Table5[[#This Row],['# months]]-COUNTIFS(Table5[SM_Contract__c],Table5[[#This Row],[SM_Contract__c]],Table5[TYPE],"SUBS",Table5[ACCEPTED],1)</f>
        <v>5</v>
      </c>
      <c r="J126" s="19" t="b">
        <f>ISNUMBER(MATCH(Table5[[#This Row],[SM_Contract__c]],Contract[Id],0))</f>
        <v>1</v>
      </c>
      <c r="K126" s="9" t="s">
        <v>2733</v>
      </c>
      <c r="L126" s="9" t="s">
        <v>2734</v>
      </c>
      <c r="M126" s="9" t="s">
        <v>253</v>
      </c>
      <c r="N126" s="9" t="s">
        <v>3699</v>
      </c>
      <c r="O126" s="9" t="s">
        <v>1563</v>
      </c>
      <c r="P126" s="9" t="s">
        <v>2363</v>
      </c>
      <c r="Q126" s="9" t="s">
        <v>71</v>
      </c>
      <c r="R126" s="9" t="s">
        <v>83</v>
      </c>
      <c r="S126" s="9" t="s">
        <v>2087</v>
      </c>
      <c r="T126" s="9" t="s">
        <v>104</v>
      </c>
      <c r="U126" s="9" t="s">
        <v>91</v>
      </c>
      <c r="V126" s="9" t="s">
        <v>148</v>
      </c>
      <c r="W126" s="9" t="s">
        <v>3621</v>
      </c>
      <c r="X126" s="9" t="s">
        <v>2735</v>
      </c>
      <c r="Y126" s="9"/>
      <c r="Z126" s="9" t="s">
        <v>441</v>
      </c>
      <c r="AA126" s="9" t="s">
        <v>2735</v>
      </c>
    </row>
    <row r="127" spans="1:27" x14ac:dyDescent="0.35">
      <c r="A127" s="4" t="str">
        <f>IF(Table5[[#This Row],[SM_Amount__c]]="25.0","FEE",IF(IF(Table5[[#This Row],[SM_Original_Type__c]]="",Table5[[#This Row],[SM_Type__c]],Table5[[#This Row],[SM_Original_Type__c]])="AC","AC","SUBS"))</f>
        <v>SUBS</v>
      </c>
      <c r="B127" s="27">
        <f>IF(INDEX(Contract[SM_AC_start_date__c],MATCH(Table5[[#This Row],[SM_Contract__c]],Contract[Id],0))=0,"",INDEX(Contract[SM_AC_start_date__c],MATCH(Table5[[#This Row],[SM_Contract__c]],Contract[Id],0)))</f>
        <v>45723</v>
      </c>
      <c r="C127" s="27" t="str">
        <f>IF(INDEX(Contract[SM_AC_Split_Date__c],MATCH(Table5[[#This Row],[SM_Contract__c]],Contract[Id],0))=0,"",INDEX(Contract[SM_AC_Split_Date__c],MATCH(Table5[[#This Row],[SM_Contract__c]],Contract[Id],0)))</f>
        <v/>
      </c>
      <c r="D127" s="27">
        <f>IF(INDEX(Contract[SM_Start_date__c],MATCH(Table5[[#This Row],[SM_Contract__c]],Contract[Id],0))=0,"",INDEX(Contract[SM_Start_date__c],MATCH(Table5[[#This Row],[SM_Contract__c]],Contract[Id],0)))</f>
        <v>45777</v>
      </c>
      <c r="E127" s="4">
        <f ca="1">(YEAR(TODAY())-YEAR(Table5[[#This Row],[RC DATE]]))*12 + MONTH(TODAY())-MONTH(Table5[[#This Row],[RC DATE]])</f>
        <v>15</v>
      </c>
      <c r="F12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7" s="19">
        <f>IF(Table5[[#This Row],[Payment_Status__c]]="ACCEPTED",1,"")</f>
        <v>1</v>
      </c>
      <c r="H12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7" s="19">
        <f ca="1">Table5[[#This Row],['# months]]-COUNTIFS(Table5[SM_Contract__c],Table5[[#This Row],[SM_Contract__c]],Table5[TYPE],"SUBS",Table5[ACCEPTED],1)</f>
        <v>5</v>
      </c>
      <c r="J127" s="19" t="b">
        <f>ISNUMBER(MATCH(Table5[[#This Row],[SM_Contract__c]],Contract[Id],0))</f>
        <v>1</v>
      </c>
      <c r="K127" s="9" t="s">
        <v>2736</v>
      </c>
      <c r="L127" s="9" t="s">
        <v>2737</v>
      </c>
      <c r="M127" s="9" t="s">
        <v>253</v>
      </c>
      <c r="N127" s="9" t="s">
        <v>3699</v>
      </c>
      <c r="O127" s="9" t="s">
        <v>1563</v>
      </c>
      <c r="P127" s="9" t="s">
        <v>2363</v>
      </c>
      <c r="Q127" s="9" t="s">
        <v>71</v>
      </c>
      <c r="R127" s="9" t="s">
        <v>83</v>
      </c>
      <c r="S127" s="9" t="s">
        <v>2087</v>
      </c>
      <c r="T127" s="9" t="s">
        <v>104</v>
      </c>
      <c r="U127" s="9" t="s">
        <v>91</v>
      </c>
      <c r="V127" s="9" t="s">
        <v>148</v>
      </c>
      <c r="W127" s="9" t="s">
        <v>3621</v>
      </c>
      <c r="X127" s="9" t="s">
        <v>2738</v>
      </c>
      <c r="Y127" s="9"/>
      <c r="Z127" s="9" t="s">
        <v>462</v>
      </c>
      <c r="AA127" s="9" t="s">
        <v>2738</v>
      </c>
    </row>
    <row r="128" spans="1:27" x14ac:dyDescent="0.35">
      <c r="A128" s="4" t="str">
        <f>IF(Table5[[#This Row],[SM_Amount__c]]="25.0","FEE",IF(IF(Table5[[#This Row],[SM_Original_Type__c]]="",Table5[[#This Row],[SM_Type__c]],Table5[[#This Row],[SM_Original_Type__c]])="AC","AC","SUBS"))</f>
        <v>SUBS</v>
      </c>
      <c r="B128" s="27">
        <f>IF(INDEX(Contract[SM_AC_start_date__c],MATCH(Table5[[#This Row],[SM_Contract__c]],Contract[Id],0))=0,"",INDEX(Contract[SM_AC_start_date__c],MATCH(Table5[[#This Row],[SM_Contract__c]],Contract[Id],0)))</f>
        <v>45723</v>
      </c>
      <c r="C128" s="27" t="str">
        <f>IF(INDEX(Contract[SM_AC_Split_Date__c],MATCH(Table5[[#This Row],[SM_Contract__c]],Contract[Id],0))=0,"",INDEX(Contract[SM_AC_Split_Date__c],MATCH(Table5[[#This Row],[SM_Contract__c]],Contract[Id],0)))</f>
        <v/>
      </c>
      <c r="D128" s="27">
        <f>IF(INDEX(Contract[SM_Start_date__c],MATCH(Table5[[#This Row],[SM_Contract__c]],Contract[Id],0))=0,"",INDEX(Contract[SM_Start_date__c],MATCH(Table5[[#This Row],[SM_Contract__c]],Contract[Id],0)))</f>
        <v>45777</v>
      </c>
      <c r="E128" s="4">
        <f ca="1">(YEAR(TODAY())-YEAR(Table5[[#This Row],[RC DATE]]))*12 + MONTH(TODAY())-MONTH(Table5[[#This Row],[RC DATE]])</f>
        <v>15</v>
      </c>
      <c r="F12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8" s="19">
        <f>IF(Table5[[#This Row],[Payment_Status__c]]="ACCEPTED",1,"")</f>
        <v>1</v>
      </c>
      <c r="H12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8" s="19">
        <f ca="1">Table5[[#This Row],['# months]]-COUNTIFS(Table5[SM_Contract__c],Table5[[#This Row],[SM_Contract__c]],Table5[TYPE],"SUBS",Table5[ACCEPTED],1)</f>
        <v>5</v>
      </c>
      <c r="J128" s="19" t="b">
        <f>ISNUMBER(MATCH(Table5[[#This Row],[SM_Contract__c]],Contract[Id],0))</f>
        <v>1</v>
      </c>
      <c r="K128" s="9" t="s">
        <v>2739</v>
      </c>
      <c r="L128" s="9" t="s">
        <v>2740</v>
      </c>
      <c r="M128" s="9" t="s">
        <v>253</v>
      </c>
      <c r="N128" s="9" t="s">
        <v>3699</v>
      </c>
      <c r="O128" s="9" t="s">
        <v>1563</v>
      </c>
      <c r="P128" s="9" t="s">
        <v>2363</v>
      </c>
      <c r="Q128" s="9" t="s">
        <v>71</v>
      </c>
      <c r="R128" s="9"/>
      <c r="S128" s="9" t="s">
        <v>2087</v>
      </c>
      <c r="T128" s="9" t="s">
        <v>104</v>
      </c>
      <c r="U128" s="9" t="s">
        <v>91</v>
      </c>
      <c r="V128" s="9" t="s">
        <v>148</v>
      </c>
      <c r="W128" s="9" t="s">
        <v>3621</v>
      </c>
      <c r="X128" s="9" t="s">
        <v>2741</v>
      </c>
      <c r="Y128" s="9"/>
      <c r="Z128" s="9"/>
      <c r="AA128" s="9" t="s">
        <v>2741</v>
      </c>
    </row>
    <row r="129" spans="1:27" x14ac:dyDescent="0.35">
      <c r="A129" s="4" t="str">
        <f>IF(Table5[[#This Row],[SM_Amount__c]]="25.0","FEE",IF(IF(Table5[[#This Row],[SM_Original_Type__c]]="",Table5[[#This Row],[SM_Type__c]],Table5[[#This Row],[SM_Original_Type__c]])="AC","AC","SUBS"))</f>
        <v>SUBS</v>
      </c>
      <c r="B129" s="27">
        <f>IF(INDEX(Contract[SM_AC_start_date__c],MATCH(Table5[[#This Row],[SM_Contract__c]],Contract[Id],0))=0,"",INDEX(Contract[SM_AC_start_date__c],MATCH(Table5[[#This Row],[SM_Contract__c]],Contract[Id],0)))</f>
        <v>45723</v>
      </c>
      <c r="C129" s="27" t="str">
        <f>IF(INDEX(Contract[SM_AC_Split_Date__c],MATCH(Table5[[#This Row],[SM_Contract__c]],Contract[Id],0))=0,"",INDEX(Contract[SM_AC_Split_Date__c],MATCH(Table5[[#This Row],[SM_Contract__c]],Contract[Id],0)))</f>
        <v/>
      </c>
      <c r="D129" s="27">
        <f>IF(INDEX(Contract[SM_Start_date__c],MATCH(Table5[[#This Row],[SM_Contract__c]],Contract[Id],0))=0,"",INDEX(Contract[SM_Start_date__c],MATCH(Table5[[#This Row],[SM_Contract__c]],Contract[Id],0)))</f>
        <v>45777</v>
      </c>
      <c r="E129" s="4">
        <f ca="1">(YEAR(TODAY())-YEAR(Table5[[#This Row],[RC DATE]]))*12 + MONTH(TODAY())-MONTH(Table5[[#This Row],[RC DATE]])</f>
        <v>15</v>
      </c>
      <c r="F12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29" s="19">
        <f>IF(Table5[[#This Row],[Payment_Status__c]]="ACCEPTED",1,"")</f>
        <v>1</v>
      </c>
      <c r="H12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29" s="19">
        <f ca="1">Table5[[#This Row],['# months]]-COUNTIFS(Table5[SM_Contract__c],Table5[[#This Row],[SM_Contract__c]],Table5[TYPE],"SUBS",Table5[ACCEPTED],1)</f>
        <v>5</v>
      </c>
      <c r="J129" s="19" t="b">
        <f>ISNUMBER(MATCH(Table5[[#This Row],[SM_Contract__c]],Contract[Id],0))</f>
        <v>1</v>
      </c>
      <c r="K129" s="9" t="s">
        <v>2742</v>
      </c>
      <c r="L129" s="9" t="s">
        <v>2743</v>
      </c>
      <c r="M129" s="9" t="s">
        <v>253</v>
      </c>
      <c r="N129" s="9" t="s">
        <v>3699</v>
      </c>
      <c r="O129" s="9" t="s">
        <v>1563</v>
      </c>
      <c r="P129" s="9" t="s">
        <v>2363</v>
      </c>
      <c r="Q129" s="9" t="s">
        <v>71</v>
      </c>
      <c r="R129" s="9" t="s">
        <v>83</v>
      </c>
      <c r="S129" s="9" t="s">
        <v>2087</v>
      </c>
      <c r="T129" s="9" t="s">
        <v>2087</v>
      </c>
      <c r="U129" s="9" t="s">
        <v>91</v>
      </c>
      <c r="V129" s="9" t="s">
        <v>148</v>
      </c>
      <c r="W129" s="9" t="s">
        <v>3618</v>
      </c>
      <c r="X129" s="9" t="s">
        <v>2744</v>
      </c>
      <c r="Y129" s="9"/>
      <c r="Z129" s="9" t="s">
        <v>504</v>
      </c>
      <c r="AA129" s="9" t="s">
        <v>2744</v>
      </c>
    </row>
    <row r="130" spans="1:27" x14ac:dyDescent="0.35">
      <c r="A130" s="4" t="str">
        <f>IF(Table5[[#This Row],[SM_Amount__c]]="25.0","FEE",IF(IF(Table5[[#This Row],[SM_Original_Type__c]]="",Table5[[#This Row],[SM_Type__c]],Table5[[#This Row],[SM_Original_Type__c]])="AC","AC","SUBS"))</f>
        <v>SUBS</v>
      </c>
      <c r="B130" s="27">
        <f>IF(INDEX(Contract[SM_AC_start_date__c],MATCH(Table5[[#This Row],[SM_Contract__c]],Contract[Id],0))=0,"",INDEX(Contract[SM_AC_start_date__c],MATCH(Table5[[#This Row],[SM_Contract__c]],Contract[Id],0)))</f>
        <v>45723</v>
      </c>
      <c r="C130" s="27" t="str">
        <f>IF(INDEX(Contract[SM_AC_Split_Date__c],MATCH(Table5[[#This Row],[SM_Contract__c]],Contract[Id],0))=0,"",INDEX(Contract[SM_AC_Split_Date__c],MATCH(Table5[[#This Row],[SM_Contract__c]],Contract[Id],0)))</f>
        <v/>
      </c>
      <c r="D130" s="27">
        <f>IF(INDEX(Contract[SM_Start_date__c],MATCH(Table5[[#This Row],[SM_Contract__c]],Contract[Id],0))=0,"",INDEX(Contract[SM_Start_date__c],MATCH(Table5[[#This Row],[SM_Contract__c]],Contract[Id],0)))</f>
        <v>45777</v>
      </c>
      <c r="E130" s="4">
        <f ca="1">(YEAR(TODAY())-YEAR(Table5[[#This Row],[RC DATE]]))*12 + MONTH(TODAY())-MONTH(Table5[[#This Row],[RC DATE]])</f>
        <v>15</v>
      </c>
      <c r="F13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0" s="19">
        <f>IF(Table5[[#This Row],[Payment_Status__c]]="ACCEPTED",1,"")</f>
        <v>1</v>
      </c>
      <c r="H13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0" s="19">
        <f ca="1">Table5[[#This Row],['# months]]-COUNTIFS(Table5[SM_Contract__c],Table5[[#This Row],[SM_Contract__c]],Table5[TYPE],"SUBS",Table5[ACCEPTED],1)</f>
        <v>5</v>
      </c>
      <c r="J130" s="19" t="b">
        <f>ISNUMBER(MATCH(Table5[[#This Row],[SM_Contract__c]],Contract[Id],0))</f>
        <v>1</v>
      </c>
      <c r="K130" s="9" t="s">
        <v>2745</v>
      </c>
      <c r="L130" s="9" t="s">
        <v>2746</v>
      </c>
      <c r="M130" s="9" t="s">
        <v>253</v>
      </c>
      <c r="N130" s="9" t="s">
        <v>3699</v>
      </c>
      <c r="O130" s="9" t="s">
        <v>1563</v>
      </c>
      <c r="P130" s="9" t="s">
        <v>2363</v>
      </c>
      <c r="Q130" s="9" t="s">
        <v>71</v>
      </c>
      <c r="R130" s="9" t="s">
        <v>83</v>
      </c>
      <c r="S130" s="9" t="s">
        <v>91</v>
      </c>
      <c r="T130" s="9" t="s">
        <v>91</v>
      </c>
      <c r="U130" s="9" t="s">
        <v>91</v>
      </c>
      <c r="V130" s="9" t="s">
        <v>93</v>
      </c>
      <c r="W130" s="9" t="s">
        <v>3605</v>
      </c>
      <c r="X130" s="9" t="s">
        <v>2679</v>
      </c>
      <c r="Y130" s="9"/>
      <c r="Z130" s="9" t="s">
        <v>548</v>
      </c>
      <c r="AA130" s="9" t="s">
        <v>2679</v>
      </c>
    </row>
    <row r="131" spans="1:27" x14ac:dyDescent="0.35">
      <c r="A131" s="4" t="str">
        <f>IF(Table5[[#This Row],[SM_Amount__c]]="25.0","FEE",IF(IF(Table5[[#This Row],[SM_Original_Type__c]]="",Table5[[#This Row],[SM_Type__c]],Table5[[#This Row],[SM_Original_Type__c]])="AC","AC","SUBS"))</f>
        <v>SUBS</v>
      </c>
      <c r="B131" s="27">
        <f>IF(INDEX(Contract[SM_AC_start_date__c],MATCH(Table5[[#This Row],[SM_Contract__c]],Contract[Id],0))=0,"",INDEX(Contract[SM_AC_start_date__c],MATCH(Table5[[#This Row],[SM_Contract__c]],Contract[Id],0)))</f>
        <v>45723</v>
      </c>
      <c r="C131" s="27" t="str">
        <f>IF(INDEX(Contract[SM_AC_Split_Date__c],MATCH(Table5[[#This Row],[SM_Contract__c]],Contract[Id],0))=0,"",INDEX(Contract[SM_AC_Split_Date__c],MATCH(Table5[[#This Row],[SM_Contract__c]],Contract[Id],0)))</f>
        <v/>
      </c>
      <c r="D131" s="27">
        <f>IF(INDEX(Contract[SM_Start_date__c],MATCH(Table5[[#This Row],[SM_Contract__c]],Contract[Id],0))=0,"",INDEX(Contract[SM_Start_date__c],MATCH(Table5[[#This Row],[SM_Contract__c]],Contract[Id],0)))</f>
        <v>45777</v>
      </c>
      <c r="E131" s="4">
        <f ca="1">(YEAR(TODAY())-YEAR(Table5[[#This Row],[RC DATE]]))*12 + MONTH(TODAY())-MONTH(Table5[[#This Row],[RC DATE]])</f>
        <v>15</v>
      </c>
      <c r="F13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1" s="19">
        <f>IF(Table5[[#This Row],[Payment_Status__c]]="ACCEPTED",1,"")</f>
        <v>1</v>
      </c>
      <c r="H13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1" s="19">
        <f ca="1">Table5[[#This Row],['# months]]-COUNTIFS(Table5[SM_Contract__c],Table5[[#This Row],[SM_Contract__c]],Table5[TYPE],"SUBS",Table5[ACCEPTED],1)</f>
        <v>5</v>
      </c>
      <c r="J131" s="19" t="b">
        <f>ISNUMBER(MATCH(Table5[[#This Row],[SM_Contract__c]],Contract[Id],0))</f>
        <v>1</v>
      </c>
      <c r="K131" s="9" t="s">
        <v>2747</v>
      </c>
      <c r="L131" s="9" t="s">
        <v>2748</v>
      </c>
      <c r="M131" s="9" t="s">
        <v>253</v>
      </c>
      <c r="N131" s="9" t="s">
        <v>3699</v>
      </c>
      <c r="O131" s="9" t="s">
        <v>1563</v>
      </c>
      <c r="P131" s="9" t="s">
        <v>2363</v>
      </c>
      <c r="Q131" s="9" t="s">
        <v>71</v>
      </c>
      <c r="R131" s="9" t="s">
        <v>83</v>
      </c>
      <c r="S131" s="9" t="s">
        <v>2087</v>
      </c>
      <c r="T131" s="9" t="s">
        <v>2087</v>
      </c>
      <c r="U131" s="9" t="s">
        <v>91</v>
      </c>
      <c r="V131" s="9" t="s">
        <v>148</v>
      </c>
      <c r="W131" s="9" t="s">
        <v>3683</v>
      </c>
      <c r="X131" s="9" t="s">
        <v>2749</v>
      </c>
      <c r="Y131" s="9"/>
      <c r="Z131" s="9" t="s">
        <v>673</v>
      </c>
      <c r="AA131" s="9" t="s">
        <v>2749</v>
      </c>
    </row>
    <row r="132" spans="1:27" x14ac:dyDescent="0.35">
      <c r="A132" s="4" t="str">
        <f>IF(Table5[[#This Row],[SM_Amount__c]]="25.0","FEE",IF(IF(Table5[[#This Row],[SM_Original_Type__c]]="",Table5[[#This Row],[SM_Type__c]],Table5[[#This Row],[SM_Original_Type__c]])="AC","AC","SUBS"))</f>
        <v>SUBS</v>
      </c>
      <c r="B132" s="27">
        <f>IF(INDEX(Contract[SM_AC_start_date__c],MATCH(Table5[[#This Row],[SM_Contract__c]],Contract[Id],0))=0,"",INDEX(Contract[SM_AC_start_date__c],MATCH(Table5[[#This Row],[SM_Contract__c]],Contract[Id],0)))</f>
        <v>45723</v>
      </c>
      <c r="C132" s="27" t="str">
        <f>IF(INDEX(Contract[SM_AC_Split_Date__c],MATCH(Table5[[#This Row],[SM_Contract__c]],Contract[Id],0))=0,"",INDEX(Contract[SM_AC_Split_Date__c],MATCH(Table5[[#This Row],[SM_Contract__c]],Contract[Id],0)))</f>
        <v/>
      </c>
      <c r="D132" s="27">
        <f>IF(INDEX(Contract[SM_Start_date__c],MATCH(Table5[[#This Row],[SM_Contract__c]],Contract[Id],0))=0,"",INDEX(Contract[SM_Start_date__c],MATCH(Table5[[#This Row],[SM_Contract__c]],Contract[Id],0)))</f>
        <v>45777</v>
      </c>
      <c r="E132" s="4">
        <f ca="1">(YEAR(TODAY())-YEAR(Table5[[#This Row],[RC DATE]]))*12 + MONTH(TODAY())-MONTH(Table5[[#This Row],[RC DATE]])</f>
        <v>15</v>
      </c>
      <c r="F13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2" s="19">
        <f>IF(Table5[[#This Row],[Payment_Status__c]]="ACCEPTED",1,"")</f>
        <v>1</v>
      </c>
      <c r="H13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2" s="19">
        <f ca="1">Table5[[#This Row],['# months]]-COUNTIFS(Table5[SM_Contract__c],Table5[[#This Row],[SM_Contract__c]],Table5[TYPE],"SUBS",Table5[ACCEPTED],1)</f>
        <v>5</v>
      </c>
      <c r="J132" s="19" t="b">
        <f>ISNUMBER(MATCH(Table5[[#This Row],[SM_Contract__c]],Contract[Id],0))</f>
        <v>1</v>
      </c>
      <c r="K132" s="9" t="s">
        <v>2750</v>
      </c>
      <c r="L132" s="9" t="s">
        <v>2751</v>
      </c>
      <c r="M132" s="9" t="s">
        <v>253</v>
      </c>
      <c r="N132" s="9" t="s">
        <v>3699</v>
      </c>
      <c r="O132" s="9" t="s">
        <v>1563</v>
      </c>
      <c r="P132" s="9" t="s">
        <v>2363</v>
      </c>
      <c r="Q132" s="9" t="s">
        <v>71</v>
      </c>
      <c r="R132" s="9" t="s">
        <v>83</v>
      </c>
      <c r="S132" s="9" t="s">
        <v>2087</v>
      </c>
      <c r="T132" s="9" t="s">
        <v>2087</v>
      </c>
      <c r="U132" s="9" t="s">
        <v>91</v>
      </c>
      <c r="V132" s="9" t="s">
        <v>148</v>
      </c>
      <c r="W132" s="9" t="s">
        <v>3617</v>
      </c>
      <c r="X132" s="9" t="s">
        <v>2752</v>
      </c>
      <c r="Y132" s="9"/>
      <c r="Z132" s="9" t="s">
        <v>884</v>
      </c>
      <c r="AA132" s="9" t="s">
        <v>2752</v>
      </c>
    </row>
    <row r="133" spans="1:27" x14ac:dyDescent="0.35">
      <c r="A133" s="4" t="str">
        <f>IF(Table5[[#This Row],[SM_Amount__c]]="25.0","FEE",IF(IF(Table5[[#This Row],[SM_Original_Type__c]]="",Table5[[#This Row],[SM_Type__c]],Table5[[#This Row],[SM_Original_Type__c]])="AC","AC","SUBS"))</f>
        <v>AC</v>
      </c>
      <c r="B133" s="27">
        <f>IF(INDEX(Contract[SM_AC_start_date__c],MATCH(Table5[[#This Row],[SM_Contract__c]],Contract[Id],0))=0,"",INDEX(Contract[SM_AC_start_date__c],MATCH(Table5[[#This Row],[SM_Contract__c]],Contract[Id],0)))</f>
        <v>45729</v>
      </c>
      <c r="C133" s="27">
        <f>IF(INDEX(Contract[SM_AC_Split_Date__c],MATCH(Table5[[#This Row],[SM_Contract__c]],Contract[Id],0))=0,"",INDEX(Contract[SM_AC_Split_Date__c],MATCH(Table5[[#This Row],[SM_Contract__c]],Contract[Id],0)))</f>
        <v>45744</v>
      </c>
      <c r="D133" s="27">
        <f>IF(INDEX(Contract[SM_Start_date__c],MATCH(Table5[[#This Row],[SM_Contract__c]],Contract[Id],0))=0,"",INDEX(Contract[SM_Start_date__c],MATCH(Table5[[#This Row],[SM_Contract__c]],Contract[Id],0)))</f>
        <v>45777</v>
      </c>
      <c r="E133" s="4">
        <f ca="1">(YEAR(TODAY())-YEAR(Table5[[#This Row],[RC DATE]]))*12 + MONTH(TODAY())-MONTH(Table5[[#This Row],[RC DATE]])</f>
        <v>15</v>
      </c>
      <c r="F13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3" s="19">
        <f>IF(Table5[[#This Row],[Payment_Status__c]]="ACCEPTED",1,"")</f>
        <v>1</v>
      </c>
      <c r="H13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3" s="19">
        <f ca="1">Table5[[#This Row],['# months]]-COUNTIFS(Table5[SM_Contract__c],Table5[[#This Row],[SM_Contract__c]],Table5[TYPE],"SUBS",Table5[ACCEPTED],1)</f>
        <v>5</v>
      </c>
      <c r="J133" s="19" t="b">
        <f>ISNUMBER(MATCH(Table5[[#This Row],[SM_Contract__c]],Contract[Id],0))</f>
        <v>1</v>
      </c>
      <c r="K133" s="9" t="s">
        <v>2755</v>
      </c>
      <c r="L133" s="9" t="s">
        <v>2756</v>
      </c>
      <c r="M133" s="9" t="s">
        <v>265</v>
      </c>
      <c r="N133" s="9" t="s">
        <v>3701</v>
      </c>
      <c r="O133" s="9" t="s">
        <v>1563</v>
      </c>
      <c r="P133" s="9" t="s">
        <v>2363</v>
      </c>
      <c r="Q133" s="9" t="s">
        <v>77</v>
      </c>
      <c r="R133" s="9" t="s">
        <v>77</v>
      </c>
      <c r="S133" s="9" t="s">
        <v>2011</v>
      </c>
      <c r="T133" s="9" t="s">
        <v>2010</v>
      </c>
      <c r="U133" s="9" t="s">
        <v>2011</v>
      </c>
      <c r="V133" s="9" t="s">
        <v>93</v>
      </c>
      <c r="W133" s="9" t="s">
        <v>3613</v>
      </c>
      <c r="X133" s="9" t="s">
        <v>2757</v>
      </c>
      <c r="Y133" s="9"/>
      <c r="Z133" s="9"/>
      <c r="AA133" s="9" t="s">
        <v>2757</v>
      </c>
    </row>
    <row r="134" spans="1:27" x14ac:dyDescent="0.35">
      <c r="A134" s="4" t="str">
        <f>IF(Table5[[#This Row],[SM_Amount__c]]="25.0","FEE",IF(IF(Table5[[#This Row],[SM_Original_Type__c]]="",Table5[[#This Row],[SM_Type__c]],Table5[[#This Row],[SM_Original_Type__c]])="AC","AC","SUBS"))</f>
        <v>AC</v>
      </c>
      <c r="B134" s="27">
        <f>IF(INDEX(Contract[SM_AC_start_date__c],MATCH(Table5[[#This Row],[SM_Contract__c]],Contract[Id],0))=0,"",INDEX(Contract[SM_AC_start_date__c],MATCH(Table5[[#This Row],[SM_Contract__c]],Contract[Id],0)))</f>
        <v>45729</v>
      </c>
      <c r="C134" s="27">
        <f>IF(INDEX(Contract[SM_AC_Split_Date__c],MATCH(Table5[[#This Row],[SM_Contract__c]],Contract[Id],0))=0,"",INDEX(Contract[SM_AC_Split_Date__c],MATCH(Table5[[#This Row],[SM_Contract__c]],Contract[Id],0)))</f>
        <v>45744</v>
      </c>
      <c r="D134" s="27">
        <f>IF(INDEX(Contract[SM_Start_date__c],MATCH(Table5[[#This Row],[SM_Contract__c]],Contract[Id],0))=0,"",INDEX(Contract[SM_Start_date__c],MATCH(Table5[[#This Row],[SM_Contract__c]],Contract[Id],0)))</f>
        <v>45777</v>
      </c>
      <c r="E134" s="4">
        <f ca="1">(YEAR(TODAY())-YEAR(Table5[[#This Row],[RC DATE]]))*12 + MONTH(TODAY())-MONTH(Table5[[#This Row],[RC DATE]])</f>
        <v>15</v>
      </c>
      <c r="F13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4" s="19">
        <f>IF(Table5[[#This Row],[Payment_Status__c]]="ACCEPTED",1,"")</f>
        <v>1</v>
      </c>
      <c r="H13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4" s="19">
        <f ca="1">Table5[[#This Row],['# months]]-COUNTIFS(Table5[SM_Contract__c],Table5[[#This Row],[SM_Contract__c]],Table5[TYPE],"SUBS",Table5[ACCEPTED],1)</f>
        <v>5</v>
      </c>
      <c r="J134" s="19" t="b">
        <f>ISNUMBER(MATCH(Table5[[#This Row],[SM_Contract__c]],Contract[Id],0))</f>
        <v>1</v>
      </c>
      <c r="K134" s="9" t="s">
        <v>2758</v>
      </c>
      <c r="L134" s="9" t="s">
        <v>2759</v>
      </c>
      <c r="M134" s="9" t="s">
        <v>265</v>
      </c>
      <c r="N134" s="9" t="s">
        <v>3701</v>
      </c>
      <c r="O134" s="9" t="s">
        <v>1563</v>
      </c>
      <c r="P134" s="9" t="s">
        <v>2363</v>
      </c>
      <c r="Q134" s="9" t="s">
        <v>77</v>
      </c>
      <c r="R134" s="9" t="s">
        <v>77</v>
      </c>
      <c r="S134" s="9" t="s">
        <v>2011</v>
      </c>
      <c r="T134" s="9" t="s">
        <v>2010</v>
      </c>
      <c r="U134" s="9" t="s">
        <v>2011</v>
      </c>
      <c r="V134" s="9" t="s">
        <v>93</v>
      </c>
      <c r="W134" s="9" t="s">
        <v>3553</v>
      </c>
      <c r="X134" s="9" t="s">
        <v>2760</v>
      </c>
      <c r="Y134" s="9"/>
      <c r="Z134" s="9"/>
      <c r="AA134" s="9" t="s">
        <v>2760</v>
      </c>
    </row>
    <row r="135" spans="1:27" x14ac:dyDescent="0.35">
      <c r="A135" s="4" t="str">
        <f>IF(Table5[[#This Row],[SM_Amount__c]]="25.0","FEE",IF(IF(Table5[[#This Row],[SM_Original_Type__c]]="",Table5[[#This Row],[SM_Type__c]],Table5[[#This Row],[SM_Original_Type__c]])="AC","AC","SUBS"))</f>
        <v>SUBS</v>
      </c>
      <c r="B135" s="27">
        <f>IF(INDEX(Contract[SM_AC_start_date__c],MATCH(Table5[[#This Row],[SM_Contract__c]],Contract[Id],0))=0,"",INDEX(Contract[SM_AC_start_date__c],MATCH(Table5[[#This Row],[SM_Contract__c]],Contract[Id],0)))</f>
        <v>45729</v>
      </c>
      <c r="C135" s="27">
        <f>IF(INDEX(Contract[SM_AC_Split_Date__c],MATCH(Table5[[#This Row],[SM_Contract__c]],Contract[Id],0))=0,"",INDEX(Contract[SM_AC_Split_Date__c],MATCH(Table5[[#This Row],[SM_Contract__c]],Contract[Id],0)))</f>
        <v>45744</v>
      </c>
      <c r="D135" s="27">
        <f>IF(INDEX(Contract[SM_Start_date__c],MATCH(Table5[[#This Row],[SM_Contract__c]],Contract[Id],0))=0,"",INDEX(Contract[SM_Start_date__c],MATCH(Table5[[#This Row],[SM_Contract__c]],Contract[Id],0)))</f>
        <v>45777</v>
      </c>
      <c r="E135" s="4">
        <f ca="1">(YEAR(TODAY())-YEAR(Table5[[#This Row],[RC DATE]]))*12 + MONTH(TODAY())-MONTH(Table5[[#This Row],[RC DATE]])</f>
        <v>15</v>
      </c>
      <c r="F13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5" s="19">
        <f>IF(Table5[[#This Row],[Payment_Status__c]]="ACCEPTED",1,"")</f>
        <v>1</v>
      </c>
      <c r="H13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5" s="19">
        <f ca="1">Table5[[#This Row],['# months]]-COUNTIFS(Table5[SM_Contract__c],Table5[[#This Row],[SM_Contract__c]],Table5[TYPE],"SUBS",Table5[ACCEPTED],1)</f>
        <v>5</v>
      </c>
      <c r="J135" s="19" t="b">
        <f>ISNUMBER(MATCH(Table5[[#This Row],[SM_Contract__c]],Contract[Id],0))</f>
        <v>1</v>
      </c>
      <c r="K135" s="9" t="s">
        <v>2761</v>
      </c>
      <c r="L135" s="9" t="s">
        <v>2762</v>
      </c>
      <c r="M135" s="9" t="s">
        <v>265</v>
      </c>
      <c r="N135" s="9" t="s">
        <v>3701</v>
      </c>
      <c r="O135" s="9" t="s">
        <v>1563</v>
      </c>
      <c r="P135" s="9" t="s">
        <v>2363</v>
      </c>
      <c r="Q135" s="9" t="s">
        <v>83</v>
      </c>
      <c r="R135" s="9" t="s">
        <v>76</v>
      </c>
      <c r="S135" s="9" t="s">
        <v>91</v>
      </c>
      <c r="T135" s="9" t="s">
        <v>105</v>
      </c>
      <c r="U135" s="9" t="s">
        <v>91</v>
      </c>
      <c r="V135" s="9" t="s">
        <v>93</v>
      </c>
      <c r="W135" s="9" t="s">
        <v>3554</v>
      </c>
      <c r="X135" s="9" t="s">
        <v>2754</v>
      </c>
      <c r="Y135" s="9"/>
      <c r="Z135" s="9"/>
      <c r="AA135" s="9" t="s">
        <v>2754</v>
      </c>
    </row>
    <row r="136" spans="1:27" x14ac:dyDescent="0.35">
      <c r="A136" s="4" t="str">
        <f>IF(Table5[[#This Row],[SM_Amount__c]]="25.0","FEE",IF(IF(Table5[[#This Row],[SM_Original_Type__c]]="",Table5[[#This Row],[SM_Type__c]],Table5[[#This Row],[SM_Original_Type__c]])="AC","AC","SUBS"))</f>
        <v>SUBS</v>
      </c>
      <c r="B136" s="27">
        <f>IF(INDEX(Contract[SM_AC_start_date__c],MATCH(Table5[[#This Row],[SM_Contract__c]],Contract[Id],0))=0,"",INDEX(Contract[SM_AC_start_date__c],MATCH(Table5[[#This Row],[SM_Contract__c]],Contract[Id],0)))</f>
        <v>45729</v>
      </c>
      <c r="C136" s="27">
        <f>IF(INDEX(Contract[SM_AC_Split_Date__c],MATCH(Table5[[#This Row],[SM_Contract__c]],Contract[Id],0))=0,"",INDEX(Contract[SM_AC_Split_Date__c],MATCH(Table5[[#This Row],[SM_Contract__c]],Contract[Id],0)))</f>
        <v>45744</v>
      </c>
      <c r="D136" s="27">
        <f>IF(INDEX(Contract[SM_Start_date__c],MATCH(Table5[[#This Row],[SM_Contract__c]],Contract[Id],0))=0,"",INDEX(Contract[SM_Start_date__c],MATCH(Table5[[#This Row],[SM_Contract__c]],Contract[Id],0)))</f>
        <v>45777</v>
      </c>
      <c r="E136" s="4">
        <f ca="1">(YEAR(TODAY())-YEAR(Table5[[#This Row],[RC DATE]]))*12 + MONTH(TODAY())-MONTH(Table5[[#This Row],[RC DATE]])</f>
        <v>15</v>
      </c>
      <c r="F13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6" s="19">
        <f>IF(Table5[[#This Row],[Payment_Status__c]]="ACCEPTED",1,"")</f>
        <v>1</v>
      </c>
      <c r="H13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6" s="19">
        <f ca="1">Table5[[#This Row],['# months]]-COUNTIFS(Table5[SM_Contract__c],Table5[[#This Row],[SM_Contract__c]],Table5[TYPE],"SUBS",Table5[ACCEPTED],1)</f>
        <v>5</v>
      </c>
      <c r="J136" s="19" t="b">
        <f>ISNUMBER(MATCH(Table5[[#This Row],[SM_Contract__c]],Contract[Id],0))</f>
        <v>1</v>
      </c>
      <c r="K136" s="9" t="s">
        <v>2763</v>
      </c>
      <c r="L136" s="9" t="s">
        <v>2764</v>
      </c>
      <c r="M136" s="9" t="s">
        <v>265</v>
      </c>
      <c r="N136" s="9" t="s">
        <v>3701</v>
      </c>
      <c r="O136" s="9" t="s">
        <v>1563</v>
      </c>
      <c r="P136" s="9" t="s">
        <v>2363</v>
      </c>
      <c r="Q136" s="9" t="s">
        <v>71</v>
      </c>
      <c r="R136" s="9" t="s">
        <v>83</v>
      </c>
      <c r="S136" s="9" t="s">
        <v>2087</v>
      </c>
      <c r="T136" s="9" t="s">
        <v>104</v>
      </c>
      <c r="U136" s="9" t="s">
        <v>91</v>
      </c>
      <c r="V136" s="9" t="s">
        <v>148</v>
      </c>
      <c r="W136" s="9" t="s">
        <v>3575</v>
      </c>
      <c r="X136" s="9" t="s">
        <v>2765</v>
      </c>
      <c r="Y136" s="9"/>
      <c r="Z136" s="9" t="s">
        <v>352</v>
      </c>
      <c r="AA136" s="9" t="s">
        <v>2765</v>
      </c>
    </row>
    <row r="137" spans="1:27" x14ac:dyDescent="0.35">
      <c r="A137" s="4" t="str">
        <f>IF(Table5[[#This Row],[SM_Amount__c]]="25.0","FEE",IF(IF(Table5[[#This Row],[SM_Original_Type__c]]="",Table5[[#This Row],[SM_Type__c]],Table5[[#This Row],[SM_Original_Type__c]])="AC","AC","SUBS"))</f>
        <v>SUBS</v>
      </c>
      <c r="B137" s="27">
        <f>IF(INDEX(Contract[SM_AC_start_date__c],MATCH(Table5[[#This Row],[SM_Contract__c]],Contract[Id],0))=0,"",INDEX(Contract[SM_AC_start_date__c],MATCH(Table5[[#This Row],[SM_Contract__c]],Contract[Id],0)))</f>
        <v>45729</v>
      </c>
      <c r="C137" s="27">
        <f>IF(INDEX(Contract[SM_AC_Split_Date__c],MATCH(Table5[[#This Row],[SM_Contract__c]],Contract[Id],0))=0,"",INDEX(Contract[SM_AC_Split_Date__c],MATCH(Table5[[#This Row],[SM_Contract__c]],Contract[Id],0)))</f>
        <v>45744</v>
      </c>
      <c r="D137" s="27">
        <f>IF(INDEX(Contract[SM_Start_date__c],MATCH(Table5[[#This Row],[SM_Contract__c]],Contract[Id],0))=0,"",INDEX(Contract[SM_Start_date__c],MATCH(Table5[[#This Row],[SM_Contract__c]],Contract[Id],0)))</f>
        <v>45777</v>
      </c>
      <c r="E137" s="4">
        <f ca="1">(YEAR(TODAY())-YEAR(Table5[[#This Row],[RC DATE]]))*12 + MONTH(TODAY())-MONTH(Table5[[#This Row],[RC DATE]])</f>
        <v>15</v>
      </c>
      <c r="F13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7" s="19">
        <f>IF(Table5[[#This Row],[Payment_Status__c]]="ACCEPTED",1,"")</f>
        <v>1</v>
      </c>
      <c r="H13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7" s="19">
        <f ca="1">Table5[[#This Row],['# months]]-COUNTIFS(Table5[SM_Contract__c],Table5[[#This Row],[SM_Contract__c]],Table5[TYPE],"SUBS",Table5[ACCEPTED],1)</f>
        <v>5</v>
      </c>
      <c r="J137" s="19" t="b">
        <f>ISNUMBER(MATCH(Table5[[#This Row],[SM_Contract__c]],Contract[Id],0))</f>
        <v>1</v>
      </c>
      <c r="K137" s="9" t="s">
        <v>2766</v>
      </c>
      <c r="L137" s="9" t="s">
        <v>2767</v>
      </c>
      <c r="M137" s="9" t="s">
        <v>265</v>
      </c>
      <c r="N137" s="9" t="s">
        <v>3701</v>
      </c>
      <c r="O137" s="9" t="s">
        <v>1563</v>
      </c>
      <c r="P137" s="9" t="s">
        <v>2363</v>
      </c>
      <c r="Q137" s="9" t="s">
        <v>83</v>
      </c>
      <c r="R137" s="9" t="s">
        <v>76</v>
      </c>
      <c r="S137" s="9" t="s">
        <v>91</v>
      </c>
      <c r="T137" s="9" t="s">
        <v>105</v>
      </c>
      <c r="U137" s="9" t="s">
        <v>91</v>
      </c>
      <c r="V137" s="9" t="s">
        <v>93</v>
      </c>
      <c r="W137" s="9" t="s">
        <v>3556</v>
      </c>
      <c r="X137" s="9" t="s">
        <v>2768</v>
      </c>
      <c r="Y137" s="9"/>
      <c r="Z137" s="9"/>
      <c r="AA137" s="9" t="s">
        <v>2768</v>
      </c>
    </row>
    <row r="138" spans="1:27" x14ac:dyDescent="0.35">
      <c r="A138" s="4" t="str">
        <f>IF(Table5[[#This Row],[SM_Amount__c]]="25.0","FEE",IF(IF(Table5[[#This Row],[SM_Original_Type__c]]="",Table5[[#This Row],[SM_Type__c]],Table5[[#This Row],[SM_Original_Type__c]])="AC","AC","SUBS"))</f>
        <v>SUBS</v>
      </c>
      <c r="B138" s="27">
        <f>IF(INDEX(Contract[SM_AC_start_date__c],MATCH(Table5[[#This Row],[SM_Contract__c]],Contract[Id],0))=0,"",INDEX(Contract[SM_AC_start_date__c],MATCH(Table5[[#This Row],[SM_Contract__c]],Contract[Id],0)))</f>
        <v>45729</v>
      </c>
      <c r="C138" s="27">
        <f>IF(INDEX(Contract[SM_AC_Split_Date__c],MATCH(Table5[[#This Row],[SM_Contract__c]],Contract[Id],0))=0,"",INDEX(Contract[SM_AC_Split_Date__c],MATCH(Table5[[#This Row],[SM_Contract__c]],Contract[Id],0)))</f>
        <v>45744</v>
      </c>
      <c r="D138" s="27">
        <f>IF(INDEX(Contract[SM_Start_date__c],MATCH(Table5[[#This Row],[SM_Contract__c]],Contract[Id],0))=0,"",INDEX(Contract[SM_Start_date__c],MATCH(Table5[[#This Row],[SM_Contract__c]],Contract[Id],0)))</f>
        <v>45777</v>
      </c>
      <c r="E138" s="4">
        <f ca="1">(YEAR(TODAY())-YEAR(Table5[[#This Row],[RC DATE]]))*12 + MONTH(TODAY())-MONTH(Table5[[#This Row],[RC DATE]])</f>
        <v>15</v>
      </c>
      <c r="F13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8" s="19">
        <f>IF(Table5[[#This Row],[Payment_Status__c]]="ACCEPTED",1,"")</f>
        <v>1</v>
      </c>
      <c r="H13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8" s="19">
        <f ca="1">Table5[[#This Row],['# months]]-COUNTIFS(Table5[SM_Contract__c],Table5[[#This Row],[SM_Contract__c]],Table5[TYPE],"SUBS",Table5[ACCEPTED],1)</f>
        <v>5</v>
      </c>
      <c r="J138" s="19" t="b">
        <f>ISNUMBER(MATCH(Table5[[#This Row],[SM_Contract__c]],Contract[Id],0))</f>
        <v>1</v>
      </c>
      <c r="K138" s="9" t="s">
        <v>2769</v>
      </c>
      <c r="L138" s="9" t="s">
        <v>2770</v>
      </c>
      <c r="M138" s="9" t="s">
        <v>265</v>
      </c>
      <c r="N138" s="9" t="s">
        <v>3701</v>
      </c>
      <c r="O138" s="9" t="s">
        <v>1563</v>
      </c>
      <c r="P138" s="9" t="s">
        <v>2363</v>
      </c>
      <c r="Q138" s="9" t="s">
        <v>83</v>
      </c>
      <c r="R138" s="9" t="s">
        <v>76</v>
      </c>
      <c r="S138" s="9" t="s">
        <v>91</v>
      </c>
      <c r="T138" s="9" t="s">
        <v>105</v>
      </c>
      <c r="U138" s="9" t="s">
        <v>91</v>
      </c>
      <c r="V138" s="9" t="s">
        <v>93</v>
      </c>
      <c r="W138" s="9" t="s">
        <v>3557</v>
      </c>
      <c r="X138" s="9" t="s">
        <v>2771</v>
      </c>
      <c r="Y138" s="9"/>
      <c r="Z138" s="9"/>
      <c r="AA138" s="9" t="s">
        <v>2771</v>
      </c>
    </row>
    <row r="139" spans="1:27" x14ac:dyDescent="0.35">
      <c r="A139" s="4" t="str">
        <f>IF(Table5[[#This Row],[SM_Amount__c]]="25.0","FEE",IF(IF(Table5[[#This Row],[SM_Original_Type__c]]="",Table5[[#This Row],[SM_Type__c]],Table5[[#This Row],[SM_Original_Type__c]])="AC","AC","SUBS"))</f>
        <v>SUBS</v>
      </c>
      <c r="B139" s="27">
        <f>IF(INDEX(Contract[SM_AC_start_date__c],MATCH(Table5[[#This Row],[SM_Contract__c]],Contract[Id],0))=0,"",INDEX(Contract[SM_AC_start_date__c],MATCH(Table5[[#This Row],[SM_Contract__c]],Contract[Id],0)))</f>
        <v>45729</v>
      </c>
      <c r="C139" s="27">
        <f>IF(INDEX(Contract[SM_AC_Split_Date__c],MATCH(Table5[[#This Row],[SM_Contract__c]],Contract[Id],0))=0,"",INDEX(Contract[SM_AC_Split_Date__c],MATCH(Table5[[#This Row],[SM_Contract__c]],Contract[Id],0)))</f>
        <v>45744</v>
      </c>
      <c r="D139" s="27">
        <f>IF(INDEX(Contract[SM_Start_date__c],MATCH(Table5[[#This Row],[SM_Contract__c]],Contract[Id],0))=0,"",INDEX(Contract[SM_Start_date__c],MATCH(Table5[[#This Row],[SM_Contract__c]],Contract[Id],0)))</f>
        <v>45777</v>
      </c>
      <c r="E139" s="4">
        <f ca="1">(YEAR(TODAY())-YEAR(Table5[[#This Row],[RC DATE]]))*12 + MONTH(TODAY())-MONTH(Table5[[#This Row],[RC DATE]])</f>
        <v>15</v>
      </c>
      <c r="F13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39" s="19">
        <f>IF(Table5[[#This Row],[Payment_Status__c]]="ACCEPTED",1,"")</f>
        <v>1</v>
      </c>
      <c r="H13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39" s="19">
        <f ca="1">Table5[[#This Row],['# months]]-COUNTIFS(Table5[SM_Contract__c],Table5[[#This Row],[SM_Contract__c]],Table5[TYPE],"SUBS",Table5[ACCEPTED],1)</f>
        <v>5</v>
      </c>
      <c r="J139" s="19" t="b">
        <f>ISNUMBER(MATCH(Table5[[#This Row],[SM_Contract__c]],Contract[Id],0))</f>
        <v>1</v>
      </c>
      <c r="K139" s="9" t="s">
        <v>2772</v>
      </c>
      <c r="L139" s="9" t="s">
        <v>2773</v>
      </c>
      <c r="M139" s="9" t="s">
        <v>265</v>
      </c>
      <c r="N139" s="9" t="s">
        <v>3701</v>
      </c>
      <c r="O139" s="9" t="s">
        <v>1563</v>
      </c>
      <c r="P139" s="9" t="s">
        <v>2363</v>
      </c>
      <c r="Q139" s="9" t="s">
        <v>83</v>
      </c>
      <c r="R139" s="9" t="s">
        <v>76</v>
      </c>
      <c r="S139" s="9" t="s">
        <v>91</v>
      </c>
      <c r="T139" s="9" t="s">
        <v>105</v>
      </c>
      <c r="U139" s="9" t="s">
        <v>91</v>
      </c>
      <c r="V139" s="9" t="s">
        <v>93</v>
      </c>
      <c r="W139" s="9" t="s">
        <v>3558</v>
      </c>
      <c r="X139" s="9" t="s">
        <v>2774</v>
      </c>
      <c r="Y139" s="9"/>
      <c r="Z139" s="9"/>
      <c r="AA139" s="9" t="s">
        <v>2774</v>
      </c>
    </row>
    <row r="140" spans="1:27" x14ac:dyDescent="0.35">
      <c r="A140" s="4" t="str">
        <f>IF(Table5[[#This Row],[SM_Amount__c]]="25.0","FEE",IF(IF(Table5[[#This Row],[SM_Original_Type__c]]="",Table5[[#This Row],[SM_Type__c]],Table5[[#This Row],[SM_Original_Type__c]])="AC","AC","SUBS"))</f>
        <v>SUBS</v>
      </c>
      <c r="B140" s="27">
        <f>IF(INDEX(Contract[SM_AC_start_date__c],MATCH(Table5[[#This Row],[SM_Contract__c]],Contract[Id],0))=0,"",INDEX(Contract[SM_AC_start_date__c],MATCH(Table5[[#This Row],[SM_Contract__c]],Contract[Id],0)))</f>
        <v>45729</v>
      </c>
      <c r="C140" s="27">
        <f>IF(INDEX(Contract[SM_AC_Split_Date__c],MATCH(Table5[[#This Row],[SM_Contract__c]],Contract[Id],0))=0,"",INDEX(Contract[SM_AC_Split_Date__c],MATCH(Table5[[#This Row],[SM_Contract__c]],Contract[Id],0)))</f>
        <v>45744</v>
      </c>
      <c r="D140" s="27">
        <f>IF(INDEX(Contract[SM_Start_date__c],MATCH(Table5[[#This Row],[SM_Contract__c]],Contract[Id],0))=0,"",INDEX(Contract[SM_Start_date__c],MATCH(Table5[[#This Row],[SM_Contract__c]],Contract[Id],0)))</f>
        <v>45777</v>
      </c>
      <c r="E140" s="4">
        <f ca="1">(YEAR(TODAY())-YEAR(Table5[[#This Row],[RC DATE]]))*12 + MONTH(TODAY())-MONTH(Table5[[#This Row],[RC DATE]])</f>
        <v>15</v>
      </c>
      <c r="F14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40" s="19">
        <f>IF(Table5[[#This Row],[Payment_Status__c]]="ACCEPTED",1,"")</f>
        <v>1</v>
      </c>
      <c r="H14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40" s="19">
        <f ca="1">Table5[[#This Row],['# months]]-COUNTIFS(Table5[SM_Contract__c],Table5[[#This Row],[SM_Contract__c]],Table5[TYPE],"SUBS",Table5[ACCEPTED],1)</f>
        <v>5</v>
      </c>
      <c r="J140" s="19" t="b">
        <f>ISNUMBER(MATCH(Table5[[#This Row],[SM_Contract__c]],Contract[Id],0))</f>
        <v>1</v>
      </c>
      <c r="K140" s="9" t="s">
        <v>2775</v>
      </c>
      <c r="L140" s="9" t="s">
        <v>2776</v>
      </c>
      <c r="M140" s="9" t="s">
        <v>265</v>
      </c>
      <c r="N140" s="9" t="s">
        <v>3701</v>
      </c>
      <c r="O140" s="9" t="s">
        <v>1563</v>
      </c>
      <c r="P140" s="9" t="s">
        <v>2363</v>
      </c>
      <c r="Q140" s="9" t="s">
        <v>71</v>
      </c>
      <c r="R140" s="9" t="s">
        <v>83</v>
      </c>
      <c r="S140" s="9" t="s">
        <v>2087</v>
      </c>
      <c r="T140" s="9" t="s">
        <v>104</v>
      </c>
      <c r="U140" s="9" t="s">
        <v>91</v>
      </c>
      <c r="V140" s="9" t="s">
        <v>148</v>
      </c>
      <c r="W140" s="9" t="s">
        <v>3596</v>
      </c>
      <c r="X140" s="9" t="s">
        <v>2777</v>
      </c>
      <c r="Y140" s="9"/>
      <c r="Z140" s="9" t="s">
        <v>465</v>
      </c>
      <c r="AA140" s="9" t="s">
        <v>2777</v>
      </c>
    </row>
    <row r="141" spans="1:27" x14ac:dyDescent="0.35">
      <c r="A141" s="4" t="str">
        <f>IF(Table5[[#This Row],[SM_Amount__c]]="25.0","FEE",IF(IF(Table5[[#This Row],[SM_Original_Type__c]]="",Table5[[#This Row],[SM_Type__c]],Table5[[#This Row],[SM_Original_Type__c]])="AC","AC","SUBS"))</f>
        <v>SUBS</v>
      </c>
      <c r="B141" s="27">
        <f>IF(INDEX(Contract[SM_AC_start_date__c],MATCH(Table5[[#This Row],[SM_Contract__c]],Contract[Id],0))=0,"",INDEX(Contract[SM_AC_start_date__c],MATCH(Table5[[#This Row],[SM_Contract__c]],Contract[Id],0)))</f>
        <v>45729</v>
      </c>
      <c r="C141" s="27">
        <f>IF(INDEX(Contract[SM_AC_Split_Date__c],MATCH(Table5[[#This Row],[SM_Contract__c]],Contract[Id],0))=0,"",INDEX(Contract[SM_AC_Split_Date__c],MATCH(Table5[[#This Row],[SM_Contract__c]],Contract[Id],0)))</f>
        <v>45744</v>
      </c>
      <c r="D141" s="27">
        <f>IF(INDEX(Contract[SM_Start_date__c],MATCH(Table5[[#This Row],[SM_Contract__c]],Contract[Id],0))=0,"",INDEX(Contract[SM_Start_date__c],MATCH(Table5[[#This Row],[SM_Contract__c]],Contract[Id],0)))</f>
        <v>45777</v>
      </c>
      <c r="E141" s="4">
        <f ca="1">(YEAR(TODAY())-YEAR(Table5[[#This Row],[RC DATE]]))*12 + MONTH(TODAY())-MONTH(Table5[[#This Row],[RC DATE]])</f>
        <v>15</v>
      </c>
      <c r="F14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41" s="19">
        <f>IF(Table5[[#This Row],[Payment_Status__c]]="ACCEPTED",1,"")</f>
        <v>1</v>
      </c>
      <c r="H14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41" s="19">
        <f ca="1">Table5[[#This Row],['# months]]-COUNTIFS(Table5[SM_Contract__c],Table5[[#This Row],[SM_Contract__c]],Table5[TYPE],"SUBS",Table5[ACCEPTED],1)</f>
        <v>5</v>
      </c>
      <c r="J141" s="19" t="b">
        <f>ISNUMBER(MATCH(Table5[[#This Row],[SM_Contract__c]],Contract[Id],0))</f>
        <v>1</v>
      </c>
      <c r="K141" s="9" t="s">
        <v>2778</v>
      </c>
      <c r="L141" s="9" t="s">
        <v>2779</v>
      </c>
      <c r="M141" s="9" t="s">
        <v>265</v>
      </c>
      <c r="N141" s="9" t="s">
        <v>3701</v>
      </c>
      <c r="O141" s="9" t="s">
        <v>1563</v>
      </c>
      <c r="P141" s="9" t="s">
        <v>2363</v>
      </c>
      <c r="Q141" s="9" t="s">
        <v>71</v>
      </c>
      <c r="R141" s="9" t="s">
        <v>83</v>
      </c>
      <c r="S141" s="9" t="s">
        <v>2087</v>
      </c>
      <c r="T141" s="9" t="s">
        <v>104</v>
      </c>
      <c r="U141" s="9" t="s">
        <v>91</v>
      </c>
      <c r="V141" s="9" t="s">
        <v>148</v>
      </c>
      <c r="W141" s="9" t="s">
        <v>3560</v>
      </c>
      <c r="X141" s="9" t="s">
        <v>2753</v>
      </c>
      <c r="Y141" s="9"/>
      <c r="Z141" s="9" t="s">
        <v>507</v>
      </c>
      <c r="AA141" s="9" t="s">
        <v>2753</v>
      </c>
    </row>
    <row r="142" spans="1:27" x14ac:dyDescent="0.35">
      <c r="A142" s="4" t="str">
        <f>IF(Table5[[#This Row],[SM_Amount__c]]="25.0","FEE",IF(IF(Table5[[#This Row],[SM_Original_Type__c]]="",Table5[[#This Row],[SM_Type__c]],Table5[[#This Row],[SM_Original_Type__c]])="AC","AC","SUBS"))</f>
        <v>SUBS</v>
      </c>
      <c r="B142" s="27">
        <f>IF(INDEX(Contract[SM_AC_start_date__c],MATCH(Table5[[#This Row],[SM_Contract__c]],Contract[Id],0))=0,"",INDEX(Contract[SM_AC_start_date__c],MATCH(Table5[[#This Row],[SM_Contract__c]],Contract[Id],0)))</f>
        <v>45729</v>
      </c>
      <c r="C142" s="27">
        <f>IF(INDEX(Contract[SM_AC_Split_Date__c],MATCH(Table5[[#This Row],[SM_Contract__c]],Contract[Id],0))=0,"",INDEX(Contract[SM_AC_Split_Date__c],MATCH(Table5[[#This Row],[SM_Contract__c]],Contract[Id],0)))</f>
        <v>45744</v>
      </c>
      <c r="D142" s="27">
        <f>IF(INDEX(Contract[SM_Start_date__c],MATCH(Table5[[#This Row],[SM_Contract__c]],Contract[Id],0))=0,"",INDEX(Contract[SM_Start_date__c],MATCH(Table5[[#This Row],[SM_Contract__c]],Contract[Id],0)))</f>
        <v>45777</v>
      </c>
      <c r="E142" s="4">
        <f ca="1">(YEAR(TODAY())-YEAR(Table5[[#This Row],[RC DATE]]))*12 + MONTH(TODAY())-MONTH(Table5[[#This Row],[RC DATE]])</f>
        <v>15</v>
      </c>
      <c r="F14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42" s="19">
        <f>IF(Table5[[#This Row],[Payment_Status__c]]="ACCEPTED",1,"")</f>
        <v>1</v>
      </c>
      <c r="H14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42" s="19">
        <f ca="1">Table5[[#This Row],['# months]]-COUNTIFS(Table5[SM_Contract__c],Table5[[#This Row],[SM_Contract__c]],Table5[TYPE],"SUBS",Table5[ACCEPTED],1)</f>
        <v>5</v>
      </c>
      <c r="J142" s="19" t="b">
        <f>ISNUMBER(MATCH(Table5[[#This Row],[SM_Contract__c]],Contract[Id],0))</f>
        <v>1</v>
      </c>
      <c r="K142" s="9" t="s">
        <v>2780</v>
      </c>
      <c r="L142" s="9" t="s">
        <v>2781</v>
      </c>
      <c r="M142" s="9" t="s">
        <v>265</v>
      </c>
      <c r="N142" s="9" t="s">
        <v>3701</v>
      </c>
      <c r="O142" s="9" t="s">
        <v>1563</v>
      </c>
      <c r="P142" s="9" t="s">
        <v>2363</v>
      </c>
      <c r="Q142" s="9" t="s">
        <v>83</v>
      </c>
      <c r="R142" s="9" t="s">
        <v>76</v>
      </c>
      <c r="S142" s="9" t="s">
        <v>91</v>
      </c>
      <c r="T142" s="9" t="s">
        <v>91</v>
      </c>
      <c r="U142" s="9" t="s">
        <v>91</v>
      </c>
      <c r="V142" s="9" t="s">
        <v>93</v>
      </c>
      <c r="W142" s="9" t="s">
        <v>3561</v>
      </c>
      <c r="X142" s="9" t="s">
        <v>2782</v>
      </c>
      <c r="Y142" s="9"/>
      <c r="Z142" s="9"/>
      <c r="AA142" s="9" t="s">
        <v>2782</v>
      </c>
    </row>
    <row r="143" spans="1:27" x14ac:dyDescent="0.35">
      <c r="A143" s="4" t="str">
        <f>IF(Table5[[#This Row],[SM_Amount__c]]="25.0","FEE",IF(IF(Table5[[#This Row],[SM_Original_Type__c]]="",Table5[[#This Row],[SM_Type__c]],Table5[[#This Row],[SM_Original_Type__c]])="AC","AC","SUBS"))</f>
        <v>SUBS</v>
      </c>
      <c r="B143" s="27">
        <f>IF(INDEX(Contract[SM_AC_start_date__c],MATCH(Table5[[#This Row],[SM_Contract__c]],Contract[Id],0))=0,"",INDEX(Contract[SM_AC_start_date__c],MATCH(Table5[[#This Row],[SM_Contract__c]],Contract[Id],0)))</f>
        <v>45729</v>
      </c>
      <c r="C143" s="27">
        <f>IF(INDEX(Contract[SM_AC_Split_Date__c],MATCH(Table5[[#This Row],[SM_Contract__c]],Contract[Id],0))=0,"",INDEX(Contract[SM_AC_Split_Date__c],MATCH(Table5[[#This Row],[SM_Contract__c]],Contract[Id],0)))</f>
        <v>45744</v>
      </c>
      <c r="D143" s="27">
        <f>IF(INDEX(Contract[SM_Start_date__c],MATCH(Table5[[#This Row],[SM_Contract__c]],Contract[Id],0))=0,"",INDEX(Contract[SM_Start_date__c],MATCH(Table5[[#This Row],[SM_Contract__c]],Contract[Id],0)))</f>
        <v>45777</v>
      </c>
      <c r="E143" s="4">
        <f ca="1">(YEAR(TODAY())-YEAR(Table5[[#This Row],[RC DATE]]))*12 + MONTH(TODAY())-MONTH(Table5[[#This Row],[RC DATE]])</f>
        <v>15</v>
      </c>
      <c r="F14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43" s="19">
        <f>IF(Table5[[#This Row],[Payment_Status__c]]="ACCEPTED",1,"")</f>
        <v>1</v>
      </c>
      <c r="H14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43" s="19">
        <f ca="1">Table5[[#This Row],['# months]]-COUNTIFS(Table5[SM_Contract__c],Table5[[#This Row],[SM_Contract__c]],Table5[TYPE],"SUBS",Table5[ACCEPTED],1)</f>
        <v>5</v>
      </c>
      <c r="J143" s="19" t="b">
        <f>ISNUMBER(MATCH(Table5[[#This Row],[SM_Contract__c]],Contract[Id],0))</f>
        <v>1</v>
      </c>
      <c r="K143" s="9" t="s">
        <v>2783</v>
      </c>
      <c r="L143" s="9" t="s">
        <v>2784</v>
      </c>
      <c r="M143" s="9" t="s">
        <v>265</v>
      </c>
      <c r="N143" s="9" t="s">
        <v>3701</v>
      </c>
      <c r="O143" s="9" t="s">
        <v>1563</v>
      </c>
      <c r="P143" s="9" t="s">
        <v>2363</v>
      </c>
      <c r="Q143" s="9" t="s">
        <v>71</v>
      </c>
      <c r="R143" s="9" t="s">
        <v>83</v>
      </c>
      <c r="S143" s="9" t="s">
        <v>2087</v>
      </c>
      <c r="T143" s="9" t="s">
        <v>2087</v>
      </c>
      <c r="U143" s="9" t="s">
        <v>91</v>
      </c>
      <c r="V143" s="9" t="s">
        <v>148</v>
      </c>
      <c r="W143" s="9" t="s">
        <v>3615</v>
      </c>
      <c r="X143" s="9" t="s">
        <v>2785</v>
      </c>
      <c r="Y143" s="9"/>
      <c r="Z143" s="9" t="s">
        <v>659</v>
      </c>
      <c r="AA143" s="9" t="s">
        <v>2785</v>
      </c>
    </row>
    <row r="144" spans="1:27" x14ac:dyDescent="0.35">
      <c r="A144" s="4" t="str">
        <f>IF(Table5[[#This Row],[SM_Amount__c]]="25.0","FEE",IF(IF(Table5[[#This Row],[SM_Original_Type__c]]="",Table5[[#This Row],[SM_Type__c]],Table5[[#This Row],[SM_Original_Type__c]])="AC","AC","SUBS"))</f>
        <v>SUBS</v>
      </c>
      <c r="B144" s="27">
        <f>IF(INDEX(Contract[SM_AC_start_date__c],MATCH(Table5[[#This Row],[SM_Contract__c]],Contract[Id],0))=0,"",INDEX(Contract[SM_AC_start_date__c],MATCH(Table5[[#This Row],[SM_Contract__c]],Contract[Id],0)))</f>
        <v>45729</v>
      </c>
      <c r="C144" s="27">
        <f>IF(INDEX(Contract[SM_AC_Split_Date__c],MATCH(Table5[[#This Row],[SM_Contract__c]],Contract[Id],0))=0,"",INDEX(Contract[SM_AC_Split_Date__c],MATCH(Table5[[#This Row],[SM_Contract__c]],Contract[Id],0)))</f>
        <v>45744</v>
      </c>
      <c r="D144" s="27">
        <f>IF(INDEX(Contract[SM_Start_date__c],MATCH(Table5[[#This Row],[SM_Contract__c]],Contract[Id],0))=0,"",INDEX(Contract[SM_Start_date__c],MATCH(Table5[[#This Row],[SM_Contract__c]],Contract[Id],0)))</f>
        <v>45777</v>
      </c>
      <c r="E144" s="4">
        <f ca="1">(YEAR(TODAY())-YEAR(Table5[[#This Row],[RC DATE]]))*12 + MONTH(TODAY())-MONTH(Table5[[#This Row],[RC DATE]])</f>
        <v>15</v>
      </c>
      <c r="F14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44" s="19">
        <f>IF(Table5[[#This Row],[Payment_Status__c]]="ACCEPTED",1,"")</f>
        <v>1</v>
      </c>
      <c r="H14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44" s="19">
        <f ca="1">Table5[[#This Row],['# months]]-COUNTIFS(Table5[SM_Contract__c],Table5[[#This Row],[SM_Contract__c]],Table5[TYPE],"SUBS",Table5[ACCEPTED],1)</f>
        <v>5</v>
      </c>
      <c r="J144" s="19" t="b">
        <f>ISNUMBER(MATCH(Table5[[#This Row],[SM_Contract__c]],Contract[Id],0))</f>
        <v>1</v>
      </c>
      <c r="K144" s="9" t="s">
        <v>2786</v>
      </c>
      <c r="L144" s="9" t="s">
        <v>2787</v>
      </c>
      <c r="M144" s="9" t="s">
        <v>265</v>
      </c>
      <c r="N144" s="9" t="s">
        <v>3701</v>
      </c>
      <c r="O144" s="9" t="s">
        <v>1563</v>
      </c>
      <c r="P144" s="9" t="s">
        <v>2363</v>
      </c>
      <c r="Q144" s="9" t="s">
        <v>71</v>
      </c>
      <c r="R144" s="9" t="s">
        <v>83</v>
      </c>
      <c r="S144" s="9" t="s">
        <v>2087</v>
      </c>
      <c r="T144" s="9" t="s">
        <v>2087</v>
      </c>
      <c r="U144" s="9" t="s">
        <v>91</v>
      </c>
      <c r="V144" s="9" t="s">
        <v>148</v>
      </c>
      <c r="W144" s="9" t="s">
        <v>3611</v>
      </c>
      <c r="X144" s="9" t="s">
        <v>2788</v>
      </c>
      <c r="Y144" s="9"/>
      <c r="Z144" s="9" t="s">
        <v>887</v>
      </c>
      <c r="AA144" s="9" t="s">
        <v>2788</v>
      </c>
    </row>
    <row r="145" spans="1:27" x14ac:dyDescent="0.35">
      <c r="A145" s="4" t="str">
        <f>IF(Table5[[#This Row],[SM_Amount__c]]="25.0","FEE",IF(IF(Table5[[#This Row],[SM_Original_Type__c]]="",Table5[[#This Row],[SM_Type__c]],Table5[[#This Row],[SM_Original_Type__c]])="AC","AC","SUBS"))</f>
        <v>AC</v>
      </c>
      <c r="B145" s="27">
        <f>IF(INDEX(Contract[SM_AC_start_date__c],MATCH(Table5[[#This Row],[SM_Contract__c]],Contract[Id],0))=0,"",INDEX(Contract[SM_AC_start_date__c],MATCH(Table5[[#This Row],[SM_Contract__c]],Contract[Id],0)))</f>
        <v>45792</v>
      </c>
      <c r="C145" s="27" t="str">
        <f>IF(INDEX(Contract[SM_AC_Split_Date__c],MATCH(Table5[[#This Row],[SM_Contract__c]],Contract[Id],0))=0,"",INDEX(Contract[SM_AC_Split_Date__c],MATCH(Table5[[#This Row],[SM_Contract__c]],Contract[Id],0)))</f>
        <v/>
      </c>
      <c r="D145" s="27">
        <f>IF(INDEX(Contract[SM_Start_date__c],MATCH(Table5[[#This Row],[SM_Contract__c]],Contract[Id],0))=0,"",INDEX(Contract[SM_Start_date__c],MATCH(Table5[[#This Row],[SM_Contract__c]],Contract[Id],0)))</f>
        <v>45823</v>
      </c>
      <c r="E145" s="4">
        <f ca="1">(YEAR(TODAY())-YEAR(Table5[[#This Row],[RC DATE]]))*12 + MONTH(TODAY())-MONTH(Table5[[#This Row],[RC DATE]])</f>
        <v>13</v>
      </c>
      <c r="F14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45" s="19">
        <f>IF(Table5[[#This Row],[Payment_Status__c]]="ACCEPTED",1,"")</f>
        <v>1</v>
      </c>
      <c r="H14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45" s="19">
        <f ca="1">Table5[[#This Row],['# months]]-COUNTIFS(Table5[SM_Contract__c],Table5[[#This Row],[SM_Contract__c]],Table5[TYPE],"SUBS",Table5[ACCEPTED],1)</f>
        <v>4</v>
      </c>
      <c r="J145" s="19" t="b">
        <f>ISNUMBER(MATCH(Table5[[#This Row],[SM_Contract__c]],Contract[Id],0))</f>
        <v>1</v>
      </c>
      <c r="K145" s="9" t="s">
        <v>2791</v>
      </c>
      <c r="L145" s="9" t="s">
        <v>2792</v>
      </c>
      <c r="M145" s="9" t="s">
        <v>332</v>
      </c>
      <c r="N145" s="9" t="s">
        <v>3703</v>
      </c>
      <c r="O145" s="9" t="s">
        <v>1563</v>
      </c>
      <c r="P145" s="9" t="s">
        <v>2363</v>
      </c>
      <c r="Q145" s="9" t="s">
        <v>77</v>
      </c>
      <c r="R145" s="9" t="s">
        <v>77</v>
      </c>
      <c r="S145" s="9" t="s">
        <v>167</v>
      </c>
      <c r="T145" s="9" t="s">
        <v>168</v>
      </c>
      <c r="U145" s="9" t="s">
        <v>167</v>
      </c>
      <c r="V145" s="9" t="s">
        <v>93</v>
      </c>
      <c r="W145" s="9" t="s">
        <v>3574</v>
      </c>
      <c r="X145" s="9" t="s">
        <v>2793</v>
      </c>
      <c r="Y145" s="9"/>
      <c r="Z145" s="9"/>
      <c r="AA145" s="9" t="s">
        <v>2793</v>
      </c>
    </row>
    <row r="146" spans="1:27" x14ac:dyDescent="0.35">
      <c r="A146" s="4" t="str">
        <f>IF(Table5[[#This Row],[SM_Amount__c]]="25.0","FEE",IF(IF(Table5[[#This Row],[SM_Original_Type__c]]="",Table5[[#This Row],[SM_Type__c]],Table5[[#This Row],[SM_Original_Type__c]])="AC","AC","SUBS"))</f>
        <v>SUBS</v>
      </c>
      <c r="B146" s="27">
        <f>IF(INDEX(Contract[SM_AC_start_date__c],MATCH(Table5[[#This Row],[SM_Contract__c]],Contract[Id],0))=0,"",INDEX(Contract[SM_AC_start_date__c],MATCH(Table5[[#This Row],[SM_Contract__c]],Contract[Id],0)))</f>
        <v>45792</v>
      </c>
      <c r="C146" s="27" t="str">
        <f>IF(INDEX(Contract[SM_AC_Split_Date__c],MATCH(Table5[[#This Row],[SM_Contract__c]],Contract[Id],0))=0,"",INDEX(Contract[SM_AC_Split_Date__c],MATCH(Table5[[#This Row],[SM_Contract__c]],Contract[Id],0)))</f>
        <v/>
      </c>
      <c r="D146" s="27">
        <f>IF(INDEX(Contract[SM_Start_date__c],MATCH(Table5[[#This Row],[SM_Contract__c]],Contract[Id],0))=0,"",INDEX(Contract[SM_Start_date__c],MATCH(Table5[[#This Row],[SM_Contract__c]],Contract[Id],0)))</f>
        <v>45823</v>
      </c>
      <c r="E146" s="4">
        <f ca="1">(YEAR(TODAY())-YEAR(Table5[[#This Row],[RC DATE]]))*12 + MONTH(TODAY())-MONTH(Table5[[#This Row],[RC DATE]])</f>
        <v>13</v>
      </c>
      <c r="F14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46" s="19">
        <f>IF(Table5[[#This Row],[Payment_Status__c]]="ACCEPTED",1,"")</f>
        <v>1</v>
      </c>
      <c r="H14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46" s="19">
        <f ca="1">Table5[[#This Row],['# months]]-COUNTIFS(Table5[SM_Contract__c],Table5[[#This Row],[SM_Contract__c]],Table5[TYPE],"SUBS",Table5[ACCEPTED],1)</f>
        <v>4</v>
      </c>
      <c r="J146" s="19" t="b">
        <f>ISNUMBER(MATCH(Table5[[#This Row],[SM_Contract__c]],Contract[Id],0))</f>
        <v>1</v>
      </c>
      <c r="K146" s="9" t="s">
        <v>2794</v>
      </c>
      <c r="L146" s="9" t="s">
        <v>2795</v>
      </c>
      <c r="M146" s="9" t="s">
        <v>332</v>
      </c>
      <c r="N146" s="9" t="s">
        <v>3703</v>
      </c>
      <c r="O146" s="9" t="s">
        <v>1563</v>
      </c>
      <c r="P146" s="9" t="s">
        <v>2363</v>
      </c>
      <c r="Q146" s="9" t="s">
        <v>83</v>
      </c>
      <c r="R146" s="9" t="s">
        <v>76</v>
      </c>
      <c r="S146" s="9" t="s">
        <v>167</v>
      </c>
      <c r="T146" s="9" t="s">
        <v>168</v>
      </c>
      <c r="U146" s="9" t="s">
        <v>167</v>
      </c>
      <c r="V146" s="9" t="s">
        <v>93</v>
      </c>
      <c r="W146" s="9" t="s">
        <v>3575</v>
      </c>
      <c r="X146" s="9" t="s">
        <v>2796</v>
      </c>
      <c r="Y146" s="9"/>
      <c r="Z146" s="9"/>
      <c r="AA146" s="9" t="s">
        <v>2796</v>
      </c>
    </row>
    <row r="147" spans="1:27" x14ac:dyDescent="0.35">
      <c r="A147" s="4" t="str">
        <f>IF(Table5[[#This Row],[SM_Amount__c]]="25.0","FEE",IF(IF(Table5[[#This Row],[SM_Original_Type__c]]="",Table5[[#This Row],[SM_Type__c]],Table5[[#This Row],[SM_Original_Type__c]])="AC","AC","SUBS"))</f>
        <v>SUBS</v>
      </c>
      <c r="B147" s="27">
        <f>IF(INDEX(Contract[SM_AC_start_date__c],MATCH(Table5[[#This Row],[SM_Contract__c]],Contract[Id],0))=0,"",INDEX(Contract[SM_AC_start_date__c],MATCH(Table5[[#This Row],[SM_Contract__c]],Contract[Id],0)))</f>
        <v>45792</v>
      </c>
      <c r="C147" s="27" t="str">
        <f>IF(INDEX(Contract[SM_AC_Split_Date__c],MATCH(Table5[[#This Row],[SM_Contract__c]],Contract[Id],0))=0,"",INDEX(Contract[SM_AC_Split_Date__c],MATCH(Table5[[#This Row],[SM_Contract__c]],Contract[Id],0)))</f>
        <v/>
      </c>
      <c r="D147" s="27">
        <f>IF(INDEX(Contract[SM_Start_date__c],MATCH(Table5[[#This Row],[SM_Contract__c]],Contract[Id],0))=0,"",INDEX(Contract[SM_Start_date__c],MATCH(Table5[[#This Row],[SM_Contract__c]],Contract[Id],0)))</f>
        <v>45823</v>
      </c>
      <c r="E147" s="4">
        <f ca="1">(YEAR(TODAY())-YEAR(Table5[[#This Row],[RC DATE]]))*12 + MONTH(TODAY())-MONTH(Table5[[#This Row],[RC DATE]])</f>
        <v>13</v>
      </c>
      <c r="F14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47" s="19">
        <f>IF(Table5[[#This Row],[Payment_Status__c]]="ACCEPTED",1,"")</f>
        <v>1</v>
      </c>
      <c r="H14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47" s="19">
        <f ca="1">Table5[[#This Row],['# months]]-COUNTIFS(Table5[SM_Contract__c],Table5[[#This Row],[SM_Contract__c]],Table5[TYPE],"SUBS",Table5[ACCEPTED],1)</f>
        <v>4</v>
      </c>
      <c r="J147" s="19" t="b">
        <f>ISNUMBER(MATCH(Table5[[#This Row],[SM_Contract__c]],Contract[Id],0))</f>
        <v>1</v>
      </c>
      <c r="K147" s="9" t="s">
        <v>2797</v>
      </c>
      <c r="L147" s="9" t="s">
        <v>2798</v>
      </c>
      <c r="M147" s="9" t="s">
        <v>332</v>
      </c>
      <c r="N147" s="9" t="s">
        <v>3703</v>
      </c>
      <c r="O147" s="9" t="s">
        <v>1563</v>
      </c>
      <c r="P147" s="9" t="s">
        <v>2363</v>
      </c>
      <c r="Q147" s="9" t="s">
        <v>83</v>
      </c>
      <c r="R147" s="9" t="s">
        <v>76</v>
      </c>
      <c r="S147" s="9" t="s">
        <v>167</v>
      </c>
      <c r="T147" s="9" t="s">
        <v>168</v>
      </c>
      <c r="U147" s="9" t="s">
        <v>167</v>
      </c>
      <c r="V147" s="9" t="s">
        <v>93</v>
      </c>
      <c r="W147" s="9" t="s">
        <v>3576</v>
      </c>
      <c r="X147" s="9" t="s">
        <v>2799</v>
      </c>
      <c r="Y147" s="9"/>
      <c r="Z147" s="9"/>
      <c r="AA147" s="9" t="s">
        <v>2799</v>
      </c>
    </row>
    <row r="148" spans="1:27" x14ac:dyDescent="0.35">
      <c r="A148" s="4" t="str">
        <f>IF(Table5[[#This Row],[SM_Amount__c]]="25.0","FEE",IF(IF(Table5[[#This Row],[SM_Original_Type__c]]="",Table5[[#This Row],[SM_Type__c]],Table5[[#This Row],[SM_Original_Type__c]])="AC","AC","SUBS"))</f>
        <v>SUBS</v>
      </c>
      <c r="B148" s="27">
        <f>IF(INDEX(Contract[SM_AC_start_date__c],MATCH(Table5[[#This Row],[SM_Contract__c]],Contract[Id],0))=0,"",INDEX(Contract[SM_AC_start_date__c],MATCH(Table5[[#This Row],[SM_Contract__c]],Contract[Id],0)))</f>
        <v>45792</v>
      </c>
      <c r="C148" s="27" t="str">
        <f>IF(INDEX(Contract[SM_AC_Split_Date__c],MATCH(Table5[[#This Row],[SM_Contract__c]],Contract[Id],0))=0,"",INDEX(Contract[SM_AC_Split_Date__c],MATCH(Table5[[#This Row],[SM_Contract__c]],Contract[Id],0)))</f>
        <v/>
      </c>
      <c r="D148" s="27">
        <f>IF(INDEX(Contract[SM_Start_date__c],MATCH(Table5[[#This Row],[SM_Contract__c]],Contract[Id],0))=0,"",INDEX(Contract[SM_Start_date__c],MATCH(Table5[[#This Row],[SM_Contract__c]],Contract[Id],0)))</f>
        <v>45823</v>
      </c>
      <c r="E148" s="4">
        <f ca="1">(YEAR(TODAY())-YEAR(Table5[[#This Row],[RC DATE]]))*12 + MONTH(TODAY())-MONTH(Table5[[#This Row],[RC DATE]])</f>
        <v>13</v>
      </c>
      <c r="F14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48" s="19">
        <f>IF(Table5[[#This Row],[Payment_Status__c]]="ACCEPTED",1,"")</f>
        <v>1</v>
      </c>
      <c r="H14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48" s="19">
        <f ca="1">Table5[[#This Row],['# months]]-COUNTIFS(Table5[SM_Contract__c],Table5[[#This Row],[SM_Contract__c]],Table5[TYPE],"SUBS",Table5[ACCEPTED],1)</f>
        <v>4</v>
      </c>
      <c r="J148" s="19" t="b">
        <f>ISNUMBER(MATCH(Table5[[#This Row],[SM_Contract__c]],Contract[Id],0))</f>
        <v>1</v>
      </c>
      <c r="K148" s="9" t="s">
        <v>2800</v>
      </c>
      <c r="L148" s="9" t="s">
        <v>2801</v>
      </c>
      <c r="M148" s="9" t="s">
        <v>332</v>
      </c>
      <c r="N148" s="9" t="s">
        <v>3703</v>
      </c>
      <c r="O148" s="9" t="s">
        <v>1563</v>
      </c>
      <c r="P148" s="9" t="s">
        <v>2363</v>
      </c>
      <c r="Q148" s="9" t="s">
        <v>83</v>
      </c>
      <c r="R148" s="9" t="s">
        <v>76</v>
      </c>
      <c r="S148" s="9" t="s">
        <v>167</v>
      </c>
      <c r="T148" s="9" t="s">
        <v>168</v>
      </c>
      <c r="U148" s="9" t="s">
        <v>167</v>
      </c>
      <c r="V148" s="9" t="s">
        <v>93</v>
      </c>
      <c r="W148" s="9" t="s">
        <v>3577</v>
      </c>
      <c r="X148" s="9" t="s">
        <v>2802</v>
      </c>
      <c r="Y148" s="9"/>
      <c r="Z148" s="9"/>
      <c r="AA148" s="9" t="s">
        <v>2802</v>
      </c>
    </row>
    <row r="149" spans="1:27" x14ac:dyDescent="0.35">
      <c r="A149" s="4" t="str">
        <f>IF(Table5[[#This Row],[SM_Amount__c]]="25.0","FEE",IF(IF(Table5[[#This Row],[SM_Original_Type__c]]="",Table5[[#This Row],[SM_Type__c]],Table5[[#This Row],[SM_Original_Type__c]])="AC","AC","SUBS"))</f>
        <v>SUBS</v>
      </c>
      <c r="B149" s="27">
        <f>IF(INDEX(Contract[SM_AC_start_date__c],MATCH(Table5[[#This Row],[SM_Contract__c]],Contract[Id],0))=0,"",INDEX(Contract[SM_AC_start_date__c],MATCH(Table5[[#This Row],[SM_Contract__c]],Contract[Id],0)))</f>
        <v>45792</v>
      </c>
      <c r="C149" s="27" t="str">
        <f>IF(INDEX(Contract[SM_AC_Split_Date__c],MATCH(Table5[[#This Row],[SM_Contract__c]],Contract[Id],0))=0,"",INDEX(Contract[SM_AC_Split_Date__c],MATCH(Table5[[#This Row],[SM_Contract__c]],Contract[Id],0)))</f>
        <v/>
      </c>
      <c r="D149" s="27">
        <f>IF(INDEX(Contract[SM_Start_date__c],MATCH(Table5[[#This Row],[SM_Contract__c]],Contract[Id],0))=0,"",INDEX(Contract[SM_Start_date__c],MATCH(Table5[[#This Row],[SM_Contract__c]],Contract[Id],0)))</f>
        <v>45823</v>
      </c>
      <c r="E149" s="4">
        <f ca="1">(YEAR(TODAY())-YEAR(Table5[[#This Row],[RC DATE]]))*12 + MONTH(TODAY())-MONTH(Table5[[#This Row],[RC DATE]])</f>
        <v>13</v>
      </c>
      <c r="F14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49" s="19">
        <f>IF(Table5[[#This Row],[Payment_Status__c]]="ACCEPTED",1,"")</f>
        <v>1</v>
      </c>
      <c r="H14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49" s="19">
        <f ca="1">Table5[[#This Row],['# months]]-COUNTIFS(Table5[SM_Contract__c],Table5[[#This Row],[SM_Contract__c]],Table5[TYPE],"SUBS",Table5[ACCEPTED],1)</f>
        <v>4</v>
      </c>
      <c r="J149" s="19" t="b">
        <f>ISNUMBER(MATCH(Table5[[#This Row],[SM_Contract__c]],Contract[Id],0))</f>
        <v>1</v>
      </c>
      <c r="K149" s="9" t="s">
        <v>2803</v>
      </c>
      <c r="L149" s="9" t="s">
        <v>2804</v>
      </c>
      <c r="M149" s="9" t="s">
        <v>332</v>
      </c>
      <c r="N149" s="9" t="s">
        <v>3703</v>
      </c>
      <c r="O149" s="9" t="s">
        <v>1563</v>
      </c>
      <c r="P149" s="9" t="s">
        <v>2363</v>
      </c>
      <c r="Q149" s="9" t="s">
        <v>83</v>
      </c>
      <c r="R149" s="9" t="s">
        <v>76</v>
      </c>
      <c r="S149" s="9" t="s">
        <v>167</v>
      </c>
      <c r="T149" s="9" t="s">
        <v>168</v>
      </c>
      <c r="U149" s="9" t="s">
        <v>167</v>
      </c>
      <c r="V149" s="9" t="s">
        <v>93</v>
      </c>
      <c r="W149" s="9" t="s">
        <v>3578</v>
      </c>
      <c r="X149" s="9" t="s">
        <v>2805</v>
      </c>
      <c r="Y149" s="9"/>
      <c r="Z149" s="9"/>
      <c r="AA149" s="9" t="s">
        <v>2805</v>
      </c>
    </row>
    <row r="150" spans="1:27" x14ac:dyDescent="0.35">
      <c r="A150" s="4" t="str">
        <f>IF(Table5[[#This Row],[SM_Amount__c]]="25.0","FEE",IF(IF(Table5[[#This Row],[SM_Original_Type__c]]="",Table5[[#This Row],[SM_Type__c]],Table5[[#This Row],[SM_Original_Type__c]])="AC","AC","SUBS"))</f>
        <v>SUBS</v>
      </c>
      <c r="B150" s="27">
        <f>IF(INDEX(Contract[SM_AC_start_date__c],MATCH(Table5[[#This Row],[SM_Contract__c]],Contract[Id],0))=0,"",INDEX(Contract[SM_AC_start_date__c],MATCH(Table5[[#This Row],[SM_Contract__c]],Contract[Id],0)))</f>
        <v>45792</v>
      </c>
      <c r="C150" s="27" t="str">
        <f>IF(INDEX(Contract[SM_AC_Split_Date__c],MATCH(Table5[[#This Row],[SM_Contract__c]],Contract[Id],0))=0,"",INDEX(Contract[SM_AC_Split_Date__c],MATCH(Table5[[#This Row],[SM_Contract__c]],Contract[Id],0)))</f>
        <v/>
      </c>
      <c r="D150" s="27">
        <f>IF(INDEX(Contract[SM_Start_date__c],MATCH(Table5[[#This Row],[SM_Contract__c]],Contract[Id],0))=0,"",INDEX(Contract[SM_Start_date__c],MATCH(Table5[[#This Row],[SM_Contract__c]],Contract[Id],0)))</f>
        <v>45823</v>
      </c>
      <c r="E150" s="4">
        <f ca="1">(YEAR(TODAY())-YEAR(Table5[[#This Row],[RC DATE]]))*12 + MONTH(TODAY())-MONTH(Table5[[#This Row],[RC DATE]])</f>
        <v>13</v>
      </c>
      <c r="F15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50" s="19">
        <f>IF(Table5[[#This Row],[Payment_Status__c]]="ACCEPTED",1,"")</f>
        <v>1</v>
      </c>
      <c r="H15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50" s="19">
        <f ca="1">Table5[[#This Row],['# months]]-COUNTIFS(Table5[SM_Contract__c],Table5[[#This Row],[SM_Contract__c]],Table5[TYPE],"SUBS",Table5[ACCEPTED],1)</f>
        <v>4</v>
      </c>
      <c r="J150" s="19" t="b">
        <f>ISNUMBER(MATCH(Table5[[#This Row],[SM_Contract__c]],Contract[Id],0))</f>
        <v>1</v>
      </c>
      <c r="K150" s="9" t="s">
        <v>2806</v>
      </c>
      <c r="L150" s="9" t="s">
        <v>2807</v>
      </c>
      <c r="M150" s="9" t="s">
        <v>332</v>
      </c>
      <c r="N150" s="9" t="s">
        <v>3703</v>
      </c>
      <c r="O150" s="9" t="s">
        <v>1563</v>
      </c>
      <c r="P150" s="9" t="s">
        <v>2363</v>
      </c>
      <c r="Q150" s="9" t="s">
        <v>83</v>
      </c>
      <c r="R150" s="9" t="s">
        <v>76</v>
      </c>
      <c r="S150" s="9" t="s">
        <v>167</v>
      </c>
      <c r="T150" s="9" t="s">
        <v>167</v>
      </c>
      <c r="U150" s="9" t="s">
        <v>167</v>
      </c>
      <c r="V150" s="9" t="s">
        <v>93</v>
      </c>
      <c r="W150" s="9" t="s">
        <v>3579</v>
      </c>
      <c r="X150" s="9" t="s">
        <v>2790</v>
      </c>
      <c r="Y150" s="9"/>
      <c r="Z150" s="9"/>
      <c r="AA150" s="9" t="s">
        <v>2790</v>
      </c>
    </row>
    <row r="151" spans="1:27" x14ac:dyDescent="0.35">
      <c r="A151" s="4" t="str">
        <f>IF(Table5[[#This Row],[SM_Amount__c]]="25.0","FEE",IF(IF(Table5[[#This Row],[SM_Original_Type__c]]="",Table5[[#This Row],[SM_Type__c]],Table5[[#This Row],[SM_Original_Type__c]])="AC","AC","SUBS"))</f>
        <v>SUBS</v>
      </c>
      <c r="B151" s="27">
        <f>IF(INDEX(Contract[SM_AC_start_date__c],MATCH(Table5[[#This Row],[SM_Contract__c]],Contract[Id],0))=0,"",INDEX(Contract[SM_AC_start_date__c],MATCH(Table5[[#This Row],[SM_Contract__c]],Contract[Id],0)))</f>
        <v>45792</v>
      </c>
      <c r="C151" s="27" t="str">
        <f>IF(INDEX(Contract[SM_AC_Split_Date__c],MATCH(Table5[[#This Row],[SM_Contract__c]],Contract[Id],0))=0,"",INDEX(Contract[SM_AC_Split_Date__c],MATCH(Table5[[#This Row],[SM_Contract__c]],Contract[Id],0)))</f>
        <v/>
      </c>
      <c r="D151" s="27">
        <f>IF(INDEX(Contract[SM_Start_date__c],MATCH(Table5[[#This Row],[SM_Contract__c]],Contract[Id],0))=0,"",INDEX(Contract[SM_Start_date__c],MATCH(Table5[[#This Row],[SM_Contract__c]],Contract[Id],0)))</f>
        <v>45823</v>
      </c>
      <c r="E151" s="4">
        <f ca="1">(YEAR(TODAY())-YEAR(Table5[[#This Row],[RC DATE]]))*12 + MONTH(TODAY())-MONTH(Table5[[#This Row],[RC DATE]])</f>
        <v>13</v>
      </c>
      <c r="F15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51" s="19">
        <f>IF(Table5[[#This Row],[Payment_Status__c]]="ACCEPTED",1,"")</f>
        <v>1</v>
      </c>
      <c r="H15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51" s="19">
        <f ca="1">Table5[[#This Row],['# months]]-COUNTIFS(Table5[SM_Contract__c],Table5[[#This Row],[SM_Contract__c]],Table5[TYPE],"SUBS",Table5[ACCEPTED],1)</f>
        <v>4</v>
      </c>
      <c r="J151" s="19" t="b">
        <f>ISNUMBER(MATCH(Table5[[#This Row],[SM_Contract__c]],Contract[Id],0))</f>
        <v>1</v>
      </c>
      <c r="K151" s="9" t="s">
        <v>2808</v>
      </c>
      <c r="L151" s="9" t="s">
        <v>2809</v>
      </c>
      <c r="M151" s="9" t="s">
        <v>332</v>
      </c>
      <c r="N151" s="9" t="s">
        <v>3703</v>
      </c>
      <c r="O151" s="9" t="s">
        <v>1563</v>
      </c>
      <c r="P151" s="9" t="s">
        <v>2363</v>
      </c>
      <c r="Q151" s="9" t="s">
        <v>83</v>
      </c>
      <c r="R151" s="9" t="s">
        <v>76</v>
      </c>
      <c r="S151" s="9" t="s">
        <v>167</v>
      </c>
      <c r="T151" s="9" t="s">
        <v>167</v>
      </c>
      <c r="U151" s="9" t="s">
        <v>167</v>
      </c>
      <c r="V151" s="9" t="s">
        <v>93</v>
      </c>
      <c r="W151" s="9" t="s">
        <v>3580</v>
      </c>
      <c r="X151" s="9" t="s">
        <v>2810</v>
      </c>
      <c r="Y151" s="9"/>
      <c r="Z151" s="9"/>
      <c r="AA151" s="9" t="s">
        <v>2810</v>
      </c>
    </row>
    <row r="152" spans="1:27" x14ac:dyDescent="0.35">
      <c r="A152" s="4" t="str">
        <f>IF(Table5[[#This Row],[SM_Amount__c]]="25.0","FEE",IF(IF(Table5[[#This Row],[SM_Original_Type__c]]="",Table5[[#This Row],[SM_Type__c]],Table5[[#This Row],[SM_Original_Type__c]])="AC","AC","SUBS"))</f>
        <v>SUBS</v>
      </c>
      <c r="B152" s="27">
        <f>IF(INDEX(Contract[SM_AC_start_date__c],MATCH(Table5[[#This Row],[SM_Contract__c]],Contract[Id],0))=0,"",INDEX(Contract[SM_AC_start_date__c],MATCH(Table5[[#This Row],[SM_Contract__c]],Contract[Id],0)))</f>
        <v>45792</v>
      </c>
      <c r="C152" s="27" t="str">
        <f>IF(INDEX(Contract[SM_AC_Split_Date__c],MATCH(Table5[[#This Row],[SM_Contract__c]],Contract[Id],0))=0,"",INDEX(Contract[SM_AC_Split_Date__c],MATCH(Table5[[#This Row],[SM_Contract__c]],Contract[Id],0)))</f>
        <v/>
      </c>
      <c r="D152" s="27">
        <f>IF(INDEX(Contract[SM_Start_date__c],MATCH(Table5[[#This Row],[SM_Contract__c]],Contract[Id],0))=0,"",INDEX(Contract[SM_Start_date__c],MATCH(Table5[[#This Row],[SM_Contract__c]],Contract[Id],0)))</f>
        <v>45823</v>
      </c>
      <c r="E152" s="4">
        <f ca="1">(YEAR(TODAY())-YEAR(Table5[[#This Row],[RC DATE]]))*12 + MONTH(TODAY())-MONTH(Table5[[#This Row],[RC DATE]])</f>
        <v>13</v>
      </c>
      <c r="F15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52" s="19">
        <f>IF(Table5[[#This Row],[Payment_Status__c]]="ACCEPTED",1,"")</f>
        <v>1</v>
      </c>
      <c r="H15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52" s="19">
        <f ca="1">Table5[[#This Row],['# months]]-COUNTIFS(Table5[SM_Contract__c],Table5[[#This Row],[SM_Contract__c]],Table5[TYPE],"SUBS",Table5[ACCEPTED],1)</f>
        <v>4</v>
      </c>
      <c r="J152" s="19" t="b">
        <f>ISNUMBER(MATCH(Table5[[#This Row],[SM_Contract__c]],Contract[Id],0))</f>
        <v>1</v>
      </c>
      <c r="K152" s="9" t="s">
        <v>2811</v>
      </c>
      <c r="L152" s="9" t="s">
        <v>2812</v>
      </c>
      <c r="M152" s="9" t="s">
        <v>332</v>
      </c>
      <c r="N152" s="9" t="s">
        <v>3703</v>
      </c>
      <c r="O152" s="9" t="s">
        <v>1563</v>
      </c>
      <c r="P152" s="9" t="s">
        <v>2363</v>
      </c>
      <c r="Q152" s="9" t="s">
        <v>83</v>
      </c>
      <c r="R152" s="9" t="s">
        <v>76</v>
      </c>
      <c r="S152" s="9" t="s">
        <v>167</v>
      </c>
      <c r="T152" s="9" t="s">
        <v>167</v>
      </c>
      <c r="U152" s="9" t="s">
        <v>167</v>
      </c>
      <c r="V152" s="9" t="s">
        <v>93</v>
      </c>
      <c r="W152" s="9" t="s">
        <v>3581</v>
      </c>
      <c r="X152" s="9" t="s">
        <v>2813</v>
      </c>
      <c r="Y152" s="9"/>
      <c r="Z152" s="9"/>
      <c r="AA152" s="9" t="s">
        <v>2813</v>
      </c>
    </row>
    <row r="153" spans="1:27" x14ac:dyDescent="0.35">
      <c r="A153" s="4" t="str">
        <f>IF(Table5[[#This Row],[SM_Amount__c]]="25.0","FEE",IF(IF(Table5[[#This Row],[SM_Original_Type__c]]="",Table5[[#This Row],[SM_Type__c]],Table5[[#This Row],[SM_Original_Type__c]])="AC","AC","SUBS"))</f>
        <v>SUBS</v>
      </c>
      <c r="B153" s="27">
        <f>IF(INDEX(Contract[SM_AC_start_date__c],MATCH(Table5[[#This Row],[SM_Contract__c]],Contract[Id],0))=0,"",INDEX(Contract[SM_AC_start_date__c],MATCH(Table5[[#This Row],[SM_Contract__c]],Contract[Id],0)))</f>
        <v>45792</v>
      </c>
      <c r="C153" s="27" t="str">
        <f>IF(INDEX(Contract[SM_AC_Split_Date__c],MATCH(Table5[[#This Row],[SM_Contract__c]],Contract[Id],0))=0,"",INDEX(Contract[SM_AC_Split_Date__c],MATCH(Table5[[#This Row],[SM_Contract__c]],Contract[Id],0)))</f>
        <v/>
      </c>
      <c r="D153" s="27">
        <f>IF(INDEX(Contract[SM_Start_date__c],MATCH(Table5[[#This Row],[SM_Contract__c]],Contract[Id],0))=0,"",INDEX(Contract[SM_Start_date__c],MATCH(Table5[[#This Row],[SM_Contract__c]],Contract[Id],0)))</f>
        <v>45823</v>
      </c>
      <c r="E153" s="4">
        <f ca="1">(YEAR(TODAY())-YEAR(Table5[[#This Row],[RC DATE]]))*12 + MONTH(TODAY())-MONTH(Table5[[#This Row],[RC DATE]])</f>
        <v>13</v>
      </c>
      <c r="F15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53" s="19">
        <f>IF(Table5[[#This Row],[Payment_Status__c]]="ACCEPTED",1,"")</f>
        <v>1</v>
      </c>
      <c r="H15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53" s="19">
        <f ca="1">Table5[[#This Row],['# months]]-COUNTIFS(Table5[SM_Contract__c],Table5[[#This Row],[SM_Contract__c]],Table5[TYPE],"SUBS",Table5[ACCEPTED],1)</f>
        <v>4</v>
      </c>
      <c r="J153" s="19" t="b">
        <f>ISNUMBER(MATCH(Table5[[#This Row],[SM_Contract__c]],Contract[Id],0))</f>
        <v>1</v>
      </c>
      <c r="K153" s="9" t="s">
        <v>2814</v>
      </c>
      <c r="L153" s="9" t="s">
        <v>2815</v>
      </c>
      <c r="M153" s="9" t="s">
        <v>332</v>
      </c>
      <c r="N153" s="9" t="s">
        <v>3703</v>
      </c>
      <c r="O153" s="9" t="s">
        <v>1563</v>
      </c>
      <c r="P153" s="9" t="s">
        <v>2363</v>
      </c>
      <c r="Q153" s="9" t="s">
        <v>83</v>
      </c>
      <c r="R153" s="9" t="s">
        <v>76</v>
      </c>
      <c r="S153" s="9" t="s">
        <v>167</v>
      </c>
      <c r="T153" s="9" t="s">
        <v>167</v>
      </c>
      <c r="U153" s="9" t="s">
        <v>167</v>
      </c>
      <c r="V153" s="9" t="s">
        <v>93</v>
      </c>
      <c r="W153" s="9" t="s">
        <v>3582</v>
      </c>
      <c r="X153" s="9" t="s">
        <v>2816</v>
      </c>
      <c r="Y153" s="9"/>
      <c r="Z153" s="9"/>
      <c r="AA153" s="9" t="s">
        <v>2816</v>
      </c>
    </row>
    <row r="154" spans="1:27" x14ac:dyDescent="0.35">
      <c r="A154" s="4" t="str">
        <f>IF(Table5[[#This Row],[SM_Amount__c]]="25.0","FEE",IF(IF(Table5[[#This Row],[SM_Original_Type__c]]="",Table5[[#This Row],[SM_Type__c]],Table5[[#This Row],[SM_Original_Type__c]])="AC","AC","SUBS"))</f>
        <v>SUBS</v>
      </c>
      <c r="B154" s="27">
        <f>IF(INDEX(Contract[SM_AC_start_date__c],MATCH(Table5[[#This Row],[SM_Contract__c]],Contract[Id],0))=0,"",INDEX(Contract[SM_AC_start_date__c],MATCH(Table5[[#This Row],[SM_Contract__c]],Contract[Id],0)))</f>
        <v>45792</v>
      </c>
      <c r="C154" s="27" t="str">
        <f>IF(INDEX(Contract[SM_AC_Split_Date__c],MATCH(Table5[[#This Row],[SM_Contract__c]],Contract[Id],0))=0,"",INDEX(Contract[SM_AC_Split_Date__c],MATCH(Table5[[#This Row],[SM_Contract__c]],Contract[Id],0)))</f>
        <v/>
      </c>
      <c r="D154" s="27">
        <f>IF(INDEX(Contract[SM_Start_date__c],MATCH(Table5[[#This Row],[SM_Contract__c]],Contract[Id],0))=0,"",INDEX(Contract[SM_Start_date__c],MATCH(Table5[[#This Row],[SM_Contract__c]],Contract[Id],0)))</f>
        <v>45823</v>
      </c>
      <c r="E154" s="4">
        <f ca="1">(YEAR(TODAY())-YEAR(Table5[[#This Row],[RC DATE]]))*12 + MONTH(TODAY())-MONTH(Table5[[#This Row],[RC DATE]])</f>
        <v>13</v>
      </c>
      <c r="F15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46096</v>
      </c>
      <c r="G154" s="19">
        <f>IF(Table5[[#This Row],[Payment_Status__c]]="ACCEPTED",1,"")</f>
        <v>1</v>
      </c>
      <c r="H15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54" s="19">
        <f ca="1">Table5[[#This Row],['# months]]-COUNTIFS(Table5[SM_Contract__c],Table5[[#This Row],[SM_Contract__c]],Table5[TYPE],"SUBS",Table5[ACCEPTED],1)</f>
        <v>4</v>
      </c>
      <c r="J154" s="19" t="b">
        <f>ISNUMBER(MATCH(Table5[[#This Row],[SM_Contract__c]],Contract[Id],0))</f>
        <v>1</v>
      </c>
      <c r="K154" s="9" t="s">
        <v>2817</v>
      </c>
      <c r="L154" s="9" t="s">
        <v>2818</v>
      </c>
      <c r="M154" s="9" t="s">
        <v>332</v>
      </c>
      <c r="N154" s="9" t="s">
        <v>3703</v>
      </c>
      <c r="O154" s="9" t="s">
        <v>1563</v>
      </c>
      <c r="P154" s="9" t="s">
        <v>2363</v>
      </c>
      <c r="Q154" s="9" t="s">
        <v>83</v>
      </c>
      <c r="R154" s="9" t="s">
        <v>76</v>
      </c>
      <c r="S154" s="9" t="s">
        <v>167</v>
      </c>
      <c r="T154" s="9" t="s">
        <v>167</v>
      </c>
      <c r="U154" s="9" t="s">
        <v>167</v>
      </c>
      <c r="V154" s="9" t="s">
        <v>93</v>
      </c>
      <c r="W154" s="9" t="s">
        <v>3583</v>
      </c>
      <c r="X154" s="9" t="s">
        <v>2819</v>
      </c>
      <c r="Y154" s="9"/>
      <c r="Z154" s="9"/>
      <c r="AA154" s="9" t="s">
        <v>2819</v>
      </c>
    </row>
    <row r="155" spans="1:27" x14ac:dyDescent="0.35">
      <c r="A155" s="4" t="str">
        <f>IF(Table5[[#This Row],[SM_Amount__c]]="25.0","FEE",IF(IF(Table5[[#This Row],[SM_Original_Type__c]]="",Table5[[#This Row],[SM_Type__c]],Table5[[#This Row],[SM_Original_Type__c]])="AC","AC","SUBS"))</f>
        <v>AC</v>
      </c>
      <c r="B155" s="27">
        <f>IF(INDEX(Contract[SM_AC_start_date__c],MATCH(Table5[[#This Row],[SM_Contract__c]],Contract[Id],0))=0,"",INDEX(Contract[SM_AC_start_date__c],MATCH(Table5[[#This Row],[SM_Contract__c]],Contract[Id],0)))</f>
        <v>45812</v>
      </c>
      <c r="C155" s="27" t="str">
        <f>IF(INDEX(Contract[SM_AC_Split_Date__c],MATCH(Table5[[#This Row],[SM_Contract__c]],Contract[Id],0))=0,"",INDEX(Contract[SM_AC_Split_Date__c],MATCH(Table5[[#This Row],[SM_Contract__c]],Contract[Id],0)))</f>
        <v/>
      </c>
      <c r="D155" s="27">
        <f>IF(INDEX(Contract[SM_Start_date__c],MATCH(Table5[[#This Row],[SM_Contract__c]],Contract[Id],0))=0,"",INDEX(Contract[SM_Start_date__c],MATCH(Table5[[#This Row],[SM_Contract__c]],Contract[Id],0)))</f>
        <v>45868</v>
      </c>
      <c r="E155" s="4">
        <f ca="1">(YEAR(TODAY())-YEAR(Table5[[#This Row],[RC DATE]]))*12 + MONTH(TODAY())-MONTH(Table5[[#This Row],[RC DATE]])</f>
        <v>12</v>
      </c>
      <c r="F15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55" s="19">
        <f>IF(Table5[[#This Row],[Payment_Status__c]]="ACCEPTED",1,"")</f>
        <v>1</v>
      </c>
      <c r="H15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55" s="19">
        <f ca="1">Table5[[#This Row],['# months]]-COUNTIFS(Table5[SM_Contract__c],Table5[[#This Row],[SM_Contract__c]],Table5[TYPE],"SUBS",Table5[ACCEPTED],1)</f>
        <v>3</v>
      </c>
      <c r="J155" s="19" t="b">
        <f>ISNUMBER(MATCH(Table5[[#This Row],[SM_Contract__c]],Contract[Id],0))</f>
        <v>1</v>
      </c>
      <c r="K155" s="9" t="s">
        <v>2822</v>
      </c>
      <c r="L155" s="9" t="s">
        <v>2823</v>
      </c>
      <c r="M155" s="9" t="s">
        <v>356</v>
      </c>
      <c r="N155" s="9" t="s">
        <v>3704</v>
      </c>
      <c r="O155" s="9" t="s">
        <v>1563</v>
      </c>
      <c r="P155" s="9" t="s">
        <v>2363</v>
      </c>
      <c r="Q155" s="9" t="s">
        <v>77</v>
      </c>
      <c r="R155" s="9" t="s">
        <v>77</v>
      </c>
      <c r="S155" s="9" t="s">
        <v>2414</v>
      </c>
      <c r="T155" s="9" t="s">
        <v>2001</v>
      </c>
      <c r="U155" s="9" t="s">
        <v>2414</v>
      </c>
      <c r="V155" s="9" t="s">
        <v>93</v>
      </c>
      <c r="W155" s="9" t="s">
        <v>3591</v>
      </c>
      <c r="X155" s="9" t="s">
        <v>2824</v>
      </c>
      <c r="Y155" s="9"/>
      <c r="Z155" s="9"/>
      <c r="AA155" s="9" t="s">
        <v>2824</v>
      </c>
    </row>
    <row r="156" spans="1:27" x14ac:dyDescent="0.35">
      <c r="A156" s="4" t="str">
        <f>IF(Table5[[#This Row],[SM_Amount__c]]="25.0","FEE",IF(IF(Table5[[#This Row],[SM_Original_Type__c]]="",Table5[[#This Row],[SM_Type__c]],Table5[[#This Row],[SM_Original_Type__c]])="AC","AC","SUBS"))</f>
        <v>SUBS</v>
      </c>
      <c r="B156" s="27">
        <f>IF(INDEX(Contract[SM_AC_start_date__c],MATCH(Table5[[#This Row],[SM_Contract__c]],Contract[Id],0))=0,"",INDEX(Contract[SM_AC_start_date__c],MATCH(Table5[[#This Row],[SM_Contract__c]],Contract[Id],0)))</f>
        <v>45812</v>
      </c>
      <c r="C156" s="27" t="str">
        <f>IF(INDEX(Contract[SM_AC_Split_Date__c],MATCH(Table5[[#This Row],[SM_Contract__c]],Contract[Id],0))=0,"",INDEX(Contract[SM_AC_Split_Date__c],MATCH(Table5[[#This Row],[SM_Contract__c]],Contract[Id],0)))</f>
        <v/>
      </c>
      <c r="D156" s="27">
        <f>IF(INDEX(Contract[SM_Start_date__c],MATCH(Table5[[#This Row],[SM_Contract__c]],Contract[Id],0))=0,"",INDEX(Contract[SM_Start_date__c],MATCH(Table5[[#This Row],[SM_Contract__c]],Contract[Id],0)))</f>
        <v>45868</v>
      </c>
      <c r="E156" s="4">
        <f ca="1">(YEAR(TODAY())-YEAR(Table5[[#This Row],[RC DATE]]))*12 + MONTH(TODAY())-MONTH(Table5[[#This Row],[RC DATE]])</f>
        <v>12</v>
      </c>
      <c r="F15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56" s="19">
        <f>IF(Table5[[#This Row],[Payment_Status__c]]="ACCEPTED",1,"")</f>
        <v>1</v>
      </c>
      <c r="H15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56" s="19">
        <f ca="1">Table5[[#This Row],['# months]]-COUNTIFS(Table5[SM_Contract__c],Table5[[#This Row],[SM_Contract__c]],Table5[TYPE],"SUBS",Table5[ACCEPTED],1)</f>
        <v>3</v>
      </c>
      <c r="J156" s="19" t="b">
        <f>ISNUMBER(MATCH(Table5[[#This Row],[SM_Contract__c]],Contract[Id],0))</f>
        <v>1</v>
      </c>
      <c r="K156" s="9" t="s">
        <v>2825</v>
      </c>
      <c r="L156" s="9" t="s">
        <v>2826</v>
      </c>
      <c r="M156" s="9" t="s">
        <v>356</v>
      </c>
      <c r="N156" s="9" t="s">
        <v>3704</v>
      </c>
      <c r="O156" s="9" t="s">
        <v>1563</v>
      </c>
      <c r="P156" s="9" t="s">
        <v>2363</v>
      </c>
      <c r="Q156" s="9" t="s">
        <v>83</v>
      </c>
      <c r="R156" s="9" t="s">
        <v>76</v>
      </c>
      <c r="S156" s="9" t="s">
        <v>91</v>
      </c>
      <c r="T156" s="9" t="s">
        <v>105</v>
      </c>
      <c r="U156" s="9" t="s">
        <v>91</v>
      </c>
      <c r="V156" s="9" t="s">
        <v>93</v>
      </c>
      <c r="W156" s="9" t="s">
        <v>3557</v>
      </c>
      <c r="X156" s="9" t="s">
        <v>2820</v>
      </c>
      <c r="Y156" s="9"/>
      <c r="Z156" s="9"/>
      <c r="AA156" s="9" t="s">
        <v>2820</v>
      </c>
    </row>
    <row r="157" spans="1:27" x14ac:dyDescent="0.35">
      <c r="A157" s="4" t="str">
        <f>IF(Table5[[#This Row],[SM_Amount__c]]="25.0","FEE",IF(IF(Table5[[#This Row],[SM_Original_Type__c]]="",Table5[[#This Row],[SM_Type__c]],Table5[[#This Row],[SM_Original_Type__c]])="AC","AC","SUBS"))</f>
        <v>SUBS</v>
      </c>
      <c r="B157" s="27">
        <f>IF(INDEX(Contract[SM_AC_start_date__c],MATCH(Table5[[#This Row],[SM_Contract__c]],Contract[Id],0))=0,"",INDEX(Contract[SM_AC_start_date__c],MATCH(Table5[[#This Row],[SM_Contract__c]],Contract[Id],0)))</f>
        <v>45812</v>
      </c>
      <c r="C157" s="27" t="str">
        <f>IF(INDEX(Contract[SM_AC_Split_Date__c],MATCH(Table5[[#This Row],[SM_Contract__c]],Contract[Id],0))=0,"",INDEX(Contract[SM_AC_Split_Date__c],MATCH(Table5[[#This Row],[SM_Contract__c]],Contract[Id],0)))</f>
        <v/>
      </c>
      <c r="D157" s="27">
        <f>IF(INDEX(Contract[SM_Start_date__c],MATCH(Table5[[#This Row],[SM_Contract__c]],Contract[Id],0))=0,"",INDEX(Contract[SM_Start_date__c],MATCH(Table5[[#This Row],[SM_Contract__c]],Contract[Id],0)))</f>
        <v>45868</v>
      </c>
      <c r="E157" s="4">
        <f ca="1">(YEAR(TODAY())-YEAR(Table5[[#This Row],[RC DATE]]))*12 + MONTH(TODAY())-MONTH(Table5[[#This Row],[RC DATE]])</f>
        <v>12</v>
      </c>
      <c r="F15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57" s="19">
        <f>IF(Table5[[#This Row],[Payment_Status__c]]="ACCEPTED",1,"")</f>
        <v>1</v>
      </c>
      <c r="H15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57" s="19">
        <f ca="1">Table5[[#This Row],['# months]]-COUNTIFS(Table5[SM_Contract__c],Table5[[#This Row],[SM_Contract__c]],Table5[TYPE],"SUBS",Table5[ACCEPTED],1)</f>
        <v>3</v>
      </c>
      <c r="J157" s="19" t="b">
        <f>ISNUMBER(MATCH(Table5[[#This Row],[SM_Contract__c]],Contract[Id],0))</f>
        <v>1</v>
      </c>
      <c r="K157" s="9" t="s">
        <v>2827</v>
      </c>
      <c r="L157" s="9" t="s">
        <v>2828</v>
      </c>
      <c r="M157" s="9" t="s">
        <v>356</v>
      </c>
      <c r="N157" s="9" t="s">
        <v>3704</v>
      </c>
      <c r="O157" s="9" t="s">
        <v>1563</v>
      </c>
      <c r="P157" s="9" t="s">
        <v>2363</v>
      </c>
      <c r="Q157" s="9" t="s">
        <v>83</v>
      </c>
      <c r="R157" s="9" t="s">
        <v>76</v>
      </c>
      <c r="S157" s="9" t="s">
        <v>91</v>
      </c>
      <c r="T157" s="9" t="s">
        <v>105</v>
      </c>
      <c r="U157" s="9" t="s">
        <v>91</v>
      </c>
      <c r="V157" s="9" t="s">
        <v>93</v>
      </c>
      <c r="W157" s="9" t="s">
        <v>3558</v>
      </c>
      <c r="X157" s="9" t="s">
        <v>2829</v>
      </c>
      <c r="Y157" s="9"/>
      <c r="Z157" s="9"/>
      <c r="AA157" s="9" t="s">
        <v>2829</v>
      </c>
    </row>
    <row r="158" spans="1:27" x14ac:dyDescent="0.35">
      <c r="A158" s="4" t="str">
        <f>IF(Table5[[#This Row],[SM_Amount__c]]="25.0","FEE",IF(IF(Table5[[#This Row],[SM_Original_Type__c]]="",Table5[[#This Row],[SM_Type__c]],Table5[[#This Row],[SM_Original_Type__c]])="AC","AC","SUBS"))</f>
        <v>SUBS</v>
      </c>
      <c r="B158" s="27">
        <f>IF(INDEX(Contract[SM_AC_start_date__c],MATCH(Table5[[#This Row],[SM_Contract__c]],Contract[Id],0))=0,"",INDEX(Contract[SM_AC_start_date__c],MATCH(Table5[[#This Row],[SM_Contract__c]],Contract[Id],0)))</f>
        <v>45812</v>
      </c>
      <c r="C158" s="27" t="str">
        <f>IF(INDEX(Contract[SM_AC_Split_Date__c],MATCH(Table5[[#This Row],[SM_Contract__c]],Contract[Id],0))=0,"",INDEX(Contract[SM_AC_Split_Date__c],MATCH(Table5[[#This Row],[SM_Contract__c]],Contract[Id],0)))</f>
        <v/>
      </c>
      <c r="D158" s="27">
        <f>IF(INDEX(Contract[SM_Start_date__c],MATCH(Table5[[#This Row],[SM_Contract__c]],Contract[Id],0))=0,"",INDEX(Contract[SM_Start_date__c],MATCH(Table5[[#This Row],[SM_Contract__c]],Contract[Id],0)))</f>
        <v>45868</v>
      </c>
      <c r="E158" s="4">
        <f ca="1">(YEAR(TODAY())-YEAR(Table5[[#This Row],[RC DATE]]))*12 + MONTH(TODAY())-MONTH(Table5[[#This Row],[RC DATE]])</f>
        <v>12</v>
      </c>
      <c r="F15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58" s="19">
        <f>IF(Table5[[#This Row],[Payment_Status__c]]="ACCEPTED",1,"")</f>
        <v>1</v>
      </c>
      <c r="H15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58" s="19">
        <f ca="1">Table5[[#This Row],['# months]]-COUNTIFS(Table5[SM_Contract__c],Table5[[#This Row],[SM_Contract__c]],Table5[TYPE],"SUBS",Table5[ACCEPTED],1)</f>
        <v>3</v>
      </c>
      <c r="J158" s="19" t="b">
        <f>ISNUMBER(MATCH(Table5[[#This Row],[SM_Contract__c]],Contract[Id],0))</f>
        <v>1</v>
      </c>
      <c r="K158" s="9" t="s">
        <v>2830</v>
      </c>
      <c r="L158" s="9" t="s">
        <v>2831</v>
      </c>
      <c r="M158" s="9" t="s">
        <v>356</v>
      </c>
      <c r="N158" s="9" t="s">
        <v>3704</v>
      </c>
      <c r="O158" s="9" t="s">
        <v>1563</v>
      </c>
      <c r="P158" s="9" t="s">
        <v>2363</v>
      </c>
      <c r="Q158" s="9" t="s">
        <v>83</v>
      </c>
      <c r="R158" s="9" t="s">
        <v>76</v>
      </c>
      <c r="S158" s="9" t="s">
        <v>91</v>
      </c>
      <c r="T158" s="9" t="s">
        <v>105</v>
      </c>
      <c r="U158" s="9" t="s">
        <v>91</v>
      </c>
      <c r="V158" s="9" t="s">
        <v>93</v>
      </c>
      <c r="W158" s="9" t="s">
        <v>3559</v>
      </c>
      <c r="X158" s="9" t="s">
        <v>2832</v>
      </c>
      <c r="Y158" s="9"/>
      <c r="Z158" s="9"/>
      <c r="AA158" s="9" t="s">
        <v>2832</v>
      </c>
    </row>
    <row r="159" spans="1:27" x14ac:dyDescent="0.35">
      <c r="A159" s="4" t="str">
        <f>IF(Table5[[#This Row],[SM_Amount__c]]="25.0","FEE",IF(IF(Table5[[#This Row],[SM_Original_Type__c]]="",Table5[[#This Row],[SM_Type__c]],Table5[[#This Row],[SM_Original_Type__c]])="AC","AC","SUBS"))</f>
        <v>SUBS</v>
      </c>
      <c r="B159" s="27">
        <f>IF(INDEX(Contract[SM_AC_start_date__c],MATCH(Table5[[#This Row],[SM_Contract__c]],Contract[Id],0))=0,"",INDEX(Contract[SM_AC_start_date__c],MATCH(Table5[[#This Row],[SM_Contract__c]],Contract[Id],0)))</f>
        <v>45812</v>
      </c>
      <c r="C159" s="27" t="str">
        <f>IF(INDEX(Contract[SM_AC_Split_Date__c],MATCH(Table5[[#This Row],[SM_Contract__c]],Contract[Id],0))=0,"",INDEX(Contract[SM_AC_Split_Date__c],MATCH(Table5[[#This Row],[SM_Contract__c]],Contract[Id],0)))</f>
        <v/>
      </c>
      <c r="D159" s="27">
        <f>IF(INDEX(Contract[SM_Start_date__c],MATCH(Table5[[#This Row],[SM_Contract__c]],Contract[Id],0))=0,"",INDEX(Contract[SM_Start_date__c],MATCH(Table5[[#This Row],[SM_Contract__c]],Contract[Id],0)))</f>
        <v>45868</v>
      </c>
      <c r="E159" s="4">
        <f ca="1">(YEAR(TODAY())-YEAR(Table5[[#This Row],[RC DATE]]))*12 + MONTH(TODAY())-MONTH(Table5[[#This Row],[RC DATE]])</f>
        <v>12</v>
      </c>
      <c r="F15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59" s="19">
        <f>IF(Table5[[#This Row],[Payment_Status__c]]="ACCEPTED",1,"")</f>
        <v>1</v>
      </c>
      <c r="H15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59" s="19">
        <f ca="1">Table5[[#This Row],['# months]]-COUNTIFS(Table5[SM_Contract__c],Table5[[#This Row],[SM_Contract__c]],Table5[TYPE],"SUBS",Table5[ACCEPTED],1)</f>
        <v>3</v>
      </c>
      <c r="J159" s="19" t="b">
        <f>ISNUMBER(MATCH(Table5[[#This Row],[SM_Contract__c]],Contract[Id],0))</f>
        <v>1</v>
      </c>
      <c r="K159" s="9" t="s">
        <v>2833</v>
      </c>
      <c r="L159" s="9" t="s">
        <v>2834</v>
      </c>
      <c r="M159" s="9" t="s">
        <v>356</v>
      </c>
      <c r="N159" s="9" t="s">
        <v>3704</v>
      </c>
      <c r="O159" s="9" t="s">
        <v>1563</v>
      </c>
      <c r="P159" s="9" t="s">
        <v>2363</v>
      </c>
      <c r="Q159" s="9" t="s">
        <v>83</v>
      </c>
      <c r="R159" s="9" t="s">
        <v>76</v>
      </c>
      <c r="S159" s="9" t="s">
        <v>91</v>
      </c>
      <c r="T159" s="9" t="s">
        <v>105</v>
      </c>
      <c r="U159" s="9" t="s">
        <v>91</v>
      </c>
      <c r="V159" s="9" t="s">
        <v>93</v>
      </c>
      <c r="W159" s="9" t="s">
        <v>3612</v>
      </c>
      <c r="X159" s="9" t="s">
        <v>2821</v>
      </c>
      <c r="Y159" s="9"/>
      <c r="Z159" s="9"/>
      <c r="AA159" s="9" t="s">
        <v>2821</v>
      </c>
    </row>
    <row r="160" spans="1:27" x14ac:dyDescent="0.35">
      <c r="A160" s="4" t="str">
        <f>IF(Table5[[#This Row],[SM_Amount__c]]="25.0","FEE",IF(IF(Table5[[#This Row],[SM_Original_Type__c]]="",Table5[[#This Row],[SM_Type__c]],Table5[[#This Row],[SM_Original_Type__c]])="AC","AC","SUBS"))</f>
        <v>SUBS</v>
      </c>
      <c r="B160" s="27">
        <f>IF(INDEX(Contract[SM_AC_start_date__c],MATCH(Table5[[#This Row],[SM_Contract__c]],Contract[Id],0))=0,"",INDEX(Contract[SM_AC_start_date__c],MATCH(Table5[[#This Row],[SM_Contract__c]],Contract[Id],0)))</f>
        <v>45812</v>
      </c>
      <c r="C160" s="27" t="str">
        <f>IF(INDEX(Contract[SM_AC_Split_Date__c],MATCH(Table5[[#This Row],[SM_Contract__c]],Contract[Id],0))=0,"",INDEX(Contract[SM_AC_Split_Date__c],MATCH(Table5[[#This Row],[SM_Contract__c]],Contract[Id],0)))</f>
        <v/>
      </c>
      <c r="D160" s="27">
        <f>IF(INDEX(Contract[SM_Start_date__c],MATCH(Table5[[#This Row],[SM_Contract__c]],Contract[Id],0))=0,"",INDEX(Contract[SM_Start_date__c],MATCH(Table5[[#This Row],[SM_Contract__c]],Contract[Id],0)))</f>
        <v>45868</v>
      </c>
      <c r="E160" s="4">
        <f ca="1">(YEAR(TODAY())-YEAR(Table5[[#This Row],[RC DATE]]))*12 + MONTH(TODAY())-MONTH(Table5[[#This Row],[RC DATE]])</f>
        <v>12</v>
      </c>
      <c r="F16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60" s="19">
        <f>IF(Table5[[#This Row],[Payment_Status__c]]="ACCEPTED",1,"")</f>
        <v>1</v>
      </c>
      <c r="H16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60" s="19">
        <f ca="1">Table5[[#This Row],['# months]]-COUNTIFS(Table5[SM_Contract__c],Table5[[#This Row],[SM_Contract__c]],Table5[TYPE],"SUBS",Table5[ACCEPTED],1)</f>
        <v>3</v>
      </c>
      <c r="J160" s="19" t="b">
        <f>ISNUMBER(MATCH(Table5[[#This Row],[SM_Contract__c]],Contract[Id],0))</f>
        <v>1</v>
      </c>
      <c r="K160" s="9" t="s">
        <v>2835</v>
      </c>
      <c r="L160" s="9" t="s">
        <v>2836</v>
      </c>
      <c r="M160" s="9" t="s">
        <v>356</v>
      </c>
      <c r="N160" s="9" t="s">
        <v>3704</v>
      </c>
      <c r="O160" s="9" t="s">
        <v>1563</v>
      </c>
      <c r="P160" s="9" t="s">
        <v>2363</v>
      </c>
      <c r="Q160" s="9" t="s">
        <v>83</v>
      </c>
      <c r="R160" s="9" t="s">
        <v>76</v>
      </c>
      <c r="S160" s="9" t="s">
        <v>91</v>
      </c>
      <c r="T160" s="9" t="s">
        <v>91</v>
      </c>
      <c r="U160" s="9" t="s">
        <v>91</v>
      </c>
      <c r="V160" s="9" t="s">
        <v>93</v>
      </c>
      <c r="W160" s="9" t="s">
        <v>3561</v>
      </c>
      <c r="X160" s="9" t="s">
        <v>2837</v>
      </c>
      <c r="Y160" s="9"/>
      <c r="Z160" s="9"/>
      <c r="AA160" s="9" t="s">
        <v>2837</v>
      </c>
    </row>
    <row r="161" spans="1:27" x14ac:dyDescent="0.35">
      <c r="A161" s="4" t="str">
        <f>IF(Table5[[#This Row],[SM_Amount__c]]="25.0","FEE",IF(IF(Table5[[#This Row],[SM_Original_Type__c]]="",Table5[[#This Row],[SM_Type__c]],Table5[[#This Row],[SM_Original_Type__c]])="AC","AC","SUBS"))</f>
        <v>SUBS</v>
      </c>
      <c r="B161" s="27">
        <f>IF(INDEX(Contract[SM_AC_start_date__c],MATCH(Table5[[#This Row],[SM_Contract__c]],Contract[Id],0))=0,"",INDEX(Contract[SM_AC_start_date__c],MATCH(Table5[[#This Row],[SM_Contract__c]],Contract[Id],0)))</f>
        <v>45812</v>
      </c>
      <c r="C161" s="27" t="str">
        <f>IF(INDEX(Contract[SM_AC_Split_Date__c],MATCH(Table5[[#This Row],[SM_Contract__c]],Contract[Id],0))=0,"",INDEX(Contract[SM_AC_Split_Date__c],MATCH(Table5[[#This Row],[SM_Contract__c]],Contract[Id],0)))</f>
        <v/>
      </c>
      <c r="D161" s="27">
        <f>IF(INDEX(Contract[SM_Start_date__c],MATCH(Table5[[#This Row],[SM_Contract__c]],Contract[Id],0))=0,"",INDEX(Contract[SM_Start_date__c],MATCH(Table5[[#This Row],[SM_Contract__c]],Contract[Id],0)))</f>
        <v>45868</v>
      </c>
      <c r="E161" s="4">
        <f ca="1">(YEAR(TODAY())-YEAR(Table5[[#This Row],[RC DATE]]))*12 + MONTH(TODAY())-MONTH(Table5[[#This Row],[RC DATE]])</f>
        <v>12</v>
      </c>
      <c r="F16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61" s="19">
        <f>IF(Table5[[#This Row],[Payment_Status__c]]="ACCEPTED",1,"")</f>
        <v>1</v>
      </c>
      <c r="H16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61" s="19">
        <f ca="1">Table5[[#This Row],['# months]]-COUNTIFS(Table5[SM_Contract__c],Table5[[#This Row],[SM_Contract__c]],Table5[TYPE],"SUBS",Table5[ACCEPTED],1)</f>
        <v>3</v>
      </c>
      <c r="J161" s="19" t="b">
        <f>ISNUMBER(MATCH(Table5[[#This Row],[SM_Contract__c]],Contract[Id],0))</f>
        <v>1</v>
      </c>
      <c r="K161" s="9" t="s">
        <v>2838</v>
      </c>
      <c r="L161" s="9" t="s">
        <v>2839</v>
      </c>
      <c r="M161" s="9" t="s">
        <v>356</v>
      </c>
      <c r="N161" s="9" t="s">
        <v>3704</v>
      </c>
      <c r="O161" s="9" t="s">
        <v>1563</v>
      </c>
      <c r="P161" s="9" t="s">
        <v>2363</v>
      </c>
      <c r="Q161" s="9" t="s">
        <v>71</v>
      </c>
      <c r="R161" s="9" t="s">
        <v>83</v>
      </c>
      <c r="S161" s="9" t="s">
        <v>2087</v>
      </c>
      <c r="T161" s="9" t="s">
        <v>2087</v>
      </c>
      <c r="U161" s="9" t="s">
        <v>91</v>
      </c>
      <c r="V161" s="9" t="s">
        <v>148</v>
      </c>
      <c r="W161" s="9" t="s">
        <v>3581</v>
      </c>
      <c r="X161" s="9" t="s">
        <v>2840</v>
      </c>
      <c r="Y161" s="9"/>
      <c r="Z161" s="9" t="s">
        <v>662</v>
      </c>
      <c r="AA161" s="9" t="s">
        <v>2840</v>
      </c>
    </row>
    <row r="162" spans="1:27" x14ac:dyDescent="0.35">
      <c r="A162" s="4" t="str">
        <f>IF(Table5[[#This Row],[SM_Amount__c]]="25.0","FEE",IF(IF(Table5[[#This Row],[SM_Original_Type__c]]="",Table5[[#This Row],[SM_Type__c]],Table5[[#This Row],[SM_Original_Type__c]])="AC","AC","SUBS"))</f>
        <v>SUBS</v>
      </c>
      <c r="B162" s="27">
        <f>IF(INDEX(Contract[SM_AC_start_date__c],MATCH(Table5[[#This Row],[SM_Contract__c]],Contract[Id],0))=0,"",INDEX(Contract[SM_AC_start_date__c],MATCH(Table5[[#This Row],[SM_Contract__c]],Contract[Id],0)))</f>
        <v>45812</v>
      </c>
      <c r="C162" s="27" t="str">
        <f>IF(INDEX(Contract[SM_AC_Split_Date__c],MATCH(Table5[[#This Row],[SM_Contract__c]],Contract[Id],0))=0,"",INDEX(Contract[SM_AC_Split_Date__c],MATCH(Table5[[#This Row],[SM_Contract__c]],Contract[Id],0)))</f>
        <v/>
      </c>
      <c r="D162" s="27">
        <f>IF(INDEX(Contract[SM_Start_date__c],MATCH(Table5[[#This Row],[SM_Contract__c]],Contract[Id],0))=0,"",INDEX(Contract[SM_Start_date__c],MATCH(Table5[[#This Row],[SM_Contract__c]],Contract[Id],0)))</f>
        <v>45868</v>
      </c>
      <c r="E162" s="4">
        <f ca="1">(YEAR(TODAY())-YEAR(Table5[[#This Row],[RC DATE]]))*12 + MONTH(TODAY())-MONTH(Table5[[#This Row],[RC DATE]])</f>
        <v>12</v>
      </c>
      <c r="F16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62" s="19">
        <f>IF(Table5[[#This Row],[Payment_Status__c]]="ACCEPTED",1,"")</f>
        <v>1</v>
      </c>
      <c r="H16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62" s="19">
        <f ca="1">Table5[[#This Row],['# months]]-COUNTIFS(Table5[SM_Contract__c],Table5[[#This Row],[SM_Contract__c]],Table5[TYPE],"SUBS",Table5[ACCEPTED],1)</f>
        <v>3</v>
      </c>
      <c r="J162" s="19" t="b">
        <f>ISNUMBER(MATCH(Table5[[#This Row],[SM_Contract__c]],Contract[Id],0))</f>
        <v>1</v>
      </c>
      <c r="K162" s="9" t="s">
        <v>2841</v>
      </c>
      <c r="L162" s="9" t="s">
        <v>2842</v>
      </c>
      <c r="M162" s="9" t="s">
        <v>356</v>
      </c>
      <c r="N162" s="9" t="s">
        <v>3704</v>
      </c>
      <c r="O162" s="9" t="s">
        <v>1563</v>
      </c>
      <c r="P162" s="9" t="s">
        <v>2363</v>
      </c>
      <c r="Q162" s="9" t="s">
        <v>71</v>
      </c>
      <c r="R162" s="9" t="s">
        <v>83</v>
      </c>
      <c r="S162" s="9" t="s">
        <v>2087</v>
      </c>
      <c r="T162" s="9" t="s">
        <v>2087</v>
      </c>
      <c r="U162" s="9" t="s">
        <v>91</v>
      </c>
      <c r="V162" s="9" t="s">
        <v>148</v>
      </c>
      <c r="W162" s="9" t="s">
        <v>3654</v>
      </c>
      <c r="X162" s="9" t="s">
        <v>2843</v>
      </c>
      <c r="Y162" s="9"/>
      <c r="Z162" s="9" t="s">
        <v>890</v>
      </c>
      <c r="AA162" s="9" t="s">
        <v>2843</v>
      </c>
    </row>
    <row r="163" spans="1:27" x14ac:dyDescent="0.35">
      <c r="A163" s="4" t="str">
        <f>IF(Table5[[#This Row],[SM_Amount__c]]="25.0","FEE",IF(IF(Table5[[#This Row],[SM_Original_Type__c]]="",Table5[[#This Row],[SM_Type__c]],Table5[[#This Row],[SM_Original_Type__c]])="AC","AC","SUBS"))</f>
        <v>SUBS</v>
      </c>
      <c r="B163" s="27">
        <f>IF(INDEX(Contract[SM_AC_start_date__c],MATCH(Table5[[#This Row],[SM_Contract__c]],Contract[Id],0))=0,"",INDEX(Contract[SM_AC_start_date__c],MATCH(Table5[[#This Row],[SM_Contract__c]],Contract[Id],0)))</f>
        <v>45812</v>
      </c>
      <c r="C163" s="27" t="str">
        <f>IF(INDEX(Contract[SM_AC_Split_Date__c],MATCH(Table5[[#This Row],[SM_Contract__c]],Contract[Id],0))=0,"",INDEX(Contract[SM_AC_Split_Date__c],MATCH(Table5[[#This Row],[SM_Contract__c]],Contract[Id],0)))</f>
        <v/>
      </c>
      <c r="D163" s="27">
        <f>IF(INDEX(Contract[SM_Start_date__c],MATCH(Table5[[#This Row],[SM_Contract__c]],Contract[Id],0))=0,"",INDEX(Contract[SM_Start_date__c],MATCH(Table5[[#This Row],[SM_Contract__c]],Contract[Id],0)))</f>
        <v>45868</v>
      </c>
      <c r="E163" s="4">
        <f ca="1">(YEAR(TODAY())-YEAR(Table5[[#This Row],[RC DATE]]))*12 + MONTH(TODAY())-MONTH(Table5[[#This Row],[RC DATE]])</f>
        <v>12</v>
      </c>
      <c r="F16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63" s="19">
        <f>IF(Table5[[#This Row],[Payment_Status__c]]="ACCEPTED",1,"")</f>
        <v>1</v>
      </c>
      <c r="H16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63" s="19">
        <f ca="1">Table5[[#This Row],['# months]]-COUNTIFS(Table5[SM_Contract__c],Table5[[#This Row],[SM_Contract__c]],Table5[TYPE],"SUBS",Table5[ACCEPTED],1)</f>
        <v>3</v>
      </c>
      <c r="J163" s="19" t="b">
        <f>ISNUMBER(MATCH(Table5[[#This Row],[SM_Contract__c]],Contract[Id],0))</f>
        <v>1</v>
      </c>
      <c r="K163" s="9" t="s">
        <v>2844</v>
      </c>
      <c r="L163" s="9" t="s">
        <v>2845</v>
      </c>
      <c r="M163" s="9" t="s">
        <v>356</v>
      </c>
      <c r="N163" s="9" t="s">
        <v>3704</v>
      </c>
      <c r="O163" s="9" t="s">
        <v>1563</v>
      </c>
      <c r="P163" s="9" t="s">
        <v>2363</v>
      </c>
      <c r="Q163" s="9" t="s">
        <v>71</v>
      </c>
      <c r="R163" s="9" t="s">
        <v>83</v>
      </c>
      <c r="S163" s="9" t="s">
        <v>2087</v>
      </c>
      <c r="T163" s="9" t="s">
        <v>2087</v>
      </c>
      <c r="U163" s="9" t="s">
        <v>91</v>
      </c>
      <c r="V163" s="9" t="s">
        <v>148</v>
      </c>
      <c r="W163" s="9" t="s">
        <v>3611</v>
      </c>
      <c r="X163" s="9" t="s">
        <v>2846</v>
      </c>
      <c r="Y163" s="9"/>
      <c r="Z163" s="9" t="s">
        <v>1045</v>
      </c>
      <c r="AA163" s="9" t="s">
        <v>2846</v>
      </c>
    </row>
    <row r="164" spans="1:27" x14ac:dyDescent="0.35">
      <c r="A164" s="4" t="str">
        <f>IF(Table5[[#This Row],[SM_Amount__c]]="25.0","FEE",IF(IF(Table5[[#This Row],[SM_Original_Type__c]]="",Table5[[#This Row],[SM_Type__c]],Table5[[#This Row],[SM_Original_Type__c]])="AC","AC","SUBS"))</f>
        <v>SUBS</v>
      </c>
      <c r="B164" s="27">
        <f>IF(INDEX(Contract[SM_AC_start_date__c],MATCH(Table5[[#This Row],[SM_Contract__c]],Contract[Id],0))=0,"",INDEX(Contract[SM_AC_start_date__c],MATCH(Table5[[#This Row],[SM_Contract__c]],Contract[Id],0)))</f>
        <v>45812</v>
      </c>
      <c r="C164" s="27" t="str">
        <f>IF(INDEX(Contract[SM_AC_Split_Date__c],MATCH(Table5[[#This Row],[SM_Contract__c]],Contract[Id],0))=0,"",INDEX(Contract[SM_AC_Split_Date__c],MATCH(Table5[[#This Row],[SM_Contract__c]],Contract[Id],0)))</f>
        <v/>
      </c>
      <c r="D164" s="27">
        <f>IF(INDEX(Contract[SM_Start_date__c],MATCH(Table5[[#This Row],[SM_Contract__c]],Contract[Id],0))=0,"",INDEX(Contract[SM_Start_date__c],MATCH(Table5[[#This Row],[SM_Contract__c]],Contract[Id],0)))</f>
        <v>45868</v>
      </c>
      <c r="E164" s="4">
        <f ca="1">(YEAR(TODAY())-YEAR(Table5[[#This Row],[RC DATE]]))*12 + MONTH(TODAY())-MONTH(Table5[[#This Row],[RC DATE]])</f>
        <v>12</v>
      </c>
      <c r="F16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164" s="19">
        <f>IF(Table5[[#This Row],[Payment_Status__c]]="ACCEPTED",1,"")</f>
        <v>1</v>
      </c>
      <c r="H16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164" s="19">
        <f ca="1">Table5[[#This Row],['# months]]-COUNTIFS(Table5[SM_Contract__c],Table5[[#This Row],[SM_Contract__c]],Table5[TYPE],"SUBS",Table5[ACCEPTED],1)</f>
        <v>3</v>
      </c>
      <c r="J164" s="19" t="b">
        <f>ISNUMBER(MATCH(Table5[[#This Row],[SM_Contract__c]],Contract[Id],0))</f>
        <v>1</v>
      </c>
      <c r="K164" s="9" t="s">
        <v>2847</v>
      </c>
      <c r="L164" s="9" t="s">
        <v>2848</v>
      </c>
      <c r="M164" s="9" t="s">
        <v>356</v>
      </c>
      <c r="N164" s="9" t="s">
        <v>3704</v>
      </c>
      <c r="O164" s="9" t="s">
        <v>1563</v>
      </c>
      <c r="P164" s="9" t="s">
        <v>2363</v>
      </c>
      <c r="Q164" s="9" t="s">
        <v>71</v>
      </c>
      <c r="R164" s="9" t="s">
        <v>83</v>
      </c>
      <c r="S164" s="9" t="s">
        <v>2087</v>
      </c>
      <c r="T164" s="9" t="s">
        <v>2087</v>
      </c>
      <c r="U164" s="9" t="s">
        <v>91</v>
      </c>
      <c r="V164" s="9" t="s">
        <v>148</v>
      </c>
      <c r="W164" s="9" t="s">
        <v>3611</v>
      </c>
      <c r="X164" s="9" t="s">
        <v>2849</v>
      </c>
      <c r="Y164" s="9"/>
      <c r="Z164" s="9" t="s">
        <v>1136</v>
      </c>
      <c r="AA164" s="9" t="s">
        <v>2849</v>
      </c>
    </row>
    <row r="165" spans="1:27" x14ac:dyDescent="0.35">
      <c r="A165" s="4" t="str">
        <f>IF(Table5[[#This Row],[SM_Amount__c]]="25.0","FEE",IF(IF(Table5[[#This Row],[SM_Original_Type__c]]="",Table5[[#This Row],[SM_Type__c]],Table5[[#This Row],[SM_Original_Type__c]])="AC","AC","SUBS"))</f>
        <v>AC</v>
      </c>
      <c r="B165" s="27">
        <f>IF(INDEX(Contract[SM_AC_start_date__c],MATCH(Table5[[#This Row],[SM_Contract__c]],Contract[Id],0))=0,"",INDEX(Contract[SM_AC_start_date__c],MATCH(Table5[[#This Row],[SM_Contract__c]],Contract[Id],0)))</f>
        <v>45849</v>
      </c>
      <c r="C165" s="27" t="str">
        <f>IF(INDEX(Contract[SM_AC_Split_Date__c],MATCH(Table5[[#This Row],[SM_Contract__c]],Contract[Id],0))=0,"",INDEX(Contract[SM_AC_Split_Date__c],MATCH(Table5[[#This Row],[SM_Contract__c]],Contract[Id],0)))</f>
        <v/>
      </c>
      <c r="D165" s="27">
        <f>IF(INDEX(Contract[SM_Start_date__c],MATCH(Table5[[#This Row],[SM_Contract__c]],Contract[Id],0))=0,"",INDEX(Contract[SM_Start_date__c],MATCH(Table5[[#This Row],[SM_Contract__c]],Contract[Id],0)))</f>
        <v>45899</v>
      </c>
      <c r="E165" s="4">
        <f ca="1">(YEAR(TODAY())-YEAR(Table5[[#This Row],[RC DATE]]))*12 + MONTH(TODAY())-MONTH(Table5[[#This Row],[RC DATE]])</f>
        <v>11</v>
      </c>
      <c r="F16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65" s="19">
        <f>IF(Table5[[#This Row],[Payment_Status__c]]="ACCEPTED",1,"")</f>
        <v>1</v>
      </c>
      <c r="H16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65" s="19">
        <f ca="1">Table5[[#This Row],['# months]]-COUNTIFS(Table5[SM_Contract__c],Table5[[#This Row],[SM_Contract__c]],Table5[TYPE],"SUBS",Table5[ACCEPTED],1)</f>
        <v>5</v>
      </c>
      <c r="J165" s="19" t="b">
        <f>ISNUMBER(MATCH(Table5[[#This Row],[SM_Contract__c]],Contract[Id],0))</f>
        <v>1</v>
      </c>
      <c r="K165" s="9" t="s">
        <v>2851</v>
      </c>
      <c r="L165" s="9" t="s">
        <v>2852</v>
      </c>
      <c r="M165" s="9" t="s">
        <v>369</v>
      </c>
      <c r="N165" s="9" t="s">
        <v>3705</v>
      </c>
      <c r="O165" s="9" t="s">
        <v>1563</v>
      </c>
      <c r="P165" s="9" t="s">
        <v>2363</v>
      </c>
      <c r="Q165" s="9" t="s">
        <v>77</v>
      </c>
      <c r="R165" s="9" t="s">
        <v>77</v>
      </c>
      <c r="S165" s="9" t="s">
        <v>167</v>
      </c>
      <c r="T165" s="9" t="s">
        <v>168</v>
      </c>
      <c r="U165" s="9" t="s">
        <v>167</v>
      </c>
      <c r="V165" s="9" t="s">
        <v>93</v>
      </c>
      <c r="W165" s="9" t="s">
        <v>3702</v>
      </c>
      <c r="X165" s="9" t="s">
        <v>2853</v>
      </c>
      <c r="Y165" s="9"/>
      <c r="Z165" s="9"/>
      <c r="AA165" s="9" t="s">
        <v>2853</v>
      </c>
    </row>
    <row r="166" spans="1:27" x14ac:dyDescent="0.35">
      <c r="A166" s="4" t="str">
        <f>IF(Table5[[#This Row],[SM_Amount__c]]="25.0","FEE",IF(IF(Table5[[#This Row],[SM_Original_Type__c]]="",Table5[[#This Row],[SM_Type__c]],Table5[[#This Row],[SM_Original_Type__c]])="AC","AC","SUBS"))</f>
        <v>SUBS</v>
      </c>
      <c r="B166" s="27">
        <f>IF(INDEX(Contract[SM_AC_start_date__c],MATCH(Table5[[#This Row],[SM_Contract__c]],Contract[Id],0))=0,"",INDEX(Contract[SM_AC_start_date__c],MATCH(Table5[[#This Row],[SM_Contract__c]],Contract[Id],0)))</f>
        <v>45849</v>
      </c>
      <c r="C166" s="27" t="str">
        <f>IF(INDEX(Contract[SM_AC_Split_Date__c],MATCH(Table5[[#This Row],[SM_Contract__c]],Contract[Id],0))=0,"",INDEX(Contract[SM_AC_Split_Date__c],MATCH(Table5[[#This Row],[SM_Contract__c]],Contract[Id],0)))</f>
        <v/>
      </c>
      <c r="D166" s="27">
        <f>IF(INDEX(Contract[SM_Start_date__c],MATCH(Table5[[#This Row],[SM_Contract__c]],Contract[Id],0))=0,"",INDEX(Contract[SM_Start_date__c],MATCH(Table5[[#This Row],[SM_Contract__c]],Contract[Id],0)))</f>
        <v>45899</v>
      </c>
      <c r="E166" s="4">
        <f ca="1">(YEAR(TODAY())-YEAR(Table5[[#This Row],[RC DATE]]))*12 + MONTH(TODAY())-MONTH(Table5[[#This Row],[RC DATE]])</f>
        <v>11</v>
      </c>
      <c r="F16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66" s="19">
        <f>IF(Table5[[#This Row],[Payment_Status__c]]="ACCEPTED",1,"")</f>
        <v>1</v>
      </c>
      <c r="H16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66" s="19">
        <f ca="1">Table5[[#This Row],['# months]]-COUNTIFS(Table5[SM_Contract__c],Table5[[#This Row],[SM_Contract__c]],Table5[TYPE],"SUBS",Table5[ACCEPTED],1)</f>
        <v>5</v>
      </c>
      <c r="J166" s="19" t="b">
        <f>ISNUMBER(MATCH(Table5[[#This Row],[SM_Contract__c]],Contract[Id],0))</f>
        <v>1</v>
      </c>
      <c r="K166" s="9" t="s">
        <v>2854</v>
      </c>
      <c r="L166" s="9" t="s">
        <v>2855</v>
      </c>
      <c r="M166" s="9" t="s">
        <v>369</v>
      </c>
      <c r="N166" s="9" t="s">
        <v>3705</v>
      </c>
      <c r="O166" s="9" t="s">
        <v>1563</v>
      </c>
      <c r="P166" s="9" t="s">
        <v>2363</v>
      </c>
      <c r="Q166" s="9" t="s">
        <v>83</v>
      </c>
      <c r="R166" s="9" t="s">
        <v>76</v>
      </c>
      <c r="S166" s="9" t="s">
        <v>91</v>
      </c>
      <c r="T166" s="9" t="s">
        <v>105</v>
      </c>
      <c r="U166" s="9" t="s">
        <v>91</v>
      </c>
      <c r="V166" s="9" t="s">
        <v>93</v>
      </c>
      <c r="W166" s="9" t="s">
        <v>3558</v>
      </c>
      <c r="X166" s="9" t="s">
        <v>2856</v>
      </c>
      <c r="Y166" s="9"/>
      <c r="Z166" s="9"/>
      <c r="AA166" s="9" t="s">
        <v>2856</v>
      </c>
    </row>
    <row r="167" spans="1:27" x14ac:dyDescent="0.35">
      <c r="A167" s="4" t="str">
        <f>IF(Table5[[#This Row],[SM_Amount__c]]="25.0","FEE",IF(IF(Table5[[#This Row],[SM_Original_Type__c]]="",Table5[[#This Row],[SM_Type__c]],Table5[[#This Row],[SM_Original_Type__c]])="AC","AC","SUBS"))</f>
        <v>SUBS</v>
      </c>
      <c r="B167" s="27">
        <f>IF(INDEX(Contract[SM_AC_start_date__c],MATCH(Table5[[#This Row],[SM_Contract__c]],Contract[Id],0))=0,"",INDEX(Contract[SM_AC_start_date__c],MATCH(Table5[[#This Row],[SM_Contract__c]],Contract[Id],0)))</f>
        <v>45849</v>
      </c>
      <c r="C167" s="27" t="str">
        <f>IF(INDEX(Contract[SM_AC_Split_Date__c],MATCH(Table5[[#This Row],[SM_Contract__c]],Contract[Id],0))=0,"",INDEX(Contract[SM_AC_Split_Date__c],MATCH(Table5[[#This Row],[SM_Contract__c]],Contract[Id],0)))</f>
        <v/>
      </c>
      <c r="D167" s="27">
        <f>IF(INDEX(Contract[SM_Start_date__c],MATCH(Table5[[#This Row],[SM_Contract__c]],Contract[Id],0))=0,"",INDEX(Contract[SM_Start_date__c],MATCH(Table5[[#This Row],[SM_Contract__c]],Contract[Id],0)))</f>
        <v>45899</v>
      </c>
      <c r="E167" s="4">
        <f ca="1">(YEAR(TODAY())-YEAR(Table5[[#This Row],[RC DATE]]))*12 + MONTH(TODAY())-MONTH(Table5[[#This Row],[RC DATE]])</f>
        <v>11</v>
      </c>
      <c r="F16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67" s="19">
        <f>IF(Table5[[#This Row],[Payment_Status__c]]="ACCEPTED",1,"")</f>
        <v>1</v>
      </c>
      <c r="H16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67" s="19">
        <f ca="1">Table5[[#This Row],['# months]]-COUNTIFS(Table5[SM_Contract__c],Table5[[#This Row],[SM_Contract__c]],Table5[TYPE],"SUBS",Table5[ACCEPTED],1)</f>
        <v>5</v>
      </c>
      <c r="J167" s="19" t="b">
        <f>ISNUMBER(MATCH(Table5[[#This Row],[SM_Contract__c]],Contract[Id],0))</f>
        <v>1</v>
      </c>
      <c r="K167" s="9" t="s">
        <v>2857</v>
      </c>
      <c r="L167" s="9" t="s">
        <v>2858</v>
      </c>
      <c r="M167" s="9" t="s">
        <v>369</v>
      </c>
      <c r="N167" s="9" t="s">
        <v>3705</v>
      </c>
      <c r="O167" s="9" t="s">
        <v>1563</v>
      </c>
      <c r="P167" s="9" t="s">
        <v>2363</v>
      </c>
      <c r="Q167" s="9" t="s">
        <v>83</v>
      </c>
      <c r="R167" s="9" t="s">
        <v>76</v>
      </c>
      <c r="S167" s="9" t="s">
        <v>91</v>
      </c>
      <c r="T167" s="9" t="s">
        <v>105</v>
      </c>
      <c r="U167" s="9" t="s">
        <v>91</v>
      </c>
      <c r="V167" s="9" t="s">
        <v>93</v>
      </c>
      <c r="W167" s="9" t="s">
        <v>3559</v>
      </c>
      <c r="X167" s="9" t="s">
        <v>2850</v>
      </c>
      <c r="Y167" s="9"/>
      <c r="Z167" s="9"/>
      <c r="AA167" s="9" t="s">
        <v>2850</v>
      </c>
    </row>
    <row r="168" spans="1:27" x14ac:dyDescent="0.35">
      <c r="A168" s="4" t="str">
        <f>IF(Table5[[#This Row],[SM_Amount__c]]="25.0","FEE",IF(IF(Table5[[#This Row],[SM_Original_Type__c]]="",Table5[[#This Row],[SM_Type__c]],Table5[[#This Row],[SM_Original_Type__c]])="AC","AC","SUBS"))</f>
        <v>SUBS</v>
      </c>
      <c r="B168" s="27">
        <f>IF(INDEX(Contract[SM_AC_start_date__c],MATCH(Table5[[#This Row],[SM_Contract__c]],Contract[Id],0))=0,"",INDEX(Contract[SM_AC_start_date__c],MATCH(Table5[[#This Row],[SM_Contract__c]],Contract[Id],0)))</f>
        <v>45849</v>
      </c>
      <c r="C168" s="27" t="str">
        <f>IF(INDEX(Contract[SM_AC_Split_Date__c],MATCH(Table5[[#This Row],[SM_Contract__c]],Contract[Id],0))=0,"",INDEX(Contract[SM_AC_Split_Date__c],MATCH(Table5[[#This Row],[SM_Contract__c]],Contract[Id],0)))</f>
        <v/>
      </c>
      <c r="D168" s="27">
        <f>IF(INDEX(Contract[SM_Start_date__c],MATCH(Table5[[#This Row],[SM_Contract__c]],Contract[Id],0))=0,"",INDEX(Contract[SM_Start_date__c],MATCH(Table5[[#This Row],[SM_Contract__c]],Contract[Id],0)))</f>
        <v>45899</v>
      </c>
      <c r="E168" s="4">
        <f ca="1">(YEAR(TODAY())-YEAR(Table5[[#This Row],[RC DATE]]))*12 + MONTH(TODAY())-MONTH(Table5[[#This Row],[RC DATE]])</f>
        <v>11</v>
      </c>
      <c r="F16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68" s="19">
        <f>IF(Table5[[#This Row],[Payment_Status__c]]="ACCEPTED",1,"")</f>
        <v>1</v>
      </c>
      <c r="H16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68" s="19">
        <f ca="1">Table5[[#This Row],['# months]]-COUNTIFS(Table5[SM_Contract__c],Table5[[#This Row],[SM_Contract__c]],Table5[TYPE],"SUBS",Table5[ACCEPTED],1)</f>
        <v>5</v>
      </c>
      <c r="J168" s="19" t="b">
        <f>ISNUMBER(MATCH(Table5[[#This Row],[SM_Contract__c]],Contract[Id],0))</f>
        <v>1</v>
      </c>
      <c r="K168" s="9" t="s">
        <v>2859</v>
      </c>
      <c r="L168" s="9" t="s">
        <v>2860</v>
      </c>
      <c r="M168" s="9" t="s">
        <v>369</v>
      </c>
      <c r="N168" s="9" t="s">
        <v>3705</v>
      </c>
      <c r="O168" s="9" t="s">
        <v>1563</v>
      </c>
      <c r="P168" s="9" t="s">
        <v>2363</v>
      </c>
      <c r="Q168" s="9" t="s">
        <v>71</v>
      </c>
      <c r="R168" s="9" t="s">
        <v>83</v>
      </c>
      <c r="S168" s="9" t="s">
        <v>2087</v>
      </c>
      <c r="T168" s="9" t="s">
        <v>104</v>
      </c>
      <c r="U168" s="9" t="s">
        <v>91</v>
      </c>
      <c r="V168" s="9" t="s">
        <v>148</v>
      </c>
      <c r="W168" s="9" t="s">
        <v>3560</v>
      </c>
      <c r="X168" s="9" t="s">
        <v>2753</v>
      </c>
      <c r="Y168" s="9"/>
      <c r="Z168" s="9" t="s">
        <v>510</v>
      </c>
      <c r="AA168" s="9" t="s">
        <v>2753</v>
      </c>
    </row>
    <row r="169" spans="1:27" x14ac:dyDescent="0.35">
      <c r="A169" s="4" t="str">
        <f>IF(Table5[[#This Row],[SM_Amount__c]]="25.0","FEE",IF(IF(Table5[[#This Row],[SM_Original_Type__c]]="",Table5[[#This Row],[SM_Type__c]],Table5[[#This Row],[SM_Original_Type__c]])="AC","AC","SUBS"))</f>
        <v>SUBS</v>
      </c>
      <c r="B169" s="27">
        <f>IF(INDEX(Contract[SM_AC_start_date__c],MATCH(Table5[[#This Row],[SM_Contract__c]],Contract[Id],0))=0,"",INDEX(Contract[SM_AC_start_date__c],MATCH(Table5[[#This Row],[SM_Contract__c]],Contract[Id],0)))</f>
        <v>45849</v>
      </c>
      <c r="C169" s="27" t="str">
        <f>IF(INDEX(Contract[SM_AC_Split_Date__c],MATCH(Table5[[#This Row],[SM_Contract__c]],Contract[Id],0))=0,"",INDEX(Contract[SM_AC_Split_Date__c],MATCH(Table5[[#This Row],[SM_Contract__c]],Contract[Id],0)))</f>
        <v/>
      </c>
      <c r="D169" s="27">
        <f>IF(INDEX(Contract[SM_Start_date__c],MATCH(Table5[[#This Row],[SM_Contract__c]],Contract[Id],0))=0,"",INDEX(Contract[SM_Start_date__c],MATCH(Table5[[#This Row],[SM_Contract__c]],Contract[Id],0)))</f>
        <v>45899</v>
      </c>
      <c r="E169" s="4">
        <f ca="1">(YEAR(TODAY())-YEAR(Table5[[#This Row],[RC DATE]]))*12 + MONTH(TODAY())-MONTH(Table5[[#This Row],[RC DATE]])</f>
        <v>11</v>
      </c>
      <c r="F16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69" s="19">
        <f>IF(Table5[[#This Row],[Payment_Status__c]]="ACCEPTED",1,"")</f>
        <v>1</v>
      </c>
      <c r="H16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69" s="19">
        <f ca="1">Table5[[#This Row],['# months]]-COUNTIFS(Table5[SM_Contract__c],Table5[[#This Row],[SM_Contract__c]],Table5[TYPE],"SUBS",Table5[ACCEPTED],1)</f>
        <v>5</v>
      </c>
      <c r="J169" s="19" t="b">
        <f>ISNUMBER(MATCH(Table5[[#This Row],[SM_Contract__c]],Contract[Id],0))</f>
        <v>1</v>
      </c>
      <c r="K169" s="9" t="s">
        <v>2861</v>
      </c>
      <c r="L169" s="9" t="s">
        <v>2862</v>
      </c>
      <c r="M169" s="9" t="s">
        <v>369</v>
      </c>
      <c r="N169" s="9" t="s">
        <v>3705</v>
      </c>
      <c r="O169" s="9" t="s">
        <v>1563</v>
      </c>
      <c r="P169" s="9" t="s">
        <v>2363</v>
      </c>
      <c r="Q169" s="9" t="s">
        <v>83</v>
      </c>
      <c r="R169" s="9" t="s">
        <v>76</v>
      </c>
      <c r="S169" s="9" t="s">
        <v>91</v>
      </c>
      <c r="T169" s="9" t="s">
        <v>91</v>
      </c>
      <c r="U169" s="9" t="s">
        <v>91</v>
      </c>
      <c r="V169" s="9" t="s">
        <v>93</v>
      </c>
      <c r="W169" s="9" t="s">
        <v>3561</v>
      </c>
      <c r="X169" s="9" t="s">
        <v>2863</v>
      </c>
      <c r="Y169" s="9"/>
      <c r="Z169" s="9"/>
      <c r="AA169" s="9" t="s">
        <v>2863</v>
      </c>
    </row>
    <row r="170" spans="1:27" x14ac:dyDescent="0.35">
      <c r="A170" s="4" t="str">
        <f>IF(Table5[[#This Row],[SM_Amount__c]]="25.0","FEE",IF(IF(Table5[[#This Row],[SM_Original_Type__c]]="",Table5[[#This Row],[SM_Type__c]],Table5[[#This Row],[SM_Original_Type__c]])="AC","AC","SUBS"))</f>
        <v>SUBS</v>
      </c>
      <c r="B170" s="27">
        <f>IF(INDEX(Contract[SM_AC_start_date__c],MATCH(Table5[[#This Row],[SM_Contract__c]],Contract[Id],0))=0,"",INDEX(Contract[SM_AC_start_date__c],MATCH(Table5[[#This Row],[SM_Contract__c]],Contract[Id],0)))</f>
        <v>45849</v>
      </c>
      <c r="C170" s="27" t="str">
        <f>IF(INDEX(Contract[SM_AC_Split_Date__c],MATCH(Table5[[#This Row],[SM_Contract__c]],Contract[Id],0))=0,"",INDEX(Contract[SM_AC_Split_Date__c],MATCH(Table5[[#This Row],[SM_Contract__c]],Contract[Id],0)))</f>
        <v/>
      </c>
      <c r="D170" s="27">
        <f>IF(INDEX(Contract[SM_Start_date__c],MATCH(Table5[[#This Row],[SM_Contract__c]],Contract[Id],0))=0,"",INDEX(Contract[SM_Start_date__c],MATCH(Table5[[#This Row],[SM_Contract__c]],Contract[Id],0)))</f>
        <v>45899</v>
      </c>
      <c r="E170" s="4">
        <f ca="1">(YEAR(TODAY())-YEAR(Table5[[#This Row],[RC DATE]]))*12 + MONTH(TODAY())-MONTH(Table5[[#This Row],[RC DATE]])</f>
        <v>11</v>
      </c>
      <c r="F17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70" s="19">
        <f>IF(Table5[[#This Row],[Payment_Status__c]]="ACCEPTED",1,"")</f>
        <v>1</v>
      </c>
      <c r="H17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0" s="19">
        <f ca="1">Table5[[#This Row],['# months]]-COUNTIFS(Table5[SM_Contract__c],Table5[[#This Row],[SM_Contract__c]],Table5[TYPE],"SUBS",Table5[ACCEPTED],1)</f>
        <v>5</v>
      </c>
      <c r="J170" s="19" t="b">
        <f>ISNUMBER(MATCH(Table5[[#This Row],[SM_Contract__c]],Contract[Id],0))</f>
        <v>1</v>
      </c>
      <c r="K170" s="9" t="s">
        <v>2864</v>
      </c>
      <c r="L170" s="9" t="s">
        <v>2865</v>
      </c>
      <c r="M170" s="9" t="s">
        <v>369</v>
      </c>
      <c r="N170" s="9" t="s">
        <v>3705</v>
      </c>
      <c r="O170" s="9" t="s">
        <v>1563</v>
      </c>
      <c r="P170" s="9" t="s">
        <v>2363</v>
      </c>
      <c r="Q170" s="9" t="s">
        <v>71</v>
      </c>
      <c r="R170" s="9" t="s">
        <v>83</v>
      </c>
      <c r="S170" s="9" t="s">
        <v>2087</v>
      </c>
      <c r="T170" s="9" t="s">
        <v>2087</v>
      </c>
      <c r="U170" s="9" t="s">
        <v>91</v>
      </c>
      <c r="V170" s="9" t="s">
        <v>148</v>
      </c>
      <c r="W170" s="9" t="s">
        <v>3674</v>
      </c>
      <c r="X170" s="9" t="s">
        <v>2866</v>
      </c>
      <c r="Y170" s="9"/>
      <c r="Z170" s="9" t="s">
        <v>665</v>
      </c>
      <c r="AA170" s="9" t="s">
        <v>2866</v>
      </c>
    </row>
    <row r="171" spans="1:27" x14ac:dyDescent="0.35">
      <c r="A171" s="4" t="str">
        <f>IF(Table5[[#This Row],[SM_Amount__c]]="25.0","FEE",IF(IF(Table5[[#This Row],[SM_Original_Type__c]]="",Table5[[#This Row],[SM_Type__c]],Table5[[#This Row],[SM_Original_Type__c]])="AC","AC","SUBS"))</f>
        <v>SUBS</v>
      </c>
      <c r="B171" s="27">
        <f>IF(INDEX(Contract[SM_AC_start_date__c],MATCH(Table5[[#This Row],[SM_Contract__c]],Contract[Id],0))=0,"",INDEX(Contract[SM_AC_start_date__c],MATCH(Table5[[#This Row],[SM_Contract__c]],Contract[Id],0)))</f>
        <v>45849</v>
      </c>
      <c r="C171" s="27" t="str">
        <f>IF(INDEX(Contract[SM_AC_Split_Date__c],MATCH(Table5[[#This Row],[SM_Contract__c]],Contract[Id],0))=0,"",INDEX(Contract[SM_AC_Split_Date__c],MATCH(Table5[[#This Row],[SM_Contract__c]],Contract[Id],0)))</f>
        <v/>
      </c>
      <c r="D171" s="27">
        <f>IF(INDEX(Contract[SM_Start_date__c],MATCH(Table5[[#This Row],[SM_Contract__c]],Contract[Id],0))=0,"",INDEX(Contract[SM_Start_date__c],MATCH(Table5[[#This Row],[SM_Contract__c]],Contract[Id],0)))</f>
        <v>45899</v>
      </c>
      <c r="E171" s="4">
        <f ca="1">(YEAR(TODAY())-YEAR(Table5[[#This Row],[RC DATE]]))*12 + MONTH(TODAY())-MONTH(Table5[[#This Row],[RC DATE]])</f>
        <v>11</v>
      </c>
      <c r="F17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71" s="19">
        <f>IF(Table5[[#This Row],[Payment_Status__c]]="ACCEPTED",1,"")</f>
        <v>1</v>
      </c>
      <c r="H17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1" s="19">
        <f ca="1">Table5[[#This Row],['# months]]-COUNTIFS(Table5[SM_Contract__c],Table5[[#This Row],[SM_Contract__c]],Table5[TYPE],"SUBS",Table5[ACCEPTED],1)</f>
        <v>5</v>
      </c>
      <c r="J171" s="19" t="b">
        <f>ISNUMBER(MATCH(Table5[[#This Row],[SM_Contract__c]],Contract[Id],0))</f>
        <v>1</v>
      </c>
      <c r="K171" s="9" t="s">
        <v>2867</v>
      </c>
      <c r="L171" s="9" t="s">
        <v>2868</v>
      </c>
      <c r="M171" s="9" t="s">
        <v>369</v>
      </c>
      <c r="N171" s="9" t="s">
        <v>3705</v>
      </c>
      <c r="O171" s="9" t="s">
        <v>1563</v>
      </c>
      <c r="P171" s="9" t="s">
        <v>2363</v>
      </c>
      <c r="Q171" s="9" t="s">
        <v>71</v>
      </c>
      <c r="R171" s="9" t="s">
        <v>83</v>
      </c>
      <c r="S171" s="9" t="s">
        <v>2087</v>
      </c>
      <c r="T171" s="9" t="s">
        <v>2087</v>
      </c>
      <c r="U171" s="9" t="s">
        <v>91</v>
      </c>
      <c r="V171" s="9" t="s">
        <v>148</v>
      </c>
      <c r="W171" s="9" t="s">
        <v>3600</v>
      </c>
      <c r="X171" s="9" t="s">
        <v>2869</v>
      </c>
      <c r="Y171" s="9"/>
      <c r="Z171" s="9" t="s">
        <v>893</v>
      </c>
      <c r="AA171" s="9" t="s">
        <v>2869</v>
      </c>
    </row>
    <row r="172" spans="1:27" x14ac:dyDescent="0.35">
      <c r="A172" s="4" t="str">
        <f>IF(Table5[[#This Row],[SM_Amount__c]]="25.0","FEE",IF(IF(Table5[[#This Row],[SM_Original_Type__c]]="",Table5[[#This Row],[SM_Type__c]],Table5[[#This Row],[SM_Original_Type__c]])="AC","AC","SUBS"))</f>
        <v>AC</v>
      </c>
      <c r="B172" s="27">
        <f>IF(INDEX(Contract[SM_AC_start_date__c],MATCH(Table5[[#This Row],[SM_Contract__c]],Contract[Id],0))=0,"",INDEX(Contract[SM_AC_start_date__c],MATCH(Table5[[#This Row],[SM_Contract__c]],Contract[Id],0)))</f>
        <v>45860</v>
      </c>
      <c r="C172" s="27">
        <f>IF(INDEX(Contract[SM_AC_Split_Date__c],MATCH(Table5[[#This Row],[SM_Contract__c]],Contract[Id],0))=0,"",INDEX(Contract[SM_AC_Split_Date__c],MATCH(Table5[[#This Row],[SM_Contract__c]],Contract[Id],0)))</f>
        <v>45891</v>
      </c>
      <c r="D172" s="27">
        <f>IF(INDEX(Contract[SM_Start_date__c],MATCH(Table5[[#This Row],[SM_Contract__c]],Contract[Id],0))=0,"",INDEX(Contract[SM_Start_date__c],MATCH(Table5[[#This Row],[SM_Contract__c]],Contract[Id],0)))</f>
        <v>45930</v>
      </c>
      <c r="E172" s="4">
        <f ca="1">(YEAR(TODAY())-YEAR(Table5[[#This Row],[RC DATE]]))*12 + MONTH(TODAY())-MONTH(Table5[[#This Row],[RC DATE]])</f>
        <v>10</v>
      </c>
      <c r="F17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2" s="19">
        <f>IF(Table5[[#This Row],[Payment_Status__c]]="ACCEPTED",1,"")</f>
        <v>1</v>
      </c>
      <c r="H17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2" s="19">
        <f ca="1">Table5[[#This Row],['# months]]-COUNTIFS(Table5[SM_Contract__c],Table5[[#This Row],[SM_Contract__c]],Table5[TYPE],"SUBS",Table5[ACCEPTED],1)</f>
        <v>5</v>
      </c>
      <c r="J172" s="19" t="b">
        <f>ISNUMBER(MATCH(Table5[[#This Row],[SM_Contract__c]],Contract[Id],0))</f>
        <v>1</v>
      </c>
      <c r="K172" s="9" t="s">
        <v>2870</v>
      </c>
      <c r="L172" s="9" t="s">
        <v>2871</v>
      </c>
      <c r="M172" s="9" t="s">
        <v>378</v>
      </c>
      <c r="N172" s="9" t="s">
        <v>3706</v>
      </c>
      <c r="O172" s="9" t="s">
        <v>1563</v>
      </c>
      <c r="P172" s="9" t="s">
        <v>2363</v>
      </c>
      <c r="Q172" s="9" t="s">
        <v>77</v>
      </c>
      <c r="R172" s="9" t="s">
        <v>77</v>
      </c>
      <c r="S172" s="9" t="s">
        <v>2011</v>
      </c>
      <c r="T172" s="9" t="s">
        <v>2011</v>
      </c>
      <c r="U172" s="9" t="s">
        <v>2011</v>
      </c>
      <c r="V172" s="9" t="s">
        <v>93</v>
      </c>
      <c r="W172" s="9" t="s">
        <v>3609</v>
      </c>
      <c r="X172" s="9" t="s">
        <v>2872</v>
      </c>
      <c r="Y172" s="9"/>
      <c r="Z172" s="9"/>
      <c r="AA172" s="9" t="s">
        <v>2872</v>
      </c>
    </row>
    <row r="173" spans="1:27" x14ac:dyDescent="0.35">
      <c r="A173" s="4" t="str">
        <f>IF(Table5[[#This Row],[SM_Amount__c]]="25.0","FEE",IF(IF(Table5[[#This Row],[SM_Original_Type__c]]="",Table5[[#This Row],[SM_Type__c]],Table5[[#This Row],[SM_Original_Type__c]])="AC","AC","SUBS"))</f>
        <v>AC</v>
      </c>
      <c r="B173" s="27">
        <f>IF(INDEX(Contract[SM_AC_start_date__c],MATCH(Table5[[#This Row],[SM_Contract__c]],Contract[Id],0))=0,"",INDEX(Contract[SM_AC_start_date__c],MATCH(Table5[[#This Row],[SM_Contract__c]],Contract[Id],0)))</f>
        <v>45860</v>
      </c>
      <c r="C173" s="27">
        <f>IF(INDEX(Contract[SM_AC_Split_Date__c],MATCH(Table5[[#This Row],[SM_Contract__c]],Contract[Id],0))=0,"",INDEX(Contract[SM_AC_Split_Date__c],MATCH(Table5[[#This Row],[SM_Contract__c]],Contract[Id],0)))</f>
        <v>45891</v>
      </c>
      <c r="D173" s="27">
        <f>IF(INDEX(Contract[SM_Start_date__c],MATCH(Table5[[#This Row],[SM_Contract__c]],Contract[Id],0))=0,"",INDEX(Contract[SM_Start_date__c],MATCH(Table5[[#This Row],[SM_Contract__c]],Contract[Id],0)))</f>
        <v>45930</v>
      </c>
      <c r="E173" s="4">
        <f ca="1">(YEAR(TODAY())-YEAR(Table5[[#This Row],[RC DATE]]))*12 + MONTH(TODAY())-MONTH(Table5[[#This Row],[RC DATE]])</f>
        <v>10</v>
      </c>
      <c r="F17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3" s="19" t="str">
        <f>IF(Table5[[#This Row],[Payment_Status__c]]="ACCEPTED",1,"")</f>
        <v/>
      </c>
      <c r="H17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3" s="19">
        <f ca="1">Table5[[#This Row],['# months]]-COUNTIFS(Table5[SM_Contract__c],Table5[[#This Row],[SM_Contract__c]],Table5[TYPE],"SUBS",Table5[ACCEPTED],1)</f>
        <v>5</v>
      </c>
      <c r="J173" s="19" t="b">
        <f>ISNUMBER(MATCH(Table5[[#This Row],[SM_Contract__c]],Contract[Id],0))</f>
        <v>1</v>
      </c>
      <c r="K173" s="9" t="s">
        <v>388</v>
      </c>
      <c r="L173" s="9" t="s">
        <v>2873</v>
      </c>
      <c r="M173" s="9" t="s">
        <v>378</v>
      </c>
      <c r="N173" s="9" t="s">
        <v>3706</v>
      </c>
      <c r="O173" s="9" t="s">
        <v>1563</v>
      </c>
      <c r="P173" s="9" t="s">
        <v>2364</v>
      </c>
      <c r="Q173" s="9" t="s">
        <v>77</v>
      </c>
      <c r="R173" s="9" t="s">
        <v>77</v>
      </c>
      <c r="S173" s="9" t="s">
        <v>2874</v>
      </c>
      <c r="T173" s="9" t="s">
        <v>2874</v>
      </c>
      <c r="U173" s="9" t="s">
        <v>2874</v>
      </c>
      <c r="V173" s="9" t="s">
        <v>93</v>
      </c>
      <c r="W173" s="9" t="s">
        <v>3609</v>
      </c>
      <c r="X173" s="9" t="s">
        <v>2875</v>
      </c>
      <c r="Y173" s="9" t="s">
        <v>2870</v>
      </c>
      <c r="Z173" s="9"/>
      <c r="AA173" s="9" t="s">
        <v>2876</v>
      </c>
    </row>
    <row r="174" spans="1:27" x14ac:dyDescent="0.35">
      <c r="A174" s="4" t="str">
        <f>IF(Table5[[#This Row],[SM_Amount__c]]="25.0","FEE",IF(IF(Table5[[#This Row],[SM_Original_Type__c]]="",Table5[[#This Row],[SM_Type__c]],Table5[[#This Row],[SM_Original_Type__c]])="AC","AC","SUBS"))</f>
        <v>AC</v>
      </c>
      <c r="B174" s="27">
        <f>IF(INDEX(Contract[SM_AC_start_date__c],MATCH(Table5[[#This Row],[SM_Contract__c]],Contract[Id],0))=0,"",INDEX(Contract[SM_AC_start_date__c],MATCH(Table5[[#This Row],[SM_Contract__c]],Contract[Id],0)))</f>
        <v>45860</v>
      </c>
      <c r="C174" s="27">
        <f>IF(INDEX(Contract[SM_AC_Split_Date__c],MATCH(Table5[[#This Row],[SM_Contract__c]],Contract[Id],0))=0,"",INDEX(Contract[SM_AC_Split_Date__c],MATCH(Table5[[#This Row],[SM_Contract__c]],Contract[Id],0)))</f>
        <v>45891</v>
      </c>
      <c r="D174" s="27">
        <f>IF(INDEX(Contract[SM_Start_date__c],MATCH(Table5[[#This Row],[SM_Contract__c]],Contract[Id],0))=0,"",INDEX(Contract[SM_Start_date__c],MATCH(Table5[[#This Row],[SM_Contract__c]],Contract[Id],0)))</f>
        <v>45930</v>
      </c>
      <c r="E174" s="4">
        <f ca="1">(YEAR(TODAY())-YEAR(Table5[[#This Row],[RC DATE]]))*12 + MONTH(TODAY())-MONTH(Table5[[#This Row],[RC DATE]])</f>
        <v>10</v>
      </c>
      <c r="F17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4" s="19">
        <f>IF(Table5[[#This Row],[Payment_Status__c]]="ACCEPTED",1,"")</f>
        <v>1</v>
      </c>
      <c r="H17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4" s="19">
        <f ca="1">Table5[[#This Row],['# months]]-COUNTIFS(Table5[SM_Contract__c],Table5[[#This Row],[SM_Contract__c]],Table5[TYPE],"SUBS",Table5[ACCEPTED],1)</f>
        <v>5</v>
      </c>
      <c r="J174" s="19" t="b">
        <f>ISNUMBER(MATCH(Table5[[#This Row],[SM_Contract__c]],Contract[Id],0))</f>
        <v>1</v>
      </c>
      <c r="K174" s="9" t="s">
        <v>2877</v>
      </c>
      <c r="L174" s="9" t="s">
        <v>2878</v>
      </c>
      <c r="M174" s="9" t="s">
        <v>378</v>
      </c>
      <c r="N174" s="9" t="s">
        <v>3706</v>
      </c>
      <c r="O174" s="9" t="s">
        <v>1563</v>
      </c>
      <c r="P174" s="9" t="s">
        <v>2363</v>
      </c>
      <c r="Q174" s="9" t="s">
        <v>71</v>
      </c>
      <c r="R174" s="9" t="s">
        <v>77</v>
      </c>
      <c r="S174" s="9" t="s">
        <v>2011</v>
      </c>
      <c r="T174" s="9" t="s">
        <v>2010</v>
      </c>
      <c r="U174" s="9" t="s">
        <v>2011</v>
      </c>
      <c r="V174" s="9" t="s">
        <v>93</v>
      </c>
      <c r="W174" s="9" t="s">
        <v>3707</v>
      </c>
      <c r="X174" s="9" t="s">
        <v>2879</v>
      </c>
      <c r="Y174" s="9"/>
      <c r="Z174" s="9" t="s">
        <v>388</v>
      </c>
      <c r="AA174" s="9" t="s">
        <v>2879</v>
      </c>
    </row>
    <row r="175" spans="1:27" x14ac:dyDescent="0.35">
      <c r="A175" s="4" t="str">
        <f>IF(Table5[[#This Row],[SM_Amount__c]]="25.0","FEE",IF(IF(Table5[[#This Row],[SM_Original_Type__c]]="",Table5[[#This Row],[SM_Type__c]],Table5[[#This Row],[SM_Original_Type__c]])="AC","AC","SUBS"))</f>
        <v>AC</v>
      </c>
      <c r="B175" s="27">
        <f>IF(INDEX(Contract[SM_AC_start_date__c],MATCH(Table5[[#This Row],[SM_Contract__c]],Contract[Id],0))=0,"",INDEX(Contract[SM_AC_start_date__c],MATCH(Table5[[#This Row],[SM_Contract__c]],Contract[Id],0)))</f>
        <v>45860</v>
      </c>
      <c r="C175" s="27">
        <f>IF(INDEX(Contract[SM_AC_Split_Date__c],MATCH(Table5[[#This Row],[SM_Contract__c]],Contract[Id],0))=0,"",INDEX(Contract[SM_AC_Split_Date__c],MATCH(Table5[[#This Row],[SM_Contract__c]],Contract[Id],0)))</f>
        <v>45891</v>
      </c>
      <c r="D175" s="27">
        <f>IF(INDEX(Contract[SM_Start_date__c],MATCH(Table5[[#This Row],[SM_Contract__c]],Contract[Id],0))=0,"",INDEX(Contract[SM_Start_date__c],MATCH(Table5[[#This Row],[SM_Contract__c]],Contract[Id],0)))</f>
        <v>45930</v>
      </c>
      <c r="E175" s="4">
        <f ca="1">(YEAR(TODAY())-YEAR(Table5[[#This Row],[RC DATE]]))*12 + MONTH(TODAY())-MONTH(Table5[[#This Row],[RC DATE]])</f>
        <v>10</v>
      </c>
      <c r="F17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5" s="19">
        <f>IF(Table5[[#This Row],[Payment_Status__c]]="ACCEPTED",1,"")</f>
        <v>1</v>
      </c>
      <c r="H17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5" s="19">
        <f ca="1">Table5[[#This Row],['# months]]-COUNTIFS(Table5[SM_Contract__c],Table5[[#This Row],[SM_Contract__c]],Table5[TYPE],"SUBS",Table5[ACCEPTED],1)</f>
        <v>5</v>
      </c>
      <c r="J175" s="19" t="b">
        <f>ISNUMBER(MATCH(Table5[[#This Row],[SM_Contract__c]],Contract[Id],0))</f>
        <v>1</v>
      </c>
      <c r="K175" s="9" t="s">
        <v>2880</v>
      </c>
      <c r="L175" s="9" t="s">
        <v>2881</v>
      </c>
      <c r="M175" s="9" t="s">
        <v>378</v>
      </c>
      <c r="N175" s="9" t="s">
        <v>3706</v>
      </c>
      <c r="O175" s="9" t="s">
        <v>1563</v>
      </c>
      <c r="P175" s="9" t="s">
        <v>2363</v>
      </c>
      <c r="Q175" s="9" t="s">
        <v>71</v>
      </c>
      <c r="R175" s="9" t="s">
        <v>77</v>
      </c>
      <c r="S175" s="9" t="s">
        <v>2064</v>
      </c>
      <c r="T175" s="9" t="s">
        <v>2064</v>
      </c>
      <c r="U175" s="9" t="s">
        <v>2011</v>
      </c>
      <c r="V175" s="9" t="s">
        <v>148</v>
      </c>
      <c r="W175" s="9" t="s">
        <v>3668</v>
      </c>
      <c r="X175" s="9" t="s">
        <v>2882</v>
      </c>
      <c r="Y175" s="9"/>
      <c r="Z175" s="9" t="s">
        <v>420</v>
      </c>
      <c r="AA175" s="9" t="s">
        <v>2882</v>
      </c>
    </row>
    <row r="176" spans="1:27" x14ac:dyDescent="0.35">
      <c r="A176" s="4" t="str">
        <f>IF(Table5[[#This Row],[SM_Amount__c]]="25.0","FEE",IF(IF(Table5[[#This Row],[SM_Original_Type__c]]="",Table5[[#This Row],[SM_Type__c]],Table5[[#This Row],[SM_Original_Type__c]])="AC","AC","SUBS"))</f>
        <v>SUBS</v>
      </c>
      <c r="B176" s="27">
        <f>IF(INDEX(Contract[SM_AC_start_date__c],MATCH(Table5[[#This Row],[SM_Contract__c]],Contract[Id],0))=0,"",INDEX(Contract[SM_AC_start_date__c],MATCH(Table5[[#This Row],[SM_Contract__c]],Contract[Id],0)))</f>
        <v>45860</v>
      </c>
      <c r="C176" s="27">
        <f>IF(INDEX(Contract[SM_AC_Split_Date__c],MATCH(Table5[[#This Row],[SM_Contract__c]],Contract[Id],0))=0,"",INDEX(Contract[SM_AC_Split_Date__c],MATCH(Table5[[#This Row],[SM_Contract__c]],Contract[Id],0)))</f>
        <v>45891</v>
      </c>
      <c r="D176" s="27">
        <f>IF(INDEX(Contract[SM_Start_date__c],MATCH(Table5[[#This Row],[SM_Contract__c]],Contract[Id],0))=0,"",INDEX(Contract[SM_Start_date__c],MATCH(Table5[[#This Row],[SM_Contract__c]],Contract[Id],0)))</f>
        <v>45930</v>
      </c>
      <c r="E176" s="4">
        <f ca="1">(YEAR(TODAY())-YEAR(Table5[[#This Row],[RC DATE]]))*12 + MONTH(TODAY())-MONTH(Table5[[#This Row],[RC DATE]])</f>
        <v>10</v>
      </c>
      <c r="F17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6" s="19">
        <f>IF(Table5[[#This Row],[Payment_Status__c]]="ACCEPTED",1,"")</f>
        <v>1</v>
      </c>
      <c r="H17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6" s="19">
        <f ca="1">Table5[[#This Row],['# months]]-COUNTIFS(Table5[SM_Contract__c],Table5[[#This Row],[SM_Contract__c]],Table5[TYPE],"SUBS",Table5[ACCEPTED],1)</f>
        <v>5</v>
      </c>
      <c r="J176" s="19" t="b">
        <f>ISNUMBER(MATCH(Table5[[#This Row],[SM_Contract__c]],Contract[Id],0))</f>
        <v>1</v>
      </c>
      <c r="K176" s="9" t="s">
        <v>2883</v>
      </c>
      <c r="L176" s="9" t="s">
        <v>2884</v>
      </c>
      <c r="M176" s="9" t="s">
        <v>378</v>
      </c>
      <c r="N176" s="9" t="s">
        <v>3706</v>
      </c>
      <c r="O176" s="9" t="s">
        <v>1563</v>
      </c>
      <c r="P176" s="9" t="s">
        <v>2363</v>
      </c>
      <c r="Q176" s="9" t="s">
        <v>71</v>
      </c>
      <c r="R176" s="9" t="s">
        <v>83</v>
      </c>
      <c r="S176" s="9" t="s">
        <v>2087</v>
      </c>
      <c r="T176" s="9" t="s">
        <v>2087</v>
      </c>
      <c r="U176" s="9" t="s">
        <v>91</v>
      </c>
      <c r="V176" s="9" t="s">
        <v>148</v>
      </c>
      <c r="W176" s="9" t="s">
        <v>3604</v>
      </c>
      <c r="X176" s="9" t="s">
        <v>2885</v>
      </c>
      <c r="Y176" s="9"/>
      <c r="Z176" s="9" t="s">
        <v>557</v>
      </c>
      <c r="AA176" s="9" t="s">
        <v>2885</v>
      </c>
    </row>
    <row r="177" spans="1:27" x14ac:dyDescent="0.35">
      <c r="A177" s="4" t="str">
        <f>IF(Table5[[#This Row],[SM_Amount__c]]="25.0","FEE",IF(IF(Table5[[#This Row],[SM_Original_Type__c]]="",Table5[[#This Row],[SM_Type__c]],Table5[[#This Row],[SM_Original_Type__c]])="AC","AC","SUBS"))</f>
        <v>SUBS</v>
      </c>
      <c r="B177" s="27">
        <f>IF(INDEX(Contract[SM_AC_start_date__c],MATCH(Table5[[#This Row],[SM_Contract__c]],Contract[Id],0))=0,"",INDEX(Contract[SM_AC_start_date__c],MATCH(Table5[[#This Row],[SM_Contract__c]],Contract[Id],0)))</f>
        <v>45860</v>
      </c>
      <c r="C177" s="27">
        <f>IF(INDEX(Contract[SM_AC_Split_Date__c],MATCH(Table5[[#This Row],[SM_Contract__c]],Contract[Id],0))=0,"",INDEX(Contract[SM_AC_Split_Date__c],MATCH(Table5[[#This Row],[SM_Contract__c]],Contract[Id],0)))</f>
        <v>45891</v>
      </c>
      <c r="D177" s="27">
        <f>IF(INDEX(Contract[SM_Start_date__c],MATCH(Table5[[#This Row],[SM_Contract__c]],Contract[Id],0))=0,"",INDEX(Contract[SM_Start_date__c],MATCH(Table5[[#This Row],[SM_Contract__c]],Contract[Id],0)))</f>
        <v>45930</v>
      </c>
      <c r="E177" s="4">
        <f ca="1">(YEAR(TODAY())-YEAR(Table5[[#This Row],[RC DATE]]))*12 + MONTH(TODAY())-MONTH(Table5[[#This Row],[RC DATE]])</f>
        <v>10</v>
      </c>
      <c r="F17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7" s="19">
        <f>IF(Table5[[#This Row],[Payment_Status__c]]="ACCEPTED",1,"")</f>
        <v>1</v>
      </c>
      <c r="H17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7" s="19">
        <f ca="1">Table5[[#This Row],['# months]]-COUNTIFS(Table5[SM_Contract__c],Table5[[#This Row],[SM_Contract__c]],Table5[TYPE],"SUBS",Table5[ACCEPTED],1)</f>
        <v>5</v>
      </c>
      <c r="J177" s="19" t="b">
        <f>ISNUMBER(MATCH(Table5[[#This Row],[SM_Contract__c]],Contract[Id],0))</f>
        <v>1</v>
      </c>
      <c r="K177" s="9" t="s">
        <v>2886</v>
      </c>
      <c r="L177" s="9" t="s">
        <v>2887</v>
      </c>
      <c r="M177" s="9" t="s">
        <v>378</v>
      </c>
      <c r="N177" s="9" t="s">
        <v>3706</v>
      </c>
      <c r="O177" s="9" t="s">
        <v>1563</v>
      </c>
      <c r="P177" s="9" t="s">
        <v>2363</v>
      </c>
      <c r="Q177" s="9" t="s">
        <v>71</v>
      </c>
      <c r="R177" s="9"/>
      <c r="S177" s="9" t="s">
        <v>2087</v>
      </c>
      <c r="T177" s="9" t="s">
        <v>2087</v>
      </c>
      <c r="U177" s="9" t="s">
        <v>91</v>
      </c>
      <c r="V177" s="9" t="s">
        <v>148</v>
      </c>
      <c r="W177" s="9" t="s">
        <v>3571</v>
      </c>
      <c r="X177" s="9" t="s">
        <v>2888</v>
      </c>
      <c r="Y177" s="9"/>
      <c r="Z177" s="9"/>
      <c r="AA177" s="9" t="s">
        <v>2888</v>
      </c>
    </row>
    <row r="178" spans="1:27" x14ac:dyDescent="0.35">
      <c r="A178" s="4" t="str">
        <f>IF(Table5[[#This Row],[SM_Amount__c]]="25.0","FEE",IF(IF(Table5[[#This Row],[SM_Original_Type__c]]="",Table5[[#This Row],[SM_Type__c]],Table5[[#This Row],[SM_Original_Type__c]])="AC","AC","SUBS"))</f>
        <v>SUBS</v>
      </c>
      <c r="B178" s="27">
        <f>IF(INDEX(Contract[SM_AC_start_date__c],MATCH(Table5[[#This Row],[SM_Contract__c]],Contract[Id],0))=0,"",INDEX(Contract[SM_AC_start_date__c],MATCH(Table5[[#This Row],[SM_Contract__c]],Contract[Id],0)))</f>
        <v>45860</v>
      </c>
      <c r="C178" s="27">
        <f>IF(INDEX(Contract[SM_AC_Split_Date__c],MATCH(Table5[[#This Row],[SM_Contract__c]],Contract[Id],0))=0,"",INDEX(Contract[SM_AC_Split_Date__c],MATCH(Table5[[#This Row],[SM_Contract__c]],Contract[Id],0)))</f>
        <v>45891</v>
      </c>
      <c r="D178" s="27">
        <f>IF(INDEX(Contract[SM_Start_date__c],MATCH(Table5[[#This Row],[SM_Contract__c]],Contract[Id],0))=0,"",INDEX(Contract[SM_Start_date__c],MATCH(Table5[[#This Row],[SM_Contract__c]],Contract[Id],0)))</f>
        <v>45930</v>
      </c>
      <c r="E178" s="4">
        <f ca="1">(YEAR(TODAY())-YEAR(Table5[[#This Row],[RC DATE]]))*12 + MONTH(TODAY())-MONTH(Table5[[#This Row],[RC DATE]])</f>
        <v>10</v>
      </c>
      <c r="F17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8" s="19">
        <f>IF(Table5[[#This Row],[Payment_Status__c]]="ACCEPTED",1,"")</f>
        <v>1</v>
      </c>
      <c r="H17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8" s="19">
        <f ca="1">Table5[[#This Row],['# months]]-COUNTIFS(Table5[SM_Contract__c],Table5[[#This Row],[SM_Contract__c]],Table5[TYPE],"SUBS",Table5[ACCEPTED],1)</f>
        <v>5</v>
      </c>
      <c r="J178" s="19" t="b">
        <f>ISNUMBER(MATCH(Table5[[#This Row],[SM_Contract__c]],Contract[Id],0))</f>
        <v>1</v>
      </c>
      <c r="K178" s="9" t="s">
        <v>2889</v>
      </c>
      <c r="L178" s="9" t="s">
        <v>2890</v>
      </c>
      <c r="M178" s="9" t="s">
        <v>378</v>
      </c>
      <c r="N178" s="9" t="s">
        <v>3706</v>
      </c>
      <c r="O178" s="9" t="s">
        <v>1563</v>
      </c>
      <c r="P178" s="9" t="s">
        <v>2363</v>
      </c>
      <c r="Q178" s="9" t="s">
        <v>71</v>
      </c>
      <c r="R178" s="9"/>
      <c r="S178" s="9" t="s">
        <v>2087</v>
      </c>
      <c r="T178" s="9" t="s">
        <v>2087</v>
      </c>
      <c r="U178" s="9" t="s">
        <v>91</v>
      </c>
      <c r="V178" s="9" t="s">
        <v>148</v>
      </c>
      <c r="W178" s="9" t="s">
        <v>3642</v>
      </c>
      <c r="X178" s="9" t="s">
        <v>2891</v>
      </c>
      <c r="Y178" s="9"/>
      <c r="Z178" s="9"/>
      <c r="AA178" s="9" t="s">
        <v>2891</v>
      </c>
    </row>
    <row r="179" spans="1:27" x14ac:dyDescent="0.35">
      <c r="A179" s="4" t="str">
        <f>IF(Table5[[#This Row],[SM_Amount__c]]="25.0","FEE",IF(IF(Table5[[#This Row],[SM_Original_Type__c]]="",Table5[[#This Row],[SM_Type__c]],Table5[[#This Row],[SM_Original_Type__c]])="AC","AC","SUBS"))</f>
        <v>SUBS</v>
      </c>
      <c r="B179" s="27">
        <f>IF(INDEX(Contract[SM_AC_start_date__c],MATCH(Table5[[#This Row],[SM_Contract__c]],Contract[Id],0))=0,"",INDEX(Contract[SM_AC_start_date__c],MATCH(Table5[[#This Row],[SM_Contract__c]],Contract[Id],0)))</f>
        <v>45860</v>
      </c>
      <c r="C179" s="27">
        <f>IF(INDEX(Contract[SM_AC_Split_Date__c],MATCH(Table5[[#This Row],[SM_Contract__c]],Contract[Id],0))=0,"",INDEX(Contract[SM_AC_Split_Date__c],MATCH(Table5[[#This Row],[SM_Contract__c]],Contract[Id],0)))</f>
        <v>45891</v>
      </c>
      <c r="D179" s="27">
        <f>IF(INDEX(Contract[SM_Start_date__c],MATCH(Table5[[#This Row],[SM_Contract__c]],Contract[Id],0))=0,"",INDEX(Contract[SM_Start_date__c],MATCH(Table5[[#This Row],[SM_Contract__c]],Contract[Id],0)))</f>
        <v>45930</v>
      </c>
      <c r="E179" s="4">
        <f ca="1">(YEAR(TODAY())-YEAR(Table5[[#This Row],[RC DATE]]))*12 + MONTH(TODAY())-MONTH(Table5[[#This Row],[RC DATE]])</f>
        <v>10</v>
      </c>
      <c r="F17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79" s="19">
        <f>IF(Table5[[#This Row],[Payment_Status__c]]="ACCEPTED",1,"")</f>
        <v>1</v>
      </c>
      <c r="H17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79" s="19">
        <f ca="1">Table5[[#This Row],['# months]]-COUNTIFS(Table5[SM_Contract__c],Table5[[#This Row],[SM_Contract__c]],Table5[TYPE],"SUBS",Table5[ACCEPTED],1)</f>
        <v>5</v>
      </c>
      <c r="J179" s="19" t="b">
        <f>ISNUMBER(MATCH(Table5[[#This Row],[SM_Contract__c]],Contract[Id],0))</f>
        <v>1</v>
      </c>
      <c r="K179" s="9" t="s">
        <v>2892</v>
      </c>
      <c r="L179" s="9" t="s">
        <v>2893</v>
      </c>
      <c r="M179" s="9" t="s">
        <v>378</v>
      </c>
      <c r="N179" s="9" t="s">
        <v>3706</v>
      </c>
      <c r="O179" s="9" t="s">
        <v>1563</v>
      </c>
      <c r="P179" s="9" t="s">
        <v>2363</v>
      </c>
      <c r="Q179" s="9" t="s">
        <v>71</v>
      </c>
      <c r="R179" s="9" t="s">
        <v>83</v>
      </c>
      <c r="S179" s="9" t="s">
        <v>2087</v>
      </c>
      <c r="T179" s="9" t="s">
        <v>2087</v>
      </c>
      <c r="U179" s="9" t="s">
        <v>91</v>
      </c>
      <c r="V179" s="9" t="s">
        <v>148</v>
      </c>
      <c r="W179" s="9" t="s">
        <v>3663</v>
      </c>
      <c r="X179" s="9" t="s">
        <v>2894</v>
      </c>
      <c r="Y179" s="9"/>
      <c r="Z179" s="9" t="s">
        <v>1024</v>
      </c>
      <c r="AA179" s="9" t="s">
        <v>2894</v>
      </c>
    </row>
    <row r="180" spans="1:27" x14ac:dyDescent="0.35">
      <c r="A180" s="4" t="str">
        <f>IF(Table5[[#This Row],[SM_Amount__c]]="25.0","FEE",IF(IF(Table5[[#This Row],[SM_Original_Type__c]]="",Table5[[#This Row],[SM_Type__c]],Table5[[#This Row],[SM_Original_Type__c]])="AC","AC","SUBS"))</f>
        <v>SUBS</v>
      </c>
      <c r="B180" s="27">
        <f>IF(INDEX(Contract[SM_AC_start_date__c],MATCH(Table5[[#This Row],[SM_Contract__c]],Contract[Id],0))=0,"",INDEX(Contract[SM_AC_start_date__c],MATCH(Table5[[#This Row],[SM_Contract__c]],Contract[Id],0)))</f>
        <v>45860</v>
      </c>
      <c r="C180" s="27">
        <f>IF(INDEX(Contract[SM_AC_Split_Date__c],MATCH(Table5[[#This Row],[SM_Contract__c]],Contract[Id],0))=0,"",INDEX(Contract[SM_AC_Split_Date__c],MATCH(Table5[[#This Row],[SM_Contract__c]],Contract[Id],0)))</f>
        <v>45891</v>
      </c>
      <c r="D180" s="27">
        <f>IF(INDEX(Contract[SM_Start_date__c],MATCH(Table5[[#This Row],[SM_Contract__c]],Contract[Id],0))=0,"",INDEX(Contract[SM_Start_date__c],MATCH(Table5[[#This Row],[SM_Contract__c]],Contract[Id],0)))</f>
        <v>45930</v>
      </c>
      <c r="E180" s="4">
        <f ca="1">(YEAR(TODAY())-YEAR(Table5[[#This Row],[RC DATE]]))*12 + MONTH(TODAY())-MONTH(Table5[[#This Row],[RC DATE]])</f>
        <v>10</v>
      </c>
      <c r="F18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46021</v>
      </c>
      <c r="G180" s="19">
        <f>IF(Table5[[#This Row],[Payment_Status__c]]="ACCEPTED",1,"")</f>
        <v>1</v>
      </c>
      <c r="H18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0" s="19">
        <f ca="1">Table5[[#This Row],['# months]]-COUNTIFS(Table5[SM_Contract__c],Table5[[#This Row],[SM_Contract__c]],Table5[TYPE],"SUBS",Table5[ACCEPTED],1)</f>
        <v>5</v>
      </c>
      <c r="J180" s="19" t="b">
        <f>ISNUMBER(MATCH(Table5[[#This Row],[SM_Contract__c]],Contract[Id],0))</f>
        <v>1</v>
      </c>
      <c r="K180" s="9" t="s">
        <v>2895</v>
      </c>
      <c r="L180" s="9" t="s">
        <v>2896</v>
      </c>
      <c r="M180" s="9" t="s">
        <v>378</v>
      </c>
      <c r="N180" s="9" t="s">
        <v>3706</v>
      </c>
      <c r="O180" s="9" t="s">
        <v>1563</v>
      </c>
      <c r="P180" s="9" t="s">
        <v>2363</v>
      </c>
      <c r="Q180" s="9" t="s">
        <v>71</v>
      </c>
      <c r="R180" s="9" t="s">
        <v>83</v>
      </c>
      <c r="S180" s="9" t="s">
        <v>2087</v>
      </c>
      <c r="T180" s="9" t="s">
        <v>2087</v>
      </c>
      <c r="U180" s="9" t="s">
        <v>91</v>
      </c>
      <c r="V180" s="9" t="s">
        <v>148</v>
      </c>
      <c r="W180" s="9" t="s">
        <v>3671</v>
      </c>
      <c r="X180" s="9" t="s">
        <v>2685</v>
      </c>
      <c r="Y180" s="9"/>
      <c r="Z180" s="9" t="s">
        <v>875</v>
      </c>
      <c r="AA180" s="9" t="s">
        <v>2685</v>
      </c>
    </row>
    <row r="181" spans="1:27" x14ac:dyDescent="0.35">
      <c r="A181" s="4" t="str">
        <f>IF(Table5[[#This Row],[SM_Amount__c]]="25.0","FEE",IF(IF(Table5[[#This Row],[SM_Original_Type__c]]="",Table5[[#This Row],[SM_Type__c]],Table5[[#This Row],[SM_Original_Type__c]])="AC","AC","SUBS"))</f>
        <v>AC</v>
      </c>
      <c r="B181" s="27">
        <f>IF(INDEX(Contract[SM_AC_start_date__c],MATCH(Table5[[#This Row],[SM_Contract__c]],Contract[Id],0))=0,"",INDEX(Contract[SM_AC_start_date__c],MATCH(Table5[[#This Row],[SM_Contract__c]],Contract[Id],0)))</f>
        <v>45874</v>
      </c>
      <c r="C181" s="27" t="str">
        <f>IF(INDEX(Contract[SM_AC_Split_Date__c],MATCH(Table5[[#This Row],[SM_Contract__c]],Contract[Id],0))=0,"",INDEX(Contract[SM_AC_Split_Date__c],MATCH(Table5[[#This Row],[SM_Contract__c]],Contract[Id],0)))</f>
        <v/>
      </c>
      <c r="D181" s="27">
        <f>IF(INDEX(Contract[SM_Start_date__c],MATCH(Table5[[#This Row],[SM_Contract__c]],Contract[Id],0))=0,"",INDEX(Contract[SM_Start_date__c],MATCH(Table5[[#This Row],[SM_Contract__c]],Contract[Id],0)))</f>
        <v>45930</v>
      </c>
      <c r="E181" s="4">
        <f ca="1">(YEAR(TODAY())-YEAR(Table5[[#This Row],[RC DATE]]))*12 + MONTH(TODAY())-MONTH(Table5[[#This Row],[RC DATE]])</f>
        <v>10</v>
      </c>
      <c r="F18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1" s="19">
        <f>IF(Table5[[#This Row],[Payment_Status__c]]="ACCEPTED",1,"")</f>
        <v>1</v>
      </c>
      <c r="H18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1" s="19">
        <f ca="1">Table5[[#This Row],['# months]]-COUNTIFS(Table5[SM_Contract__c],Table5[[#This Row],[SM_Contract__c]],Table5[TYPE],"SUBS",Table5[ACCEPTED],1)</f>
        <v>5</v>
      </c>
      <c r="J181" s="19" t="b">
        <f>ISNUMBER(MATCH(Table5[[#This Row],[SM_Contract__c]],Contract[Id],0))</f>
        <v>1</v>
      </c>
      <c r="K181" s="9" t="s">
        <v>2899</v>
      </c>
      <c r="L181" s="9" t="s">
        <v>2900</v>
      </c>
      <c r="M181" s="9" t="s">
        <v>407</v>
      </c>
      <c r="N181" s="9" t="s">
        <v>3708</v>
      </c>
      <c r="O181" s="9" t="s">
        <v>1563</v>
      </c>
      <c r="P181" s="9" t="s">
        <v>2363</v>
      </c>
      <c r="Q181" s="9" t="s">
        <v>77</v>
      </c>
      <c r="R181" s="9" t="s">
        <v>77</v>
      </c>
      <c r="S181" s="9" t="s">
        <v>2414</v>
      </c>
      <c r="T181" s="9" t="s">
        <v>2001</v>
      </c>
      <c r="U181" s="9" t="s">
        <v>2414</v>
      </c>
      <c r="V181" s="9" t="s">
        <v>93</v>
      </c>
      <c r="W181" s="9" t="s">
        <v>3679</v>
      </c>
      <c r="X181" s="9" t="s">
        <v>2901</v>
      </c>
      <c r="Y181" s="9"/>
      <c r="Z181" s="9"/>
      <c r="AA181" s="9" t="s">
        <v>2901</v>
      </c>
    </row>
    <row r="182" spans="1:27" x14ac:dyDescent="0.35">
      <c r="A182" s="4" t="str">
        <f>IF(Table5[[#This Row],[SM_Amount__c]]="25.0","FEE",IF(IF(Table5[[#This Row],[SM_Original_Type__c]]="",Table5[[#This Row],[SM_Type__c]],Table5[[#This Row],[SM_Original_Type__c]])="AC","AC","SUBS"))</f>
        <v>SUBS</v>
      </c>
      <c r="B182" s="27">
        <f>IF(INDEX(Contract[SM_AC_start_date__c],MATCH(Table5[[#This Row],[SM_Contract__c]],Contract[Id],0))=0,"",INDEX(Contract[SM_AC_start_date__c],MATCH(Table5[[#This Row],[SM_Contract__c]],Contract[Id],0)))</f>
        <v>45874</v>
      </c>
      <c r="C182" s="27" t="str">
        <f>IF(INDEX(Contract[SM_AC_Split_Date__c],MATCH(Table5[[#This Row],[SM_Contract__c]],Contract[Id],0))=0,"",INDEX(Contract[SM_AC_Split_Date__c],MATCH(Table5[[#This Row],[SM_Contract__c]],Contract[Id],0)))</f>
        <v/>
      </c>
      <c r="D182" s="27">
        <f>IF(INDEX(Contract[SM_Start_date__c],MATCH(Table5[[#This Row],[SM_Contract__c]],Contract[Id],0))=0,"",INDEX(Contract[SM_Start_date__c],MATCH(Table5[[#This Row],[SM_Contract__c]],Contract[Id],0)))</f>
        <v>45930</v>
      </c>
      <c r="E182" s="4">
        <f ca="1">(YEAR(TODAY())-YEAR(Table5[[#This Row],[RC DATE]]))*12 + MONTH(TODAY())-MONTH(Table5[[#This Row],[RC DATE]])</f>
        <v>10</v>
      </c>
      <c r="F18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2" s="19">
        <f>IF(Table5[[#This Row],[Payment_Status__c]]="ACCEPTED",1,"")</f>
        <v>1</v>
      </c>
      <c r="H18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2" s="19">
        <f ca="1">Table5[[#This Row],['# months]]-COUNTIFS(Table5[SM_Contract__c],Table5[[#This Row],[SM_Contract__c]],Table5[TYPE],"SUBS",Table5[ACCEPTED],1)</f>
        <v>5</v>
      </c>
      <c r="J182" s="19" t="b">
        <f>ISNUMBER(MATCH(Table5[[#This Row],[SM_Contract__c]],Contract[Id],0))</f>
        <v>1</v>
      </c>
      <c r="K182" s="9" t="s">
        <v>2902</v>
      </c>
      <c r="L182" s="9" t="s">
        <v>2903</v>
      </c>
      <c r="M182" s="9" t="s">
        <v>407</v>
      </c>
      <c r="N182" s="9" t="s">
        <v>3708</v>
      </c>
      <c r="O182" s="9" t="s">
        <v>1563</v>
      </c>
      <c r="P182" s="9" t="s">
        <v>2363</v>
      </c>
      <c r="Q182" s="9" t="s">
        <v>83</v>
      </c>
      <c r="R182" s="9" t="s">
        <v>76</v>
      </c>
      <c r="S182" s="9" t="s">
        <v>91</v>
      </c>
      <c r="T182" s="9" t="s">
        <v>105</v>
      </c>
      <c r="U182" s="9" t="s">
        <v>91</v>
      </c>
      <c r="V182" s="9" t="s">
        <v>93</v>
      </c>
      <c r="W182" s="9" t="s">
        <v>3559</v>
      </c>
      <c r="X182" s="9" t="s">
        <v>2904</v>
      </c>
      <c r="Y182" s="9"/>
      <c r="Z182" s="9"/>
      <c r="AA182" s="9" t="s">
        <v>2904</v>
      </c>
    </row>
    <row r="183" spans="1:27" x14ac:dyDescent="0.35">
      <c r="A183" s="4" t="str">
        <f>IF(Table5[[#This Row],[SM_Amount__c]]="25.0","FEE",IF(IF(Table5[[#This Row],[SM_Original_Type__c]]="",Table5[[#This Row],[SM_Type__c]],Table5[[#This Row],[SM_Original_Type__c]])="AC","AC","SUBS"))</f>
        <v>SUBS</v>
      </c>
      <c r="B183" s="27">
        <f>IF(INDEX(Contract[SM_AC_start_date__c],MATCH(Table5[[#This Row],[SM_Contract__c]],Contract[Id],0))=0,"",INDEX(Contract[SM_AC_start_date__c],MATCH(Table5[[#This Row],[SM_Contract__c]],Contract[Id],0)))</f>
        <v>45874</v>
      </c>
      <c r="C183" s="27" t="str">
        <f>IF(INDEX(Contract[SM_AC_Split_Date__c],MATCH(Table5[[#This Row],[SM_Contract__c]],Contract[Id],0))=0,"",INDEX(Contract[SM_AC_Split_Date__c],MATCH(Table5[[#This Row],[SM_Contract__c]],Contract[Id],0)))</f>
        <v/>
      </c>
      <c r="D183" s="27">
        <f>IF(INDEX(Contract[SM_Start_date__c],MATCH(Table5[[#This Row],[SM_Contract__c]],Contract[Id],0))=0,"",INDEX(Contract[SM_Start_date__c],MATCH(Table5[[#This Row],[SM_Contract__c]],Contract[Id],0)))</f>
        <v>45930</v>
      </c>
      <c r="E183" s="4">
        <f ca="1">(YEAR(TODAY())-YEAR(Table5[[#This Row],[RC DATE]]))*12 + MONTH(TODAY())-MONTH(Table5[[#This Row],[RC DATE]])</f>
        <v>10</v>
      </c>
      <c r="F18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3" s="19">
        <f>IF(Table5[[#This Row],[Payment_Status__c]]="ACCEPTED",1,"")</f>
        <v>1</v>
      </c>
      <c r="H18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3" s="19">
        <f ca="1">Table5[[#This Row],['# months]]-COUNTIFS(Table5[SM_Contract__c],Table5[[#This Row],[SM_Contract__c]],Table5[TYPE],"SUBS",Table5[ACCEPTED],1)</f>
        <v>5</v>
      </c>
      <c r="J183" s="19" t="b">
        <f>ISNUMBER(MATCH(Table5[[#This Row],[SM_Contract__c]],Contract[Id],0))</f>
        <v>1</v>
      </c>
      <c r="K183" s="9" t="s">
        <v>2905</v>
      </c>
      <c r="L183" s="9" t="s">
        <v>2906</v>
      </c>
      <c r="M183" s="9" t="s">
        <v>407</v>
      </c>
      <c r="N183" s="9" t="s">
        <v>3708</v>
      </c>
      <c r="O183" s="9" t="s">
        <v>1563</v>
      </c>
      <c r="P183" s="9" t="s">
        <v>2363</v>
      </c>
      <c r="Q183" s="9" t="s">
        <v>83</v>
      </c>
      <c r="R183" s="9" t="s">
        <v>76</v>
      </c>
      <c r="S183" s="9" t="s">
        <v>91</v>
      </c>
      <c r="T183" s="9" t="s">
        <v>105</v>
      </c>
      <c r="U183" s="9" t="s">
        <v>91</v>
      </c>
      <c r="V183" s="9" t="s">
        <v>93</v>
      </c>
      <c r="W183" s="9" t="s">
        <v>3612</v>
      </c>
      <c r="X183" s="9" t="s">
        <v>2898</v>
      </c>
      <c r="Y183" s="9"/>
      <c r="Z183" s="9"/>
      <c r="AA183" s="9" t="s">
        <v>2898</v>
      </c>
    </row>
    <row r="184" spans="1:27" x14ac:dyDescent="0.35">
      <c r="A184" s="4" t="str">
        <f>IF(Table5[[#This Row],[SM_Amount__c]]="25.0","FEE",IF(IF(Table5[[#This Row],[SM_Original_Type__c]]="",Table5[[#This Row],[SM_Type__c]],Table5[[#This Row],[SM_Original_Type__c]])="AC","AC","SUBS"))</f>
        <v>SUBS</v>
      </c>
      <c r="B184" s="27">
        <f>IF(INDEX(Contract[SM_AC_start_date__c],MATCH(Table5[[#This Row],[SM_Contract__c]],Contract[Id],0))=0,"",INDEX(Contract[SM_AC_start_date__c],MATCH(Table5[[#This Row],[SM_Contract__c]],Contract[Id],0)))</f>
        <v>45874</v>
      </c>
      <c r="C184" s="27" t="str">
        <f>IF(INDEX(Contract[SM_AC_Split_Date__c],MATCH(Table5[[#This Row],[SM_Contract__c]],Contract[Id],0))=0,"",INDEX(Contract[SM_AC_Split_Date__c],MATCH(Table5[[#This Row],[SM_Contract__c]],Contract[Id],0)))</f>
        <v/>
      </c>
      <c r="D184" s="27">
        <f>IF(INDEX(Contract[SM_Start_date__c],MATCH(Table5[[#This Row],[SM_Contract__c]],Contract[Id],0))=0,"",INDEX(Contract[SM_Start_date__c],MATCH(Table5[[#This Row],[SM_Contract__c]],Contract[Id],0)))</f>
        <v>45930</v>
      </c>
      <c r="E184" s="4">
        <f ca="1">(YEAR(TODAY())-YEAR(Table5[[#This Row],[RC DATE]]))*12 + MONTH(TODAY())-MONTH(Table5[[#This Row],[RC DATE]])</f>
        <v>10</v>
      </c>
      <c r="F18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4" s="19">
        <f>IF(Table5[[#This Row],[Payment_Status__c]]="ACCEPTED",1,"")</f>
        <v>1</v>
      </c>
      <c r="H18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4" s="19">
        <f ca="1">Table5[[#This Row],['# months]]-COUNTIFS(Table5[SM_Contract__c],Table5[[#This Row],[SM_Contract__c]],Table5[TYPE],"SUBS",Table5[ACCEPTED],1)</f>
        <v>5</v>
      </c>
      <c r="J184" s="19" t="b">
        <f>ISNUMBER(MATCH(Table5[[#This Row],[SM_Contract__c]],Contract[Id],0))</f>
        <v>1</v>
      </c>
      <c r="K184" s="9" t="s">
        <v>2907</v>
      </c>
      <c r="L184" s="9" t="s">
        <v>2908</v>
      </c>
      <c r="M184" s="9" t="s">
        <v>407</v>
      </c>
      <c r="N184" s="9" t="s">
        <v>3708</v>
      </c>
      <c r="O184" s="9" t="s">
        <v>1563</v>
      </c>
      <c r="P184" s="9" t="s">
        <v>2363</v>
      </c>
      <c r="Q184" s="9" t="s">
        <v>83</v>
      </c>
      <c r="R184" s="9" t="s">
        <v>76</v>
      </c>
      <c r="S184" s="9" t="s">
        <v>91</v>
      </c>
      <c r="T184" s="9" t="s">
        <v>91</v>
      </c>
      <c r="U184" s="9" t="s">
        <v>91</v>
      </c>
      <c r="V184" s="9" t="s">
        <v>93</v>
      </c>
      <c r="W184" s="9" t="s">
        <v>3561</v>
      </c>
      <c r="X184" s="9" t="s">
        <v>2897</v>
      </c>
      <c r="Y184" s="9"/>
      <c r="Z184" s="9"/>
      <c r="AA184" s="9" t="s">
        <v>2897</v>
      </c>
    </row>
    <row r="185" spans="1:27" x14ac:dyDescent="0.35">
      <c r="A185" s="4" t="str">
        <f>IF(Table5[[#This Row],[SM_Amount__c]]="25.0","FEE",IF(IF(Table5[[#This Row],[SM_Original_Type__c]]="",Table5[[#This Row],[SM_Type__c]],Table5[[#This Row],[SM_Original_Type__c]])="AC","AC","SUBS"))</f>
        <v>SUBS</v>
      </c>
      <c r="B185" s="27">
        <f>IF(INDEX(Contract[SM_AC_start_date__c],MATCH(Table5[[#This Row],[SM_Contract__c]],Contract[Id],0))=0,"",INDEX(Contract[SM_AC_start_date__c],MATCH(Table5[[#This Row],[SM_Contract__c]],Contract[Id],0)))</f>
        <v>45874</v>
      </c>
      <c r="C185" s="27" t="str">
        <f>IF(INDEX(Contract[SM_AC_Split_Date__c],MATCH(Table5[[#This Row],[SM_Contract__c]],Contract[Id],0))=0,"",INDEX(Contract[SM_AC_Split_Date__c],MATCH(Table5[[#This Row],[SM_Contract__c]],Contract[Id],0)))</f>
        <v/>
      </c>
      <c r="D185" s="27">
        <f>IF(INDEX(Contract[SM_Start_date__c],MATCH(Table5[[#This Row],[SM_Contract__c]],Contract[Id],0))=0,"",INDEX(Contract[SM_Start_date__c],MATCH(Table5[[#This Row],[SM_Contract__c]],Contract[Id],0)))</f>
        <v>45930</v>
      </c>
      <c r="E185" s="4">
        <f ca="1">(YEAR(TODAY())-YEAR(Table5[[#This Row],[RC DATE]]))*12 + MONTH(TODAY())-MONTH(Table5[[#This Row],[RC DATE]])</f>
        <v>10</v>
      </c>
      <c r="F18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5" s="19">
        <f>IF(Table5[[#This Row],[Payment_Status__c]]="ACCEPTED",1,"")</f>
        <v>1</v>
      </c>
      <c r="H18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5" s="19">
        <f ca="1">Table5[[#This Row],['# months]]-COUNTIFS(Table5[SM_Contract__c],Table5[[#This Row],[SM_Contract__c]],Table5[TYPE],"SUBS",Table5[ACCEPTED],1)</f>
        <v>5</v>
      </c>
      <c r="J185" s="19" t="b">
        <f>ISNUMBER(MATCH(Table5[[#This Row],[SM_Contract__c]],Contract[Id],0))</f>
        <v>1</v>
      </c>
      <c r="K185" s="9" t="s">
        <v>2909</v>
      </c>
      <c r="L185" s="9" t="s">
        <v>2910</v>
      </c>
      <c r="M185" s="9" t="s">
        <v>407</v>
      </c>
      <c r="N185" s="9" t="s">
        <v>3708</v>
      </c>
      <c r="O185" s="9" t="s">
        <v>1563</v>
      </c>
      <c r="P185" s="9" t="s">
        <v>2363</v>
      </c>
      <c r="Q185" s="9" t="s">
        <v>83</v>
      </c>
      <c r="R185" s="9" t="s">
        <v>76</v>
      </c>
      <c r="S185" s="9" t="s">
        <v>91</v>
      </c>
      <c r="T185" s="9" t="s">
        <v>91</v>
      </c>
      <c r="U185" s="9" t="s">
        <v>91</v>
      </c>
      <c r="V185" s="9" t="s">
        <v>93</v>
      </c>
      <c r="W185" s="9" t="s">
        <v>3562</v>
      </c>
      <c r="X185" s="9" t="s">
        <v>2911</v>
      </c>
      <c r="Y185" s="9"/>
      <c r="Z185" s="9"/>
      <c r="AA185" s="9" t="s">
        <v>2911</v>
      </c>
    </row>
    <row r="186" spans="1:27" x14ac:dyDescent="0.35">
      <c r="A186" s="4" t="str">
        <f>IF(Table5[[#This Row],[SM_Amount__c]]="25.0","FEE",IF(IF(Table5[[#This Row],[SM_Original_Type__c]]="",Table5[[#This Row],[SM_Type__c]],Table5[[#This Row],[SM_Original_Type__c]])="AC","AC","SUBS"))</f>
        <v>SUBS</v>
      </c>
      <c r="B186" s="27">
        <f>IF(INDEX(Contract[SM_AC_start_date__c],MATCH(Table5[[#This Row],[SM_Contract__c]],Contract[Id],0))=0,"",INDEX(Contract[SM_AC_start_date__c],MATCH(Table5[[#This Row],[SM_Contract__c]],Contract[Id],0)))</f>
        <v>45874</v>
      </c>
      <c r="C186" s="27" t="str">
        <f>IF(INDEX(Contract[SM_AC_Split_Date__c],MATCH(Table5[[#This Row],[SM_Contract__c]],Contract[Id],0))=0,"",INDEX(Contract[SM_AC_Split_Date__c],MATCH(Table5[[#This Row],[SM_Contract__c]],Contract[Id],0)))</f>
        <v/>
      </c>
      <c r="D186" s="27">
        <f>IF(INDEX(Contract[SM_Start_date__c],MATCH(Table5[[#This Row],[SM_Contract__c]],Contract[Id],0))=0,"",INDEX(Contract[SM_Start_date__c],MATCH(Table5[[#This Row],[SM_Contract__c]],Contract[Id],0)))</f>
        <v>45930</v>
      </c>
      <c r="E186" s="4">
        <f ca="1">(YEAR(TODAY())-YEAR(Table5[[#This Row],[RC DATE]]))*12 + MONTH(TODAY())-MONTH(Table5[[#This Row],[RC DATE]])</f>
        <v>10</v>
      </c>
      <c r="F18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186" s="19">
        <f>IF(Table5[[#This Row],[Payment_Status__c]]="ACCEPTED",1,"")</f>
        <v>1</v>
      </c>
      <c r="H18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186" s="19">
        <f ca="1">Table5[[#This Row],['# months]]-COUNTIFS(Table5[SM_Contract__c],Table5[[#This Row],[SM_Contract__c]],Table5[TYPE],"SUBS",Table5[ACCEPTED],1)</f>
        <v>5</v>
      </c>
      <c r="J186" s="19" t="b">
        <f>ISNUMBER(MATCH(Table5[[#This Row],[SM_Contract__c]],Contract[Id],0))</f>
        <v>1</v>
      </c>
      <c r="K186" s="9" t="s">
        <v>2912</v>
      </c>
      <c r="L186" s="9" t="s">
        <v>2913</v>
      </c>
      <c r="M186" s="9" t="s">
        <v>407</v>
      </c>
      <c r="N186" s="9" t="s">
        <v>3708</v>
      </c>
      <c r="O186" s="9" t="s">
        <v>1563</v>
      </c>
      <c r="P186" s="9" t="s">
        <v>2363</v>
      </c>
      <c r="Q186" s="9" t="s">
        <v>83</v>
      </c>
      <c r="R186" s="9" t="s">
        <v>76</v>
      </c>
      <c r="S186" s="9" t="s">
        <v>91</v>
      </c>
      <c r="T186" s="9" t="s">
        <v>91</v>
      </c>
      <c r="U186" s="9" t="s">
        <v>91</v>
      </c>
      <c r="V186" s="9" t="s">
        <v>93</v>
      </c>
      <c r="W186" s="9" t="s">
        <v>3597</v>
      </c>
      <c r="X186" s="9" t="s">
        <v>2914</v>
      </c>
      <c r="Y186" s="9"/>
      <c r="Z186" s="9"/>
      <c r="AA186" s="9" t="s">
        <v>2914</v>
      </c>
    </row>
    <row r="187" spans="1:27" x14ac:dyDescent="0.35">
      <c r="A187" s="4" t="str">
        <f>IF(Table5[[#This Row],[SM_Amount__c]]="25.0","FEE",IF(IF(Table5[[#This Row],[SM_Original_Type__c]]="",Table5[[#This Row],[SM_Type__c]],Table5[[#This Row],[SM_Original_Type__c]])="AC","AC","SUBS"))</f>
        <v>AC</v>
      </c>
      <c r="B187" s="27">
        <f>IF(INDEX(Contract[SM_AC_start_date__c],MATCH(Table5[[#This Row],[SM_Contract__c]],Contract[Id],0))=0,"",INDEX(Contract[SM_AC_start_date__c],MATCH(Table5[[#This Row],[SM_Contract__c]],Contract[Id],0)))</f>
        <v>45899</v>
      </c>
      <c r="C187" s="27" t="str">
        <f>IF(INDEX(Contract[SM_AC_Split_Date__c],MATCH(Table5[[#This Row],[SM_Contract__c]],Contract[Id],0))=0,"",INDEX(Contract[SM_AC_Split_Date__c],MATCH(Table5[[#This Row],[SM_Contract__c]],Contract[Id],0)))</f>
        <v/>
      </c>
      <c r="D187" s="27">
        <f>IF(INDEX(Contract[SM_Start_date__c],MATCH(Table5[[#This Row],[SM_Contract__c]],Contract[Id],0))=0,"",INDEX(Contract[SM_Start_date__c],MATCH(Table5[[#This Row],[SM_Contract__c]],Contract[Id],0)))</f>
        <v>45930</v>
      </c>
      <c r="E187" s="4">
        <f ca="1">(YEAR(TODAY())-YEAR(Table5[[#This Row],[RC DATE]]))*12 + MONTH(TODAY())-MONTH(Table5[[#This Row],[RC DATE]])</f>
        <v>10</v>
      </c>
      <c r="F18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87" s="19">
        <f>IF(Table5[[#This Row],[Payment_Status__c]]="ACCEPTED",1,"")</f>
        <v>1</v>
      </c>
      <c r="H18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87" s="19">
        <f ca="1">Table5[[#This Row],['# months]]-COUNTIFS(Table5[SM_Contract__c],Table5[[#This Row],[SM_Contract__c]],Table5[TYPE],"SUBS",Table5[ACCEPTED],1)</f>
        <v>4</v>
      </c>
      <c r="J187" s="19" t="b">
        <f>ISNUMBER(MATCH(Table5[[#This Row],[SM_Contract__c]],Contract[Id],0))</f>
        <v>1</v>
      </c>
      <c r="K187" s="9" t="s">
        <v>2918</v>
      </c>
      <c r="L187" s="9" t="s">
        <v>2919</v>
      </c>
      <c r="M187" s="9" t="s">
        <v>415</v>
      </c>
      <c r="N187" s="9" t="s">
        <v>3709</v>
      </c>
      <c r="O187" s="9" t="s">
        <v>1563</v>
      </c>
      <c r="P187" s="9" t="s">
        <v>2363</v>
      </c>
      <c r="Q187" s="9" t="s">
        <v>71</v>
      </c>
      <c r="R187" s="9" t="s">
        <v>77</v>
      </c>
      <c r="S187" s="9" t="s">
        <v>2220</v>
      </c>
      <c r="T187" s="9" t="s">
        <v>450</v>
      </c>
      <c r="U187" s="9" t="s">
        <v>167</v>
      </c>
      <c r="V187" s="9" t="s">
        <v>148</v>
      </c>
      <c r="W187" s="9" t="s">
        <v>3602</v>
      </c>
      <c r="X187" s="9" t="s">
        <v>2920</v>
      </c>
      <c r="Y187" s="9"/>
      <c r="Z187" s="9" t="s">
        <v>444</v>
      </c>
      <c r="AA187" s="9" t="s">
        <v>2920</v>
      </c>
    </row>
    <row r="188" spans="1:27" x14ac:dyDescent="0.35">
      <c r="A188" s="4" t="str">
        <f>IF(Table5[[#This Row],[SM_Amount__c]]="25.0","FEE",IF(IF(Table5[[#This Row],[SM_Original_Type__c]]="",Table5[[#This Row],[SM_Type__c]],Table5[[#This Row],[SM_Original_Type__c]])="AC","AC","SUBS"))</f>
        <v>SUBS</v>
      </c>
      <c r="B188" s="27">
        <f>IF(INDEX(Contract[SM_AC_start_date__c],MATCH(Table5[[#This Row],[SM_Contract__c]],Contract[Id],0))=0,"",INDEX(Contract[SM_AC_start_date__c],MATCH(Table5[[#This Row],[SM_Contract__c]],Contract[Id],0)))</f>
        <v>45899</v>
      </c>
      <c r="C188" s="27" t="str">
        <f>IF(INDEX(Contract[SM_AC_Split_Date__c],MATCH(Table5[[#This Row],[SM_Contract__c]],Contract[Id],0))=0,"",INDEX(Contract[SM_AC_Split_Date__c],MATCH(Table5[[#This Row],[SM_Contract__c]],Contract[Id],0)))</f>
        <v/>
      </c>
      <c r="D188" s="27">
        <f>IF(INDEX(Contract[SM_Start_date__c],MATCH(Table5[[#This Row],[SM_Contract__c]],Contract[Id],0))=0,"",INDEX(Contract[SM_Start_date__c],MATCH(Table5[[#This Row],[SM_Contract__c]],Contract[Id],0)))</f>
        <v>45930</v>
      </c>
      <c r="E188" s="4">
        <f ca="1">(YEAR(TODAY())-YEAR(Table5[[#This Row],[RC DATE]]))*12 + MONTH(TODAY())-MONTH(Table5[[#This Row],[RC DATE]])</f>
        <v>10</v>
      </c>
      <c r="F18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88" s="19">
        <f>IF(Table5[[#This Row],[Payment_Status__c]]="ACCEPTED",1,"")</f>
        <v>1</v>
      </c>
      <c r="H18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88" s="19">
        <f ca="1">Table5[[#This Row],['# months]]-COUNTIFS(Table5[SM_Contract__c],Table5[[#This Row],[SM_Contract__c]],Table5[TYPE],"SUBS",Table5[ACCEPTED],1)</f>
        <v>4</v>
      </c>
      <c r="J188" s="19" t="b">
        <f>ISNUMBER(MATCH(Table5[[#This Row],[SM_Contract__c]],Contract[Id],0))</f>
        <v>1</v>
      </c>
      <c r="K188" s="9" t="s">
        <v>2921</v>
      </c>
      <c r="L188" s="9" t="s">
        <v>2922</v>
      </c>
      <c r="M188" s="9" t="s">
        <v>415</v>
      </c>
      <c r="N188" s="9" t="s">
        <v>3709</v>
      </c>
      <c r="O188" s="9" t="s">
        <v>1563</v>
      </c>
      <c r="P188" s="9" t="s">
        <v>2363</v>
      </c>
      <c r="Q188" s="9" t="s">
        <v>71</v>
      </c>
      <c r="R188" s="9" t="s">
        <v>83</v>
      </c>
      <c r="S188" s="9" t="s">
        <v>2220</v>
      </c>
      <c r="T188" s="9" t="s">
        <v>450</v>
      </c>
      <c r="U188" s="9" t="s">
        <v>167</v>
      </c>
      <c r="V188" s="9" t="s">
        <v>148</v>
      </c>
      <c r="W188" s="9" t="s">
        <v>3596</v>
      </c>
      <c r="X188" s="9" t="s">
        <v>2923</v>
      </c>
      <c r="Y188" s="9"/>
      <c r="Z188" s="9" t="s">
        <v>472</v>
      </c>
      <c r="AA188" s="9" t="s">
        <v>2923</v>
      </c>
    </row>
    <row r="189" spans="1:27" x14ac:dyDescent="0.35">
      <c r="A189" s="4" t="str">
        <f>IF(Table5[[#This Row],[SM_Amount__c]]="25.0","FEE",IF(IF(Table5[[#This Row],[SM_Original_Type__c]]="",Table5[[#This Row],[SM_Type__c]],Table5[[#This Row],[SM_Original_Type__c]])="AC","AC","SUBS"))</f>
        <v>SUBS</v>
      </c>
      <c r="B189" s="27">
        <f>IF(INDEX(Contract[SM_AC_start_date__c],MATCH(Table5[[#This Row],[SM_Contract__c]],Contract[Id],0))=0,"",INDEX(Contract[SM_AC_start_date__c],MATCH(Table5[[#This Row],[SM_Contract__c]],Contract[Id],0)))</f>
        <v>45899</v>
      </c>
      <c r="C189" s="27" t="str">
        <f>IF(INDEX(Contract[SM_AC_Split_Date__c],MATCH(Table5[[#This Row],[SM_Contract__c]],Contract[Id],0))=0,"",INDEX(Contract[SM_AC_Split_Date__c],MATCH(Table5[[#This Row],[SM_Contract__c]],Contract[Id],0)))</f>
        <v/>
      </c>
      <c r="D189" s="27">
        <f>IF(INDEX(Contract[SM_Start_date__c],MATCH(Table5[[#This Row],[SM_Contract__c]],Contract[Id],0))=0,"",INDEX(Contract[SM_Start_date__c],MATCH(Table5[[#This Row],[SM_Contract__c]],Contract[Id],0)))</f>
        <v>45930</v>
      </c>
      <c r="E189" s="4">
        <f ca="1">(YEAR(TODAY())-YEAR(Table5[[#This Row],[RC DATE]]))*12 + MONTH(TODAY())-MONTH(Table5[[#This Row],[RC DATE]])</f>
        <v>10</v>
      </c>
      <c r="F18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89" s="19">
        <f>IF(Table5[[#This Row],[Payment_Status__c]]="ACCEPTED",1,"")</f>
        <v>1</v>
      </c>
      <c r="H18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89" s="19">
        <f ca="1">Table5[[#This Row],['# months]]-COUNTIFS(Table5[SM_Contract__c],Table5[[#This Row],[SM_Contract__c]],Table5[TYPE],"SUBS",Table5[ACCEPTED],1)</f>
        <v>4</v>
      </c>
      <c r="J189" s="19" t="b">
        <f>ISNUMBER(MATCH(Table5[[#This Row],[SM_Contract__c]],Contract[Id],0))</f>
        <v>1</v>
      </c>
      <c r="K189" s="9" t="s">
        <v>2924</v>
      </c>
      <c r="L189" s="9" t="s">
        <v>2925</v>
      </c>
      <c r="M189" s="9" t="s">
        <v>415</v>
      </c>
      <c r="N189" s="9" t="s">
        <v>3709</v>
      </c>
      <c r="O189" s="9" t="s">
        <v>1563</v>
      </c>
      <c r="P189" s="9" t="s">
        <v>2363</v>
      </c>
      <c r="Q189" s="9" t="s">
        <v>83</v>
      </c>
      <c r="R189" s="9" t="s">
        <v>76</v>
      </c>
      <c r="S189" s="9" t="s">
        <v>167</v>
      </c>
      <c r="T189" s="9" t="s">
        <v>168</v>
      </c>
      <c r="U189" s="9" t="s">
        <v>167</v>
      </c>
      <c r="V189" s="9" t="s">
        <v>93</v>
      </c>
      <c r="W189" s="9" t="s">
        <v>3612</v>
      </c>
      <c r="X189" s="9" t="s">
        <v>2926</v>
      </c>
      <c r="Y189" s="9"/>
      <c r="Z189" s="9"/>
      <c r="AA189" s="9" t="s">
        <v>2926</v>
      </c>
    </row>
    <row r="190" spans="1:27" x14ac:dyDescent="0.35">
      <c r="A190" s="4" t="str">
        <f>IF(Table5[[#This Row],[SM_Amount__c]]="25.0","FEE",IF(IF(Table5[[#This Row],[SM_Original_Type__c]]="",Table5[[#This Row],[SM_Type__c]],Table5[[#This Row],[SM_Original_Type__c]])="AC","AC","SUBS"))</f>
        <v>SUBS</v>
      </c>
      <c r="B190" s="27">
        <f>IF(INDEX(Contract[SM_AC_start_date__c],MATCH(Table5[[#This Row],[SM_Contract__c]],Contract[Id],0))=0,"",INDEX(Contract[SM_AC_start_date__c],MATCH(Table5[[#This Row],[SM_Contract__c]],Contract[Id],0)))</f>
        <v>45899</v>
      </c>
      <c r="C190" s="27" t="str">
        <f>IF(INDEX(Contract[SM_AC_Split_Date__c],MATCH(Table5[[#This Row],[SM_Contract__c]],Contract[Id],0))=0,"",INDEX(Contract[SM_AC_Split_Date__c],MATCH(Table5[[#This Row],[SM_Contract__c]],Contract[Id],0)))</f>
        <v/>
      </c>
      <c r="D190" s="27">
        <f>IF(INDEX(Contract[SM_Start_date__c],MATCH(Table5[[#This Row],[SM_Contract__c]],Contract[Id],0))=0,"",INDEX(Contract[SM_Start_date__c],MATCH(Table5[[#This Row],[SM_Contract__c]],Contract[Id],0)))</f>
        <v>45930</v>
      </c>
      <c r="E190" s="4">
        <f ca="1">(YEAR(TODAY())-YEAR(Table5[[#This Row],[RC DATE]]))*12 + MONTH(TODAY())-MONTH(Table5[[#This Row],[RC DATE]])</f>
        <v>10</v>
      </c>
      <c r="F19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90" s="19">
        <f>IF(Table5[[#This Row],[Payment_Status__c]]="ACCEPTED",1,"")</f>
        <v>1</v>
      </c>
      <c r="H19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90" s="19">
        <f ca="1">Table5[[#This Row],['# months]]-COUNTIFS(Table5[SM_Contract__c],Table5[[#This Row],[SM_Contract__c]],Table5[TYPE],"SUBS",Table5[ACCEPTED],1)</f>
        <v>4</v>
      </c>
      <c r="J190" s="19" t="b">
        <f>ISNUMBER(MATCH(Table5[[#This Row],[SM_Contract__c]],Contract[Id],0))</f>
        <v>1</v>
      </c>
      <c r="K190" s="9" t="s">
        <v>2927</v>
      </c>
      <c r="L190" s="9" t="s">
        <v>2928</v>
      </c>
      <c r="M190" s="9" t="s">
        <v>415</v>
      </c>
      <c r="N190" s="9" t="s">
        <v>3709</v>
      </c>
      <c r="O190" s="9" t="s">
        <v>1563</v>
      </c>
      <c r="P190" s="9" t="s">
        <v>2363</v>
      </c>
      <c r="Q190" s="9" t="s">
        <v>83</v>
      </c>
      <c r="R190" s="9" t="s">
        <v>76</v>
      </c>
      <c r="S190" s="9" t="s">
        <v>167</v>
      </c>
      <c r="T190" s="9" t="s">
        <v>167</v>
      </c>
      <c r="U190" s="9" t="s">
        <v>167</v>
      </c>
      <c r="V190" s="9" t="s">
        <v>93</v>
      </c>
      <c r="W190" s="9" t="s">
        <v>3561</v>
      </c>
      <c r="X190" s="9" t="s">
        <v>2915</v>
      </c>
      <c r="Y190" s="9"/>
      <c r="Z190" s="9"/>
      <c r="AA190" s="9" t="s">
        <v>2915</v>
      </c>
    </row>
    <row r="191" spans="1:27" x14ac:dyDescent="0.35">
      <c r="A191" s="4" t="str">
        <f>IF(Table5[[#This Row],[SM_Amount__c]]="25.0","FEE",IF(IF(Table5[[#This Row],[SM_Original_Type__c]]="",Table5[[#This Row],[SM_Type__c]],Table5[[#This Row],[SM_Original_Type__c]])="AC","AC","SUBS"))</f>
        <v>SUBS</v>
      </c>
      <c r="B191" s="27">
        <f>IF(INDEX(Contract[SM_AC_start_date__c],MATCH(Table5[[#This Row],[SM_Contract__c]],Contract[Id],0))=0,"",INDEX(Contract[SM_AC_start_date__c],MATCH(Table5[[#This Row],[SM_Contract__c]],Contract[Id],0)))</f>
        <v>45899</v>
      </c>
      <c r="C191" s="27" t="str">
        <f>IF(INDEX(Contract[SM_AC_Split_Date__c],MATCH(Table5[[#This Row],[SM_Contract__c]],Contract[Id],0))=0,"",INDEX(Contract[SM_AC_Split_Date__c],MATCH(Table5[[#This Row],[SM_Contract__c]],Contract[Id],0)))</f>
        <v/>
      </c>
      <c r="D191" s="27">
        <f>IF(INDEX(Contract[SM_Start_date__c],MATCH(Table5[[#This Row],[SM_Contract__c]],Contract[Id],0))=0,"",INDEX(Contract[SM_Start_date__c],MATCH(Table5[[#This Row],[SM_Contract__c]],Contract[Id],0)))</f>
        <v>45930</v>
      </c>
      <c r="E191" s="4">
        <f ca="1">(YEAR(TODAY())-YEAR(Table5[[#This Row],[RC DATE]]))*12 + MONTH(TODAY())-MONTH(Table5[[#This Row],[RC DATE]])</f>
        <v>10</v>
      </c>
      <c r="F19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91" s="19">
        <f>IF(Table5[[#This Row],[Payment_Status__c]]="ACCEPTED",1,"")</f>
        <v>1</v>
      </c>
      <c r="H19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91" s="19">
        <f ca="1">Table5[[#This Row],['# months]]-COUNTIFS(Table5[SM_Contract__c],Table5[[#This Row],[SM_Contract__c]],Table5[TYPE],"SUBS",Table5[ACCEPTED],1)</f>
        <v>4</v>
      </c>
      <c r="J191" s="19" t="b">
        <f>ISNUMBER(MATCH(Table5[[#This Row],[SM_Contract__c]],Contract[Id],0))</f>
        <v>1</v>
      </c>
      <c r="K191" s="9" t="s">
        <v>2929</v>
      </c>
      <c r="L191" s="9" t="s">
        <v>2930</v>
      </c>
      <c r="M191" s="9" t="s">
        <v>415</v>
      </c>
      <c r="N191" s="9" t="s">
        <v>3709</v>
      </c>
      <c r="O191" s="9" t="s">
        <v>1563</v>
      </c>
      <c r="P191" s="9" t="s">
        <v>2363</v>
      </c>
      <c r="Q191" s="9" t="s">
        <v>83</v>
      </c>
      <c r="R191" s="9" t="s">
        <v>76</v>
      </c>
      <c r="S191" s="9" t="s">
        <v>167</v>
      </c>
      <c r="T191" s="9" t="s">
        <v>167</v>
      </c>
      <c r="U191" s="9" t="s">
        <v>167</v>
      </c>
      <c r="V191" s="9" t="s">
        <v>93</v>
      </c>
      <c r="W191" s="9" t="s">
        <v>3562</v>
      </c>
      <c r="X191" s="9" t="s">
        <v>2916</v>
      </c>
      <c r="Y191" s="9"/>
      <c r="Z191" s="9"/>
      <c r="AA191" s="9" t="s">
        <v>2916</v>
      </c>
    </row>
    <row r="192" spans="1:27" x14ac:dyDescent="0.35">
      <c r="A192" s="4" t="str">
        <f>IF(Table5[[#This Row],[SM_Amount__c]]="25.0","FEE",IF(IF(Table5[[#This Row],[SM_Original_Type__c]]="",Table5[[#This Row],[SM_Type__c]],Table5[[#This Row],[SM_Original_Type__c]])="AC","AC","SUBS"))</f>
        <v>SUBS</v>
      </c>
      <c r="B192" s="27">
        <f>IF(INDEX(Contract[SM_AC_start_date__c],MATCH(Table5[[#This Row],[SM_Contract__c]],Contract[Id],0))=0,"",INDEX(Contract[SM_AC_start_date__c],MATCH(Table5[[#This Row],[SM_Contract__c]],Contract[Id],0)))</f>
        <v>45899</v>
      </c>
      <c r="C192" s="27" t="str">
        <f>IF(INDEX(Contract[SM_AC_Split_Date__c],MATCH(Table5[[#This Row],[SM_Contract__c]],Contract[Id],0))=0,"",INDEX(Contract[SM_AC_Split_Date__c],MATCH(Table5[[#This Row],[SM_Contract__c]],Contract[Id],0)))</f>
        <v/>
      </c>
      <c r="D192" s="27">
        <f>IF(INDEX(Contract[SM_Start_date__c],MATCH(Table5[[#This Row],[SM_Contract__c]],Contract[Id],0))=0,"",INDEX(Contract[SM_Start_date__c],MATCH(Table5[[#This Row],[SM_Contract__c]],Contract[Id],0)))</f>
        <v>45930</v>
      </c>
      <c r="E192" s="4">
        <f ca="1">(YEAR(TODAY())-YEAR(Table5[[#This Row],[RC DATE]]))*12 + MONTH(TODAY())-MONTH(Table5[[#This Row],[RC DATE]])</f>
        <v>10</v>
      </c>
      <c r="F19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92" s="19">
        <f>IF(Table5[[#This Row],[Payment_Status__c]]="ACCEPTED",1,"")</f>
        <v>1</v>
      </c>
      <c r="H19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92" s="19">
        <f ca="1">Table5[[#This Row],['# months]]-COUNTIFS(Table5[SM_Contract__c],Table5[[#This Row],[SM_Contract__c]],Table5[TYPE],"SUBS",Table5[ACCEPTED],1)</f>
        <v>4</v>
      </c>
      <c r="J192" s="19" t="b">
        <f>ISNUMBER(MATCH(Table5[[#This Row],[SM_Contract__c]],Contract[Id],0))</f>
        <v>1</v>
      </c>
      <c r="K192" s="9" t="s">
        <v>2931</v>
      </c>
      <c r="L192" s="9" t="s">
        <v>2932</v>
      </c>
      <c r="M192" s="9" t="s">
        <v>415</v>
      </c>
      <c r="N192" s="9" t="s">
        <v>3709</v>
      </c>
      <c r="O192" s="9" t="s">
        <v>1563</v>
      </c>
      <c r="P192" s="9" t="s">
        <v>2363</v>
      </c>
      <c r="Q192" s="9" t="s">
        <v>71</v>
      </c>
      <c r="R192" s="9" t="s">
        <v>83</v>
      </c>
      <c r="S192" s="9" t="s">
        <v>2220</v>
      </c>
      <c r="T192" s="9" t="s">
        <v>2220</v>
      </c>
      <c r="U192" s="9" t="s">
        <v>167</v>
      </c>
      <c r="V192" s="9" t="s">
        <v>148</v>
      </c>
      <c r="W192" s="9" t="s">
        <v>3636</v>
      </c>
      <c r="X192" s="9" t="s">
        <v>2789</v>
      </c>
      <c r="Y192" s="9"/>
      <c r="Z192" s="9" t="s">
        <v>831</v>
      </c>
      <c r="AA192" s="9" t="s">
        <v>2789</v>
      </c>
    </row>
    <row r="193" spans="1:27" x14ac:dyDescent="0.35">
      <c r="A193" s="4" t="str">
        <f>IF(Table5[[#This Row],[SM_Amount__c]]="25.0","FEE",IF(IF(Table5[[#This Row],[SM_Original_Type__c]]="",Table5[[#This Row],[SM_Type__c]],Table5[[#This Row],[SM_Original_Type__c]])="AC","AC","SUBS"))</f>
        <v>SUBS</v>
      </c>
      <c r="B193" s="27">
        <f>IF(INDEX(Contract[SM_AC_start_date__c],MATCH(Table5[[#This Row],[SM_Contract__c]],Contract[Id],0))=0,"",INDEX(Contract[SM_AC_start_date__c],MATCH(Table5[[#This Row],[SM_Contract__c]],Contract[Id],0)))</f>
        <v>45899</v>
      </c>
      <c r="C193" s="27" t="str">
        <f>IF(INDEX(Contract[SM_AC_Split_Date__c],MATCH(Table5[[#This Row],[SM_Contract__c]],Contract[Id],0))=0,"",INDEX(Contract[SM_AC_Split_Date__c],MATCH(Table5[[#This Row],[SM_Contract__c]],Contract[Id],0)))</f>
        <v/>
      </c>
      <c r="D193" s="27">
        <f>IF(INDEX(Contract[SM_Start_date__c],MATCH(Table5[[#This Row],[SM_Contract__c]],Contract[Id],0))=0,"",INDEX(Contract[SM_Start_date__c],MATCH(Table5[[#This Row],[SM_Contract__c]],Contract[Id],0)))</f>
        <v>45930</v>
      </c>
      <c r="E193" s="4">
        <f ca="1">(YEAR(TODAY())-YEAR(Table5[[#This Row],[RC DATE]]))*12 + MONTH(TODAY())-MONTH(Table5[[#This Row],[RC DATE]])</f>
        <v>10</v>
      </c>
      <c r="F19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193" s="19">
        <f>IF(Table5[[#This Row],[Payment_Status__c]]="ACCEPTED",1,"")</f>
        <v>1</v>
      </c>
      <c r="H19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193" s="19">
        <f ca="1">Table5[[#This Row],['# months]]-COUNTIFS(Table5[SM_Contract__c],Table5[[#This Row],[SM_Contract__c]],Table5[TYPE],"SUBS",Table5[ACCEPTED],1)</f>
        <v>4</v>
      </c>
      <c r="J193" s="19" t="b">
        <f>ISNUMBER(MATCH(Table5[[#This Row],[SM_Contract__c]],Contract[Id],0))</f>
        <v>1</v>
      </c>
      <c r="K193" s="9" t="s">
        <v>2933</v>
      </c>
      <c r="L193" s="9" t="s">
        <v>2934</v>
      </c>
      <c r="M193" s="9" t="s">
        <v>415</v>
      </c>
      <c r="N193" s="9" t="s">
        <v>3709</v>
      </c>
      <c r="O193" s="9" t="s">
        <v>1563</v>
      </c>
      <c r="P193" s="9" t="s">
        <v>2363</v>
      </c>
      <c r="Q193" s="9" t="s">
        <v>83</v>
      </c>
      <c r="R193" s="9" t="s">
        <v>76</v>
      </c>
      <c r="S193" s="9" t="s">
        <v>167</v>
      </c>
      <c r="T193" s="9" t="s">
        <v>167</v>
      </c>
      <c r="U193" s="9" t="s">
        <v>167</v>
      </c>
      <c r="V193" s="9" t="s">
        <v>93</v>
      </c>
      <c r="W193" s="9" t="s">
        <v>3564</v>
      </c>
      <c r="X193" s="9" t="s">
        <v>2917</v>
      </c>
      <c r="Y193" s="9"/>
      <c r="Z193" s="9"/>
      <c r="AA193" s="9" t="s">
        <v>2917</v>
      </c>
    </row>
    <row r="194" spans="1:27" x14ac:dyDescent="0.35">
      <c r="A194" s="4" t="str">
        <f>IF(Table5[[#This Row],[SM_Amount__c]]="25.0","FEE",IF(IF(Table5[[#This Row],[SM_Original_Type__c]]="",Table5[[#This Row],[SM_Type__c]],Table5[[#This Row],[SM_Original_Type__c]])="AC","AC","SUBS"))</f>
        <v>AC</v>
      </c>
      <c r="B194" s="27">
        <f>IF(INDEX(Contract[SM_AC_start_date__c],MATCH(Table5[[#This Row],[SM_Contract__c]],Contract[Id],0))=0,"",INDEX(Contract[SM_AC_start_date__c],MATCH(Table5[[#This Row],[SM_Contract__c]],Contract[Id],0)))</f>
        <v>45894</v>
      </c>
      <c r="C194" s="27" t="str">
        <f>IF(INDEX(Contract[SM_AC_Split_Date__c],MATCH(Table5[[#This Row],[SM_Contract__c]],Contract[Id],0))=0,"",INDEX(Contract[SM_AC_Split_Date__c],MATCH(Table5[[#This Row],[SM_Contract__c]],Contract[Id],0)))</f>
        <v/>
      </c>
      <c r="D194" s="27">
        <f>IF(INDEX(Contract[SM_Start_date__c],MATCH(Table5[[#This Row],[SM_Contract__c]],Contract[Id],0))=0,"",INDEX(Contract[SM_Start_date__c],MATCH(Table5[[#This Row],[SM_Contract__c]],Contract[Id],0)))</f>
        <v>45930</v>
      </c>
      <c r="E194" s="4">
        <f ca="1">(YEAR(TODAY())-YEAR(Table5[[#This Row],[RC DATE]]))*12 + MONTH(TODAY())-MONTH(Table5[[#This Row],[RC DATE]])</f>
        <v>10</v>
      </c>
      <c r="F19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4" s="19">
        <f>IF(Table5[[#This Row],[Payment_Status__c]]="ACCEPTED",1,"")</f>
        <v>1</v>
      </c>
      <c r="H19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4" s="19">
        <f ca="1">Table5[[#This Row],['# months]]-COUNTIFS(Table5[SM_Contract__c],Table5[[#This Row],[SM_Contract__c]],Table5[TYPE],"SUBS",Table5[ACCEPTED],1)</f>
        <v>1</v>
      </c>
      <c r="J194" s="19" t="b">
        <f>ISNUMBER(MATCH(Table5[[#This Row],[SM_Contract__c]],Contract[Id],0))</f>
        <v>1</v>
      </c>
      <c r="K194" s="9" t="s">
        <v>2935</v>
      </c>
      <c r="L194" s="9" t="s">
        <v>2936</v>
      </c>
      <c r="M194" s="9" t="s">
        <v>424</v>
      </c>
      <c r="N194" s="9" t="s">
        <v>3710</v>
      </c>
      <c r="O194" s="9" t="s">
        <v>1563</v>
      </c>
      <c r="P194" s="9" t="s">
        <v>2363</v>
      </c>
      <c r="Q194" s="9" t="s">
        <v>77</v>
      </c>
      <c r="R194" s="9" t="s">
        <v>77</v>
      </c>
      <c r="S194" s="9" t="s">
        <v>2146</v>
      </c>
      <c r="T194" s="9" t="s">
        <v>1978</v>
      </c>
      <c r="U194" s="9" t="s">
        <v>2146</v>
      </c>
      <c r="V194" s="9" t="s">
        <v>93</v>
      </c>
      <c r="W194" s="9" t="s">
        <v>3641</v>
      </c>
      <c r="X194" s="9" t="s">
        <v>2937</v>
      </c>
      <c r="Y194" s="9"/>
      <c r="Z194" s="9"/>
      <c r="AA194" s="9" t="s">
        <v>2937</v>
      </c>
    </row>
    <row r="195" spans="1:27" x14ac:dyDescent="0.35">
      <c r="A195" s="4" t="str">
        <f>IF(Table5[[#This Row],[SM_Amount__c]]="25.0","FEE",IF(IF(Table5[[#This Row],[SM_Original_Type__c]]="",Table5[[#This Row],[SM_Type__c]],Table5[[#This Row],[SM_Original_Type__c]])="AC","AC","SUBS"))</f>
        <v>SUBS</v>
      </c>
      <c r="B195" s="27">
        <f>IF(INDEX(Contract[SM_AC_start_date__c],MATCH(Table5[[#This Row],[SM_Contract__c]],Contract[Id],0))=0,"",INDEX(Contract[SM_AC_start_date__c],MATCH(Table5[[#This Row],[SM_Contract__c]],Contract[Id],0)))</f>
        <v>45894</v>
      </c>
      <c r="C195" s="27" t="str">
        <f>IF(INDEX(Contract[SM_AC_Split_Date__c],MATCH(Table5[[#This Row],[SM_Contract__c]],Contract[Id],0))=0,"",INDEX(Contract[SM_AC_Split_Date__c],MATCH(Table5[[#This Row],[SM_Contract__c]],Contract[Id],0)))</f>
        <v/>
      </c>
      <c r="D195" s="27">
        <f>IF(INDEX(Contract[SM_Start_date__c],MATCH(Table5[[#This Row],[SM_Contract__c]],Contract[Id],0))=0,"",INDEX(Contract[SM_Start_date__c],MATCH(Table5[[#This Row],[SM_Contract__c]],Contract[Id],0)))</f>
        <v>45930</v>
      </c>
      <c r="E195" s="4">
        <f ca="1">(YEAR(TODAY())-YEAR(Table5[[#This Row],[RC DATE]]))*12 + MONTH(TODAY())-MONTH(Table5[[#This Row],[RC DATE]])</f>
        <v>10</v>
      </c>
      <c r="F19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5" s="19">
        <f>IF(Table5[[#This Row],[Payment_Status__c]]="ACCEPTED",1,"")</f>
        <v>1</v>
      </c>
      <c r="H19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5" s="19">
        <f ca="1">Table5[[#This Row],['# months]]-COUNTIFS(Table5[SM_Contract__c],Table5[[#This Row],[SM_Contract__c]],Table5[TYPE],"SUBS",Table5[ACCEPTED],1)</f>
        <v>1</v>
      </c>
      <c r="J195" s="19" t="b">
        <f>ISNUMBER(MATCH(Table5[[#This Row],[SM_Contract__c]],Contract[Id],0))</f>
        <v>1</v>
      </c>
      <c r="K195" s="9" t="s">
        <v>2938</v>
      </c>
      <c r="L195" s="9" t="s">
        <v>2939</v>
      </c>
      <c r="M195" s="9" t="s">
        <v>424</v>
      </c>
      <c r="N195" s="9" t="s">
        <v>3710</v>
      </c>
      <c r="O195" s="9" t="s">
        <v>1563</v>
      </c>
      <c r="P195" s="9" t="s">
        <v>2363</v>
      </c>
      <c r="Q195" s="9" t="s">
        <v>71</v>
      </c>
      <c r="R195" s="9" t="s">
        <v>83</v>
      </c>
      <c r="S195" s="9" t="s">
        <v>94</v>
      </c>
      <c r="T195" s="9" t="s">
        <v>1972</v>
      </c>
      <c r="U195" s="9" t="s">
        <v>106</v>
      </c>
      <c r="V195" s="9" t="s">
        <v>148</v>
      </c>
      <c r="W195" s="9" t="s">
        <v>3614</v>
      </c>
      <c r="X195" s="9" t="s">
        <v>2940</v>
      </c>
      <c r="Y195" s="9"/>
      <c r="Z195" s="9" t="s">
        <v>469</v>
      </c>
      <c r="AA195" s="9" t="s">
        <v>2940</v>
      </c>
    </row>
    <row r="196" spans="1:27" x14ac:dyDescent="0.35">
      <c r="A196" s="4" t="str">
        <f>IF(Table5[[#This Row],[SM_Amount__c]]="25.0","FEE",IF(IF(Table5[[#This Row],[SM_Original_Type__c]]="",Table5[[#This Row],[SM_Type__c]],Table5[[#This Row],[SM_Original_Type__c]])="AC","AC","SUBS"))</f>
        <v>SUBS</v>
      </c>
      <c r="B196" s="27">
        <f>IF(INDEX(Contract[SM_AC_start_date__c],MATCH(Table5[[#This Row],[SM_Contract__c]],Contract[Id],0))=0,"",INDEX(Contract[SM_AC_start_date__c],MATCH(Table5[[#This Row],[SM_Contract__c]],Contract[Id],0)))</f>
        <v>45894</v>
      </c>
      <c r="C196" s="27" t="str">
        <f>IF(INDEX(Contract[SM_AC_Split_Date__c],MATCH(Table5[[#This Row],[SM_Contract__c]],Contract[Id],0))=0,"",INDEX(Contract[SM_AC_Split_Date__c],MATCH(Table5[[#This Row],[SM_Contract__c]],Contract[Id],0)))</f>
        <v/>
      </c>
      <c r="D196" s="27">
        <f>IF(INDEX(Contract[SM_Start_date__c],MATCH(Table5[[#This Row],[SM_Contract__c]],Contract[Id],0))=0,"",INDEX(Contract[SM_Start_date__c],MATCH(Table5[[#This Row],[SM_Contract__c]],Contract[Id],0)))</f>
        <v>45930</v>
      </c>
      <c r="E196" s="4">
        <f ca="1">(YEAR(TODAY())-YEAR(Table5[[#This Row],[RC DATE]]))*12 + MONTH(TODAY())-MONTH(Table5[[#This Row],[RC DATE]])</f>
        <v>10</v>
      </c>
      <c r="F19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6" s="19">
        <f>IF(Table5[[#This Row],[Payment_Status__c]]="ACCEPTED",1,"")</f>
        <v>1</v>
      </c>
      <c r="H19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6" s="19">
        <f ca="1">Table5[[#This Row],['# months]]-COUNTIFS(Table5[SM_Contract__c],Table5[[#This Row],[SM_Contract__c]],Table5[TYPE],"SUBS",Table5[ACCEPTED],1)</f>
        <v>1</v>
      </c>
      <c r="J196" s="19" t="b">
        <f>ISNUMBER(MATCH(Table5[[#This Row],[SM_Contract__c]],Contract[Id],0))</f>
        <v>1</v>
      </c>
      <c r="K196" s="9" t="s">
        <v>2941</v>
      </c>
      <c r="L196" s="9" t="s">
        <v>2942</v>
      </c>
      <c r="M196" s="9" t="s">
        <v>424</v>
      </c>
      <c r="N196" s="9" t="s">
        <v>3710</v>
      </c>
      <c r="O196" s="9" t="s">
        <v>1563</v>
      </c>
      <c r="P196" s="9" t="s">
        <v>2363</v>
      </c>
      <c r="Q196" s="9" t="s">
        <v>83</v>
      </c>
      <c r="R196" s="9" t="s">
        <v>76</v>
      </c>
      <c r="S196" s="9" t="s">
        <v>106</v>
      </c>
      <c r="T196" s="9" t="s">
        <v>149</v>
      </c>
      <c r="U196" s="9" t="s">
        <v>106</v>
      </c>
      <c r="V196" s="9" t="s">
        <v>93</v>
      </c>
      <c r="W196" s="9" t="s">
        <v>3612</v>
      </c>
      <c r="X196" s="9" t="s">
        <v>2943</v>
      </c>
      <c r="Y196" s="9"/>
      <c r="Z196" s="9"/>
      <c r="AA196" s="9" t="s">
        <v>2943</v>
      </c>
    </row>
    <row r="197" spans="1:27" x14ac:dyDescent="0.35">
      <c r="A197" s="4" t="str">
        <f>IF(Table5[[#This Row],[SM_Amount__c]]="25.0","FEE",IF(IF(Table5[[#This Row],[SM_Original_Type__c]]="",Table5[[#This Row],[SM_Type__c]],Table5[[#This Row],[SM_Original_Type__c]])="AC","AC","SUBS"))</f>
        <v>SUBS</v>
      </c>
      <c r="B197" s="27">
        <f>IF(INDEX(Contract[SM_AC_start_date__c],MATCH(Table5[[#This Row],[SM_Contract__c]],Contract[Id],0))=0,"",INDEX(Contract[SM_AC_start_date__c],MATCH(Table5[[#This Row],[SM_Contract__c]],Contract[Id],0)))</f>
        <v>45894</v>
      </c>
      <c r="C197" s="27" t="str">
        <f>IF(INDEX(Contract[SM_AC_Split_Date__c],MATCH(Table5[[#This Row],[SM_Contract__c]],Contract[Id],0))=0,"",INDEX(Contract[SM_AC_Split_Date__c],MATCH(Table5[[#This Row],[SM_Contract__c]],Contract[Id],0)))</f>
        <v/>
      </c>
      <c r="D197" s="27">
        <f>IF(INDEX(Contract[SM_Start_date__c],MATCH(Table5[[#This Row],[SM_Contract__c]],Contract[Id],0))=0,"",INDEX(Contract[SM_Start_date__c],MATCH(Table5[[#This Row],[SM_Contract__c]],Contract[Id],0)))</f>
        <v>45930</v>
      </c>
      <c r="E197" s="4">
        <f ca="1">(YEAR(TODAY())-YEAR(Table5[[#This Row],[RC DATE]]))*12 + MONTH(TODAY())-MONTH(Table5[[#This Row],[RC DATE]])</f>
        <v>10</v>
      </c>
      <c r="F19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7" s="19">
        <f>IF(Table5[[#This Row],[Payment_Status__c]]="ACCEPTED",1,"")</f>
        <v>1</v>
      </c>
      <c r="H19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7" s="19">
        <f ca="1">Table5[[#This Row],['# months]]-COUNTIFS(Table5[SM_Contract__c],Table5[[#This Row],[SM_Contract__c]],Table5[TYPE],"SUBS",Table5[ACCEPTED],1)</f>
        <v>1</v>
      </c>
      <c r="J197" s="19" t="b">
        <f>ISNUMBER(MATCH(Table5[[#This Row],[SM_Contract__c]],Contract[Id],0))</f>
        <v>1</v>
      </c>
      <c r="K197" s="9" t="s">
        <v>2944</v>
      </c>
      <c r="L197" s="9" t="s">
        <v>2945</v>
      </c>
      <c r="M197" s="9" t="s">
        <v>424</v>
      </c>
      <c r="N197" s="9" t="s">
        <v>3710</v>
      </c>
      <c r="O197" s="9" t="s">
        <v>1563</v>
      </c>
      <c r="P197" s="9" t="s">
        <v>2363</v>
      </c>
      <c r="Q197" s="9" t="s">
        <v>71</v>
      </c>
      <c r="R197" s="9" t="s">
        <v>83</v>
      </c>
      <c r="S197" s="9" t="s">
        <v>94</v>
      </c>
      <c r="T197" s="9" t="s">
        <v>94</v>
      </c>
      <c r="U197" s="9" t="s">
        <v>106</v>
      </c>
      <c r="V197" s="9" t="s">
        <v>148</v>
      </c>
      <c r="W197" s="9" t="s">
        <v>3593</v>
      </c>
      <c r="X197" s="9" t="s">
        <v>2946</v>
      </c>
      <c r="Y197" s="9"/>
      <c r="Z197" s="9" t="s">
        <v>551</v>
      </c>
      <c r="AA197" s="9" t="s">
        <v>2946</v>
      </c>
    </row>
    <row r="198" spans="1:27" x14ac:dyDescent="0.35">
      <c r="A198" s="4" t="str">
        <f>IF(Table5[[#This Row],[SM_Amount__c]]="25.0","FEE",IF(IF(Table5[[#This Row],[SM_Original_Type__c]]="",Table5[[#This Row],[SM_Type__c]],Table5[[#This Row],[SM_Original_Type__c]])="AC","AC","SUBS"))</f>
        <v>SUBS</v>
      </c>
      <c r="B198" s="27">
        <f>IF(INDEX(Contract[SM_AC_start_date__c],MATCH(Table5[[#This Row],[SM_Contract__c]],Contract[Id],0))=0,"",INDEX(Contract[SM_AC_start_date__c],MATCH(Table5[[#This Row],[SM_Contract__c]],Contract[Id],0)))</f>
        <v>45894</v>
      </c>
      <c r="C198" s="27" t="str">
        <f>IF(INDEX(Contract[SM_AC_Split_Date__c],MATCH(Table5[[#This Row],[SM_Contract__c]],Contract[Id],0))=0,"",INDEX(Contract[SM_AC_Split_Date__c],MATCH(Table5[[#This Row],[SM_Contract__c]],Contract[Id],0)))</f>
        <v/>
      </c>
      <c r="D198" s="27">
        <f>IF(INDEX(Contract[SM_Start_date__c],MATCH(Table5[[#This Row],[SM_Contract__c]],Contract[Id],0))=0,"",INDEX(Contract[SM_Start_date__c],MATCH(Table5[[#This Row],[SM_Contract__c]],Contract[Id],0)))</f>
        <v>45930</v>
      </c>
      <c r="E198" s="4">
        <f ca="1">(YEAR(TODAY())-YEAR(Table5[[#This Row],[RC DATE]]))*12 + MONTH(TODAY())-MONTH(Table5[[#This Row],[RC DATE]])</f>
        <v>10</v>
      </c>
      <c r="F19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8" s="19">
        <f>IF(Table5[[#This Row],[Payment_Status__c]]="ACCEPTED",1,"")</f>
        <v>1</v>
      </c>
      <c r="H19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8" s="19">
        <f ca="1">Table5[[#This Row],['# months]]-COUNTIFS(Table5[SM_Contract__c],Table5[[#This Row],[SM_Contract__c]],Table5[TYPE],"SUBS",Table5[ACCEPTED],1)</f>
        <v>1</v>
      </c>
      <c r="J198" s="19" t="b">
        <f>ISNUMBER(MATCH(Table5[[#This Row],[SM_Contract__c]],Contract[Id],0))</f>
        <v>1</v>
      </c>
      <c r="K198" s="9" t="s">
        <v>2947</v>
      </c>
      <c r="L198" s="9" t="s">
        <v>2948</v>
      </c>
      <c r="M198" s="9" t="s">
        <v>424</v>
      </c>
      <c r="N198" s="9" t="s">
        <v>3710</v>
      </c>
      <c r="O198" s="9" t="s">
        <v>1563</v>
      </c>
      <c r="P198" s="9" t="s">
        <v>2363</v>
      </c>
      <c r="Q198" s="9" t="s">
        <v>83</v>
      </c>
      <c r="R198" s="9" t="s">
        <v>76</v>
      </c>
      <c r="S198" s="9" t="s">
        <v>106</v>
      </c>
      <c r="T198" s="9" t="s">
        <v>106</v>
      </c>
      <c r="U198" s="9" t="s">
        <v>106</v>
      </c>
      <c r="V198" s="9" t="s">
        <v>93</v>
      </c>
      <c r="W198" s="9" t="s">
        <v>3562</v>
      </c>
      <c r="X198" s="9" t="s">
        <v>2949</v>
      </c>
      <c r="Y198" s="9"/>
      <c r="Z198" s="9"/>
      <c r="AA198" s="9" t="s">
        <v>2949</v>
      </c>
    </row>
    <row r="199" spans="1:27" x14ac:dyDescent="0.35">
      <c r="A199" s="4" t="str">
        <f>IF(Table5[[#This Row],[SM_Amount__c]]="25.0","FEE",IF(IF(Table5[[#This Row],[SM_Original_Type__c]]="",Table5[[#This Row],[SM_Type__c]],Table5[[#This Row],[SM_Original_Type__c]])="AC","AC","SUBS"))</f>
        <v>SUBS</v>
      </c>
      <c r="B199" s="27">
        <f>IF(INDEX(Contract[SM_AC_start_date__c],MATCH(Table5[[#This Row],[SM_Contract__c]],Contract[Id],0))=0,"",INDEX(Contract[SM_AC_start_date__c],MATCH(Table5[[#This Row],[SM_Contract__c]],Contract[Id],0)))</f>
        <v>45894</v>
      </c>
      <c r="C199" s="27" t="str">
        <f>IF(INDEX(Contract[SM_AC_Split_Date__c],MATCH(Table5[[#This Row],[SM_Contract__c]],Contract[Id],0))=0,"",INDEX(Contract[SM_AC_Split_Date__c],MATCH(Table5[[#This Row],[SM_Contract__c]],Contract[Id],0)))</f>
        <v/>
      </c>
      <c r="D199" s="27">
        <f>IF(INDEX(Contract[SM_Start_date__c],MATCH(Table5[[#This Row],[SM_Contract__c]],Contract[Id],0))=0,"",INDEX(Contract[SM_Start_date__c],MATCH(Table5[[#This Row],[SM_Contract__c]],Contract[Id],0)))</f>
        <v>45930</v>
      </c>
      <c r="E199" s="4">
        <f ca="1">(YEAR(TODAY())-YEAR(Table5[[#This Row],[RC DATE]]))*12 + MONTH(TODAY())-MONTH(Table5[[#This Row],[RC DATE]])</f>
        <v>10</v>
      </c>
      <c r="F19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199" s="19">
        <f>IF(Table5[[#This Row],[Payment_Status__c]]="ACCEPTED",1,"")</f>
        <v>1</v>
      </c>
      <c r="H19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199" s="19">
        <f ca="1">Table5[[#This Row],['# months]]-COUNTIFS(Table5[SM_Contract__c],Table5[[#This Row],[SM_Contract__c]],Table5[TYPE],"SUBS",Table5[ACCEPTED],1)</f>
        <v>1</v>
      </c>
      <c r="J199" s="19" t="b">
        <f>ISNUMBER(MATCH(Table5[[#This Row],[SM_Contract__c]],Contract[Id],0))</f>
        <v>1</v>
      </c>
      <c r="K199" s="9" t="s">
        <v>2950</v>
      </c>
      <c r="L199" s="9" t="s">
        <v>2951</v>
      </c>
      <c r="M199" s="9" t="s">
        <v>424</v>
      </c>
      <c r="N199" s="9" t="s">
        <v>3710</v>
      </c>
      <c r="O199" s="9" t="s">
        <v>1563</v>
      </c>
      <c r="P199" s="9" t="s">
        <v>2363</v>
      </c>
      <c r="Q199" s="9" t="s">
        <v>83</v>
      </c>
      <c r="R199" s="9" t="s">
        <v>76</v>
      </c>
      <c r="S199" s="9" t="s">
        <v>106</v>
      </c>
      <c r="T199" s="9" t="s">
        <v>106</v>
      </c>
      <c r="U199" s="9" t="s">
        <v>106</v>
      </c>
      <c r="V199" s="9" t="s">
        <v>93</v>
      </c>
      <c r="W199" s="9" t="s">
        <v>3605</v>
      </c>
      <c r="X199" s="9" t="s">
        <v>2952</v>
      </c>
      <c r="Y199" s="9"/>
      <c r="Z199" s="9"/>
      <c r="AA199" s="9" t="s">
        <v>2952</v>
      </c>
    </row>
    <row r="200" spans="1:27" x14ac:dyDescent="0.35">
      <c r="A200" s="4" t="str">
        <f>IF(Table5[[#This Row],[SM_Amount__c]]="25.0","FEE",IF(IF(Table5[[#This Row],[SM_Original_Type__c]]="",Table5[[#This Row],[SM_Type__c]],Table5[[#This Row],[SM_Original_Type__c]])="AC","AC","SUBS"))</f>
        <v>SUBS</v>
      </c>
      <c r="B200" s="27">
        <f>IF(INDEX(Contract[SM_AC_start_date__c],MATCH(Table5[[#This Row],[SM_Contract__c]],Contract[Id],0))=0,"",INDEX(Contract[SM_AC_start_date__c],MATCH(Table5[[#This Row],[SM_Contract__c]],Contract[Id],0)))</f>
        <v>45894</v>
      </c>
      <c r="C200" s="27" t="str">
        <f>IF(INDEX(Contract[SM_AC_Split_Date__c],MATCH(Table5[[#This Row],[SM_Contract__c]],Contract[Id],0))=0,"",INDEX(Contract[SM_AC_Split_Date__c],MATCH(Table5[[#This Row],[SM_Contract__c]],Contract[Id],0)))</f>
        <v/>
      </c>
      <c r="D200" s="27">
        <f>IF(INDEX(Contract[SM_Start_date__c],MATCH(Table5[[#This Row],[SM_Contract__c]],Contract[Id],0))=0,"",INDEX(Contract[SM_Start_date__c],MATCH(Table5[[#This Row],[SM_Contract__c]],Contract[Id],0)))</f>
        <v>45930</v>
      </c>
      <c r="E200" s="4">
        <f ca="1">(YEAR(TODAY())-YEAR(Table5[[#This Row],[RC DATE]]))*12 + MONTH(TODAY())-MONTH(Table5[[#This Row],[RC DATE]])</f>
        <v>10</v>
      </c>
      <c r="F20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00" s="19">
        <f>IF(Table5[[#This Row],[Payment_Status__c]]="ACCEPTED",1,"")</f>
        <v>1</v>
      </c>
      <c r="H20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00" s="19">
        <f ca="1">Table5[[#This Row],['# months]]-COUNTIFS(Table5[SM_Contract__c],Table5[[#This Row],[SM_Contract__c]],Table5[TYPE],"SUBS",Table5[ACCEPTED],1)</f>
        <v>1</v>
      </c>
      <c r="J200" s="19" t="b">
        <f>ISNUMBER(MATCH(Table5[[#This Row],[SM_Contract__c]],Contract[Id],0))</f>
        <v>1</v>
      </c>
      <c r="K200" s="9" t="s">
        <v>2953</v>
      </c>
      <c r="L200" s="9" t="s">
        <v>2954</v>
      </c>
      <c r="M200" s="9" t="s">
        <v>424</v>
      </c>
      <c r="N200" s="9" t="s">
        <v>3710</v>
      </c>
      <c r="O200" s="9" t="s">
        <v>1563</v>
      </c>
      <c r="P200" s="9" t="s">
        <v>2363</v>
      </c>
      <c r="Q200" s="9" t="s">
        <v>83</v>
      </c>
      <c r="R200" s="9" t="s">
        <v>76</v>
      </c>
      <c r="S200" s="9" t="s">
        <v>106</v>
      </c>
      <c r="T200" s="9" t="s">
        <v>106</v>
      </c>
      <c r="U200" s="9" t="s">
        <v>106</v>
      </c>
      <c r="V200" s="9" t="s">
        <v>93</v>
      </c>
      <c r="W200" s="9" t="s">
        <v>3572</v>
      </c>
      <c r="X200" s="9" t="s">
        <v>2955</v>
      </c>
      <c r="Y200" s="9"/>
      <c r="Z200" s="9"/>
      <c r="AA200" s="9" t="s">
        <v>2955</v>
      </c>
    </row>
    <row r="201" spans="1:27" x14ac:dyDescent="0.35">
      <c r="A201" s="4" t="str">
        <f>IF(Table5[[#This Row],[SM_Amount__c]]="25.0","FEE",IF(IF(Table5[[#This Row],[SM_Original_Type__c]]="",Table5[[#This Row],[SM_Type__c]],Table5[[#This Row],[SM_Original_Type__c]])="AC","AC","SUBS"))</f>
        <v>SUBS</v>
      </c>
      <c r="B201" s="27">
        <f>IF(INDEX(Contract[SM_AC_start_date__c],MATCH(Table5[[#This Row],[SM_Contract__c]],Contract[Id],0))=0,"",INDEX(Contract[SM_AC_start_date__c],MATCH(Table5[[#This Row],[SM_Contract__c]],Contract[Id],0)))</f>
        <v>45894</v>
      </c>
      <c r="C201" s="27" t="str">
        <f>IF(INDEX(Contract[SM_AC_Split_Date__c],MATCH(Table5[[#This Row],[SM_Contract__c]],Contract[Id],0))=0,"",INDEX(Contract[SM_AC_Split_Date__c],MATCH(Table5[[#This Row],[SM_Contract__c]],Contract[Id],0)))</f>
        <v/>
      </c>
      <c r="D201" s="27">
        <f>IF(INDEX(Contract[SM_Start_date__c],MATCH(Table5[[#This Row],[SM_Contract__c]],Contract[Id],0))=0,"",INDEX(Contract[SM_Start_date__c],MATCH(Table5[[#This Row],[SM_Contract__c]],Contract[Id],0)))</f>
        <v>45930</v>
      </c>
      <c r="E201" s="4">
        <f ca="1">(YEAR(TODAY())-YEAR(Table5[[#This Row],[RC DATE]]))*12 + MONTH(TODAY())-MONTH(Table5[[#This Row],[RC DATE]])</f>
        <v>10</v>
      </c>
      <c r="F20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01" s="19">
        <f>IF(Table5[[#This Row],[Payment_Status__c]]="ACCEPTED",1,"")</f>
        <v>1</v>
      </c>
      <c r="H20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01" s="19">
        <f ca="1">Table5[[#This Row],['# months]]-COUNTIFS(Table5[SM_Contract__c],Table5[[#This Row],[SM_Contract__c]],Table5[TYPE],"SUBS",Table5[ACCEPTED],1)</f>
        <v>1</v>
      </c>
      <c r="J201" s="19" t="b">
        <f>ISNUMBER(MATCH(Table5[[#This Row],[SM_Contract__c]],Contract[Id],0))</f>
        <v>1</v>
      </c>
      <c r="K201" s="9" t="s">
        <v>2956</v>
      </c>
      <c r="L201" s="9" t="s">
        <v>2957</v>
      </c>
      <c r="M201" s="9" t="s">
        <v>424</v>
      </c>
      <c r="N201" s="9" t="s">
        <v>3710</v>
      </c>
      <c r="O201" s="9" t="s">
        <v>1563</v>
      </c>
      <c r="P201" s="9" t="s">
        <v>2363</v>
      </c>
      <c r="Q201" s="9" t="s">
        <v>83</v>
      </c>
      <c r="R201" s="9"/>
      <c r="S201" s="9" t="s">
        <v>106</v>
      </c>
      <c r="T201" s="9" t="s">
        <v>106</v>
      </c>
      <c r="U201" s="9" t="s">
        <v>106</v>
      </c>
      <c r="V201" s="9" t="s">
        <v>93</v>
      </c>
      <c r="W201" s="9" t="s">
        <v>3687</v>
      </c>
      <c r="X201" s="9" t="s">
        <v>2606</v>
      </c>
      <c r="Y201" s="9"/>
      <c r="Z201" s="9"/>
      <c r="AA201" s="9" t="s">
        <v>2606</v>
      </c>
    </row>
    <row r="202" spans="1:27" x14ac:dyDescent="0.35">
      <c r="A202" s="4" t="str">
        <f>IF(Table5[[#This Row],[SM_Amount__c]]="25.0","FEE",IF(IF(Table5[[#This Row],[SM_Original_Type__c]]="",Table5[[#This Row],[SM_Type__c]],Table5[[#This Row],[SM_Original_Type__c]])="AC","AC","SUBS"))</f>
        <v>SUBS</v>
      </c>
      <c r="B202" s="27">
        <f>IF(INDEX(Contract[SM_AC_start_date__c],MATCH(Table5[[#This Row],[SM_Contract__c]],Contract[Id],0))=0,"",INDEX(Contract[SM_AC_start_date__c],MATCH(Table5[[#This Row],[SM_Contract__c]],Contract[Id],0)))</f>
        <v>45894</v>
      </c>
      <c r="C202" s="27" t="str">
        <f>IF(INDEX(Contract[SM_AC_Split_Date__c],MATCH(Table5[[#This Row],[SM_Contract__c]],Contract[Id],0))=0,"",INDEX(Contract[SM_AC_Split_Date__c],MATCH(Table5[[#This Row],[SM_Contract__c]],Contract[Id],0)))</f>
        <v/>
      </c>
      <c r="D202" s="27">
        <f>IF(INDEX(Contract[SM_Start_date__c],MATCH(Table5[[#This Row],[SM_Contract__c]],Contract[Id],0))=0,"",INDEX(Contract[SM_Start_date__c],MATCH(Table5[[#This Row],[SM_Contract__c]],Contract[Id],0)))</f>
        <v>45930</v>
      </c>
      <c r="E202" s="4">
        <f ca="1">(YEAR(TODAY())-YEAR(Table5[[#This Row],[RC DATE]]))*12 + MONTH(TODAY())-MONTH(Table5[[#This Row],[RC DATE]])</f>
        <v>10</v>
      </c>
      <c r="F20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02" s="19">
        <f>IF(Table5[[#This Row],[Payment_Status__c]]="ACCEPTED",1,"")</f>
        <v>1</v>
      </c>
      <c r="H20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02" s="19">
        <f ca="1">Table5[[#This Row],['# months]]-COUNTIFS(Table5[SM_Contract__c],Table5[[#This Row],[SM_Contract__c]],Table5[TYPE],"SUBS",Table5[ACCEPTED],1)</f>
        <v>1</v>
      </c>
      <c r="J202" s="19" t="b">
        <f>ISNUMBER(MATCH(Table5[[#This Row],[SM_Contract__c]],Contract[Id],0))</f>
        <v>1</v>
      </c>
      <c r="K202" s="9" t="s">
        <v>2958</v>
      </c>
      <c r="L202" s="9" t="s">
        <v>2959</v>
      </c>
      <c r="M202" s="9" t="s">
        <v>424</v>
      </c>
      <c r="N202" s="9" t="s">
        <v>3710</v>
      </c>
      <c r="O202" s="9" t="s">
        <v>1563</v>
      </c>
      <c r="P202" s="9" t="s">
        <v>2363</v>
      </c>
      <c r="Q202" s="9" t="s">
        <v>71</v>
      </c>
      <c r="R202" s="9" t="s">
        <v>83</v>
      </c>
      <c r="S202" s="9" t="s">
        <v>94</v>
      </c>
      <c r="T202" s="9" t="s">
        <v>94</v>
      </c>
      <c r="U202" s="9" t="s">
        <v>106</v>
      </c>
      <c r="V202" s="9" t="s">
        <v>148</v>
      </c>
      <c r="W202" s="9" t="s">
        <v>3564</v>
      </c>
      <c r="X202" s="9" t="s">
        <v>2960</v>
      </c>
      <c r="Y202" s="9"/>
      <c r="Z202" s="9" t="s">
        <v>944</v>
      </c>
      <c r="AA202" s="9" t="s">
        <v>2960</v>
      </c>
    </row>
    <row r="203" spans="1:27" x14ac:dyDescent="0.35">
      <c r="A203" s="4" t="str">
        <f>IF(Table5[[#This Row],[SM_Amount__c]]="25.0","FEE",IF(IF(Table5[[#This Row],[SM_Original_Type__c]]="",Table5[[#This Row],[SM_Type__c]],Table5[[#This Row],[SM_Original_Type__c]])="AC","AC","SUBS"))</f>
        <v>SUBS</v>
      </c>
      <c r="B203" s="27">
        <f>IF(INDEX(Contract[SM_AC_start_date__c],MATCH(Table5[[#This Row],[SM_Contract__c]],Contract[Id],0))=0,"",INDEX(Contract[SM_AC_start_date__c],MATCH(Table5[[#This Row],[SM_Contract__c]],Contract[Id],0)))</f>
        <v>45894</v>
      </c>
      <c r="C203" s="27" t="str">
        <f>IF(INDEX(Contract[SM_AC_Split_Date__c],MATCH(Table5[[#This Row],[SM_Contract__c]],Contract[Id],0))=0,"",INDEX(Contract[SM_AC_Split_Date__c],MATCH(Table5[[#This Row],[SM_Contract__c]],Contract[Id],0)))</f>
        <v/>
      </c>
      <c r="D203" s="27">
        <f>IF(INDEX(Contract[SM_Start_date__c],MATCH(Table5[[#This Row],[SM_Contract__c]],Contract[Id],0))=0,"",INDEX(Contract[SM_Start_date__c],MATCH(Table5[[#This Row],[SM_Contract__c]],Contract[Id],0)))</f>
        <v>45930</v>
      </c>
      <c r="E203" s="4">
        <f ca="1">(YEAR(TODAY())-YEAR(Table5[[#This Row],[RC DATE]]))*12 + MONTH(TODAY())-MONTH(Table5[[#This Row],[RC DATE]])</f>
        <v>10</v>
      </c>
      <c r="F20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46203</v>
      </c>
      <c r="G203" s="19">
        <f>IF(Table5[[#This Row],[Payment_Status__c]]="ACCEPTED",1,"")</f>
        <v>1</v>
      </c>
      <c r="H20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03" s="19">
        <f ca="1">Table5[[#This Row],['# months]]-COUNTIFS(Table5[SM_Contract__c],Table5[[#This Row],[SM_Contract__c]],Table5[TYPE],"SUBS",Table5[ACCEPTED],1)</f>
        <v>1</v>
      </c>
      <c r="J203" s="19" t="b">
        <f>ISNUMBER(MATCH(Table5[[#This Row],[SM_Contract__c]],Contract[Id],0))</f>
        <v>1</v>
      </c>
      <c r="K203" s="9" t="s">
        <v>2961</v>
      </c>
      <c r="L203" s="9" t="s">
        <v>2962</v>
      </c>
      <c r="M203" s="9" t="s">
        <v>424</v>
      </c>
      <c r="N203" s="9" t="s">
        <v>3710</v>
      </c>
      <c r="O203" s="9" t="s">
        <v>1563</v>
      </c>
      <c r="P203" s="9" t="s">
        <v>2363</v>
      </c>
      <c r="Q203" s="9" t="s">
        <v>83</v>
      </c>
      <c r="R203" s="9" t="s">
        <v>76</v>
      </c>
      <c r="S203" s="9" t="s">
        <v>106</v>
      </c>
      <c r="T203" s="9" t="s">
        <v>106</v>
      </c>
      <c r="U203" s="9" t="s">
        <v>106</v>
      </c>
      <c r="V203" s="9" t="s">
        <v>93</v>
      </c>
      <c r="W203" s="9" t="s">
        <v>3606</v>
      </c>
      <c r="X203" s="9" t="s">
        <v>2963</v>
      </c>
      <c r="Y203" s="9"/>
      <c r="Z203" s="9"/>
      <c r="AA203" s="9" t="s">
        <v>2963</v>
      </c>
    </row>
    <row r="204" spans="1:27" x14ac:dyDescent="0.35">
      <c r="A204" s="4" t="str">
        <f>IF(Table5[[#This Row],[SM_Amount__c]]="25.0","FEE",IF(IF(Table5[[#This Row],[SM_Original_Type__c]]="",Table5[[#This Row],[SM_Type__c]],Table5[[#This Row],[SM_Original_Type__c]])="AC","AC","SUBS"))</f>
        <v>AC</v>
      </c>
      <c r="B204" s="27">
        <f>IF(INDEX(Contract[SM_AC_start_date__c],MATCH(Table5[[#This Row],[SM_Contract__c]],Contract[Id],0))=0,"",INDEX(Contract[SM_AC_start_date__c],MATCH(Table5[[#This Row],[SM_Contract__c]],Contract[Id],0)))</f>
        <v>45944</v>
      </c>
      <c r="C204" s="27" t="str">
        <f>IF(INDEX(Contract[SM_AC_Split_Date__c],MATCH(Table5[[#This Row],[SM_Contract__c]],Contract[Id],0))=0,"",INDEX(Contract[SM_AC_Split_Date__c],MATCH(Table5[[#This Row],[SM_Contract__c]],Contract[Id],0)))</f>
        <v/>
      </c>
      <c r="D204" s="27">
        <f>IF(INDEX(Contract[SM_Start_date__c],MATCH(Table5[[#This Row],[SM_Contract__c]],Contract[Id],0))=0,"",INDEX(Contract[SM_Start_date__c],MATCH(Table5[[#This Row],[SM_Contract__c]],Contract[Id],0)))</f>
        <v>45991</v>
      </c>
      <c r="E204" s="4">
        <f ca="1">(YEAR(TODAY())-YEAR(Table5[[#This Row],[RC DATE]]))*12 + MONTH(TODAY())-MONTH(Table5[[#This Row],[RC DATE]])</f>
        <v>8</v>
      </c>
      <c r="F20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4" s="19">
        <f>IF(Table5[[#This Row],[Payment_Status__c]]="ACCEPTED",1,"")</f>
        <v>1</v>
      </c>
      <c r="H20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4" s="19">
        <f ca="1">Table5[[#This Row],['# months]]-COUNTIFS(Table5[SM_Contract__c],Table5[[#This Row],[SM_Contract__c]],Table5[TYPE],"SUBS",Table5[ACCEPTED],1)</f>
        <v>5</v>
      </c>
      <c r="J204" s="19" t="b">
        <f>ISNUMBER(MATCH(Table5[[#This Row],[SM_Contract__c]],Contract[Id],0))</f>
        <v>1</v>
      </c>
      <c r="K204" s="9" t="s">
        <v>2966</v>
      </c>
      <c r="L204" s="9" t="s">
        <v>2967</v>
      </c>
      <c r="M204" s="9" t="s">
        <v>480</v>
      </c>
      <c r="N204" s="9" t="s">
        <v>3712</v>
      </c>
      <c r="O204" s="9" t="s">
        <v>1563</v>
      </c>
      <c r="P204" s="9" t="s">
        <v>2363</v>
      </c>
      <c r="Q204" s="9" t="s">
        <v>77</v>
      </c>
      <c r="R204" s="9" t="s">
        <v>77</v>
      </c>
      <c r="S204" s="9" t="s">
        <v>2078</v>
      </c>
      <c r="T204" s="9" t="s">
        <v>2078</v>
      </c>
      <c r="U204" s="9" t="s">
        <v>2078</v>
      </c>
      <c r="V204" s="9" t="s">
        <v>93</v>
      </c>
      <c r="W204" s="9" t="s">
        <v>3696</v>
      </c>
      <c r="X204" s="9" t="s">
        <v>2968</v>
      </c>
      <c r="Y204" s="9"/>
      <c r="Z204" s="9"/>
      <c r="AA204" s="9" t="s">
        <v>2968</v>
      </c>
    </row>
    <row r="205" spans="1:27" x14ac:dyDescent="0.35">
      <c r="A205" s="4" t="str">
        <f>IF(Table5[[#This Row],[SM_Amount__c]]="25.0","FEE",IF(IF(Table5[[#This Row],[SM_Original_Type__c]]="",Table5[[#This Row],[SM_Type__c]],Table5[[#This Row],[SM_Original_Type__c]])="AC","AC","SUBS"))</f>
        <v>SUBS</v>
      </c>
      <c r="B205" s="27">
        <f>IF(INDEX(Contract[SM_AC_start_date__c],MATCH(Table5[[#This Row],[SM_Contract__c]],Contract[Id],0))=0,"",INDEX(Contract[SM_AC_start_date__c],MATCH(Table5[[#This Row],[SM_Contract__c]],Contract[Id],0)))</f>
        <v>45944</v>
      </c>
      <c r="C205" s="27" t="str">
        <f>IF(INDEX(Contract[SM_AC_Split_Date__c],MATCH(Table5[[#This Row],[SM_Contract__c]],Contract[Id],0))=0,"",INDEX(Contract[SM_AC_Split_Date__c],MATCH(Table5[[#This Row],[SM_Contract__c]],Contract[Id],0)))</f>
        <v/>
      </c>
      <c r="D205" s="27">
        <f>IF(INDEX(Contract[SM_Start_date__c],MATCH(Table5[[#This Row],[SM_Contract__c]],Contract[Id],0))=0,"",INDEX(Contract[SM_Start_date__c],MATCH(Table5[[#This Row],[SM_Contract__c]],Contract[Id],0)))</f>
        <v>45991</v>
      </c>
      <c r="E205" s="4">
        <f ca="1">(YEAR(TODAY())-YEAR(Table5[[#This Row],[RC DATE]]))*12 + MONTH(TODAY())-MONTH(Table5[[#This Row],[RC DATE]])</f>
        <v>8</v>
      </c>
      <c r="F20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5" s="19">
        <f>IF(Table5[[#This Row],[Payment_Status__c]]="ACCEPTED",1,"")</f>
        <v>1</v>
      </c>
      <c r="H20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5" s="19">
        <f ca="1">Table5[[#This Row],['# months]]-COUNTIFS(Table5[SM_Contract__c],Table5[[#This Row],[SM_Contract__c]],Table5[TYPE],"SUBS",Table5[ACCEPTED],1)</f>
        <v>5</v>
      </c>
      <c r="J205" s="19" t="b">
        <f>ISNUMBER(MATCH(Table5[[#This Row],[SM_Contract__c]],Contract[Id],0))</f>
        <v>1</v>
      </c>
      <c r="K205" s="9" t="s">
        <v>2969</v>
      </c>
      <c r="L205" s="9" t="s">
        <v>2970</v>
      </c>
      <c r="M205" s="9" t="s">
        <v>480</v>
      </c>
      <c r="N205" s="9" t="s">
        <v>3712</v>
      </c>
      <c r="O205" s="9" t="s">
        <v>1563</v>
      </c>
      <c r="P205" s="9" t="s">
        <v>2363</v>
      </c>
      <c r="Q205" s="9" t="s">
        <v>71</v>
      </c>
      <c r="R205" s="9" t="s">
        <v>83</v>
      </c>
      <c r="S205" s="9" t="s">
        <v>95</v>
      </c>
      <c r="T205" s="9" t="s">
        <v>95</v>
      </c>
      <c r="U205" s="9" t="s">
        <v>100</v>
      </c>
      <c r="V205" s="9" t="s">
        <v>148</v>
      </c>
      <c r="W205" s="9" t="s">
        <v>3635</v>
      </c>
      <c r="X205" s="9" t="s">
        <v>2971</v>
      </c>
      <c r="Y205" s="9"/>
      <c r="Z205" s="9" t="s">
        <v>688</v>
      </c>
      <c r="AA205" s="9" t="s">
        <v>2971</v>
      </c>
    </row>
    <row r="206" spans="1:27" x14ac:dyDescent="0.35">
      <c r="A206" s="4" t="str">
        <f>IF(Table5[[#This Row],[SM_Amount__c]]="25.0","FEE",IF(IF(Table5[[#This Row],[SM_Original_Type__c]]="",Table5[[#This Row],[SM_Type__c]],Table5[[#This Row],[SM_Original_Type__c]])="AC","AC","SUBS"))</f>
        <v>SUBS</v>
      </c>
      <c r="B206" s="27">
        <f>IF(INDEX(Contract[SM_AC_start_date__c],MATCH(Table5[[#This Row],[SM_Contract__c]],Contract[Id],0))=0,"",INDEX(Contract[SM_AC_start_date__c],MATCH(Table5[[#This Row],[SM_Contract__c]],Contract[Id],0)))</f>
        <v>45944</v>
      </c>
      <c r="C206" s="27" t="str">
        <f>IF(INDEX(Contract[SM_AC_Split_Date__c],MATCH(Table5[[#This Row],[SM_Contract__c]],Contract[Id],0))=0,"",INDEX(Contract[SM_AC_Split_Date__c],MATCH(Table5[[#This Row],[SM_Contract__c]],Contract[Id],0)))</f>
        <v/>
      </c>
      <c r="D206" s="27">
        <f>IF(INDEX(Contract[SM_Start_date__c],MATCH(Table5[[#This Row],[SM_Contract__c]],Contract[Id],0))=0,"",INDEX(Contract[SM_Start_date__c],MATCH(Table5[[#This Row],[SM_Contract__c]],Contract[Id],0)))</f>
        <v>45991</v>
      </c>
      <c r="E206" s="4">
        <f ca="1">(YEAR(TODAY())-YEAR(Table5[[#This Row],[RC DATE]]))*12 + MONTH(TODAY())-MONTH(Table5[[#This Row],[RC DATE]])</f>
        <v>8</v>
      </c>
      <c r="F20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6" s="19">
        <f>IF(Table5[[#This Row],[Payment_Status__c]]="ACCEPTED",1,"")</f>
        <v>1</v>
      </c>
      <c r="H20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6" s="19">
        <f ca="1">Table5[[#This Row],['# months]]-COUNTIFS(Table5[SM_Contract__c],Table5[[#This Row],[SM_Contract__c]],Table5[TYPE],"SUBS",Table5[ACCEPTED],1)</f>
        <v>5</v>
      </c>
      <c r="J206" s="19" t="b">
        <f>ISNUMBER(MATCH(Table5[[#This Row],[SM_Contract__c]],Contract[Id],0))</f>
        <v>1</v>
      </c>
      <c r="K206" s="9" t="s">
        <v>2972</v>
      </c>
      <c r="L206" s="9" t="s">
        <v>2973</v>
      </c>
      <c r="M206" s="9" t="s">
        <v>480</v>
      </c>
      <c r="N206" s="9" t="s">
        <v>3712</v>
      </c>
      <c r="O206" s="9" t="s">
        <v>1563</v>
      </c>
      <c r="P206" s="9" t="s">
        <v>2363</v>
      </c>
      <c r="Q206" s="9" t="s">
        <v>71</v>
      </c>
      <c r="R206" s="9" t="s">
        <v>83</v>
      </c>
      <c r="S206" s="9" t="s">
        <v>95</v>
      </c>
      <c r="T206" s="9" t="s">
        <v>95</v>
      </c>
      <c r="U206" s="9" t="s">
        <v>100</v>
      </c>
      <c r="V206" s="9" t="s">
        <v>148</v>
      </c>
      <c r="W206" s="9" t="s">
        <v>3635</v>
      </c>
      <c r="X206" s="9" t="s">
        <v>2974</v>
      </c>
      <c r="Y206" s="9"/>
      <c r="Z206" s="9" t="s">
        <v>554</v>
      </c>
      <c r="AA206" s="9" t="s">
        <v>2974</v>
      </c>
    </row>
    <row r="207" spans="1:27" x14ac:dyDescent="0.35">
      <c r="A207" s="4" t="str">
        <f>IF(Table5[[#This Row],[SM_Amount__c]]="25.0","FEE",IF(IF(Table5[[#This Row],[SM_Original_Type__c]]="",Table5[[#This Row],[SM_Type__c]],Table5[[#This Row],[SM_Original_Type__c]])="AC","AC","SUBS"))</f>
        <v>SUBS</v>
      </c>
      <c r="B207" s="27">
        <f>IF(INDEX(Contract[SM_AC_start_date__c],MATCH(Table5[[#This Row],[SM_Contract__c]],Contract[Id],0))=0,"",INDEX(Contract[SM_AC_start_date__c],MATCH(Table5[[#This Row],[SM_Contract__c]],Contract[Id],0)))</f>
        <v>45944</v>
      </c>
      <c r="C207" s="27" t="str">
        <f>IF(INDEX(Contract[SM_AC_Split_Date__c],MATCH(Table5[[#This Row],[SM_Contract__c]],Contract[Id],0))=0,"",INDEX(Contract[SM_AC_Split_Date__c],MATCH(Table5[[#This Row],[SM_Contract__c]],Contract[Id],0)))</f>
        <v/>
      </c>
      <c r="D207" s="27">
        <f>IF(INDEX(Contract[SM_Start_date__c],MATCH(Table5[[#This Row],[SM_Contract__c]],Contract[Id],0))=0,"",INDEX(Contract[SM_Start_date__c],MATCH(Table5[[#This Row],[SM_Contract__c]],Contract[Id],0)))</f>
        <v>45991</v>
      </c>
      <c r="E207" s="4">
        <f ca="1">(YEAR(TODAY())-YEAR(Table5[[#This Row],[RC DATE]]))*12 + MONTH(TODAY())-MONTH(Table5[[#This Row],[RC DATE]])</f>
        <v>8</v>
      </c>
      <c r="F20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7" s="19">
        <f>IF(Table5[[#This Row],[Payment_Status__c]]="ACCEPTED",1,"")</f>
        <v>1</v>
      </c>
      <c r="H20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7" s="19">
        <f ca="1">Table5[[#This Row],['# months]]-COUNTIFS(Table5[SM_Contract__c],Table5[[#This Row],[SM_Contract__c]],Table5[TYPE],"SUBS",Table5[ACCEPTED],1)</f>
        <v>5</v>
      </c>
      <c r="J207" s="19" t="b">
        <f>ISNUMBER(MATCH(Table5[[#This Row],[SM_Contract__c]],Contract[Id],0))</f>
        <v>1</v>
      </c>
      <c r="K207" s="9" t="s">
        <v>2975</v>
      </c>
      <c r="L207" s="9" t="s">
        <v>2976</v>
      </c>
      <c r="M207" s="9" t="s">
        <v>480</v>
      </c>
      <c r="N207" s="9" t="s">
        <v>3712</v>
      </c>
      <c r="O207" s="9" t="s">
        <v>1563</v>
      </c>
      <c r="P207" s="9" t="s">
        <v>2363</v>
      </c>
      <c r="Q207" s="9" t="s">
        <v>71</v>
      </c>
      <c r="R207" s="9" t="s">
        <v>83</v>
      </c>
      <c r="S207" s="9" t="s">
        <v>95</v>
      </c>
      <c r="T207" s="9" t="s">
        <v>95</v>
      </c>
      <c r="U207" s="9" t="s">
        <v>100</v>
      </c>
      <c r="V207" s="9" t="s">
        <v>148</v>
      </c>
      <c r="W207" s="9" t="s">
        <v>3646</v>
      </c>
      <c r="X207" s="9" t="s">
        <v>2977</v>
      </c>
      <c r="Y207" s="9"/>
      <c r="Z207" s="9" t="s">
        <v>896</v>
      </c>
      <c r="AA207" s="9" t="s">
        <v>2977</v>
      </c>
    </row>
    <row r="208" spans="1:27" x14ac:dyDescent="0.35">
      <c r="A208" s="4" t="str">
        <f>IF(Table5[[#This Row],[SM_Amount__c]]="25.0","FEE",IF(IF(Table5[[#This Row],[SM_Original_Type__c]]="",Table5[[#This Row],[SM_Type__c]],Table5[[#This Row],[SM_Original_Type__c]])="AC","AC","SUBS"))</f>
        <v>AC</v>
      </c>
      <c r="B208" s="27">
        <f>IF(INDEX(Contract[SM_AC_start_date__c],MATCH(Table5[[#This Row],[SM_Contract__c]],Contract[Id],0))=0,"",INDEX(Contract[SM_AC_start_date__c],MATCH(Table5[[#This Row],[SM_Contract__c]],Contract[Id],0)))</f>
        <v>45961</v>
      </c>
      <c r="C208" s="27" t="str">
        <f>IF(INDEX(Contract[SM_AC_Split_Date__c],MATCH(Table5[[#This Row],[SM_Contract__c]],Contract[Id],0))=0,"",INDEX(Contract[SM_AC_Split_Date__c],MATCH(Table5[[#This Row],[SM_Contract__c]],Contract[Id],0)))</f>
        <v/>
      </c>
      <c r="D208" s="27">
        <f>IF(INDEX(Contract[SM_Start_date__c],MATCH(Table5[[#This Row],[SM_Contract__c]],Contract[Id],0))=0,"",INDEX(Contract[SM_Start_date__c],MATCH(Table5[[#This Row],[SM_Contract__c]],Contract[Id],0)))</f>
        <v>45991</v>
      </c>
      <c r="E208" s="4">
        <f ca="1">(YEAR(TODAY())-YEAR(Table5[[#This Row],[RC DATE]]))*12 + MONTH(TODAY())-MONTH(Table5[[#This Row],[RC DATE]])</f>
        <v>8</v>
      </c>
      <c r="F20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8" s="19">
        <f>IF(Table5[[#This Row],[Payment_Status__c]]="ACCEPTED",1,"")</f>
        <v>1</v>
      </c>
      <c r="H20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8" s="19">
        <f ca="1">Table5[[#This Row],['# months]]-COUNTIFS(Table5[SM_Contract__c],Table5[[#This Row],[SM_Contract__c]],Table5[TYPE],"SUBS",Table5[ACCEPTED],1)</f>
        <v>5</v>
      </c>
      <c r="J208" s="19" t="b">
        <f>ISNUMBER(MATCH(Table5[[#This Row],[SM_Contract__c]],Contract[Id],0))</f>
        <v>1</v>
      </c>
      <c r="K208" s="9" t="s">
        <v>2979</v>
      </c>
      <c r="L208" s="9" t="s">
        <v>2980</v>
      </c>
      <c r="M208" s="9" t="s">
        <v>490</v>
      </c>
      <c r="N208" s="9" t="s">
        <v>3713</v>
      </c>
      <c r="O208" s="9" t="s">
        <v>1563</v>
      </c>
      <c r="P208" s="9" t="s">
        <v>2363</v>
      </c>
      <c r="Q208" s="9" t="s">
        <v>77</v>
      </c>
      <c r="R208" s="9" t="s">
        <v>77</v>
      </c>
      <c r="S208" s="9" t="s">
        <v>2078</v>
      </c>
      <c r="T208" s="9" t="s">
        <v>2078</v>
      </c>
      <c r="U208" s="9" t="s">
        <v>2078</v>
      </c>
      <c r="V208" s="9" t="s">
        <v>93</v>
      </c>
      <c r="W208" s="9" t="s">
        <v>3570</v>
      </c>
      <c r="X208" s="9" t="s">
        <v>2978</v>
      </c>
      <c r="Y208" s="9"/>
      <c r="Z208" s="9"/>
      <c r="AA208" s="9" t="s">
        <v>2978</v>
      </c>
    </row>
    <row r="209" spans="1:27" x14ac:dyDescent="0.35">
      <c r="A209" s="4" t="str">
        <f>IF(Table5[[#This Row],[SM_Amount__c]]="25.0","FEE",IF(IF(Table5[[#This Row],[SM_Original_Type__c]]="",Table5[[#This Row],[SM_Type__c]],Table5[[#This Row],[SM_Original_Type__c]])="AC","AC","SUBS"))</f>
        <v>SUBS</v>
      </c>
      <c r="B209" s="27">
        <f>IF(INDEX(Contract[SM_AC_start_date__c],MATCH(Table5[[#This Row],[SM_Contract__c]],Contract[Id],0))=0,"",INDEX(Contract[SM_AC_start_date__c],MATCH(Table5[[#This Row],[SM_Contract__c]],Contract[Id],0)))</f>
        <v>45961</v>
      </c>
      <c r="C209" s="27" t="str">
        <f>IF(INDEX(Contract[SM_AC_Split_Date__c],MATCH(Table5[[#This Row],[SM_Contract__c]],Contract[Id],0))=0,"",INDEX(Contract[SM_AC_Split_Date__c],MATCH(Table5[[#This Row],[SM_Contract__c]],Contract[Id],0)))</f>
        <v/>
      </c>
      <c r="D209" s="27">
        <f>IF(INDEX(Contract[SM_Start_date__c],MATCH(Table5[[#This Row],[SM_Contract__c]],Contract[Id],0))=0,"",INDEX(Contract[SM_Start_date__c],MATCH(Table5[[#This Row],[SM_Contract__c]],Contract[Id],0)))</f>
        <v>45991</v>
      </c>
      <c r="E209" s="4">
        <f ca="1">(YEAR(TODAY())-YEAR(Table5[[#This Row],[RC DATE]]))*12 + MONTH(TODAY())-MONTH(Table5[[#This Row],[RC DATE]])</f>
        <v>8</v>
      </c>
      <c r="F20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09" s="19">
        <f>IF(Table5[[#This Row],[Payment_Status__c]]="ACCEPTED",1,"")</f>
        <v>1</v>
      </c>
      <c r="H20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09" s="19">
        <f ca="1">Table5[[#This Row],['# months]]-COUNTIFS(Table5[SM_Contract__c],Table5[[#This Row],[SM_Contract__c]],Table5[TYPE],"SUBS",Table5[ACCEPTED],1)</f>
        <v>5</v>
      </c>
      <c r="J209" s="19" t="b">
        <f>ISNUMBER(MATCH(Table5[[#This Row],[SM_Contract__c]],Contract[Id],0))</f>
        <v>1</v>
      </c>
      <c r="K209" s="9" t="s">
        <v>2981</v>
      </c>
      <c r="L209" s="9" t="s">
        <v>2982</v>
      </c>
      <c r="M209" s="9" t="s">
        <v>490</v>
      </c>
      <c r="N209" s="9" t="s">
        <v>3713</v>
      </c>
      <c r="O209" s="9" t="s">
        <v>1563</v>
      </c>
      <c r="P209" s="9" t="s">
        <v>2363</v>
      </c>
      <c r="Q209" s="9" t="s">
        <v>83</v>
      </c>
      <c r="R209" s="9" t="s">
        <v>76</v>
      </c>
      <c r="S209" s="9" t="s">
        <v>100</v>
      </c>
      <c r="T209" s="9" t="s">
        <v>100</v>
      </c>
      <c r="U209" s="9" t="s">
        <v>100</v>
      </c>
      <c r="V209" s="9" t="s">
        <v>93</v>
      </c>
      <c r="W209" s="9" t="s">
        <v>3561</v>
      </c>
      <c r="X209" s="9" t="s">
        <v>2965</v>
      </c>
      <c r="Y209" s="9"/>
      <c r="Z209" s="9"/>
      <c r="AA209" s="9" t="s">
        <v>2965</v>
      </c>
    </row>
    <row r="210" spans="1:27" x14ac:dyDescent="0.35">
      <c r="A210" s="4" t="str">
        <f>IF(Table5[[#This Row],[SM_Amount__c]]="25.0","FEE",IF(IF(Table5[[#This Row],[SM_Original_Type__c]]="",Table5[[#This Row],[SM_Type__c]],Table5[[#This Row],[SM_Original_Type__c]])="AC","AC","SUBS"))</f>
        <v>SUBS</v>
      </c>
      <c r="B210" s="27">
        <f>IF(INDEX(Contract[SM_AC_start_date__c],MATCH(Table5[[#This Row],[SM_Contract__c]],Contract[Id],0))=0,"",INDEX(Contract[SM_AC_start_date__c],MATCH(Table5[[#This Row],[SM_Contract__c]],Contract[Id],0)))</f>
        <v>45961</v>
      </c>
      <c r="C210" s="27" t="str">
        <f>IF(INDEX(Contract[SM_AC_Split_Date__c],MATCH(Table5[[#This Row],[SM_Contract__c]],Contract[Id],0))=0,"",INDEX(Contract[SM_AC_Split_Date__c],MATCH(Table5[[#This Row],[SM_Contract__c]],Contract[Id],0)))</f>
        <v/>
      </c>
      <c r="D210" s="27">
        <f>IF(INDEX(Contract[SM_Start_date__c],MATCH(Table5[[#This Row],[SM_Contract__c]],Contract[Id],0))=0,"",INDEX(Contract[SM_Start_date__c],MATCH(Table5[[#This Row],[SM_Contract__c]],Contract[Id],0)))</f>
        <v>45991</v>
      </c>
      <c r="E210" s="4">
        <f ca="1">(YEAR(TODAY())-YEAR(Table5[[#This Row],[RC DATE]]))*12 + MONTH(TODAY())-MONTH(Table5[[#This Row],[RC DATE]])</f>
        <v>8</v>
      </c>
      <c r="F21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0" s="19">
        <f>IF(Table5[[#This Row],[Payment_Status__c]]="ACCEPTED",1,"")</f>
        <v>1</v>
      </c>
      <c r="H21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0" s="19">
        <f ca="1">Table5[[#This Row],['# months]]-COUNTIFS(Table5[SM_Contract__c],Table5[[#This Row],[SM_Contract__c]],Table5[TYPE],"SUBS",Table5[ACCEPTED],1)</f>
        <v>5</v>
      </c>
      <c r="J210" s="19" t="b">
        <f>ISNUMBER(MATCH(Table5[[#This Row],[SM_Contract__c]],Contract[Id],0))</f>
        <v>1</v>
      </c>
      <c r="K210" s="9" t="s">
        <v>2983</v>
      </c>
      <c r="L210" s="9" t="s">
        <v>2984</v>
      </c>
      <c r="M210" s="9" t="s">
        <v>490</v>
      </c>
      <c r="N210" s="9" t="s">
        <v>3713</v>
      </c>
      <c r="O210" s="9" t="s">
        <v>1563</v>
      </c>
      <c r="P210" s="9" t="s">
        <v>2363</v>
      </c>
      <c r="Q210" s="9" t="s">
        <v>83</v>
      </c>
      <c r="R210" s="9" t="s">
        <v>76</v>
      </c>
      <c r="S210" s="9" t="s">
        <v>100</v>
      </c>
      <c r="T210" s="9" t="s">
        <v>100</v>
      </c>
      <c r="U210" s="9" t="s">
        <v>100</v>
      </c>
      <c r="V210" s="9" t="s">
        <v>93</v>
      </c>
      <c r="W210" s="9" t="s">
        <v>3562</v>
      </c>
      <c r="X210" s="9" t="s">
        <v>2985</v>
      </c>
      <c r="Y210" s="9"/>
      <c r="Z210" s="9"/>
      <c r="AA210" s="9" t="s">
        <v>2985</v>
      </c>
    </row>
    <row r="211" spans="1:27" x14ac:dyDescent="0.35">
      <c r="A211" s="4" t="str">
        <f>IF(Table5[[#This Row],[SM_Amount__c]]="25.0","FEE",IF(IF(Table5[[#This Row],[SM_Original_Type__c]]="",Table5[[#This Row],[SM_Type__c]],Table5[[#This Row],[SM_Original_Type__c]])="AC","AC","SUBS"))</f>
        <v>SUBS</v>
      </c>
      <c r="B211" s="27">
        <f>IF(INDEX(Contract[SM_AC_start_date__c],MATCH(Table5[[#This Row],[SM_Contract__c]],Contract[Id],0))=0,"",INDEX(Contract[SM_AC_start_date__c],MATCH(Table5[[#This Row],[SM_Contract__c]],Contract[Id],0)))</f>
        <v>45961</v>
      </c>
      <c r="C211" s="27" t="str">
        <f>IF(INDEX(Contract[SM_AC_Split_Date__c],MATCH(Table5[[#This Row],[SM_Contract__c]],Contract[Id],0))=0,"",INDEX(Contract[SM_AC_Split_Date__c],MATCH(Table5[[#This Row],[SM_Contract__c]],Contract[Id],0)))</f>
        <v/>
      </c>
      <c r="D211" s="27">
        <f>IF(INDEX(Contract[SM_Start_date__c],MATCH(Table5[[#This Row],[SM_Contract__c]],Contract[Id],0))=0,"",INDEX(Contract[SM_Start_date__c],MATCH(Table5[[#This Row],[SM_Contract__c]],Contract[Id],0)))</f>
        <v>45991</v>
      </c>
      <c r="E211" s="4">
        <f ca="1">(YEAR(TODAY())-YEAR(Table5[[#This Row],[RC DATE]]))*12 + MONTH(TODAY())-MONTH(Table5[[#This Row],[RC DATE]])</f>
        <v>8</v>
      </c>
      <c r="F21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1" s="19">
        <f>IF(Table5[[#This Row],[Payment_Status__c]]="ACCEPTED",1,"")</f>
        <v>1</v>
      </c>
      <c r="H21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1" s="19">
        <f ca="1">Table5[[#This Row],['# months]]-COUNTIFS(Table5[SM_Contract__c],Table5[[#This Row],[SM_Contract__c]],Table5[TYPE],"SUBS",Table5[ACCEPTED],1)</f>
        <v>5</v>
      </c>
      <c r="J211" s="19" t="b">
        <f>ISNUMBER(MATCH(Table5[[#This Row],[SM_Contract__c]],Contract[Id],0))</f>
        <v>1</v>
      </c>
      <c r="K211" s="9" t="s">
        <v>2986</v>
      </c>
      <c r="L211" s="9" t="s">
        <v>2987</v>
      </c>
      <c r="M211" s="9" t="s">
        <v>490</v>
      </c>
      <c r="N211" s="9" t="s">
        <v>3713</v>
      </c>
      <c r="O211" s="9" t="s">
        <v>1563</v>
      </c>
      <c r="P211" s="9" t="s">
        <v>2363</v>
      </c>
      <c r="Q211" s="9" t="s">
        <v>83</v>
      </c>
      <c r="R211" s="9" t="s">
        <v>76</v>
      </c>
      <c r="S211" s="9" t="s">
        <v>100</v>
      </c>
      <c r="T211" s="9" t="s">
        <v>100</v>
      </c>
      <c r="U211" s="9" t="s">
        <v>100</v>
      </c>
      <c r="V211" s="9" t="s">
        <v>93</v>
      </c>
      <c r="W211" s="9" t="s">
        <v>3597</v>
      </c>
      <c r="X211" s="9" t="s">
        <v>2988</v>
      </c>
      <c r="Y211" s="9"/>
      <c r="Z211" s="9"/>
      <c r="AA211" s="9" t="s">
        <v>2988</v>
      </c>
    </row>
    <row r="212" spans="1:27" x14ac:dyDescent="0.35">
      <c r="A212" s="4" t="str">
        <f>IF(Table5[[#This Row],[SM_Amount__c]]="25.0","FEE",IF(IF(Table5[[#This Row],[SM_Original_Type__c]]="",Table5[[#This Row],[SM_Type__c]],Table5[[#This Row],[SM_Original_Type__c]])="AC","AC","SUBS"))</f>
        <v>AC</v>
      </c>
      <c r="B212" s="27">
        <f>IF(INDEX(Contract[SM_AC_start_date__c],MATCH(Table5[[#This Row],[SM_Contract__c]],Contract[Id],0))=0,"",INDEX(Contract[SM_AC_start_date__c],MATCH(Table5[[#This Row],[SM_Contract__c]],Contract[Id],0)))</f>
        <v>45974</v>
      </c>
      <c r="C212" s="27">
        <f>IF(INDEX(Contract[SM_AC_Split_Date__c],MATCH(Table5[[#This Row],[SM_Contract__c]],Contract[Id],0))=0,"",INDEX(Contract[SM_AC_Split_Date__c],MATCH(Table5[[#This Row],[SM_Contract__c]],Contract[Id],0)))</f>
        <v>45988</v>
      </c>
      <c r="D212" s="27">
        <f>IF(INDEX(Contract[SM_Start_date__c],MATCH(Table5[[#This Row],[SM_Contract__c]],Contract[Id],0))=0,"",INDEX(Contract[SM_Start_date__c],MATCH(Table5[[#This Row],[SM_Contract__c]],Contract[Id],0)))</f>
        <v>46021</v>
      </c>
      <c r="E212" s="4">
        <f ca="1">(YEAR(TODAY())-YEAR(Table5[[#This Row],[RC DATE]]))*12 + MONTH(TODAY())-MONTH(Table5[[#This Row],[RC DATE]])</f>
        <v>7</v>
      </c>
      <c r="F21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2" s="19">
        <f>IF(Table5[[#This Row],[Payment_Status__c]]="ACCEPTED",1,"")</f>
        <v>1</v>
      </c>
      <c r="H21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2" s="19">
        <f ca="1">Table5[[#This Row],['# months]]-COUNTIFS(Table5[SM_Contract__c],Table5[[#This Row],[SM_Contract__c]],Table5[TYPE],"SUBS",Table5[ACCEPTED],1)</f>
        <v>5</v>
      </c>
      <c r="J212" s="19" t="b">
        <f>ISNUMBER(MATCH(Table5[[#This Row],[SM_Contract__c]],Contract[Id],0))</f>
        <v>1</v>
      </c>
      <c r="K212" s="9" t="s">
        <v>2991</v>
      </c>
      <c r="L212" s="9" t="s">
        <v>2992</v>
      </c>
      <c r="M212" s="9" t="s">
        <v>516</v>
      </c>
      <c r="N212" s="9" t="s">
        <v>3714</v>
      </c>
      <c r="O212" s="9" t="s">
        <v>1563</v>
      </c>
      <c r="P212" s="9" t="s">
        <v>2363</v>
      </c>
      <c r="Q212" s="9" t="s">
        <v>77</v>
      </c>
      <c r="R212" s="9" t="s">
        <v>77</v>
      </c>
      <c r="S212" s="9" t="s">
        <v>2094</v>
      </c>
      <c r="T212" s="9" t="s">
        <v>2094</v>
      </c>
      <c r="U212" s="9" t="s">
        <v>2094</v>
      </c>
      <c r="V212" s="9" t="s">
        <v>93</v>
      </c>
      <c r="W212" s="9" t="s">
        <v>3657</v>
      </c>
      <c r="X212" s="9" t="s">
        <v>2993</v>
      </c>
      <c r="Y212" s="9"/>
      <c r="Z212" s="9"/>
      <c r="AA212" s="9" t="s">
        <v>2993</v>
      </c>
    </row>
    <row r="213" spans="1:27" x14ac:dyDescent="0.35">
      <c r="A213" s="4" t="str">
        <f>IF(Table5[[#This Row],[SM_Amount__c]]="25.0","FEE",IF(IF(Table5[[#This Row],[SM_Original_Type__c]]="",Table5[[#This Row],[SM_Type__c]],Table5[[#This Row],[SM_Original_Type__c]])="AC","AC","SUBS"))</f>
        <v>AC</v>
      </c>
      <c r="B213" s="27">
        <f>IF(INDEX(Contract[SM_AC_start_date__c],MATCH(Table5[[#This Row],[SM_Contract__c]],Contract[Id],0))=0,"",INDEX(Contract[SM_AC_start_date__c],MATCH(Table5[[#This Row],[SM_Contract__c]],Contract[Id],0)))</f>
        <v>45974</v>
      </c>
      <c r="C213" s="27">
        <f>IF(INDEX(Contract[SM_AC_Split_Date__c],MATCH(Table5[[#This Row],[SM_Contract__c]],Contract[Id],0))=0,"",INDEX(Contract[SM_AC_Split_Date__c],MATCH(Table5[[#This Row],[SM_Contract__c]],Contract[Id],0)))</f>
        <v>45988</v>
      </c>
      <c r="D213" s="27">
        <f>IF(INDEX(Contract[SM_Start_date__c],MATCH(Table5[[#This Row],[SM_Contract__c]],Contract[Id],0))=0,"",INDEX(Contract[SM_Start_date__c],MATCH(Table5[[#This Row],[SM_Contract__c]],Contract[Id],0)))</f>
        <v>46021</v>
      </c>
      <c r="E213" s="4">
        <f ca="1">(YEAR(TODAY())-YEAR(Table5[[#This Row],[RC DATE]]))*12 + MONTH(TODAY())-MONTH(Table5[[#This Row],[RC DATE]])</f>
        <v>7</v>
      </c>
      <c r="F21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3" s="19">
        <f>IF(Table5[[#This Row],[Payment_Status__c]]="ACCEPTED",1,"")</f>
        <v>1</v>
      </c>
      <c r="H21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3" s="19">
        <f ca="1">Table5[[#This Row],['# months]]-COUNTIFS(Table5[SM_Contract__c],Table5[[#This Row],[SM_Contract__c]],Table5[TYPE],"SUBS",Table5[ACCEPTED],1)</f>
        <v>5</v>
      </c>
      <c r="J213" s="19" t="b">
        <f>ISNUMBER(MATCH(Table5[[#This Row],[SM_Contract__c]],Contract[Id],0))</f>
        <v>1</v>
      </c>
      <c r="K213" s="9" t="s">
        <v>2994</v>
      </c>
      <c r="L213" s="9" t="s">
        <v>2995</v>
      </c>
      <c r="M213" s="9" t="s">
        <v>516</v>
      </c>
      <c r="N213" s="9" t="s">
        <v>3714</v>
      </c>
      <c r="O213" s="9" t="s">
        <v>1563</v>
      </c>
      <c r="P213" s="9" t="s">
        <v>2363</v>
      </c>
      <c r="Q213" s="9" t="s">
        <v>77</v>
      </c>
      <c r="R213" s="9" t="s">
        <v>77</v>
      </c>
      <c r="S213" s="9" t="s">
        <v>2094</v>
      </c>
      <c r="T213" s="9" t="s">
        <v>2094</v>
      </c>
      <c r="U213" s="9" t="s">
        <v>2094</v>
      </c>
      <c r="V213" s="9" t="s">
        <v>93</v>
      </c>
      <c r="W213" s="9" t="s">
        <v>3599</v>
      </c>
      <c r="X213" s="9" t="s">
        <v>2996</v>
      </c>
      <c r="Y213" s="9"/>
      <c r="Z213" s="9"/>
      <c r="AA213" s="9" t="s">
        <v>2996</v>
      </c>
    </row>
    <row r="214" spans="1:27" x14ac:dyDescent="0.35">
      <c r="A214" s="4" t="str">
        <f>IF(Table5[[#This Row],[SM_Amount__c]]="25.0","FEE",IF(IF(Table5[[#This Row],[SM_Original_Type__c]]="",Table5[[#This Row],[SM_Type__c]],Table5[[#This Row],[SM_Original_Type__c]])="AC","AC","SUBS"))</f>
        <v>SUBS</v>
      </c>
      <c r="B214" s="27">
        <f>IF(INDEX(Contract[SM_AC_start_date__c],MATCH(Table5[[#This Row],[SM_Contract__c]],Contract[Id],0))=0,"",INDEX(Contract[SM_AC_start_date__c],MATCH(Table5[[#This Row],[SM_Contract__c]],Contract[Id],0)))</f>
        <v>45974</v>
      </c>
      <c r="C214" s="27">
        <f>IF(INDEX(Contract[SM_AC_Split_Date__c],MATCH(Table5[[#This Row],[SM_Contract__c]],Contract[Id],0))=0,"",INDEX(Contract[SM_AC_Split_Date__c],MATCH(Table5[[#This Row],[SM_Contract__c]],Contract[Id],0)))</f>
        <v>45988</v>
      </c>
      <c r="D214" s="27">
        <f>IF(INDEX(Contract[SM_Start_date__c],MATCH(Table5[[#This Row],[SM_Contract__c]],Contract[Id],0))=0,"",INDEX(Contract[SM_Start_date__c],MATCH(Table5[[#This Row],[SM_Contract__c]],Contract[Id],0)))</f>
        <v>46021</v>
      </c>
      <c r="E214" s="4">
        <f ca="1">(YEAR(TODAY())-YEAR(Table5[[#This Row],[RC DATE]]))*12 + MONTH(TODAY())-MONTH(Table5[[#This Row],[RC DATE]])</f>
        <v>7</v>
      </c>
      <c r="F21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4" s="19">
        <f>IF(Table5[[#This Row],[Payment_Status__c]]="ACCEPTED",1,"")</f>
        <v>1</v>
      </c>
      <c r="H21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4" s="19">
        <f ca="1">Table5[[#This Row],['# months]]-COUNTIFS(Table5[SM_Contract__c],Table5[[#This Row],[SM_Contract__c]],Table5[TYPE],"SUBS",Table5[ACCEPTED],1)</f>
        <v>5</v>
      </c>
      <c r="J214" s="19" t="b">
        <f>ISNUMBER(MATCH(Table5[[#This Row],[SM_Contract__c]],Contract[Id],0))</f>
        <v>1</v>
      </c>
      <c r="K214" s="9" t="s">
        <v>2997</v>
      </c>
      <c r="L214" s="9" t="s">
        <v>2998</v>
      </c>
      <c r="M214" s="9" t="s">
        <v>516</v>
      </c>
      <c r="N214" s="9" t="s">
        <v>3714</v>
      </c>
      <c r="O214" s="9" t="s">
        <v>1563</v>
      </c>
      <c r="P214" s="9" t="s">
        <v>2363</v>
      </c>
      <c r="Q214" s="9" t="s">
        <v>71</v>
      </c>
      <c r="R214" s="9" t="s">
        <v>83</v>
      </c>
      <c r="S214" s="9" t="s">
        <v>95</v>
      </c>
      <c r="T214" s="9" t="s">
        <v>95</v>
      </c>
      <c r="U214" s="9" t="s">
        <v>100</v>
      </c>
      <c r="V214" s="9" t="s">
        <v>148</v>
      </c>
      <c r="W214" s="9" t="s">
        <v>3683</v>
      </c>
      <c r="X214" s="9" t="s">
        <v>2989</v>
      </c>
      <c r="Y214" s="9"/>
      <c r="Z214" s="9" t="s">
        <v>691</v>
      </c>
      <c r="AA214" s="9" t="s">
        <v>2989</v>
      </c>
    </row>
    <row r="215" spans="1:27" x14ac:dyDescent="0.35">
      <c r="A215" s="4" t="str">
        <f>IF(Table5[[#This Row],[SM_Amount__c]]="25.0","FEE",IF(IF(Table5[[#This Row],[SM_Original_Type__c]]="",Table5[[#This Row],[SM_Type__c]],Table5[[#This Row],[SM_Original_Type__c]])="AC","AC","SUBS"))</f>
        <v>SUBS</v>
      </c>
      <c r="B215" s="27">
        <f>IF(INDEX(Contract[SM_AC_start_date__c],MATCH(Table5[[#This Row],[SM_Contract__c]],Contract[Id],0))=0,"",INDEX(Contract[SM_AC_start_date__c],MATCH(Table5[[#This Row],[SM_Contract__c]],Contract[Id],0)))</f>
        <v>45974</v>
      </c>
      <c r="C215" s="27">
        <f>IF(INDEX(Contract[SM_AC_Split_Date__c],MATCH(Table5[[#This Row],[SM_Contract__c]],Contract[Id],0))=0,"",INDEX(Contract[SM_AC_Split_Date__c],MATCH(Table5[[#This Row],[SM_Contract__c]],Contract[Id],0)))</f>
        <v>45988</v>
      </c>
      <c r="D215" s="27">
        <f>IF(INDEX(Contract[SM_Start_date__c],MATCH(Table5[[#This Row],[SM_Contract__c]],Contract[Id],0))=0,"",INDEX(Contract[SM_Start_date__c],MATCH(Table5[[#This Row],[SM_Contract__c]],Contract[Id],0)))</f>
        <v>46021</v>
      </c>
      <c r="E215" s="4">
        <f ca="1">(YEAR(TODAY())-YEAR(Table5[[#This Row],[RC DATE]]))*12 + MONTH(TODAY())-MONTH(Table5[[#This Row],[RC DATE]])</f>
        <v>7</v>
      </c>
      <c r="F21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46081</v>
      </c>
      <c r="G215" s="19">
        <f>IF(Table5[[#This Row],[Payment_Status__c]]="ACCEPTED",1,"")</f>
        <v>1</v>
      </c>
      <c r="H21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5</v>
      </c>
      <c r="I215" s="19">
        <f ca="1">Table5[[#This Row],['# months]]-COUNTIFS(Table5[SM_Contract__c],Table5[[#This Row],[SM_Contract__c]],Table5[TYPE],"SUBS",Table5[ACCEPTED],1)</f>
        <v>5</v>
      </c>
      <c r="J215" s="19" t="b">
        <f>ISNUMBER(MATCH(Table5[[#This Row],[SM_Contract__c]],Contract[Id],0))</f>
        <v>1</v>
      </c>
      <c r="K215" s="9" t="s">
        <v>2999</v>
      </c>
      <c r="L215" s="9" t="s">
        <v>3000</v>
      </c>
      <c r="M215" s="9" t="s">
        <v>516</v>
      </c>
      <c r="N215" s="9" t="s">
        <v>3714</v>
      </c>
      <c r="O215" s="9" t="s">
        <v>1563</v>
      </c>
      <c r="P215" s="9" t="s">
        <v>2363</v>
      </c>
      <c r="Q215" s="9" t="s">
        <v>71</v>
      </c>
      <c r="R215" s="9" t="s">
        <v>83</v>
      </c>
      <c r="S215" s="9" t="s">
        <v>95</v>
      </c>
      <c r="T215" s="9" t="s">
        <v>95</v>
      </c>
      <c r="U215" s="9" t="s">
        <v>100</v>
      </c>
      <c r="V215" s="9" t="s">
        <v>148</v>
      </c>
      <c r="W215" s="9" t="s">
        <v>3674</v>
      </c>
      <c r="X215" s="9" t="s">
        <v>3001</v>
      </c>
      <c r="Y215" s="9"/>
      <c r="Z215" s="9" t="s">
        <v>901</v>
      </c>
      <c r="AA215" s="9" t="s">
        <v>3001</v>
      </c>
    </row>
    <row r="216" spans="1:27" x14ac:dyDescent="0.35">
      <c r="A216" s="4" t="str">
        <f>IF(Table5[[#This Row],[SM_Amount__c]]="25.0","FEE",IF(IF(Table5[[#This Row],[SM_Original_Type__c]]="",Table5[[#This Row],[SM_Type__c]],Table5[[#This Row],[SM_Original_Type__c]])="AC","AC","SUBS"))</f>
        <v>SUBS</v>
      </c>
      <c r="B216" s="27" t="str">
        <f>IF(INDEX(Contract[SM_AC_start_date__c],MATCH(Table5[[#This Row],[SM_Contract__c]],Contract[Id],0))=0,"",INDEX(Contract[SM_AC_start_date__c],MATCH(Table5[[#This Row],[SM_Contract__c]],Contract[Id],0)))</f>
        <v/>
      </c>
      <c r="C216" s="27" t="str">
        <f>IF(INDEX(Contract[SM_AC_Split_Date__c],MATCH(Table5[[#This Row],[SM_Contract__c]],Contract[Id],0))=0,"",INDEX(Contract[SM_AC_Split_Date__c],MATCH(Table5[[#This Row],[SM_Contract__c]],Contract[Id],0)))</f>
        <v/>
      </c>
      <c r="D216" s="27">
        <f>IF(INDEX(Contract[SM_Start_date__c],MATCH(Table5[[#This Row],[SM_Contract__c]],Contract[Id],0))=0,"",INDEX(Contract[SM_Start_date__c],MATCH(Table5[[#This Row],[SM_Contract__c]],Contract[Id],0)))</f>
        <v>46001</v>
      </c>
      <c r="E216" s="4">
        <f ca="1">(YEAR(TODAY())-YEAR(Table5[[#This Row],[RC DATE]]))*12 + MONTH(TODAY())-MONTH(Table5[[#This Row],[RC DATE]])</f>
        <v>7</v>
      </c>
      <c r="F21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46152</v>
      </c>
      <c r="G216" s="19">
        <f>IF(Table5[[#This Row],[Payment_Status__c]]="ACCEPTED",1,"")</f>
        <v>1</v>
      </c>
      <c r="H21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16" s="19">
        <f ca="1">Table5[[#This Row],['# months]]-COUNTIFS(Table5[SM_Contract__c],Table5[[#This Row],[SM_Contract__c]],Table5[TYPE],"SUBS",Table5[ACCEPTED],1)</f>
        <v>2</v>
      </c>
      <c r="J216" s="19" t="b">
        <f>ISNUMBER(MATCH(Table5[[#This Row],[SM_Contract__c]],Contract[Id],0))</f>
        <v>1</v>
      </c>
      <c r="K216" s="9" t="s">
        <v>3006</v>
      </c>
      <c r="L216" s="9" t="s">
        <v>3007</v>
      </c>
      <c r="M216" s="9" t="s">
        <v>563</v>
      </c>
      <c r="N216" s="9" t="s">
        <v>3715</v>
      </c>
      <c r="O216" s="9" t="s">
        <v>1563</v>
      </c>
      <c r="P216" s="9" t="s">
        <v>2363</v>
      </c>
      <c r="Q216" s="9" t="s">
        <v>71</v>
      </c>
      <c r="R216" s="9" t="s">
        <v>83</v>
      </c>
      <c r="S216" s="9" t="s">
        <v>95</v>
      </c>
      <c r="T216" s="9" t="s">
        <v>95</v>
      </c>
      <c r="U216" s="9" t="s">
        <v>100</v>
      </c>
      <c r="V216" s="9" t="s">
        <v>148</v>
      </c>
      <c r="W216" s="9" t="s">
        <v>3605</v>
      </c>
      <c r="X216" s="9" t="s">
        <v>3008</v>
      </c>
      <c r="Y216" s="9"/>
      <c r="Z216" s="9" t="s">
        <v>593</v>
      </c>
      <c r="AA216" s="9" t="s">
        <v>3008</v>
      </c>
    </row>
    <row r="217" spans="1:27" x14ac:dyDescent="0.35">
      <c r="A217" s="4" t="str">
        <f>IF(Table5[[#This Row],[SM_Amount__c]]="25.0","FEE",IF(IF(Table5[[#This Row],[SM_Original_Type__c]]="",Table5[[#This Row],[SM_Type__c]],Table5[[#This Row],[SM_Original_Type__c]])="AC","AC","SUBS"))</f>
        <v>SUBS</v>
      </c>
      <c r="B217" s="27" t="str">
        <f>IF(INDEX(Contract[SM_AC_start_date__c],MATCH(Table5[[#This Row],[SM_Contract__c]],Contract[Id],0))=0,"",INDEX(Contract[SM_AC_start_date__c],MATCH(Table5[[#This Row],[SM_Contract__c]],Contract[Id],0)))</f>
        <v/>
      </c>
      <c r="C217" s="27" t="str">
        <f>IF(INDEX(Contract[SM_AC_Split_Date__c],MATCH(Table5[[#This Row],[SM_Contract__c]],Contract[Id],0))=0,"",INDEX(Contract[SM_AC_Split_Date__c],MATCH(Table5[[#This Row],[SM_Contract__c]],Contract[Id],0)))</f>
        <v/>
      </c>
      <c r="D217" s="27">
        <f>IF(INDEX(Contract[SM_Start_date__c],MATCH(Table5[[#This Row],[SM_Contract__c]],Contract[Id],0))=0,"",INDEX(Contract[SM_Start_date__c],MATCH(Table5[[#This Row],[SM_Contract__c]],Contract[Id],0)))</f>
        <v>46001</v>
      </c>
      <c r="E217" s="4">
        <f ca="1">(YEAR(TODAY())-YEAR(Table5[[#This Row],[RC DATE]]))*12 + MONTH(TODAY())-MONTH(Table5[[#This Row],[RC DATE]])</f>
        <v>7</v>
      </c>
      <c r="F21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46152</v>
      </c>
      <c r="G217" s="19">
        <f>IF(Table5[[#This Row],[Payment_Status__c]]="ACCEPTED",1,"")</f>
        <v>1</v>
      </c>
      <c r="H21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17" s="19">
        <f ca="1">Table5[[#This Row],['# months]]-COUNTIFS(Table5[SM_Contract__c],Table5[[#This Row],[SM_Contract__c]],Table5[TYPE],"SUBS",Table5[ACCEPTED],1)</f>
        <v>2</v>
      </c>
      <c r="J217" s="19" t="b">
        <f>ISNUMBER(MATCH(Table5[[#This Row],[SM_Contract__c]],Contract[Id],0))</f>
        <v>1</v>
      </c>
      <c r="K217" s="9" t="s">
        <v>3009</v>
      </c>
      <c r="L217" s="9" t="s">
        <v>3010</v>
      </c>
      <c r="M217" s="9" t="s">
        <v>563</v>
      </c>
      <c r="N217" s="9" t="s">
        <v>3715</v>
      </c>
      <c r="O217" s="9" t="s">
        <v>1563</v>
      </c>
      <c r="P217" s="9" t="s">
        <v>2363</v>
      </c>
      <c r="Q217" s="9" t="s">
        <v>83</v>
      </c>
      <c r="R217" s="9" t="s">
        <v>76</v>
      </c>
      <c r="S217" s="9" t="s">
        <v>100</v>
      </c>
      <c r="T217" s="9" t="s">
        <v>100</v>
      </c>
      <c r="U217" s="9" t="s">
        <v>100</v>
      </c>
      <c r="V217" s="9" t="s">
        <v>93</v>
      </c>
      <c r="W217" s="9" t="s">
        <v>3684</v>
      </c>
      <c r="X217" s="9" t="s">
        <v>3005</v>
      </c>
      <c r="Y217" s="9"/>
      <c r="Z217" s="9"/>
      <c r="AA217" s="9" t="s">
        <v>3005</v>
      </c>
    </row>
    <row r="218" spans="1:27" x14ac:dyDescent="0.35">
      <c r="A218" s="4" t="str">
        <f>IF(Table5[[#This Row],[SM_Amount__c]]="25.0","FEE",IF(IF(Table5[[#This Row],[SM_Original_Type__c]]="",Table5[[#This Row],[SM_Type__c]],Table5[[#This Row],[SM_Original_Type__c]])="AC","AC","SUBS"))</f>
        <v>SUBS</v>
      </c>
      <c r="B218" s="27" t="str">
        <f>IF(INDEX(Contract[SM_AC_start_date__c],MATCH(Table5[[#This Row],[SM_Contract__c]],Contract[Id],0))=0,"",INDEX(Contract[SM_AC_start_date__c],MATCH(Table5[[#This Row],[SM_Contract__c]],Contract[Id],0)))</f>
        <v/>
      </c>
      <c r="C218" s="27" t="str">
        <f>IF(INDEX(Contract[SM_AC_Split_Date__c],MATCH(Table5[[#This Row],[SM_Contract__c]],Contract[Id],0))=0,"",INDEX(Contract[SM_AC_Split_Date__c],MATCH(Table5[[#This Row],[SM_Contract__c]],Contract[Id],0)))</f>
        <v/>
      </c>
      <c r="D218" s="27">
        <f>IF(INDEX(Contract[SM_Start_date__c],MATCH(Table5[[#This Row],[SM_Contract__c]],Contract[Id],0))=0,"",INDEX(Contract[SM_Start_date__c],MATCH(Table5[[#This Row],[SM_Contract__c]],Contract[Id],0)))</f>
        <v>46001</v>
      </c>
      <c r="E218" s="4">
        <f ca="1">(YEAR(TODAY())-YEAR(Table5[[#This Row],[RC DATE]]))*12 + MONTH(TODAY())-MONTH(Table5[[#This Row],[RC DATE]])</f>
        <v>7</v>
      </c>
      <c r="F21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46152</v>
      </c>
      <c r="G218" s="19">
        <f>IF(Table5[[#This Row],[Payment_Status__c]]="ACCEPTED",1,"")</f>
        <v>1</v>
      </c>
      <c r="H21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18" s="19">
        <f ca="1">Table5[[#This Row],['# months]]-COUNTIFS(Table5[SM_Contract__c],Table5[[#This Row],[SM_Contract__c]],Table5[TYPE],"SUBS",Table5[ACCEPTED],1)</f>
        <v>2</v>
      </c>
      <c r="J218" s="19" t="b">
        <f>ISNUMBER(MATCH(Table5[[#This Row],[SM_Contract__c]],Contract[Id],0))</f>
        <v>1</v>
      </c>
      <c r="K218" s="9" t="s">
        <v>3011</v>
      </c>
      <c r="L218" s="9" t="s">
        <v>3012</v>
      </c>
      <c r="M218" s="9" t="s">
        <v>563</v>
      </c>
      <c r="N218" s="9" t="s">
        <v>3715</v>
      </c>
      <c r="O218" s="9" t="s">
        <v>1563</v>
      </c>
      <c r="P218" s="9" t="s">
        <v>2363</v>
      </c>
      <c r="Q218" s="9" t="s">
        <v>71</v>
      </c>
      <c r="R218" s="9" t="s">
        <v>83</v>
      </c>
      <c r="S218" s="9" t="s">
        <v>95</v>
      </c>
      <c r="T218" s="9" t="s">
        <v>95</v>
      </c>
      <c r="U218" s="9" t="s">
        <v>100</v>
      </c>
      <c r="V218" s="9" t="s">
        <v>148</v>
      </c>
      <c r="W218" s="9" t="s">
        <v>3655</v>
      </c>
      <c r="X218" s="9" t="s">
        <v>3013</v>
      </c>
      <c r="Y218" s="9"/>
      <c r="Z218" s="9" t="s">
        <v>1078</v>
      </c>
      <c r="AA218" s="9" t="s">
        <v>3013</v>
      </c>
    </row>
    <row r="219" spans="1:27" x14ac:dyDescent="0.35">
      <c r="A219" s="4" t="str">
        <f>IF(Table5[[#This Row],[SM_Amount__c]]="25.0","FEE",IF(IF(Table5[[#This Row],[SM_Original_Type__c]]="",Table5[[#This Row],[SM_Type__c]],Table5[[#This Row],[SM_Original_Type__c]])="AC","AC","SUBS"))</f>
        <v>SUBS</v>
      </c>
      <c r="B219" s="27" t="str">
        <f>IF(INDEX(Contract[SM_AC_start_date__c],MATCH(Table5[[#This Row],[SM_Contract__c]],Contract[Id],0))=0,"",INDEX(Contract[SM_AC_start_date__c],MATCH(Table5[[#This Row],[SM_Contract__c]],Contract[Id],0)))</f>
        <v/>
      </c>
      <c r="C219" s="27" t="str">
        <f>IF(INDEX(Contract[SM_AC_Split_Date__c],MATCH(Table5[[#This Row],[SM_Contract__c]],Contract[Id],0))=0,"",INDEX(Contract[SM_AC_Split_Date__c],MATCH(Table5[[#This Row],[SM_Contract__c]],Contract[Id],0)))</f>
        <v/>
      </c>
      <c r="D219" s="27">
        <f>IF(INDEX(Contract[SM_Start_date__c],MATCH(Table5[[#This Row],[SM_Contract__c]],Contract[Id],0))=0,"",INDEX(Contract[SM_Start_date__c],MATCH(Table5[[#This Row],[SM_Contract__c]],Contract[Id],0)))</f>
        <v>46001</v>
      </c>
      <c r="E219" s="4">
        <f ca="1">(YEAR(TODAY())-YEAR(Table5[[#This Row],[RC DATE]]))*12 + MONTH(TODAY())-MONTH(Table5[[#This Row],[RC DATE]])</f>
        <v>7</v>
      </c>
      <c r="F21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46152</v>
      </c>
      <c r="G219" s="19">
        <f>IF(Table5[[#This Row],[Payment_Status__c]]="ACCEPTED",1,"")</f>
        <v>1</v>
      </c>
      <c r="H21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19" s="19">
        <f ca="1">Table5[[#This Row],['# months]]-COUNTIFS(Table5[SM_Contract__c],Table5[[#This Row],[SM_Contract__c]],Table5[TYPE],"SUBS",Table5[ACCEPTED],1)</f>
        <v>2</v>
      </c>
      <c r="J219" s="19" t="b">
        <f>ISNUMBER(MATCH(Table5[[#This Row],[SM_Contract__c]],Contract[Id],0))</f>
        <v>1</v>
      </c>
      <c r="K219" s="9" t="s">
        <v>3014</v>
      </c>
      <c r="L219" s="9" t="s">
        <v>3015</v>
      </c>
      <c r="M219" s="9" t="s">
        <v>563</v>
      </c>
      <c r="N219" s="9" t="s">
        <v>3715</v>
      </c>
      <c r="O219" s="9" t="s">
        <v>1563</v>
      </c>
      <c r="P219" s="9" t="s">
        <v>2363</v>
      </c>
      <c r="Q219" s="9" t="s">
        <v>71</v>
      </c>
      <c r="R219" s="9" t="s">
        <v>83</v>
      </c>
      <c r="S219" s="9" t="s">
        <v>95</v>
      </c>
      <c r="T219" s="9" t="s">
        <v>95</v>
      </c>
      <c r="U219" s="9" t="s">
        <v>100</v>
      </c>
      <c r="V219" s="9" t="s">
        <v>148</v>
      </c>
      <c r="W219" s="9" t="s">
        <v>3655</v>
      </c>
      <c r="X219" s="9" t="s">
        <v>3016</v>
      </c>
      <c r="Y219" s="9"/>
      <c r="Z219" s="9" t="s">
        <v>929</v>
      </c>
      <c r="AA219" s="9" t="s">
        <v>3016</v>
      </c>
    </row>
    <row r="220" spans="1:27" x14ac:dyDescent="0.35">
      <c r="A220" s="4" t="str">
        <f>IF(Table5[[#This Row],[SM_Amount__c]]="25.0","FEE",IF(IF(Table5[[#This Row],[SM_Original_Type__c]]="",Table5[[#This Row],[SM_Type__c]],Table5[[#This Row],[SM_Original_Type__c]])="AC","AC","SUBS"))</f>
        <v>SUBS</v>
      </c>
      <c r="B220" s="27" t="str">
        <f>IF(INDEX(Contract[SM_AC_start_date__c],MATCH(Table5[[#This Row],[SM_Contract__c]],Contract[Id],0))=0,"",INDEX(Contract[SM_AC_start_date__c],MATCH(Table5[[#This Row],[SM_Contract__c]],Contract[Id],0)))</f>
        <v/>
      </c>
      <c r="C220" s="27" t="str">
        <f>IF(INDEX(Contract[SM_AC_Split_Date__c],MATCH(Table5[[#This Row],[SM_Contract__c]],Contract[Id],0))=0,"",INDEX(Contract[SM_AC_Split_Date__c],MATCH(Table5[[#This Row],[SM_Contract__c]],Contract[Id],0)))</f>
        <v/>
      </c>
      <c r="D220" s="27">
        <f>IF(INDEX(Contract[SM_Start_date__c],MATCH(Table5[[#This Row],[SM_Contract__c]],Contract[Id],0))=0,"",INDEX(Contract[SM_Start_date__c],MATCH(Table5[[#This Row],[SM_Contract__c]],Contract[Id],0)))</f>
        <v>46001</v>
      </c>
      <c r="E220" s="4">
        <f ca="1">(YEAR(TODAY())-YEAR(Table5[[#This Row],[RC DATE]]))*12 + MONTH(TODAY())-MONTH(Table5[[#This Row],[RC DATE]])</f>
        <v>7</v>
      </c>
      <c r="F22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46152</v>
      </c>
      <c r="G220" s="19">
        <f>IF(Table5[[#This Row],[Payment_Status__c]]="ACCEPTED",1,"")</f>
        <v>1</v>
      </c>
      <c r="H22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0" s="19">
        <f ca="1">Table5[[#This Row],['# months]]-COUNTIFS(Table5[SM_Contract__c],Table5[[#This Row],[SM_Contract__c]],Table5[TYPE],"SUBS",Table5[ACCEPTED],1)</f>
        <v>2</v>
      </c>
      <c r="J220" s="19" t="b">
        <f>ISNUMBER(MATCH(Table5[[#This Row],[SM_Contract__c]],Contract[Id],0))</f>
        <v>1</v>
      </c>
      <c r="K220" s="9" t="s">
        <v>3017</v>
      </c>
      <c r="L220" s="9" t="s">
        <v>3018</v>
      </c>
      <c r="M220" s="9" t="s">
        <v>563</v>
      </c>
      <c r="N220" s="9" t="s">
        <v>3715</v>
      </c>
      <c r="O220" s="9" t="s">
        <v>1563</v>
      </c>
      <c r="P220" s="9" t="s">
        <v>2363</v>
      </c>
      <c r="Q220" s="9" t="s">
        <v>71</v>
      </c>
      <c r="R220" s="9" t="s">
        <v>83</v>
      </c>
      <c r="S220" s="9" t="s">
        <v>100</v>
      </c>
      <c r="T220" s="9" t="s">
        <v>100</v>
      </c>
      <c r="U220" s="9" t="s">
        <v>100</v>
      </c>
      <c r="V220" s="9" t="s">
        <v>93</v>
      </c>
      <c r="W220" s="9" t="s">
        <v>3655</v>
      </c>
      <c r="X220" s="9" t="s">
        <v>3019</v>
      </c>
      <c r="Y220" s="9"/>
      <c r="Z220" s="9" t="s">
        <v>726</v>
      </c>
      <c r="AA220" s="9" t="s">
        <v>3019</v>
      </c>
    </row>
    <row r="221" spans="1:27" x14ac:dyDescent="0.35">
      <c r="A221" s="4" t="str">
        <f>IF(Table5[[#This Row],[SM_Amount__c]]="25.0","FEE",IF(IF(Table5[[#This Row],[SM_Original_Type__c]]="",Table5[[#This Row],[SM_Type__c]],Table5[[#This Row],[SM_Original_Type__c]])="AC","AC","SUBS"))</f>
        <v>SUBS</v>
      </c>
      <c r="B221" s="27" t="str">
        <f>IF(INDEX(Contract[SM_AC_start_date__c],MATCH(Table5[[#This Row],[SM_Contract__c]],Contract[Id],0))=0,"",INDEX(Contract[SM_AC_start_date__c],MATCH(Table5[[#This Row],[SM_Contract__c]],Contract[Id],0)))</f>
        <v/>
      </c>
      <c r="C221" s="27" t="str">
        <f>IF(INDEX(Contract[SM_AC_Split_Date__c],MATCH(Table5[[#This Row],[SM_Contract__c]],Contract[Id],0))=0,"",INDEX(Contract[SM_AC_Split_Date__c],MATCH(Table5[[#This Row],[SM_Contract__c]],Contract[Id],0)))</f>
        <v/>
      </c>
      <c r="D221" s="27">
        <f>IF(INDEX(Contract[SM_Start_date__c],MATCH(Table5[[#This Row],[SM_Contract__c]],Contract[Id],0))=0,"",INDEX(Contract[SM_Start_date__c],MATCH(Table5[[#This Row],[SM_Contract__c]],Contract[Id],0)))</f>
        <v>46021</v>
      </c>
      <c r="E221" s="4">
        <f ca="1">(YEAR(TODAY())-YEAR(Table5[[#This Row],[RC DATE]]))*12 + MONTH(TODAY())-MONTH(Table5[[#This Row],[RC DATE]])</f>
        <v>7</v>
      </c>
      <c r="F22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21" s="19">
        <f>IF(Table5[[#This Row],[Payment_Status__c]]="ACCEPTED",1,"")</f>
        <v>1</v>
      </c>
      <c r="H22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1" s="19">
        <f ca="1">Table5[[#This Row],['# months]]-COUNTIFS(Table5[SM_Contract__c],Table5[[#This Row],[SM_Contract__c]],Table5[TYPE],"SUBS",Table5[ACCEPTED],1)</f>
        <v>2</v>
      </c>
      <c r="J221" s="19" t="b">
        <f>ISNUMBER(MATCH(Table5[[#This Row],[SM_Contract__c]],Contract[Id],0))</f>
        <v>1</v>
      </c>
      <c r="K221" s="9" t="s">
        <v>3023</v>
      </c>
      <c r="L221" s="9" t="s">
        <v>3024</v>
      </c>
      <c r="M221" s="9" t="s">
        <v>582</v>
      </c>
      <c r="N221" s="9" t="s">
        <v>3716</v>
      </c>
      <c r="O221" s="9" t="s">
        <v>1563</v>
      </c>
      <c r="P221" s="9" t="s">
        <v>2363</v>
      </c>
      <c r="Q221" s="9" t="s">
        <v>83</v>
      </c>
      <c r="R221" s="9" t="s">
        <v>76</v>
      </c>
      <c r="S221" s="9" t="s">
        <v>100</v>
      </c>
      <c r="T221" s="9" t="s">
        <v>100</v>
      </c>
      <c r="U221" s="9" t="s">
        <v>100</v>
      </c>
      <c r="V221" s="9" t="s">
        <v>93</v>
      </c>
      <c r="W221" s="9" t="s">
        <v>3619</v>
      </c>
      <c r="X221" s="9" t="s">
        <v>3021</v>
      </c>
      <c r="Y221" s="9"/>
      <c r="Z221" s="9"/>
      <c r="AA221" s="9" t="s">
        <v>3021</v>
      </c>
    </row>
    <row r="222" spans="1:27" x14ac:dyDescent="0.35">
      <c r="A222" s="4" t="str">
        <f>IF(Table5[[#This Row],[SM_Amount__c]]="25.0","FEE",IF(IF(Table5[[#This Row],[SM_Original_Type__c]]="",Table5[[#This Row],[SM_Type__c]],Table5[[#This Row],[SM_Original_Type__c]])="AC","AC","SUBS"))</f>
        <v>SUBS</v>
      </c>
      <c r="B222" s="27" t="str">
        <f>IF(INDEX(Contract[SM_AC_start_date__c],MATCH(Table5[[#This Row],[SM_Contract__c]],Contract[Id],0))=0,"",INDEX(Contract[SM_AC_start_date__c],MATCH(Table5[[#This Row],[SM_Contract__c]],Contract[Id],0)))</f>
        <v/>
      </c>
      <c r="C222" s="27" t="str">
        <f>IF(INDEX(Contract[SM_AC_Split_Date__c],MATCH(Table5[[#This Row],[SM_Contract__c]],Contract[Id],0))=0,"",INDEX(Contract[SM_AC_Split_Date__c],MATCH(Table5[[#This Row],[SM_Contract__c]],Contract[Id],0)))</f>
        <v/>
      </c>
      <c r="D222" s="27">
        <f>IF(INDEX(Contract[SM_Start_date__c],MATCH(Table5[[#This Row],[SM_Contract__c]],Contract[Id],0))=0,"",INDEX(Contract[SM_Start_date__c],MATCH(Table5[[#This Row],[SM_Contract__c]],Contract[Id],0)))</f>
        <v>46021</v>
      </c>
      <c r="E222" s="4">
        <f ca="1">(YEAR(TODAY())-YEAR(Table5[[#This Row],[RC DATE]]))*12 + MONTH(TODAY())-MONTH(Table5[[#This Row],[RC DATE]])</f>
        <v>7</v>
      </c>
      <c r="F22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22" s="19">
        <f>IF(Table5[[#This Row],[Payment_Status__c]]="ACCEPTED",1,"")</f>
        <v>1</v>
      </c>
      <c r="H22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2" s="19">
        <f ca="1">Table5[[#This Row],['# months]]-COUNTIFS(Table5[SM_Contract__c],Table5[[#This Row],[SM_Contract__c]],Table5[TYPE],"SUBS",Table5[ACCEPTED],1)</f>
        <v>2</v>
      </c>
      <c r="J222" s="19" t="b">
        <f>ISNUMBER(MATCH(Table5[[#This Row],[SM_Contract__c]],Contract[Id],0))</f>
        <v>1</v>
      </c>
      <c r="K222" s="9" t="s">
        <v>3025</v>
      </c>
      <c r="L222" s="9" t="s">
        <v>3026</v>
      </c>
      <c r="M222" s="9" t="s">
        <v>582</v>
      </c>
      <c r="N222" s="9" t="s">
        <v>3716</v>
      </c>
      <c r="O222" s="9" t="s">
        <v>1563</v>
      </c>
      <c r="P222" s="9" t="s">
        <v>2363</v>
      </c>
      <c r="Q222" s="9" t="s">
        <v>83</v>
      </c>
      <c r="R222" s="9" t="s">
        <v>76</v>
      </c>
      <c r="S222" s="9" t="s">
        <v>100</v>
      </c>
      <c r="T222" s="9" t="s">
        <v>100</v>
      </c>
      <c r="U222" s="9" t="s">
        <v>100</v>
      </c>
      <c r="V222" s="9" t="s">
        <v>93</v>
      </c>
      <c r="W222" s="9" t="s">
        <v>3563</v>
      </c>
      <c r="X222" s="9" t="s">
        <v>3022</v>
      </c>
      <c r="Y222" s="9"/>
      <c r="Z222" s="9"/>
      <c r="AA222" s="9" t="s">
        <v>3022</v>
      </c>
    </row>
    <row r="223" spans="1:27" x14ac:dyDescent="0.35">
      <c r="A223" s="4" t="str">
        <f>IF(Table5[[#This Row],[SM_Amount__c]]="25.0","FEE",IF(IF(Table5[[#This Row],[SM_Original_Type__c]]="",Table5[[#This Row],[SM_Type__c]],Table5[[#This Row],[SM_Original_Type__c]])="AC","AC","SUBS"))</f>
        <v>SUBS</v>
      </c>
      <c r="B223" s="27" t="str">
        <f>IF(INDEX(Contract[SM_AC_start_date__c],MATCH(Table5[[#This Row],[SM_Contract__c]],Contract[Id],0))=0,"",INDEX(Contract[SM_AC_start_date__c],MATCH(Table5[[#This Row],[SM_Contract__c]],Contract[Id],0)))</f>
        <v/>
      </c>
      <c r="C223" s="27" t="str">
        <f>IF(INDEX(Contract[SM_AC_Split_Date__c],MATCH(Table5[[#This Row],[SM_Contract__c]],Contract[Id],0))=0,"",INDEX(Contract[SM_AC_Split_Date__c],MATCH(Table5[[#This Row],[SM_Contract__c]],Contract[Id],0)))</f>
        <v/>
      </c>
      <c r="D223" s="27">
        <f>IF(INDEX(Contract[SM_Start_date__c],MATCH(Table5[[#This Row],[SM_Contract__c]],Contract[Id],0))=0,"",INDEX(Contract[SM_Start_date__c],MATCH(Table5[[#This Row],[SM_Contract__c]],Contract[Id],0)))</f>
        <v>46021</v>
      </c>
      <c r="E223" s="4">
        <f ca="1">(YEAR(TODAY())-YEAR(Table5[[#This Row],[RC DATE]]))*12 + MONTH(TODAY())-MONTH(Table5[[#This Row],[RC DATE]])</f>
        <v>7</v>
      </c>
      <c r="F22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23" s="19">
        <f>IF(Table5[[#This Row],[Payment_Status__c]]="ACCEPTED",1,"")</f>
        <v>1</v>
      </c>
      <c r="H22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3" s="19">
        <f ca="1">Table5[[#This Row],['# months]]-COUNTIFS(Table5[SM_Contract__c],Table5[[#This Row],[SM_Contract__c]],Table5[TYPE],"SUBS",Table5[ACCEPTED],1)</f>
        <v>2</v>
      </c>
      <c r="J223" s="19" t="b">
        <f>ISNUMBER(MATCH(Table5[[#This Row],[SM_Contract__c]],Contract[Id],0))</f>
        <v>1</v>
      </c>
      <c r="K223" s="9" t="s">
        <v>3027</v>
      </c>
      <c r="L223" s="9" t="s">
        <v>3028</v>
      </c>
      <c r="M223" s="9" t="s">
        <v>582</v>
      </c>
      <c r="N223" s="9" t="s">
        <v>3716</v>
      </c>
      <c r="O223" s="9" t="s">
        <v>1563</v>
      </c>
      <c r="P223" s="9" t="s">
        <v>2363</v>
      </c>
      <c r="Q223" s="9" t="s">
        <v>83</v>
      </c>
      <c r="R223" s="9" t="s">
        <v>76</v>
      </c>
      <c r="S223" s="9" t="s">
        <v>100</v>
      </c>
      <c r="T223" s="9" t="s">
        <v>100</v>
      </c>
      <c r="U223" s="9" t="s">
        <v>100</v>
      </c>
      <c r="V223" s="9" t="s">
        <v>93</v>
      </c>
      <c r="W223" s="9" t="s">
        <v>3564</v>
      </c>
      <c r="X223" s="9" t="s">
        <v>3029</v>
      </c>
      <c r="Y223" s="9"/>
      <c r="Z223" s="9"/>
      <c r="AA223" s="9" t="s">
        <v>3029</v>
      </c>
    </row>
    <row r="224" spans="1:27" x14ac:dyDescent="0.35">
      <c r="A224" s="4" t="str">
        <f>IF(Table5[[#This Row],[SM_Amount__c]]="25.0","FEE",IF(IF(Table5[[#This Row],[SM_Original_Type__c]]="",Table5[[#This Row],[SM_Type__c]],Table5[[#This Row],[SM_Original_Type__c]])="AC","AC","SUBS"))</f>
        <v>SUBS</v>
      </c>
      <c r="B224" s="27" t="str">
        <f>IF(INDEX(Contract[SM_AC_start_date__c],MATCH(Table5[[#This Row],[SM_Contract__c]],Contract[Id],0))=0,"",INDEX(Contract[SM_AC_start_date__c],MATCH(Table5[[#This Row],[SM_Contract__c]],Contract[Id],0)))</f>
        <v/>
      </c>
      <c r="C224" s="27" t="str">
        <f>IF(INDEX(Contract[SM_AC_Split_Date__c],MATCH(Table5[[#This Row],[SM_Contract__c]],Contract[Id],0))=0,"",INDEX(Contract[SM_AC_Split_Date__c],MATCH(Table5[[#This Row],[SM_Contract__c]],Contract[Id],0)))</f>
        <v/>
      </c>
      <c r="D224" s="27">
        <f>IF(INDEX(Contract[SM_Start_date__c],MATCH(Table5[[#This Row],[SM_Contract__c]],Contract[Id],0))=0,"",INDEX(Contract[SM_Start_date__c],MATCH(Table5[[#This Row],[SM_Contract__c]],Contract[Id],0)))</f>
        <v>46021</v>
      </c>
      <c r="E224" s="4">
        <f ca="1">(YEAR(TODAY())-YEAR(Table5[[#This Row],[RC DATE]]))*12 + MONTH(TODAY())-MONTH(Table5[[#This Row],[RC DATE]])</f>
        <v>7</v>
      </c>
      <c r="F22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24" s="19">
        <f>IF(Table5[[#This Row],[Payment_Status__c]]="ACCEPTED",1,"")</f>
        <v>1</v>
      </c>
      <c r="H22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4" s="19">
        <f ca="1">Table5[[#This Row],['# months]]-COUNTIFS(Table5[SM_Contract__c],Table5[[#This Row],[SM_Contract__c]],Table5[TYPE],"SUBS",Table5[ACCEPTED],1)</f>
        <v>2</v>
      </c>
      <c r="J224" s="19" t="b">
        <f>ISNUMBER(MATCH(Table5[[#This Row],[SM_Contract__c]],Contract[Id],0))</f>
        <v>1</v>
      </c>
      <c r="K224" s="9" t="s">
        <v>3030</v>
      </c>
      <c r="L224" s="9" t="s">
        <v>3031</v>
      </c>
      <c r="M224" s="9" t="s">
        <v>582</v>
      </c>
      <c r="N224" s="9" t="s">
        <v>3716</v>
      </c>
      <c r="O224" s="9" t="s">
        <v>1563</v>
      </c>
      <c r="P224" s="9" t="s">
        <v>2363</v>
      </c>
      <c r="Q224" s="9" t="s">
        <v>83</v>
      </c>
      <c r="R224" s="9" t="s">
        <v>76</v>
      </c>
      <c r="S224" s="9" t="s">
        <v>100</v>
      </c>
      <c r="T224" s="9" t="s">
        <v>100</v>
      </c>
      <c r="U224" s="9" t="s">
        <v>100</v>
      </c>
      <c r="V224" s="9" t="s">
        <v>93</v>
      </c>
      <c r="W224" s="9" t="s">
        <v>3565</v>
      </c>
      <c r="X224" s="9" t="s">
        <v>3032</v>
      </c>
      <c r="Y224" s="9"/>
      <c r="Z224" s="9"/>
      <c r="AA224" s="9" t="s">
        <v>3032</v>
      </c>
    </row>
    <row r="225" spans="1:27" x14ac:dyDescent="0.35">
      <c r="A225" s="4" t="str">
        <f>IF(Table5[[#This Row],[SM_Amount__c]]="25.0","FEE",IF(IF(Table5[[#This Row],[SM_Original_Type__c]]="",Table5[[#This Row],[SM_Type__c]],Table5[[#This Row],[SM_Original_Type__c]])="AC","AC","SUBS"))</f>
        <v>SUBS</v>
      </c>
      <c r="B225" s="27" t="str">
        <f>IF(INDEX(Contract[SM_AC_start_date__c],MATCH(Table5[[#This Row],[SM_Contract__c]],Contract[Id],0))=0,"",INDEX(Contract[SM_AC_start_date__c],MATCH(Table5[[#This Row],[SM_Contract__c]],Contract[Id],0)))</f>
        <v/>
      </c>
      <c r="C225" s="27" t="str">
        <f>IF(INDEX(Contract[SM_AC_Split_Date__c],MATCH(Table5[[#This Row],[SM_Contract__c]],Contract[Id],0))=0,"",INDEX(Contract[SM_AC_Split_Date__c],MATCH(Table5[[#This Row],[SM_Contract__c]],Contract[Id],0)))</f>
        <v/>
      </c>
      <c r="D225" s="27">
        <f>IF(INDEX(Contract[SM_Start_date__c],MATCH(Table5[[#This Row],[SM_Contract__c]],Contract[Id],0))=0,"",INDEX(Contract[SM_Start_date__c],MATCH(Table5[[#This Row],[SM_Contract__c]],Contract[Id],0)))</f>
        <v>46021</v>
      </c>
      <c r="E225" s="4">
        <f ca="1">(YEAR(TODAY())-YEAR(Table5[[#This Row],[RC DATE]]))*12 + MONTH(TODAY())-MONTH(Table5[[#This Row],[RC DATE]])</f>
        <v>7</v>
      </c>
      <c r="F22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25" s="19">
        <f>IF(Table5[[#This Row],[Payment_Status__c]]="ACCEPTED",1,"")</f>
        <v>1</v>
      </c>
      <c r="H22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25" s="19">
        <f ca="1">Table5[[#This Row],['# months]]-COUNTIFS(Table5[SM_Contract__c],Table5[[#This Row],[SM_Contract__c]],Table5[TYPE],"SUBS",Table5[ACCEPTED],1)</f>
        <v>2</v>
      </c>
      <c r="J225" s="19" t="b">
        <f>ISNUMBER(MATCH(Table5[[#This Row],[SM_Contract__c]],Contract[Id],0))</f>
        <v>1</v>
      </c>
      <c r="K225" s="9" t="s">
        <v>3033</v>
      </c>
      <c r="L225" s="9" t="s">
        <v>3034</v>
      </c>
      <c r="M225" s="9" t="s">
        <v>582</v>
      </c>
      <c r="N225" s="9" t="s">
        <v>3716</v>
      </c>
      <c r="O225" s="9" t="s">
        <v>1563</v>
      </c>
      <c r="P225" s="9" t="s">
        <v>2363</v>
      </c>
      <c r="Q225" s="9" t="s">
        <v>83</v>
      </c>
      <c r="R225" s="9" t="s">
        <v>76</v>
      </c>
      <c r="S225" s="9" t="s">
        <v>100</v>
      </c>
      <c r="T225" s="9" t="s">
        <v>100</v>
      </c>
      <c r="U225" s="9" t="s">
        <v>100</v>
      </c>
      <c r="V225" s="9" t="s">
        <v>93</v>
      </c>
      <c r="W225" s="9" t="s">
        <v>3566</v>
      </c>
      <c r="X225" s="9" t="s">
        <v>3020</v>
      </c>
      <c r="Y225" s="9"/>
      <c r="Z225" s="9"/>
      <c r="AA225" s="9" t="s">
        <v>3020</v>
      </c>
    </row>
    <row r="226" spans="1:27" x14ac:dyDescent="0.35">
      <c r="A226" s="4" t="str">
        <f>IF(Table5[[#This Row],[SM_Amount__c]]="25.0","FEE",IF(IF(Table5[[#This Row],[SM_Original_Type__c]]="",Table5[[#This Row],[SM_Type__c]],Table5[[#This Row],[SM_Original_Type__c]])="AC","AC","SUBS"))</f>
        <v>SUBS</v>
      </c>
      <c r="B226" s="27" t="str">
        <f>IF(INDEX(Contract[SM_AC_start_date__c],MATCH(Table5[[#This Row],[SM_Contract__c]],Contract[Id],0))=0,"",INDEX(Contract[SM_AC_start_date__c],MATCH(Table5[[#This Row],[SM_Contract__c]],Contract[Id],0)))</f>
        <v/>
      </c>
      <c r="C226" s="27" t="str">
        <f>IF(INDEX(Contract[SM_AC_Split_Date__c],MATCH(Table5[[#This Row],[SM_Contract__c]],Contract[Id],0))=0,"",INDEX(Contract[SM_AC_Split_Date__c],MATCH(Table5[[#This Row],[SM_Contract__c]],Contract[Id],0)))</f>
        <v/>
      </c>
      <c r="D226" s="27">
        <f>IF(INDEX(Contract[SM_Start_date__c],MATCH(Table5[[#This Row],[SM_Contract__c]],Contract[Id],0))=0,"",INDEX(Contract[SM_Start_date__c],MATCH(Table5[[#This Row],[SM_Contract__c]],Contract[Id],0)))</f>
        <v>46021</v>
      </c>
      <c r="E226" s="4">
        <f ca="1">(YEAR(TODAY())-YEAR(Table5[[#This Row],[RC DATE]]))*12 + MONTH(TODAY())-MONTH(Table5[[#This Row],[RC DATE]])</f>
        <v>7</v>
      </c>
      <c r="F22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26" s="19">
        <f>IF(Table5[[#This Row],[Payment_Status__c]]="ACCEPTED",1,"")</f>
        <v>1</v>
      </c>
      <c r="H22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26" s="19">
        <f ca="1">Table5[[#This Row],['# months]]-COUNTIFS(Table5[SM_Contract__c],Table5[[#This Row],[SM_Contract__c]],Table5[TYPE],"SUBS",Table5[ACCEPTED],1)</f>
        <v>-1</v>
      </c>
      <c r="J226" s="19" t="b">
        <f>ISNUMBER(MATCH(Table5[[#This Row],[SM_Contract__c]],Contract[Id],0))</f>
        <v>1</v>
      </c>
      <c r="K226" s="9" t="s">
        <v>3035</v>
      </c>
      <c r="L226" s="9" t="s">
        <v>3036</v>
      </c>
      <c r="M226" s="9" t="s">
        <v>576</v>
      </c>
      <c r="N226" s="9" t="s">
        <v>3717</v>
      </c>
      <c r="O226" s="9" t="s">
        <v>1563</v>
      </c>
      <c r="P226" s="9" t="s">
        <v>2363</v>
      </c>
      <c r="Q226" s="9" t="s">
        <v>83</v>
      </c>
      <c r="R226" s="9" t="s">
        <v>76</v>
      </c>
      <c r="S226" s="9" t="s">
        <v>100</v>
      </c>
      <c r="T226" s="9" t="s">
        <v>100</v>
      </c>
      <c r="U226" s="9" t="s">
        <v>100</v>
      </c>
      <c r="V226" s="9" t="s">
        <v>93</v>
      </c>
      <c r="W226" s="9" t="s">
        <v>3619</v>
      </c>
      <c r="X226" s="9" t="s">
        <v>3021</v>
      </c>
      <c r="Y226" s="9"/>
      <c r="Z226" s="9"/>
      <c r="AA226" s="9" t="s">
        <v>3021</v>
      </c>
    </row>
    <row r="227" spans="1:27" x14ac:dyDescent="0.35">
      <c r="A227" s="4" t="str">
        <f>IF(Table5[[#This Row],[SM_Amount__c]]="25.0","FEE",IF(IF(Table5[[#This Row],[SM_Original_Type__c]]="",Table5[[#This Row],[SM_Type__c]],Table5[[#This Row],[SM_Original_Type__c]])="AC","AC","SUBS"))</f>
        <v>SUBS</v>
      </c>
      <c r="B227" s="27" t="str">
        <f>IF(INDEX(Contract[SM_AC_start_date__c],MATCH(Table5[[#This Row],[SM_Contract__c]],Contract[Id],0))=0,"",INDEX(Contract[SM_AC_start_date__c],MATCH(Table5[[#This Row],[SM_Contract__c]],Contract[Id],0)))</f>
        <v/>
      </c>
      <c r="C227" s="27" t="str">
        <f>IF(INDEX(Contract[SM_AC_Split_Date__c],MATCH(Table5[[#This Row],[SM_Contract__c]],Contract[Id],0))=0,"",INDEX(Contract[SM_AC_Split_Date__c],MATCH(Table5[[#This Row],[SM_Contract__c]],Contract[Id],0)))</f>
        <v/>
      </c>
      <c r="D227" s="27">
        <f>IF(INDEX(Contract[SM_Start_date__c],MATCH(Table5[[#This Row],[SM_Contract__c]],Contract[Id],0))=0,"",INDEX(Contract[SM_Start_date__c],MATCH(Table5[[#This Row],[SM_Contract__c]],Contract[Id],0)))</f>
        <v>46021</v>
      </c>
      <c r="E227" s="4">
        <f ca="1">(YEAR(TODAY())-YEAR(Table5[[#This Row],[RC DATE]]))*12 + MONTH(TODAY())-MONTH(Table5[[#This Row],[RC DATE]])</f>
        <v>7</v>
      </c>
      <c r="F22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27" s="19">
        <f>IF(Table5[[#This Row],[Payment_Status__c]]="ACCEPTED",1,"")</f>
        <v>1</v>
      </c>
      <c r="H22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27" s="19">
        <f ca="1">Table5[[#This Row],['# months]]-COUNTIFS(Table5[SM_Contract__c],Table5[[#This Row],[SM_Contract__c]],Table5[TYPE],"SUBS",Table5[ACCEPTED],1)</f>
        <v>-1</v>
      </c>
      <c r="J227" s="19" t="b">
        <f>ISNUMBER(MATCH(Table5[[#This Row],[SM_Contract__c]],Contract[Id],0))</f>
        <v>1</v>
      </c>
      <c r="K227" s="9" t="s">
        <v>3037</v>
      </c>
      <c r="L227" s="9" t="s">
        <v>3038</v>
      </c>
      <c r="M227" s="9" t="s">
        <v>576</v>
      </c>
      <c r="N227" s="9" t="s">
        <v>3717</v>
      </c>
      <c r="O227" s="9" t="s">
        <v>1563</v>
      </c>
      <c r="P227" s="9" t="s">
        <v>2363</v>
      </c>
      <c r="Q227" s="9" t="s">
        <v>83</v>
      </c>
      <c r="R227" s="9" t="s">
        <v>76</v>
      </c>
      <c r="S227" s="9" t="s">
        <v>100</v>
      </c>
      <c r="T227" s="9" t="s">
        <v>100</v>
      </c>
      <c r="U227" s="9" t="s">
        <v>100</v>
      </c>
      <c r="V227" s="9" t="s">
        <v>93</v>
      </c>
      <c r="W227" s="9" t="s">
        <v>3563</v>
      </c>
      <c r="X227" s="9" t="s">
        <v>3022</v>
      </c>
      <c r="Y227" s="9"/>
      <c r="Z227" s="9"/>
      <c r="AA227" s="9" t="s">
        <v>3022</v>
      </c>
    </row>
    <row r="228" spans="1:27" x14ac:dyDescent="0.35">
      <c r="A228" s="4" t="str">
        <f>IF(Table5[[#This Row],[SM_Amount__c]]="25.0","FEE",IF(IF(Table5[[#This Row],[SM_Original_Type__c]]="",Table5[[#This Row],[SM_Type__c]],Table5[[#This Row],[SM_Original_Type__c]])="AC","AC","SUBS"))</f>
        <v>SUBS</v>
      </c>
      <c r="B228" s="27" t="str">
        <f>IF(INDEX(Contract[SM_AC_start_date__c],MATCH(Table5[[#This Row],[SM_Contract__c]],Contract[Id],0))=0,"",INDEX(Contract[SM_AC_start_date__c],MATCH(Table5[[#This Row],[SM_Contract__c]],Contract[Id],0)))</f>
        <v/>
      </c>
      <c r="C228" s="27" t="str">
        <f>IF(INDEX(Contract[SM_AC_Split_Date__c],MATCH(Table5[[#This Row],[SM_Contract__c]],Contract[Id],0))=0,"",INDEX(Contract[SM_AC_Split_Date__c],MATCH(Table5[[#This Row],[SM_Contract__c]],Contract[Id],0)))</f>
        <v/>
      </c>
      <c r="D228" s="27">
        <f>IF(INDEX(Contract[SM_Start_date__c],MATCH(Table5[[#This Row],[SM_Contract__c]],Contract[Id],0))=0,"",INDEX(Contract[SM_Start_date__c],MATCH(Table5[[#This Row],[SM_Contract__c]],Contract[Id],0)))</f>
        <v>46021</v>
      </c>
      <c r="E228" s="4">
        <f ca="1">(YEAR(TODAY())-YEAR(Table5[[#This Row],[RC DATE]]))*12 + MONTH(TODAY())-MONTH(Table5[[#This Row],[RC DATE]])</f>
        <v>7</v>
      </c>
      <c r="F22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28" s="19">
        <f>IF(Table5[[#This Row],[Payment_Status__c]]="ACCEPTED",1,"")</f>
        <v>1</v>
      </c>
      <c r="H22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28" s="19">
        <f ca="1">Table5[[#This Row],['# months]]-COUNTIFS(Table5[SM_Contract__c],Table5[[#This Row],[SM_Contract__c]],Table5[TYPE],"SUBS",Table5[ACCEPTED],1)</f>
        <v>-1</v>
      </c>
      <c r="J228" s="19" t="b">
        <f>ISNUMBER(MATCH(Table5[[#This Row],[SM_Contract__c]],Contract[Id],0))</f>
        <v>1</v>
      </c>
      <c r="K228" s="9" t="s">
        <v>3039</v>
      </c>
      <c r="L228" s="9" t="s">
        <v>3040</v>
      </c>
      <c r="M228" s="9" t="s">
        <v>576</v>
      </c>
      <c r="N228" s="9" t="s">
        <v>3717</v>
      </c>
      <c r="O228" s="9" t="s">
        <v>1563</v>
      </c>
      <c r="P228" s="9" t="s">
        <v>2363</v>
      </c>
      <c r="Q228" s="9" t="s">
        <v>83</v>
      </c>
      <c r="R228" s="9" t="s">
        <v>76</v>
      </c>
      <c r="S228" s="9" t="s">
        <v>100</v>
      </c>
      <c r="T228" s="9" t="s">
        <v>100</v>
      </c>
      <c r="U228" s="9" t="s">
        <v>100</v>
      </c>
      <c r="V228" s="9" t="s">
        <v>93</v>
      </c>
      <c r="W228" s="9" t="s">
        <v>3564</v>
      </c>
      <c r="X228" s="9" t="s">
        <v>3029</v>
      </c>
      <c r="Y228" s="9"/>
      <c r="Z228" s="9"/>
      <c r="AA228" s="9" t="s">
        <v>3029</v>
      </c>
    </row>
    <row r="229" spans="1:27" x14ac:dyDescent="0.35">
      <c r="A229" s="4" t="str">
        <f>IF(Table5[[#This Row],[SM_Amount__c]]="25.0","FEE",IF(IF(Table5[[#This Row],[SM_Original_Type__c]]="",Table5[[#This Row],[SM_Type__c]],Table5[[#This Row],[SM_Original_Type__c]])="AC","AC","SUBS"))</f>
        <v>SUBS</v>
      </c>
      <c r="B229" s="27" t="str">
        <f>IF(INDEX(Contract[SM_AC_start_date__c],MATCH(Table5[[#This Row],[SM_Contract__c]],Contract[Id],0))=0,"",INDEX(Contract[SM_AC_start_date__c],MATCH(Table5[[#This Row],[SM_Contract__c]],Contract[Id],0)))</f>
        <v/>
      </c>
      <c r="C229" s="27" t="str">
        <f>IF(INDEX(Contract[SM_AC_Split_Date__c],MATCH(Table5[[#This Row],[SM_Contract__c]],Contract[Id],0))=0,"",INDEX(Contract[SM_AC_Split_Date__c],MATCH(Table5[[#This Row],[SM_Contract__c]],Contract[Id],0)))</f>
        <v/>
      </c>
      <c r="D229" s="27">
        <f>IF(INDEX(Contract[SM_Start_date__c],MATCH(Table5[[#This Row],[SM_Contract__c]],Contract[Id],0))=0,"",INDEX(Contract[SM_Start_date__c],MATCH(Table5[[#This Row],[SM_Contract__c]],Contract[Id],0)))</f>
        <v>46021</v>
      </c>
      <c r="E229" s="4">
        <f ca="1">(YEAR(TODAY())-YEAR(Table5[[#This Row],[RC DATE]]))*12 + MONTH(TODAY())-MONTH(Table5[[#This Row],[RC DATE]])</f>
        <v>7</v>
      </c>
      <c r="F22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29" s="19">
        <f>IF(Table5[[#This Row],[Payment_Status__c]]="ACCEPTED",1,"")</f>
        <v>1</v>
      </c>
      <c r="H22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29" s="19">
        <f ca="1">Table5[[#This Row],['# months]]-COUNTIFS(Table5[SM_Contract__c],Table5[[#This Row],[SM_Contract__c]],Table5[TYPE],"SUBS",Table5[ACCEPTED],1)</f>
        <v>-1</v>
      </c>
      <c r="J229" s="19" t="b">
        <f>ISNUMBER(MATCH(Table5[[#This Row],[SM_Contract__c]],Contract[Id],0))</f>
        <v>1</v>
      </c>
      <c r="K229" s="9" t="s">
        <v>3041</v>
      </c>
      <c r="L229" s="9" t="s">
        <v>3042</v>
      </c>
      <c r="M229" s="9" t="s">
        <v>576</v>
      </c>
      <c r="N229" s="9" t="s">
        <v>3717</v>
      </c>
      <c r="O229" s="9" t="s">
        <v>1563</v>
      </c>
      <c r="P229" s="9" t="s">
        <v>2363</v>
      </c>
      <c r="Q229" s="9" t="s">
        <v>83</v>
      </c>
      <c r="R229" s="9" t="s">
        <v>76</v>
      </c>
      <c r="S229" s="9" t="s">
        <v>100</v>
      </c>
      <c r="T229" s="9" t="s">
        <v>100</v>
      </c>
      <c r="U229" s="9" t="s">
        <v>100</v>
      </c>
      <c r="V229" s="9" t="s">
        <v>93</v>
      </c>
      <c r="W229" s="9" t="s">
        <v>3565</v>
      </c>
      <c r="X229" s="9" t="s">
        <v>3032</v>
      </c>
      <c r="Y229" s="9"/>
      <c r="Z229" s="9"/>
      <c r="AA229" s="9" t="s">
        <v>3032</v>
      </c>
    </row>
    <row r="230" spans="1:27" x14ac:dyDescent="0.35">
      <c r="A230" s="4" t="str">
        <f>IF(Table5[[#This Row],[SM_Amount__c]]="25.0","FEE",IF(IF(Table5[[#This Row],[SM_Original_Type__c]]="",Table5[[#This Row],[SM_Type__c]],Table5[[#This Row],[SM_Original_Type__c]])="AC","AC","SUBS"))</f>
        <v>SUBS</v>
      </c>
      <c r="B230" s="27" t="str">
        <f>IF(INDEX(Contract[SM_AC_start_date__c],MATCH(Table5[[#This Row],[SM_Contract__c]],Contract[Id],0))=0,"",INDEX(Contract[SM_AC_start_date__c],MATCH(Table5[[#This Row],[SM_Contract__c]],Contract[Id],0)))</f>
        <v/>
      </c>
      <c r="C230" s="27" t="str">
        <f>IF(INDEX(Contract[SM_AC_Split_Date__c],MATCH(Table5[[#This Row],[SM_Contract__c]],Contract[Id],0))=0,"",INDEX(Contract[SM_AC_Split_Date__c],MATCH(Table5[[#This Row],[SM_Contract__c]],Contract[Id],0)))</f>
        <v/>
      </c>
      <c r="D230" s="27">
        <f>IF(INDEX(Contract[SM_Start_date__c],MATCH(Table5[[#This Row],[SM_Contract__c]],Contract[Id],0))=0,"",INDEX(Contract[SM_Start_date__c],MATCH(Table5[[#This Row],[SM_Contract__c]],Contract[Id],0)))</f>
        <v>46021</v>
      </c>
      <c r="E230" s="4">
        <f ca="1">(YEAR(TODAY())-YEAR(Table5[[#This Row],[RC DATE]]))*12 + MONTH(TODAY())-MONTH(Table5[[#This Row],[RC DATE]])</f>
        <v>7</v>
      </c>
      <c r="F23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30" s="19">
        <f>IF(Table5[[#This Row],[Payment_Status__c]]="ACCEPTED",1,"")</f>
        <v>1</v>
      </c>
      <c r="H23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0" s="19">
        <f ca="1">Table5[[#This Row],['# months]]-COUNTIFS(Table5[SM_Contract__c],Table5[[#This Row],[SM_Contract__c]],Table5[TYPE],"SUBS",Table5[ACCEPTED],1)</f>
        <v>-1</v>
      </c>
      <c r="J230" s="19" t="b">
        <f>ISNUMBER(MATCH(Table5[[#This Row],[SM_Contract__c]],Contract[Id],0))</f>
        <v>1</v>
      </c>
      <c r="K230" s="9" t="s">
        <v>3043</v>
      </c>
      <c r="L230" s="9" t="s">
        <v>3044</v>
      </c>
      <c r="M230" s="9" t="s">
        <v>576</v>
      </c>
      <c r="N230" s="9" t="s">
        <v>3717</v>
      </c>
      <c r="O230" s="9" t="s">
        <v>1563</v>
      </c>
      <c r="P230" s="9" t="s">
        <v>2363</v>
      </c>
      <c r="Q230" s="9" t="s">
        <v>83</v>
      </c>
      <c r="R230" s="9" t="s">
        <v>76</v>
      </c>
      <c r="S230" s="9" t="s">
        <v>100</v>
      </c>
      <c r="T230" s="9" t="s">
        <v>100</v>
      </c>
      <c r="U230" s="9" t="s">
        <v>100</v>
      </c>
      <c r="V230" s="9" t="s">
        <v>93</v>
      </c>
      <c r="W230" s="9" t="s">
        <v>3566</v>
      </c>
      <c r="X230" s="9" t="s">
        <v>3020</v>
      </c>
      <c r="Y230" s="9"/>
      <c r="Z230" s="9"/>
      <c r="AA230" s="9" t="s">
        <v>3020</v>
      </c>
    </row>
    <row r="231" spans="1:27" x14ac:dyDescent="0.35">
      <c r="A231" s="4" t="str">
        <f>IF(Table5[[#This Row],[SM_Amount__c]]="25.0","FEE",IF(IF(Table5[[#This Row],[SM_Original_Type__c]]="",Table5[[#This Row],[SM_Type__c]],Table5[[#This Row],[SM_Original_Type__c]])="AC","AC","SUBS"))</f>
        <v>SUBS</v>
      </c>
      <c r="B231" s="27" t="str">
        <f>IF(INDEX(Contract[SM_AC_start_date__c],MATCH(Table5[[#This Row],[SM_Contract__c]],Contract[Id],0))=0,"",INDEX(Contract[SM_AC_start_date__c],MATCH(Table5[[#This Row],[SM_Contract__c]],Contract[Id],0)))</f>
        <v/>
      </c>
      <c r="C231" s="27" t="str">
        <f>IF(INDEX(Contract[SM_AC_Split_Date__c],MATCH(Table5[[#This Row],[SM_Contract__c]],Contract[Id],0))=0,"",INDEX(Contract[SM_AC_Split_Date__c],MATCH(Table5[[#This Row],[SM_Contract__c]],Contract[Id],0)))</f>
        <v/>
      </c>
      <c r="D231" s="27">
        <f>IF(INDEX(Contract[SM_Start_date__c],MATCH(Table5[[#This Row],[SM_Contract__c]],Contract[Id],0))=0,"",INDEX(Contract[SM_Start_date__c],MATCH(Table5[[#This Row],[SM_Contract__c]],Contract[Id],0)))</f>
        <v>46021</v>
      </c>
      <c r="E231" s="4">
        <f ca="1">(YEAR(TODAY())-YEAR(Table5[[#This Row],[RC DATE]]))*12 + MONTH(TODAY())-MONTH(Table5[[#This Row],[RC DATE]])</f>
        <v>7</v>
      </c>
      <c r="F23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31" s="19">
        <f>IF(Table5[[#This Row],[Payment_Status__c]]="ACCEPTED",1,"")</f>
        <v>1</v>
      </c>
      <c r="H23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1" s="19">
        <f ca="1">Table5[[#This Row],['# months]]-COUNTIFS(Table5[SM_Contract__c],Table5[[#This Row],[SM_Contract__c]],Table5[TYPE],"SUBS",Table5[ACCEPTED],1)</f>
        <v>-1</v>
      </c>
      <c r="J231" s="19" t="b">
        <f>ISNUMBER(MATCH(Table5[[#This Row],[SM_Contract__c]],Contract[Id],0))</f>
        <v>1</v>
      </c>
      <c r="K231" s="9" t="s">
        <v>3045</v>
      </c>
      <c r="L231" s="9" t="s">
        <v>3046</v>
      </c>
      <c r="M231" s="9" t="s">
        <v>576</v>
      </c>
      <c r="N231" s="9" t="s">
        <v>3717</v>
      </c>
      <c r="O231" s="9" t="s">
        <v>1563</v>
      </c>
      <c r="P231" s="9" t="s">
        <v>2363</v>
      </c>
      <c r="Q231" s="9" t="s">
        <v>83</v>
      </c>
      <c r="R231" s="9" t="s">
        <v>76</v>
      </c>
      <c r="S231" s="9" t="s">
        <v>100</v>
      </c>
      <c r="T231" s="9" t="s">
        <v>100</v>
      </c>
      <c r="U231" s="9" t="s">
        <v>100</v>
      </c>
      <c r="V231" s="9" t="s">
        <v>93</v>
      </c>
      <c r="W231" s="9" t="s">
        <v>3689</v>
      </c>
      <c r="X231" s="9" t="s">
        <v>3047</v>
      </c>
      <c r="Y231" s="9"/>
      <c r="Z231" s="9"/>
      <c r="AA231" s="9" t="s">
        <v>3048</v>
      </c>
    </row>
    <row r="232" spans="1:27" x14ac:dyDescent="0.35">
      <c r="A232" s="4" t="str">
        <f>IF(Table5[[#This Row],[SM_Amount__c]]="25.0","FEE",IF(IF(Table5[[#This Row],[SM_Original_Type__c]]="",Table5[[#This Row],[SM_Type__c]],Table5[[#This Row],[SM_Original_Type__c]])="AC","AC","SUBS"))</f>
        <v>SUBS</v>
      </c>
      <c r="B232" s="27" t="str">
        <f>IF(INDEX(Contract[SM_AC_start_date__c],MATCH(Table5[[#This Row],[SM_Contract__c]],Contract[Id],0))=0,"",INDEX(Contract[SM_AC_start_date__c],MATCH(Table5[[#This Row],[SM_Contract__c]],Contract[Id],0)))</f>
        <v/>
      </c>
      <c r="C232" s="27" t="str">
        <f>IF(INDEX(Contract[SM_AC_Split_Date__c],MATCH(Table5[[#This Row],[SM_Contract__c]],Contract[Id],0))=0,"",INDEX(Contract[SM_AC_Split_Date__c],MATCH(Table5[[#This Row],[SM_Contract__c]],Contract[Id],0)))</f>
        <v/>
      </c>
      <c r="D232" s="27">
        <f>IF(INDEX(Contract[SM_Start_date__c],MATCH(Table5[[#This Row],[SM_Contract__c]],Contract[Id],0))=0,"",INDEX(Contract[SM_Start_date__c],MATCH(Table5[[#This Row],[SM_Contract__c]],Contract[Id],0)))</f>
        <v>46021</v>
      </c>
      <c r="E232" s="4">
        <f ca="1">(YEAR(TODAY())-YEAR(Table5[[#This Row],[RC DATE]]))*12 + MONTH(TODAY())-MONTH(Table5[[#This Row],[RC DATE]])</f>
        <v>7</v>
      </c>
      <c r="F23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32" s="19">
        <f>IF(Table5[[#This Row],[Payment_Status__c]]="ACCEPTED",1,"")</f>
        <v>1</v>
      </c>
      <c r="H23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2" s="19">
        <f ca="1">Table5[[#This Row],['# months]]-COUNTIFS(Table5[SM_Contract__c],Table5[[#This Row],[SM_Contract__c]],Table5[TYPE],"SUBS",Table5[ACCEPTED],1)</f>
        <v>-1</v>
      </c>
      <c r="J232" s="19" t="b">
        <f>ISNUMBER(MATCH(Table5[[#This Row],[SM_Contract__c]],Contract[Id],0))</f>
        <v>1</v>
      </c>
      <c r="K232" s="9" t="s">
        <v>3049</v>
      </c>
      <c r="L232" s="9" t="s">
        <v>3050</v>
      </c>
      <c r="M232" s="9" t="s">
        <v>576</v>
      </c>
      <c r="N232" s="9" t="s">
        <v>3717</v>
      </c>
      <c r="O232" s="9" t="s">
        <v>1563</v>
      </c>
      <c r="P232" s="9" t="s">
        <v>2363</v>
      </c>
      <c r="Q232" s="9" t="s">
        <v>83</v>
      </c>
      <c r="R232" s="9" t="s">
        <v>76</v>
      </c>
      <c r="S232" s="9" t="s">
        <v>100</v>
      </c>
      <c r="T232" s="9" t="s">
        <v>100</v>
      </c>
      <c r="U232" s="9" t="s">
        <v>100</v>
      </c>
      <c r="V232" s="9" t="s">
        <v>93</v>
      </c>
      <c r="W232" s="9" t="s">
        <v>3689</v>
      </c>
      <c r="X232" s="9" t="s">
        <v>3047</v>
      </c>
      <c r="Y232" s="9"/>
      <c r="Z232" s="9"/>
      <c r="AA232" s="9" t="s">
        <v>3051</v>
      </c>
    </row>
    <row r="233" spans="1:27" x14ac:dyDescent="0.35">
      <c r="A233" s="4" t="str">
        <f>IF(Table5[[#This Row],[SM_Amount__c]]="25.0","FEE",IF(IF(Table5[[#This Row],[SM_Original_Type__c]]="",Table5[[#This Row],[SM_Type__c]],Table5[[#This Row],[SM_Original_Type__c]])="AC","AC","SUBS"))</f>
        <v>SUBS</v>
      </c>
      <c r="B233" s="27" t="str">
        <f>IF(INDEX(Contract[SM_AC_start_date__c],MATCH(Table5[[#This Row],[SM_Contract__c]],Contract[Id],0))=0,"",INDEX(Contract[SM_AC_start_date__c],MATCH(Table5[[#This Row],[SM_Contract__c]],Contract[Id],0)))</f>
        <v/>
      </c>
      <c r="C233" s="27" t="str">
        <f>IF(INDEX(Contract[SM_AC_Split_Date__c],MATCH(Table5[[#This Row],[SM_Contract__c]],Contract[Id],0))=0,"",INDEX(Contract[SM_AC_Split_Date__c],MATCH(Table5[[#This Row],[SM_Contract__c]],Contract[Id],0)))</f>
        <v/>
      </c>
      <c r="D233" s="27">
        <f>IF(INDEX(Contract[SM_Start_date__c],MATCH(Table5[[#This Row],[SM_Contract__c]],Contract[Id],0))=0,"",INDEX(Contract[SM_Start_date__c],MATCH(Table5[[#This Row],[SM_Contract__c]],Contract[Id],0)))</f>
        <v>46021</v>
      </c>
      <c r="E233" s="4">
        <f ca="1">(YEAR(TODAY())-YEAR(Table5[[#This Row],[RC DATE]]))*12 + MONTH(TODAY())-MONTH(Table5[[#This Row],[RC DATE]])</f>
        <v>7</v>
      </c>
      <c r="F23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46264</v>
      </c>
      <c r="G233" s="19">
        <f>IF(Table5[[#This Row],[Payment_Status__c]]="ACCEPTED",1,"")</f>
        <v>1</v>
      </c>
      <c r="H23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3" s="19">
        <f ca="1">Table5[[#This Row],['# months]]-COUNTIFS(Table5[SM_Contract__c],Table5[[#This Row],[SM_Contract__c]],Table5[TYPE],"SUBS",Table5[ACCEPTED],1)</f>
        <v>-1</v>
      </c>
      <c r="J233" s="19" t="b">
        <f>ISNUMBER(MATCH(Table5[[#This Row],[SM_Contract__c]],Contract[Id],0))</f>
        <v>1</v>
      </c>
      <c r="K233" s="9" t="s">
        <v>3052</v>
      </c>
      <c r="L233" s="9" t="s">
        <v>3053</v>
      </c>
      <c r="M233" s="9" t="s">
        <v>576</v>
      </c>
      <c r="N233" s="9" t="s">
        <v>3717</v>
      </c>
      <c r="O233" s="9" t="s">
        <v>1563</v>
      </c>
      <c r="P233" s="9" t="s">
        <v>2363</v>
      </c>
      <c r="Q233" s="9" t="s">
        <v>83</v>
      </c>
      <c r="R233" s="9" t="s">
        <v>76</v>
      </c>
      <c r="S233" s="9" t="s">
        <v>100</v>
      </c>
      <c r="T233" s="9" t="s">
        <v>100</v>
      </c>
      <c r="U233" s="9" t="s">
        <v>100</v>
      </c>
      <c r="V233" s="9" t="s">
        <v>93</v>
      </c>
      <c r="W233" s="9" t="s">
        <v>3689</v>
      </c>
      <c r="X233" s="9" t="s">
        <v>3047</v>
      </c>
      <c r="Y233" s="9"/>
      <c r="Z233" s="9"/>
      <c r="AA233" s="9" t="s">
        <v>3054</v>
      </c>
    </row>
    <row r="234" spans="1:27" x14ac:dyDescent="0.35">
      <c r="A234" s="4" t="str">
        <f>IF(Table5[[#This Row],[SM_Amount__c]]="25.0","FEE",IF(IF(Table5[[#This Row],[SM_Original_Type__c]]="",Table5[[#This Row],[SM_Type__c]],Table5[[#This Row],[SM_Original_Type__c]])="AC","AC","SUBS"))</f>
        <v>AC</v>
      </c>
      <c r="B234" s="27">
        <f>IF(INDEX(Contract[SM_AC_start_date__c],MATCH(Table5[[#This Row],[SM_Contract__c]],Contract[Id],0))=0,"",INDEX(Contract[SM_AC_start_date__c],MATCH(Table5[[#This Row],[SM_Contract__c]],Contract[Id],0)))</f>
        <v>45993</v>
      </c>
      <c r="C234" s="27" t="str">
        <f>IF(INDEX(Contract[SM_AC_Split_Date__c],MATCH(Table5[[#This Row],[SM_Contract__c]],Contract[Id],0))=0,"",INDEX(Contract[SM_AC_Split_Date__c],MATCH(Table5[[#This Row],[SM_Contract__c]],Contract[Id],0)))</f>
        <v/>
      </c>
      <c r="D234" s="27">
        <f>IF(INDEX(Contract[SM_Start_date__c],MATCH(Table5[[#This Row],[SM_Contract__c]],Contract[Id],0))=0,"",INDEX(Contract[SM_Start_date__c],MATCH(Table5[[#This Row],[SM_Contract__c]],Contract[Id],0)))</f>
        <v>46037</v>
      </c>
      <c r="E234" s="4">
        <f ca="1">(YEAR(TODAY())-YEAR(Table5[[#This Row],[RC DATE]]))*12 + MONTH(TODAY())-MONTH(Table5[[#This Row],[RC DATE]])</f>
        <v>6</v>
      </c>
      <c r="F23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4" s="19">
        <f>IF(Table5[[#This Row],[Payment_Status__c]]="ACCEPTED",1,"")</f>
        <v>1</v>
      </c>
      <c r="H23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4" s="19">
        <f ca="1">Table5[[#This Row],['# months]]-COUNTIFS(Table5[SM_Contract__c],Table5[[#This Row],[SM_Contract__c]],Table5[TYPE],"SUBS",Table5[ACCEPTED],1)</f>
        <v>-1</v>
      </c>
      <c r="J234" s="19" t="b">
        <f>ISNUMBER(MATCH(Table5[[#This Row],[SM_Contract__c]],Contract[Id],0))</f>
        <v>1</v>
      </c>
      <c r="K234" s="9" t="s">
        <v>3055</v>
      </c>
      <c r="L234" s="9" t="s">
        <v>3056</v>
      </c>
      <c r="M234" s="9" t="s">
        <v>1399</v>
      </c>
      <c r="N234" s="9" t="s">
        <v>3718</v>
      </c>
      <c r="O234" s="9" t="s">
        <v>1563</v>
      </c>
      <c r="P234" s="9" t="s">
        <v>2363</v>
      </c>
      <c r="Q234" s="9" t="s">
        <v>77</v>
      </c>
      <c r="R234" s="9" t="s">
        <v>77</v>
      </c>
      <c r="S234" s="9" t="s">
        <v>2078</v>
      </c>
      <c r="T234" s="9" t="s">
        <v>2078</v>
      </c>
      <c r="U234" s="9" t="s">
        <v>2078</v>
      </c>
      <c r="V234" s="9" t="s">
        <v>93</v>
      </c>
      <c r="W234" s="9" t="s">
        <v>3643</v>
      </c>
      <c r="X234" s="9" t="s">
        <v>3057</v>
      </c>
      <c r="Y234" s="9"/>
      <c r="Z234" s="9"/>
      <c r="AA234" s="9" t="s">
        <v>3058</v>
      </c>
    </row>
    <row r="235" spans="1:27" x14ac:dyDescent="0.35">
      <c r="A235" s="4" t="str">
        <f>IF(Table5[[#This Row],[SM_Amount__c]]="25.0","FEE",IF(IF(Table5[[#This Row],[SM_Original_Type__c]]="",Table5[[#This Row],[SM_Type__c]],Table5[[#This Row],[SM_Original_Type__c]])="AC","AC","SUBS"))</f>
        <v>SUBS</v>
      </c>
      <c r="B235" s="27">
        <f>IF(INDEX(Contract[SM_AC_start_date__c],MATCH(Table5[[#This Row],[SM_Contract__c]],Contract[Id],0))=0,"",INDEX(Contract[SM_AC_start_date__c],MATCH(Table5[[#This Row],[SM_Contract__c]],Contract[Id],0)))</f>
        <v>45993</v>
      </c>
      <c r="C235" s="27" t="str">
        <f>IF(INDEX(Contract[SM_AC_Split_Date__c],MATCH(Table5[[#This Row],[SM_Contract__c]],Contract[Id],0))=0,"",INDEX(Contract[SM_AC_Split_Date__c],MATCH(Table5[[#This Row],[SM_Contract__c]],Contract[Id],0)))</f>
        <v/>
      </c>
      <c r="D235" s="27">
        <f>IF(INDEX(Contract[SM_Start_date__c],MATCH(Table5[[#This Row],[SM_Contract__c]],Contract[Id],0))=0,"",INDEX(Contract[SM_Start_date__c],MATCH(Table5[[#This Row],[SM_Contract__c]],Contract[Id],0)))</f>
        <v>46037</v>
      </c>
      <c r="E235" s="4">
        <f ca="1">(YEAR(TODAY())-YEAR(Table5[[#This Row],[RC DATE]]))*12 + MONTH(TODAY())-MONTH(Table5[[#This Row],[RC DATE]])</f>
        <v>6</v>
      </c>
      <c r="F23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5" s="19">
        <f>IF(Table5[[#This Row],[Payment_Status__c]]="ACCEPTED",1,"")</f>
        <v>1</v>
      </c>
      <c r="H23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5" s="19">
        <f ca="1">Table5[[#This Row],['# months]]-COUNTIFS(Table5[SM_Contract__c],Table5[[#This Row],[SM_Contract__c]],Table5[TYPE],"SUBS",Table5[ACCEPTED],1)</f>
        <v>-1</v>
      </c>
      <c r="J235" s="19" t="b">
        <f>ISNUMBER(MATCH(Table5[[#This Row],[SM_Contract__c]],Contract[Id],0))</f>
        <v>1</v>
      </c>
      <c r="K235" s="9" t="s">
        <v>3059</v>
      </c>
      <c r="L235" s="9" t="s">
        <v>3060</v>
      </c>
      <c r="M235" s="9" t="s">
        <v>1399</v>
      </c>
      <c r="N235" s="9" t="s">
        <v>3718</v>
      </c>
      <c r="O235" s="9" t="s">
        <v>1563</v>
      </c>
      <c r="P235" s="9" t="s">
        <v>2363</v>
      </c>
      <c r="Q235" s="9" t="s">
        <v>83</v>
      </c>
      <c r="R235" s="9" t="s">
        <v>76</v>
      </c>
      <c r="S235" s="9" t="s">
        <v>91</v>
      </c>
      <c r="T235" s="9" t="s">
        <v>91</v>
      </c>
      <c r="U235" s="9" t="s">
        <v>91</v>
      </c>
      <c r="V235" s="9" t="s">
        <v>93</v>
      </c>
      <c r="W235" s="9" t="s">
        <v>3581</v>
      </c>
      <c r="X235" s="9" t="s">
        <v>3061</v>
      </c>
      <c r="Y235" s="9"/>
      <c r="Z235" s="9"/>
      <c r="AA235" s="9" t="s">
        <v>3062</v>
      </c>
    </row>
    <row r="236" spans="1:27" x14ac:dyDescent="0.35">
      <c r="A236" s="4" t="str">
        <f>IF(Table5[[#This Row],[SM_Amount__c]]="25.0","FEE",IF(IF(Table5[[#This Row],[SM_Original_Type__c]]="",Table5[[#This Row],[SM_Type__c]],Table5[[#This Row],[SM_Original_Type__c]])="AC","AC","SUBS"))</f>
        <v>SUBS</v>
      </c>
      <c r="B236" s="27">
        <f>IF(INDEX(Contract[SM_AC_start_date__c],MATCH(Table5[[#This Row],[SM_Contract__c]],Contract[Id],0))=0,"",INDEX(Contract[SM_AC_start_date__c],MATCH(Table5[[#This Row],[SM_Contract__c]],Contract[Id],0)))</f>
        <v>45993</v>
      </c>
      <c r="C236" s="27" t="str">
        <f>IF(INDEX(Contract[SM_AC_Split_Date__c],MATCH(Table5[[#This Row],[SM_Contract__c]],Contract[Id],0))=0,"",INDEX(Contract[SM_AC_Split_Date__c],MATCH(Table5[[#This Row],[SM_Contract__c]],Contract[Id],0)))</f>
        <v/>
      </c>
      <c r="D236" s="27">
        <f>IF(INDEX(Contract[SM_Start_date__c],MATCH(Table5[[#This Row],[SM_Contract__c]],Contract[Id],0))=0,"",INDEX(Contract[SM_Start_date__c],MATCH(Table5[[#This Row],[SM_Contract__c]],Contract[Id],0)))</f>
        <v>46037</v>
      </c>
      <c r="E236" s="4">
        <f ca="1">(YEAR(TODAY())-YEAR(Table5[[#This Row],[RC DATE]]))*12 + MONTH(TODAY())-MONTH(Table5[[#This Row],[RC DATE]])</f>
        <v>6</v>
      </c>
      <c r="F23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6" s="19">
        <f>IF(Table5[[#This Row],[Payment_Status__c]]="ACCEPTED",1,"")</f>
        <v>1</v>
      </c>
      <c r="H23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6" s="19">
        <f ca="1">Table5[[#This Row],['# months]]-COUNTIFS(Table5[SM_Contract__c],Table5[[#This Row],[SM_Contract__c]],Table5[TYPE],"SUBS",Table5[ACCEPTED],1)</f>
        <v>-1</v>
      </c>
      <c r="J236" s="19" t="b">
        <f>ISNUMBER(MATCH(Table5[[#This Row],[SM_Contract__c]],Contract[Id],0))</f>
        <v>1</v>
      </c>
      <c r="K236" s="9" t="s">
        <v>3063</v>
      </c>
      <c r="L236" s="9" t="s">
        <v>3064</v>
      </c>
      <c r="M236" s="9" t="s">
        <v>1399</v>
      </c>
      <c r="N236" s="9" t="s">
        <v>3718</v>
      </c>
      <c r="O236" s="9" t="s">
        <v>1563</v>
      </c>
      <c r="P236" s="9" t="s">
        <v>2363</v>
      </c>
      <c r="Q236" s="9" t="s">
        <v>83</v>
      </c>
      <c r="R236" s="9" t="s">
        <v>76</v>
      </c>
      <c r="S236" s="9" t="s">
        <v>91</v>
      </c>
      <c r="T236" s="9" t="s">
        <v>91</v>
      </c>
      <c r="U236" s="9" t="s">
        <v>91</v>
      </c>
      <c r="V236" s="9" t="s">
        <v>93</v>
      </c>
      <c r="W236" s="9" t="s">
        <v>3694</v>
      </c>
      <c r="X236" s="9" t="s">
        <v>3065</v>
      </c>
      <c r="Y236" s="9"/>
      <c r="Z236" s="9"/>
      <c r="AA236" s="9" t="s">
        <v>3066</v>
      </c>
    </row>
    <row r="237" spans="1:27" x14ac:dyDescent="0.35">
      <c r="A237" s="4" t="str">
        <f>IF(Table5[[#This Row],[SM_Amount__c]]="25.0","FEE",IF(IF(Table5[[#This Row],[SM_Original_Type__c]]="",Table5[[#This Row],[SM_Type__c]],Table5[[#This Row],[SM_Original_Type__c]])="AC","AC","SUBS"))</f>
        <v>SUBS</v>
      </c>
      <c r="B237" s="27">
        <f>IF(INDEX(Contract[SM_AC_start_date__c],MATCH(Table5[[#This Row],[SM_Contract__c]],Contract[Id],0))=0,"",INDEX(Contract[SM_AC_start_date__c],MATCH(Table5[[#This Row],[SM_Contract__c]],Contract[Id],0)))</f>
        <v>45993</v>
      </c>
      <c r="C237" s="27" t="str">
        <f>IF(INDEX(Contract[SM_AC_Split_Date__c],MATCH(Table5[[#This Row],[SM_Contract__c]],Contract[Id],0))=0,"",INDEX(Contract[SM_AC_Split_Date__c],MATCH(Table5[[#This Row],[SM_Contract__c]],Contract[Id],0)))</f>
        <v/>
      </c>
      <c r="D237" s="27">
        <f>IF(INDEX(Contract[SM_Start_date__c],MATCH(Table5[[#This Row],[SM_Contract__c]],Contract[Id],0))=0,"",INDEX(Contract[SM_Start_date__c],MATCH(Table5[[#This Row],[SM_Contract__c]],Contract[Id],0)))</f>
        <v>46037</v>
      </c>
      <c r="E237" s="4">
        <f ca="1">(YEAR(TODAY())-YEAR(Table5[[#This Row],[RC DATE]]))*12 + MONTH(TODAY())-MONTH(Table5[[#This Row],[RC DATE]])</f>
        <v>6</v>
      </c>
      <c r="F23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7" s="19">
        <f>IF(Table5[[#This Row],[Payment_Status__c]]="ACCEPTED",1,"")</f>
        <v>1</v>
      </c>
      <c r="H23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7" s="19">
        <f ca="1">Table5[[#This Row],['# months]]-COUNTIFS(Table5[SM_Contract__c],Table5[[#This Row],[SM_Contract__c]],Table5[TYPE],"SUBS",Table5[ACCEPTED],1)</f>
        <v>-1</v>
      </c>
      <c r="J237" s="19" t="b">
        <f>ISNUMBER(MATCH(Table5[[#This Row],[SM_Contract__c]],Contract[Id],0))</f>
        <v>1</v>
      </c>
      <c r="K237" s="9" t="s">
        <v>3067</v>
      </c>
      <c r="L237" s="9" t="s">
        <v>3068</v>
      </c>
      <c r="M237" s="9" t="s">
        <v>1399</v>
      </c>
      <c r="N237" s="9" t="s">
        <v>3718</v>
      </c>
      <c r="O237" s="9" t="s">
        <v>1563</v>
      </c>
      <c r="P237" s="9" t="s">
        <v>2363</v>
      </c>
      <c r="Q237" s="9" t="s">
        <v>83</v>
      </c>
      <c r="R237" s="9" t="s">
        <v>76</v>
      </c>
      <c r="S237" s="9" t="s">
        <v>91</v>
      </c>
      <c r="T237" s="9" t="s">
        <v>91</v>
      </c>
      <c r="U237" s="9" t="s">
        <v>91</v>
      </c>
      <c r="V237" s="9" t="s">
        <v>93</v>
      </c>
      <c r="W237" s="9" t="s">
        <v>3662</v>
      </c>
      <c r="X237" s="9" t="s">
        <v>3069</v>
      </c>
      <c r="Y237" s="9"/>
      <c r="Z237" s="9"/>
      <c r="AA237" s="9" t="s">
        <v>3070</v>
      </c>
    </row>
    <row r="238" spans="1:27" x14ac:dyDescent="0.35">
      <c r="A238" s="4" t="str">
        <f>IF(Table5[[#This Row],[SM_Amount__c]]="25.0","FEE",IF(IF(Table5[[#This Row],[SM_Original_Type__c]]="",Table5[[#This Row],[SM_Type__c]],Table5[[#This Row],[SM_Original_Type__c]])="AC","AC","SUBS"))</f>
        <v>SUBS</v>
      </c>
      <c r="B238" s="27">
        <f>IF(INDEX(Contract[SM_AC_start_date__c],MATCH(Table5[[#This Row],[SM_Contract__c]],Contract[Id],0))=0,"",INDEX(Contract[SM_AC_start_date__c],MATCH(Table5[[#This Row],[SM_Contract__c]],Contract[Id],0)))</f>
        <v>45993</v>
      </c>
      <c r="C238" s="27" t="str">
        <f>IF(INDEX(Contract[SM_AC_Split_Date__c],MATCH(Table5[[#This Row],[SM_Contract__c]],Contract[Id],0))=0,"",INDEX(Contract[SM_AC_Split_Date__c],MATCH(Table5[[#This Row],[SM_Contract__c]],Contract[Id],0)))</f>
        <v/>
      </c>
      <c r="D238" s="27">
        <f>IF(INDEX(Contract[SM_Start_date__c],MATCH(Table5[[#This Row],[SM_Contract__c]],Contract[Id],0))=0,"",INDEX(Contract[SM_Start_date__c],MATCH(Table5[[#This Row],[SM_Contract__c]],Contract[Id],0)))</f>
        <v>46037</v>
      </c>
      <c r="E238" s="4">
        <f ca="1">(YEAR(TODAY())-YEAR(Table5[[#This Row],[RC DATE]]))*12 + MONTH(TODAY())-MONTH(Table5[[#This Row],[RC DATE]])</f>
        <v>6</v>
      </c>
      <c r="F23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8" s="19">
        <f>IF(Table5[[#This Row],[Payment_Status__c]]="ACCEPTED",1,"")</f>
        <v>1</v>
      </c>
      <c r="H23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8" s="19">
        <f ca="1">Table5[[#This Row],['# months]]-COUNTIFS(Table5[SM_Contract__c],Table5[[#This Row],[SM_Contract__c]],Table5[TYPE],"SUBS",Table5[ACCEPTED],1)</f>
        <v>-1</v>
      </c>
      <c r="J238" s="19" t="b">
        <f>ISNUMBER(MATCH(Table5[[#This Row],[SM_Contract__c]],Contract[Id],0))</f>
        <v>1</v>
      </c>
      <c r="K238" s="9" t="s">
        <v>3071</v>
      </c>
      <c r="L238" s="9" t="s">
        <v>3072</v>
      </c>
      <c r="M238" s="9" t="s">
        <v>1399</v>
      </c>
      <c r="N238" s="9" t="s">
        <v>3718</v>
      </c>
      <c r="O238" s="9" t="s">
        <v>1563</v>
      </c>
      <c r="P238" s="9" t="s">
        <v>2363</v>
      </c>
      <c r="Q238" s="9" t="s">
        <v>83</v>
      </c>
      <c r="R238" s="9" t="s">
        <v>76</v>
      </c>
      <c r="S238" s="9" t="s">
        <v>91</v>
      </c>
      <c r="T238" s="9" t="s">
        <v>91</v>
      </c>
      <c r="U238" s="9" t="s">
        <v>91</v>
      </c>
      <c r="V238" s="9" t="s">
        <v>93</v>
      </c>
      <c r="W238" s="9" t="s">
        <v>3584</v>
      </c>
      <c r="X238" s="9" t="s">
        <v>3073</v>
      </c>
      <c r="Y238" s="9"/>
      <c r="Z238" s="9"/>
      <c r="AA238" s="9" t="s">
        <v>3074</v>
      </c>
    </row>
    <row r="239" spans="1:27" x14ac:dyDescent="0.35">
      <c r="A239" s="4" t="str">
        <f>IF(Table5[[#This Row],[SM_Amount__c]]="25.0","FEE",IF(IF(Table5[[#This Row],[SM_Original_Type__c]]="",Table5[[#This Row],[SM_Type__c]],Table5[[#This Row],[SM_Original_Type__c]])="AC","AC","SUBS"))</f>
        <v>SUBS</v>
      </c>
      <c r="B239" s="27">
        <f>IF(INDEX(Contract[SM_AC_start_date__c],MATCH(Table5[[#This Row],[SM_Contract__c]],Contract[Id],0))=0,"",INDEX(Contract[SM_AC_start_date__c],MATCH(Table5[[#This Row],[SM_Contract__c]],Contract[Id],0)))</f>
        <v>45993</v>
      </c>
      <c r="C239" s="27" t="str">
        <f>IF(INDEX(Contract[SM_AC_Split_Date__c],MATCH(Table5[[#This Row],[SM_Contract__c]],Contract[Id],0))=0,"",INDEX(Contract[SM_AC_Split_Date__c],MATCH(Table5[[#This Row],[SM_Contract__c]],Contract[Id],0)))</f>
        <v/>
      </c>
      <c r="D239" s="27">
        <f>IF(INDEX(Contract[SM_Start_date__c],MATCH(Table5[[#This Row],[SM_Contract__c]],Contract[Id],0))=0,"",INDEX(Contract[SM_Start_date__c],MATCH(Table5[[#This Row],[SM_Contract__c]],Contract[Id],0)))</f>
        <v>46037</v>
      </c>
      <c r="E239" s="4">
        <f ca="1">(YEAR(TODAY())-YEAR(Table5[[#This Row],[RC DATE]]))*12 + MONTH(TODAY())-MONTH(Table5[[#This Row],[RC DATE]])</f>
        <v>6</v>
      </c>
      <c r="F23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39" s="19">
        <f>IF(Table5[[#This Row],[Payment_Status__c]]="ACCEPTED",1,"")</f>
        <v>1</v>
      </c>
      <c r="H23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39" s="19">
        <f ca="1">Table5[[#This Row],['# months]]-COUNTIFS(Table5[SM_Contract__c],Table5[[#This Row],[SM_Contract__c]],Table5[TYPE],"SUBS",Table5[ACCEPTED],1)</f>
        <v>-1</v>
      </c>
      <c r="J239" s="19" t="b">
        <f>ISNUMBER(MATCH(Table5[[#This Row],[SM_Contract__c]],Contract[Id],0))</f>
        <v>1</v>
      </c>
      <c r="K239" s="9" t="s">
        <v>3075</v>
      </c>
      <c r="L239" s="9" t="s">
        <v>3076</v>
      </c>
      <c r="M239" s="9" t="s">
        <v>1399</v>
      </c>
      <c r="N239" s="9" t="s">
        <v>3718</v>
      </c>
      <c r="O239" s="9" t="s">
        <v>1563</v>
      </c>
      <c r="P239" s="9" t="s">
        <v>2363</v>
      </c>
      <c r="Q239" s="9" t="s">
        <v>83</v>
      </c>
      <c r="R239" s="9" t="s">
        <v>76</v>
      </c>
      <c r="S239" s="9" t="s">
        <v>91</v>
      </c>
      <c r="T239" s="9" t="s">
        <v>91</v>
      </c>
      <c r="U239" s="9" t="s">
        <v>91</v>
      </c>
      <c r="V239" s="9" t="s">
        <v>93</v>
      </c>
      <c r="W239" s="9" t="s">
        <v>3585</v>
      </c>
      <c r="X239" s="9" t="s">
        <v>3077</v>
      </c>
      <c r="Y239" s="9"/>
      <c r="Z239" s="9"/>
      <c r="AA239" s="9" t="s">
        <v>3078</v>
      </c>
    </row>
    <row r="240" spans="1:27" x14ac:dyDescent="0.35">
      <c r="A240" s="4" t="str">
        <f>IF(Table5[[#This Row],[SM_Amount__c]]="25.0","FEE",IF(IF(Table5[[#This Row],[SM_Original_Type__c]]="",Table5[[#This Row],[SM_Type__c]],Table5[[#This Row],[SM_Original_Type__c]])="AC","AC","SUBS"))</f>
        <v>SUBS</v>
      </c>
      <c r="B240" s="27">
        <f>IF(INDEX(Contract[SM_AC_start_date__c],MATCH(Table5[[#This Row],[SM_Contract__c]],Contract[Id],0))=0,"",INDEX(Contract[SM_AC_start_date__c],MATCH(Table5[[#This Row],[SM_Contract__c]],Contract[Id],0)))</f>
        <v>45993</v>
      </c>
      <c r="C240" s="27" t="str">
        <f>IF(INDEX(Contract[SM_AC_Split_Date__c],MATCH(Table5[[#This Row],[SM_Contract__c]],Contract[Id],0))=0,"",INDEX(Contract[SM_AC_Split_Date__c],MATCH(Table5[[#This Row],[SM_Contract__c]],Contract[Id],0)))</f>
        <v/>
      </c>
      <c r="D240" s="27">
        <f>IF(INDEX(Contract[SM_Start_date__c],MATCH(Table5[[#This Row],[SM_Contract__c]],Contract[Id],0))=0,"",INDEX(Contract[SM_Start_date__c],MATCH(Table5[[#This Row],[SM_Contract__c]],Contract[Id],0)))</f>
        <v>46037</v>
      </c>
      <c r="E240" s="4">
        <f ca="1">(YEAR(TODAY())-YEAR(Table5[[#This Row],[RC DATE]]))*12 + MONTH(TODAY())-MONTH(Table5[[#This Row],[RC DATE]])</f>
        <v>6</v>
      </c>
      <c r="F24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40" s="19">
        <f>IF(Table5[[#This Row],[Payment_Status__c]]="ACCEPTED",1,"")</f>
        <v>1</v>
      </c>
      <c r="H24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40" s="19">
        <f ca="1">Table5[[#This Row],['# months]]-COUNTIFS(Table5[SM_Contract__c],Table5[[#This Row],[SM_Contract__c]],Table5[TYPE],"SUBS",Table5[ACCEPTED],1)</f>
        <v>-1</v>
      </c>
      <c r="J240" s="19" t="b">
        <f>ISNUMBER(MATCH(Table5[[#This Row],[SM_Contract__c]],Contract[Id],0))</f>
        <v>1</v>
      </c>
      <c r="K240" s="9" t="s">
        <v>3079</v>
      </c>
      <c r="L240" s="9" t="s">
        <v>3080</v>
      </c>
      <c r="M240" s="9" t="s">
        <v>1399</v>
      </c>
      <c r="N240" s="9" t="s">
        <v>3718</v>
      </c>
      <c r="O240" s="9" t="s">
        <v>1563</v>
      </c>
      <c r="P240" s="9" t="s">
        <v>2363</v>
      </c>
      <c r="Q240" s="9" t="s">
        <v>83</v>
      </c>
      <c r="R240" s="9" t="s">
        <v>76</v>
      </c>
      <c r="S240" s="9" t="s">
        <v>91</v>
      </c>
      <c r="T240" s="9" t="s">
        <v>91</v>
      </c>
      <c r="U240" s="9" t="s">
        <v>91</v>
      </c>
      <c r="V240" s="9" t="s">
        <v>93</v>
      </c>
      <c r="W240" s="9" t="s">
        <v>3586</v>
      </c>
      <c r="X240" s="9" t="s">
        <v>3081</v>
      </c>
      <c r="Y240" s="9"/>
      <c r="Z240" s="9"/>
      <c r="AA240" s="9" t="s">
        <v>3082</v>
      </c>
    </row>
    <row r="241" spans="1:27" x14ac:dyDescent="0.35">
      <c r="A241" s="4" t="str">
        <f>IF(Table5[[#This Row],[SM_Amount__c]]="25.0","FEE",IF(IF(Table5[[#This Row],[SM_Original_Type__c]]="",Table5[[#This Row],[SM_Type__c]],Table5[[#This Row],[SM_Original_Type__c]])="AC","AC","SUBS"))</f>
        <v>SUBS</v>
      </c>
      <c r="B241" s="27">
        <f>IF(INDEX(Contract[SM_AC_start_date__c],MATCH(Table5[[#This Row],[SM_Contract__c]],Contract[Id],0))=0,"",INDEX(Contract[SM_AC_start_date__c],MATCH(Table5[[#This Row],[SM_Contract__c]],Contract[Id],0)))</f>
        <v>45993</v>
      </c>
      <c r="C241" s="27" t="str">
        <f>IF(INDEX(Contract[SM_AC_Split_Date__c],MATCH(Table5[[#This Row],[SM_Contract__c]],Contract[Id],0))=0,"",INDEX(Contract[SM_AC_Split_Date__c],MATCH(Table5[[#This Row],[SM_Contract__c]],Contract[Id],0)))</f>
        <v/>
      </c>
      <c r="D241" s="27">
        <f>IF(INDEX(Contract[SM_Start_date__c],MATCH(Table5[[#This Row],[SM_Contract__c]],Contract[Id],0))=0,"",INDEX(Contract[SM_Start_date__c],MATCH(Table5[[#This Row],[SM_Contract__c]],Contract[Id],0)))</f>
        <v>46037</v>
      </c>
      <c r="E241" s="4">
        <f ca="1">(YEAR(TODAY())-YEAR(Table5[[#This Row],[RC DATE]]))*12 + MONTH(TODAY())-MONTH(Table5[[#This Row],[RC DATE]])</f>
        <v>6</v>
      </c>
      <c r="F24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46249</v>
      </c>
      <c r="G241" s="19">
        <f>IF(Table5[[#This Row],[Payment_Status__c]]="ACCEPTED",1,"")</f>
        <v>1</v>
      </c>
      <c r="H24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241" s="19">
        <f ca="1">Table5[[#This Row],['# months]]-COUNTIFS(Table5[SM_Contract__c],Table5[[#This Row],[SM_Contract__c]],Table5[TYPE],"SUBS",Table5[ACCEPTED],1)</f>
        <v>-1</v>
      </c>
      <c r="J241" s="19" t="b">
        <f>ISNUMBER(MATCH(Table5[[#This Row],[SM_Contract__c]],Contract[Id],0))</f>
        <v>1</v>
      </c>
      <c r="K241" s="9" t="s">
        <v>3083</v>
      </c>
      <c r="L241" s="9" t="s">
        <v>3084</v>
      </c>
      <c r="M241" s="9" t="s">
        <v>1399</v>
      </c>
      <c r="N241" s="9" t="s">
        <v>3718</v>
      </c>
      <c r="O241" s="9" t="s">
        <v>1563</v>
      </c>
      <c r="P241" s="9" t="s">
        <v>2363</v>
      </c>
      <c r="Q241" s="9" t="s">
        <v>83</v>
      </c>
      <c r="R241" s="9" t="s">
        <v>76</v>
      </c>
      <c r="S241" s="9" t="s">
        <v>91</v>
      </c>
      <c r="T241" s="9" t="s">
        <v>91</v>
      </c>
      <c r="U241" s="9" t="s">
        <v>91</v>
      </c>
      <c r="V241" s="9" t="s">
        <v>93</v>
      </c>
      <c r="W241" s="9" t="s">
        <v>3587</v>
      </c>
      <c r="X241" s="9" t="s">
        <v>3085</v>
      </c>
      <c r="Y241" s="9"/>
      <c r="Z241" s="9"/>
      <c r="AA241" s="9" t="s">
        <v>3085</v>
      </c>
    </row>
    <row r="242" spans="1:27" x14ac:dyDescent="0.35">
      <c r="A242" s="4" t="str">
        <f>IF(Table5[[#This Row],[SM_Amount__c]]="25.0","FEE",IF(IF(Table5[[#This Row],[SM_Original_Type__c]]="",Table5[[#This Row],[SM_Type__c]],Table5[[#This Row],[SM_Original_Type__c]])="AC","AC","SUBS"))</f>
        <v>AC</v>
      </c>
      <c r="B242" s="27">
        <f>IF(INDEX(Contract[SM_AC_start_date__c],MATCH(Table5[[#This Row],[SM_Contract__c]],Contract[Id],0))=0,"",INDEX(Contract[SM_AC_start_date__c],MATCH(Table5[[#This Row],[SM_Contract__c]],Contract[Id],0)))</f>
        <v>46006</v>
      </c>
      <c r="C242" s="27" t="str">
        <f>IF(INDEX(Contract[SM_AC_Split_Date__c],MATCH(Table5[[#This Row],[SM_Contract__c]],Contract[Id],0))=0,"",INDEX(Contract[SM_AC_Split_Date__c],MATCH(Table5[[#This Row],[SM_Contract__c]],Contract[Id],0)))</f>
        <v/>
      </c>
      <c r="D242" s="27">
        <f>IF(INDEX(Contract[SM_Start_date__c],MATCH(Table5[[#This Row],[SM_Contract__c]],Contract[Id],0))=0,"",INDEX(Contract[SM_Start_date__c],MATCH(Table5[[#This Row],[SM_Contract__c]],Contract[Id],0)))</f>
        <v>46052</v>
      </c>
      <c r="E242" s="4">
        <f ca="1">(YEAR(TODAY())-YEAR(Table5[[#This Row],[RC DATE]]))*12 + MONTH(TODAY())-MONTH(Table5[[#This Row],[RC DATE]])</f>
        <v>6</v>
      </c>
      <c r="F24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2" s="19">
        <f>IF(Table5[[#This Row],[Payment_Status__c]]="ACCEPTED",1,"")</f>
        <v>1</v>
      </c>
      <c r="H24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2" s="19">
        <f ca="1">Table5[[#This Row],['# months]]-COUNTIFS(Table5[SM_Contract__c],Table5[[#This Row],[SM_Contract__c]],Table5[TYPE],"SUBS",Table5[ACCEPTED],1)</f>
        <v>2</v>
      </c>
      <c r="J242" s="19" t="b">
        <f>ISNUMBER(MATCH(Table5[[#This Row],[SM_Contract__c]],Contract[Id],0))</f>
        <v>1</v>
      </c>
      <c r="K242" s="9" t="s">
        <v>3087</v>
      </c>
      <c r="L242" s="9" t="s">
        <v>3088</v>
      </c>
      <c r="M242" s="9" t="s">
        <v>588</v>
      </c>
      <c r="N242" s="9" t="s">
        <v>3719</v>
      </c>
      <c r="O242" s="9" t="s">
        <v>1563</v>
      </c>
      <c r="P242" s="9" t="s">
        <v>2363</v>
      </c>
      <c r="Q242" s="9" t="s">
        <v>77</v>
      </c>
      <c r="R242" s="9" t="s">
        <v>77</v>
      </c>
      <c r="S242" s="9" t="s">
        <v>2078</v>
      </c>
      <c r="T242" s="9" t="s">
        <v>2078</v>
      </c>
      <c r="U242" s="9" t="s">
        <v>2078</v>
      </c>
      <c r="V242" s="9" t="s">
        <v>93</v>
      </c>
      <c r="W242" s="9" t="s">
        <v>3580</v>
      </c>
      <c r="X242" s="9" t="s">
        <v>3089</v>
      </c>
      <c r="Y242" s="9"/>
      <c r="Z242" s="9"/>
      <c r="AA242" s="9" t="s">
        <v>3089</v>
      </c>
    </row>
    <row r="243" spans="1:27" x14ac:dyDescent="0.35">
      <c r="A243" s="4" t="str">
        <f>IF(Table5[[#This Row],[SM_Amount__c]]="25.0","FEE",IF(IF(Table5[[#This Row],[SM_Original_Type__c]]="",Table5[[#This Row],[SM_Type__c]],Table5[[#This Row],[SM_Original_Type__c]])="AC","AC","SUBS"))</f>
        <v>SUBS</v>
      </c>
      <c r="B243" s="27">
        <f>IF(INDEX(Contract[SM_AC_start_date__c],MATCH(Table5[[#This Row],[SM_Contract__c]],Contract[Id],0))=0,"",INDEX(Contract[SM_AC_start_date__c],MATCH(Table5[[#This Row],[SM_Contract__c]],Contract[Id],0)))</f>
        <v>46006</v>
      </c>
      <c r="C243" s="27" t="str">
        <f>IF(INDEX(Contract[SM_AC_Split_Date__c],MATCH(Table5[[#This Row],[SM_Contract__c]],Contract[Id],0))=0,"",INDEX(Contract[SM_AC_Split_Date__c],MATCH(Table5[[#This Row],[SM_Contract__c]],Contract[Id],0)))</f>
        <v/>
      </c>
      <c r="D243" s="27">
        <f>IF(INDEX(Contract[SM_Start_date__c],MATCH(Table5[[#This Row],[SM_Contract__c]],Contract[Id],0))=0,"",INDEX(Contract[SM_Start_date__c],MATCH(Table5[[#This Row],[SM_Contract__c]],Contract[Id],0)))</f>
        <v>46052</v>
      </c>
      <c r="E243" s="4">
        <f ca="1">(YEAR(TODAY())-YEAR(Table5[[#This Row],[RC DATE]]))*12 + MONTH(TODAY())-MONTH(Table5[[#This Row],[RC DATE]])</f>
        <v>6</v>
      </c>
      <c r="F24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3" s="19">
        <f>IF(Table5[[#This Row],[Payment_Status__c]]="ACCEPTED",1,"")</f>
        <v>1</v>
      </c>
      <c r="H24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3" s="19">
        <f ca="1">Table5[[#This Row],['# months]]-COUNTIFS(Table5[SM_Contract__c],Table5[[#This Row],[SM_Contract__c]],Table5[TYPE],"SUBS",Table5[ACCEPTED],1)</f>
        <v>2</v>
      </c>
      <c r="J243" s="19" t="b">
        <f>ISNUMBER(MATCH(Table5[[#This Row],[SM_Contract__c]],Contract[Id],0))</f>
        <v>1</v>
      </c>
      <c r="K243" s="9" t="s">
        <v>3090</v>
      </c>
      <c r="L243" s="9" t="s">
        <v>3091</v>
      </c>
      <c r="M243" s="9" t="s">
        <v>588</v>
      </c>
      <c r="N243" s="9" t="s">
        <v>3719</v>
      </c>
      <c r="O243" s="9" t="s">
        <v>1563</v>
      </c>
      <c r="P243" s="9" t="s">
        <v>2363</v>
      </c>
      <c r="Q243" s="9" t="s">
        <v>83</v>
      </c>
      <c r="R243" s="9" t="s">
        <v>76</v>
      </c>
      <c r="S243" s="9" t="s">
        <v>91</v>
      </c>
      <c r="T243" s="9" t="s">
        <v>91</v>
      </c>
      <c r="U243" s="9" t="s">
        <v>91</v>
      </c>
      <c r="V243" s="9" t="s">
        <v>93</v>
      </c>
      <c r="W243" s="9" t="s">
        <v>3563</v>
      </c>
      <c r="X243" s="9" t="s">
        <v>3092</v>
      </c>
      <c r="Y243" s="9"/>
      <c r="Z243" s="9"/>
      <c r="AA243" s="9" t="s">
        <v>3092</v>
      </c>
    </row>
    <row r="244" spans="1:27" x14ac:dyDescent="0.35">
      <c r="A244" s="4" t="str">
        <f>IF(Table5[[#This Row],[SM_Amount__c]]="25.0","FEE",IF(IF(Table5[[#This Row],[SM_Original_Type__c]]="",Table5[[#This Row],[SM_Type__c]],Table5[[#This Row],[SM_Original_Type__c]])="AC","AC","SUBS"))</f>
        <v>SUBS</v>
      </c>
      <c r="B244" s="27">
        <f>IF(INDEX(Contract[SM_AC_start_date__c],MATCH(Table5[[#This Row],[SM_Contract__c]],Contract[Id],0))=0,"",INDEX(Contract[SM_AC_start_date__c],MATCH(Table5[[#This Row],[SM_Contract__c]],Contract[Id],0)))</f>
        <v>46006</v>
      </c>
      <c r="C244" s="27" t="str">
        <f>IF(INDEX(Contract[SM_AC_Split_Date__c],MATCH(Table5[[#This Row],[SM_Contract__c]],Contract[Id],0))=0,"",INDEX(Contract[SM_AC_Split_Date__c],MATCH(Table5[[#This Row],[SM_Contract__c]],Contract[Id],0)))</f>
        <v/>
      </c>
      <c r="D244" s="27">
        <f>IF(INDEX(Contract[SM_Start_date__c],MATCH(Table5[[#This Row],[SM_Contract__c]],Contract[Id],0))=0,"",INDEX(Contract[SM_Start_date__c],MATCH(Table5[[#This Row],[SM_Contract__c]],Contract[Id],0)))</f>
        <v>46052</v>
      </c>
      <c r="E244" s="4">
        <f ca="1">(YEAR(TODAY())-YEAR(Table5[[#This Row],[RC DATE]]))*12 + MONTH(TODAY())-MONTH(Table5[[#This Row],[RC DATE]])</f>
        <v>6</v>
      </c>
      <c r="F24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4" s="19">
        <f>IF(Table5[[#This Row],[Payment_Status__c]]="ACCEPTED",1,"")</f>
        <v>1</v>
      </c>
      <c r="H24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4" s="19">
        <f ca="1">Table5[[#This Row],['# months]]-COUNTIFS(Table5[SM_Contract__c],Table5[[#This Row],[SM_Contract__c]],Table5[TYPE],"SUBS",Table5[ACCEPTED],1)</f>
        <v>2</v>
      </c>
      <c r="J244" s="19" t="b">
        <f>ISNUMBER(MATCH(Table5[[#This Row],[SM_Contract__c]],Contract[Id],0))</f>
        <v>1</v>
      </c>
      <c r="K244" s="9" t="s">
        <v>3093</v>
      </c>
      <c r="L244" s="9" t="s">
        <v>3094</v>
      </c>
      <c r="M244" s="9" t="s">
        <v>588</v>
      </c>
      <c r="N244" s="9" t="s">
        <v>3719</v>
      </c>
      <c r="O244" s="9" t="s">
        <v>1563</v>
      </c>
      <c r="P244" s="9" t="s">
        <v>2363</v>
      </c>
      <c r="Q244" s="9" t="s">
        <v>83</v>
      </c>
      <c r="R244" s="9" t="s">
        <v>76</v>
      </c>
      <c r="S244" s="9" t="s">
        <v>91</v>
      </c>
      <c r="T244" s="9" t="s">
        <v>91</v>
      </c>
      <c r="U244" s="9" t="s">
        <v>91</v>
      </c>
      <c r="V244" s="9" t="s">
        <v>93</v>
      </c>
      <c r="W244" s="9" t="s">
        <v>3564</v>
      </c>
      <c r="X244" s="9" t="s">
        <v>3095</v>
      </c>
      <c r="Y244" s="9"/>
      <c r="Z244" s="9"/>
      <c r="AA244" s="9" t="s">
        <v>3095</v>
      </c>
    </row>
    <row r="245" spans="1:27" x14ac:dyDescent="0.35">
      <c r="A245" s="4" t="str">
        <f>IF(Table5[[#This Row],[SM_Amount__c]]="25.0","FEE",IF(IF(Table5[[#This Row],[SM_Original_Type__c]]="",Table5[[#This Row],[SM_Type__c]],Table5[[#This Row],[SM_Original_Type__c]])="AC","AC","SUBS"))</f>
        <v>SUBS</v>
      </c>
      <c r="B245" s="27">
        <f>IF(INDEX(Contract[SM_AC_start_date__c],MATCH(Table5[[#This Row],[SM_Contract__c]],Contract[Id],0))=0,"",INDEX(Contract[SM_AC_start_date__c],MATCH(Table5[[#This Row],[SM_Contract__c]],Contract[Id],0)))</f>
        <v>46006</v>
      </c>
      <c r="C245" s="27" t="str">
        <f>IF(INDEX(Contract[SM_AC_Split_Date__c],MATCH(Table5[[#This Row],[SM_Contract__c]],Contract[Id],0))=0,"",INDEX(Contract[SM_AC_Split_Date__c],MATCH(Table5[[#This Row],[SM_Contract__c]],Contract[Id],0)))</f>
        <v/>
      </c>
      <c r="D245" s="27">
        <f>IF(INDEX(Contract[SM_Start_date__c],MATCH(Table5[[#This Row],[SM_Contract__c]],Contract[Id],0))=0,"",INDEX(Contract[SM_Start_date__c],MATCH(Table5[[#This Row],[SM_Contract__c]],Contract[Id],0)))</f>
        <v>46052</v>
      </c>
      <c r="E245" s="4">
        <f ca="1">(YEAR(TODAY())-YEAR(Table5[[#This Row],[RC DATE]]))*12 + MONTH(TODAY())-MONTH(Table5[[#This Row],[RC DATE]])</f>
        <v>6</v>
      </c>
      <c r="F24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5" s="19">
        <f>IF(Table5[[#This Row],[Payment_Status__c]]="ACCEPTED",1,"")</f>
        <v>1</v>
      </c>
      <c r="H24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5" s="19">
        <f ca="1">Table5[[#This Row],['# months]]-COUNTIFS(Table5[SM_Contract__c],Table5[[#This Row],[SM_Contract__c]],Table5[TYPE],"SUBS",Table5[ACCEPTED],1)</f>
        <v>2</v>
      </c>
      <c r="J245" s="19" t="b">
        <f>ISNUMBER(MATCH(Table5[[#This Row],[SM_Contract__c]],Contract[Id],0))</f>
        <v>1</v>
      </c>
      <c r="K245" s="9" t="s">
        <v>3096</v>
      </c>
      <c r="L245" s="9" t="s">
        <v>3097</v>
      </c>
      <c r="M245" s="9" t="s">
        <v>588</v>
      </c>
      <c r="N245" s="9" t="s">
        <v>3719</v>
      </c>
      <c r="O245" s="9" t="s">
        <v>1563</v>
      </c>
      <c r="P245" s="9" t="s">
        <v>2363</v>
      </c>
      <c r="Q245" s="9" t="s">
        <v>83</v>
      </c>
      <c r="R245" s="9" t="s">
        <v>76</v>
      </c>
      <c r="S245" s="9" t="s">
        <v>91</v>
      </c>
      <c r="T245" s="9" t="s">
        <v>91</v>
      </c>
      <c r="U245" s="9" t="s">
        <v>91</v>
      </c>
      <c r="V245" s="9" t="s">
        <v>93</v>
      </c>
      <c r="W245" s="9" t="s">
        <v>3565</v>
      </c>
      <c r="X245" s="9" t="s">
        <v>3098</v>
      </c>
      <c r="Y245" s="9"/>
      <c r="Z245" s="9"/>
      <c r="AA245" s="9" t="s">
        <v>3098</v>
      </c>
    </row>
    <row r="246" spans="1:27" x14ac:dyDescent="0.35">
      <c r="A246" s="4" t="str">
        <f>IF(Table5[[#This Row],[SM_Amount__c]]="25.0","FEE",IF(IF(Table5[[#This Row],[SM_Original_Type__c]]="",Table5[[#This Row],[SM_Type__c]],Table5[[#This Row],[SM_Original_Type__c]])="AC","AC","SUBS"))</f>
        <v>SUBS</v>
      </c>
      <c r="B246" s="27">
        <f>IF(INDEX(Contract[SM_AC_start_date__c],MATCH(Table5[[#This Row],[SM_Contract__c]],Contract[Id],0))=0,"",INDEX(Contract[SM_AC_start_date__c],MATCH(Table5[[#This Row],[SM_Contract__c]],Contract[Id],0)))</f>
        <v>46006</v>
      </c>
      <c r="C246" s="27" t="str">
        <f>IF(INDEX(Contract[SM_AC_Split_Date__c],MATCH(Table5[[#This Row],[SM_Contract__c]],Contract[Id],0))=0,"",INDEX(Contract[SM_AC_Split_Date__c],MATCH(Table5[[#This Row],[SM_Contract__c]],Contract[Id],0)))</f>
        <v/>
      </c>
      <c r="D246" s="27">
        <f>IF(INDEX(Contract[SM_Start_date__c],MATCH(Table5[[#This Row],[SM_Contract__c]],Contract[Id],0))=0,"",INDEX(Contract[SM_Start_date__c],MATCH(Table5[[#This Row],[SM_Contract__c]],Contract[Id],0)))</f>
        <v>46052</v>
      </c>
      <c r="E246" s="4">
        <f ca="1">(YEAR(TODAY())-YEAR(Table5[[#This Row],[RC DATE]]))*12 + MONTH(TODAY())-MONTH(Table5[[#This Row],[RC DATE]])</f>
        <v>6</v>
      </c>
      <c r="F24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6" s="19">
        <f>IF(Table5[[#This Row],[Payment_Status__c]]="ACCEPTED",1,"")</f>
        <v>1</v>
      </c>
      <c r="H24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6" s="19">
        <f ca="1">Table5[[#This Row],['# months]]-COUNTIFS(Table5[SM_Contract__c],Table5[[#This Row],[SM_Contract__c]],Table5[TYPE],"SUBS",Table5[ACCEPTED],1)</f>
        <v>2</v>
      </c>
      <c r="J246" s="19" t="b">
        <f>ISNUMBER(MATCH(Table5[[#This Row],[SM_Contract__c]],Contract[Id],0))</f>
        <v>1</v>
      </c>
      <c r="K246" s="9" t="s">
        <v>3099</v>
      </c>
      <c r="L246" s="9" t="s">
        <v>3100</v>
      </c>
      <c r="M246" s="9" t="s">
        <v>588</v>
      </c>
      <c r="N246" s="9" t="s">
        <v>3719</v>
      </c>
      <c r="O246" s="9" t="s">
        <v>1563</v>
      </c>
      <c r="P246" s="9" t="s">
        <v>2363</v>
      </c>
      <c r="Q246" s="9" t="s">
        <v>83</v>
      </c>
      <c r="R246" s="9" t="s">
        <v>76</v>
      </c>
      <c r="S246" s="9" t="s">
        <v>91</v>
      </c>
      <c r="T246" s="9" t="s">
        <v>91</v>
      </c>
      <c r="U246" s="9" t="s">
        <v>91</v>
      </c>
      <c r="V246" s="9" t="s">
        <v>93</v>
      </c>
      <c r="W246" s="9" t="s">
        <v>3566</v>
      </c>
      <c r="X246" s="9" t="s">
        <v>3101</v>
      </c>
      <c r="Y246" s="9"/>
      <c r="Z246" s="9"/>
      <c r="AA246" s="9" t="s">
        <v>3101</v>
      </c>
    </row>
    <row r="247" spans="1:27" x14ac:dyDescent="0.35">
      <c r="A247" s="4" t="str">
        <f>IF(Table5[[#This Row],[SM_Amount__c]]="25.0","FEE",IF(IF(Table5[[#This Row],[SM_Original_Type__c]]="",Table5[[#This Row],[SM_Type__c]],Table5[[#This Row],[SM_Original_Type__c]])="AC","AC","SUBS"))</f>
        <v>AC</v>
      </c>
      <c r="B247" s="27">
        <f>IF(INDEX(Contract[SM_AC_start_date__c],MATCH(Table5[[#This Row],[SM_Contract__c]],Contract[Id],0))=0,"",INDEX(Contract[SM_AC_start_date__c],MATCH(Table5[[#This Row],[SM_Contract__c]],Contract[Id],0)))</f>
        <v>46001</v>
      </c>
      <c r="C247" s="27" t="str">
        <f>IF(INDEX(Contract[SM_AC_Split_Date__c],MATCH(Table5[[#This Row],[SM_Contract__c]],Contract[Id],0))=0,"",INDEX(Contract[SM_AC_Split_Date__c],MATCH(Table5[[#This Row],[SM_Contract__c]],Contract[Id],0)))</f>
        <v/>
      </c>
      <c r="D247" s="27">
        <f>IF(INDEX(Contract[SM_Start_date__c],MATCH(Table5[[#This Row],[SM_Contract__c]],Contract[Id],0))=0,"",INDEX(Contract[SM_Start_date__c],MATCH(Table5[[#This Row],[SM_Contract__c]],Contract[Id],0)))</f>
        <v>46052</v>
      </c>
      <c r="E247" s="4">
        <f ca="1">(YEAR(TODAY())-YEAR(Table5[[#This Row],[RC DATE]]))*12 + MONTH(TODAY())-MONTH(Table5[[#This Row],[RC DATE]])</f>
        <v>6</v>
      </c>
      <c r="F24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7" s="19">
        <f>IF(Table5[[#This Row],[Payment_Status__c]]="ACCEPTED",1,"")</f>
        <v>1</v>
      </c>
      <c r="H24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7" s="19">
        <f ca="1">Table5[[#This Row],['# months]]-COUNTIFS(Table5[SM_Contract__c],Table5[[#This Row],[SM_Contract__c]],Table5[TYPE],"SUBS",Table5[ACCEPTED],1)</f>
        <v>2</v>
      </c>
      <c r="J247" s="19" t="b">
        <f>ISNUMBER(MATCH(Table5[[#This Row],[SM_Contract__c]],Contract[Id],0))</f>
        <v>1</v>
      </c>
      <c r="K247" s="9" t="s">
        <v>3102</v>
      </c>
      <c r="L247" s="9" t="s">
        <v>3103</v>
      </c>
      <c r="M247" s="9" t="s">
        <v>597</v>
      </c>
      <c r="N247" s="9" t="s">
        <v>3720</v>
      </c>
      <c r="O247" s="9" t="s">
        <v>1563</v>
      </c>
      <c r="P247" s="9" t="s">
        <v>2363</v>
      </c>
      <c r="Q247" s="9" t="s">
        <v>77</v>
      </c>
      <c r="R247" s="9" t="s">
        <v>77</v>
      </c>
      <c r="S247" s="9" t="s">
        <v>2078</v>
      </c>
      <c r="T247" s="9" t="s">
        <v>2078</v>
      </c>
      <c r="U247" s="9" t="s">
        <v>2078</v>
      </c>
      <c r="V247" s="9" t="s">
        <v>93</v>
      </c>
      <c r="W247" s="9" t="s">
        <v>3682</v>
      </c>
      <c r="X247" s="9" t="s">
        <v>3104</v>
      </c>
      <c r="Y247" s="9"/>
      <c r="Z247" s="9"/>
      <c r="AA247" s="9" t="s">
        <v>3104</v>
      </c>
    </row>
    <row r="248" spans="1:27" x14ac:dyDescent="0.35">
      <c r="A248" s="4" t="str">
        <f>IF(Table5[[#This Row],[SM_Amount__c]]="25.0","FEE",IF(IF(Table5[[#This Row],[SM_Original_Type__c]]="",Table5[[#This Row],[SM_Type__c]],Table5[[#This Row],[SM_Original_Type__c]])="AC","AC","SUBS"))</f>
        <v>SUBS</v>
      </c>
      <c r="B248" s="27">
        <f>IF(INDEX(Contract[SM_AC_start_date__c],MATCH(Table5[[#This Row],[SM_Contract__c]],Contract[Id],0))=0,"",INDEX(Contract[SM_AC_start_date__c],MATCH(Table5[[#This Row],[SM_Contract__c]],Contract[Id],0)))</f>
        <v>46001</v>
      </c>
      <c r="C248" s="27" t="str">
        <f>IF(INDEX(Contract[SM_AC_Split_Date__c],MATCH(Table5[[#This Row],[SM_Contract__c]],Contract[Id],0))=0,"",INDEX(Contract[SM_AC_Split_Date__c],MATCH(Table5[[#This Row],[SM_Contract__c]],Contract[Id],0)))</f>
        <v/>
      </c>
      <c r="D248" s="27">
        <f>IF(INDEX(Contract[SM_Start_date__c],MATCH(Table5[[#This Row],[SM_Contract__c]],Contract[Id],0))=0,"",INDEX(Contract[SM_Start_date__c],MATCH(Table5[[#This Row],[SM_Contract__c]],Contract[Id],0)))</f>
        <v>46052</v>
      </c>
      <c r="E248" s="4">
        <f ca="1">(YEAR(TODAY())-YEAR(Table5[[#This Row],[RC DATE]]))*12 + MONTH(TODAY())-MONTH(Table5[[#This Row],[RC DATE]])</f>
        <v>6</v>
      </c>
      <c r="F24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8" s="19">
        <f>IF(Table5[[#This Row],[Payment_Status__c]]="ACCEPTED",1,"")</f>
        <v>1</v>
      </c>
      <c r="H24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8" s="19">
        <f ca="1">Table5[[#This Row],['# months]]-COUNTIFS(Table5[SM_Contract__c],Table5[[#This Row],[SM_Contract__c]],Table5[TYPE],"SUBS",Table5[ACCEPTED],1)</f>
        <v>2</v>
      </c>
      <c r="J248" s="19" t="b">
        <f>ISNUMBER(MATCH(Table5[[#This Row],[SM_Contract__c]],Contract[Id],0))</f>
        <v>1</v>
      </c>
      <c r="K248" s="9" t="s">
        <v>3105</v>
      </c>
      <c r="L248" s="9" t="s">
        <v>3106</v>
      </c>
      <c r="M248" s="9" t="s">
        <v>597</v>
      </c>
      <c r="N248" s="9" t="s">
        <v>3720</v>
      </c>
      <c r="O248" s="9" t="s">
        <v>1563</v>
      </c>
      <c r="P248" s="9" t="s">
        <v>2363</v>
      </c>
      <c r="Q248" s="9" t="s">
        <v>83</v>
      </c>
      <c r="R248" s="9" t="s">
        <v>76</v>
      </c>
      <c r="S248" s="9" t="s">
        <v>91</v>
      </c>
      <c r="T248" s="9" t="s">
        <v>91</v>
      </c>
      <c r="U248" s="9" t="s">
        <v>91</v>
      </c>
      <c r="V248" s="9" t="s">
        <v>93</v>
      </c>
      <c r="W248" s="9" t="s">
        <v>3563</v>
      </c>
      <c r="X248" s="9" t="s">
        <v>3107</v>
      </c>
      <c r="Y248" s="9"/>
      <c r="Z248" s="9"/>
      <c r="AA248" s="9" t="s">
        <v>3107</v>
      </c>
    </row>
    <row r="249" spans="1:27" x14ac:dyDescent="0.35">
      <c r="A249" s="4" t="str">
        <f>IF(Table5[[#This Row],[SM_Amount__c]]="25.0","FEE",IF(IF(Table5[[#This Row],[SM_Original_Type__c]]="",Table5[[#This Row],[SM_Type__c]],Table5[[#This Row],[SM_Original_Type__c]])="AC","AC","SUBS"))</f>
        <v>SUBS</v>
      </c>
      <c r="B249" s="27">
        <f>IF(INDEX(Contract[SM_AC_start_date__c],MATCH(Table5[[#This Row],[SM_Contract__c]],Contract[Id],0))=0,"",INDEX(Contract[SM_AC_start_date__c],MATCH(Table5[[#This Row],[SM_Contract__c]],Contract[Id],0)))</f>
        <v>46001</v>
      </c>
      <c r="C249" s="27" t="str">
        <f>IF(INDEX(Contract[SM_AC_Split_Date__c],MATCH(Table5[[#This Row],[SM_Contract__c]],Contract[Id],0))=0,"",INDEX(Contract[SM_AC_Split_Date__c],MATCH(Table5[[#This Row],[SM_Contract__c]],Contract[Id],0)))</f>
        <v/>
      </c>
      <c r="D249" s="27">
        <f>IF(INDEX(Contract[SM_Start_date__c],MATCH(Table5[[#This Row],[SM_Contract__c]],Contract[Id],0))=0,"",INDEX(Contract[SM_Start_date__c],MATCH(Table5[[#This Row],[SM_Contract__c]],Contract[Id],0)))</f>
        <v>46052</v>
      </c>
      <c r="E249" s="4">
        <f ca="1">(YEAR(TODAY())-YEAR(Table5[[#This Row],[RC DATE]]))*12 + MONTH(TODAY())-MONTH(Table5[[#This Row],[RC DATE]])</f>
        <v>6</v>
      </c>
      <c r="F24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49" s="19">
        <f>IF(Table5[[#This Row],[Payment_Status__c]]="ACCEPTED",1,"")</f>
        <v>1</v>
      </c>
      <c r="H24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49" s="19">
        <f ca="1">Table5[[#This Row],['# months]]-COUNTIFS(Table5[SM_Contract__c],Table5[[#This Row],[SM_Contract__c]],Table5[TYPE],"SUBS",Table5[ACCEPTED],1)</f>
        <v>2</v>
      </c>
      <c r="J249" s="19" t="b">
        <f>ISNUMBER(MATCH(Table5[[#This Row],[SM_Contract__c]],Contract[Id],0))</f>
        <v>1</v>
      </c>
      <c r="K249" s="9" t="s">
        <v>3108</v>
      </c>
      <c r="L249" s="9" t="s">
        <v>3109</v>
      </c>
      <c r="M249" s="9" t="s">
        <v>597</v>
      </c>
      <c r="N249" s="9" t="s">
        <v>3720</v>
      </c>
      <c r="O249" s="9" t="s">
        <v>1563</v>
      </c>
      <c r="P249" s="9" t="s">
        <v>2363</v>
      </c>
      <c r="Q249" s="9" t="s">
        <v>83</v>
      </c>
      <c r="R249" s="9" t="s">
        <v>76</v>
      </c>
      <c r="S249" s="9" t="s">
        <v>91</v>
      </c>
      <c r="T249" s="9" t="s">
        <v>91</v>
      </c>
      <c r="U249" s="9" t="s">
        <v>91</v>
      </c>
      <c r="V249" s="9" t="s">
        <v>93</v>
      </c>
      <c r="W249" s="9" t="s">
        <v>3564</v>
      </c>
      <c r="X249" s="9" t="s">
        <v>3004</v>
      </c>
      <c r="Y249" s="9"/>
      <c r="Z249" s="9"/>
      <c r="AA249" s="9" t="s">
        <v>3004</v>
      </c>
    </row>
    <row r="250" spans="1:27" x14ac:dyDescent="0.35">
      <c r="A250" s="4" t="str">
        <f>IF(Table5[[#This Row],[SM_Amount__c]]="25.0","FEE",IF(IF(Table5[[#This Row],[SM_Original_Type__c]]="",Table5[[#This Row],[SM_Type__c]],Table5[[#This Row],[SM_Original_Type__c]])="AC","AC","SUBS"))</f>
        <v>SUBS</v>
      </c>
      <c r="B250" s="27">
        <f>IF(INDEX(Contract[SM_AC_start_date__c],MATCH(Table5[[#This Row],[SM_Contract__c]],Contract[Id],0))=0,"",INDEX(Contract[SM_AC_start_date__c],MATCH(Table5[[#This Row],[SM_Contract__c]],Contract[Id],0)))</f>
        <v>46001</v>
      </c>
      <c r="C250" s="27" t="str">
        <f>IF(INDEX(Contract[SM_AC_Split_Date__c],MATCH(Table5[[#This Row],[SM_Contract__c]],Contract[Id],0))=0,"",INDEX(Contract[SM_AC_Split_Date__c],MATCH(Table5[[#This Row],[SM_Contract__c]],Contract[Id],0)))</f>
        <v/>
      </c>
      <c r="D250" s="27">
        <f>IF(INDEX(Contract[SM_Start_date__c],MATCH(Table5[[#This Row],[SM_Contract__c]],Contract[Id],0))=0,"",INDEX(Contract[SM_Start_date__c],MATCH(Table5[[#This Row],[SM_Contract__c]],Contract[Id],0)))</f>
        <v>46052</v>
      </c>
      <c r="E250" s="4">
        <f ca="1">(YEAR(TODAY())-YEAR(Table5[[#This Row],[RC DATE]]))*12 + MONTH(TODAY())-MONTH(Table5[[#This Row],[RC DATE]])</f>
        <v>6</v>
      </c>
      <c r="F25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50" s="19">
        <f>IF(Table5[[#This Row],[Payment_Status__c]]="ACCEPTED",1,"")</f>
        <v>1</v>
      </c>
      <c r="H25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0" s="19">
        <f ca="1">Table5[[#This Row],['# months]]-COUNTIFS(Table5[SM_Contract__c],Table5[[#This Row],[SM_Contract__c]],Table5[TYPE],"SUBS",Table5[ACCEPTED],1)</f>
        <v>2</v>
      </c>
      <c r="J250" s="19" t="b">
        <f>ISNUMBER(MATCH(Table5[[#This Row],[SM_Contract__c]],Contract[Id],0))</f>
        <v>1</v>
      </c>
      <c r="K250" s="9" t="s">
        <v>3110</v>
      </c>
      <c r="L250" s="9" t="s">
        <v>3111</v>
      </c>
      <c r="M250" s="9" t="s">
        <v>597</v>
      </c>
      <c r="N250" s="9" t="s">
        <v>3720</v>
      </c>
      <c r="O250" s="9" t="s">
        <v>1563</v>
      </c>
      <c r="P250" s="9" t="s">
        <v>2363</v>
      </c>
      <c r="Q250" s="9" t="s">
        <v>83</v>
      </c>
      <c r="R250" s="9" t="s">
        <v>76</v>
      </c>
      <c r="S250" s="9" t="s">
        <v>91</v>
      </c>
      <c r="T250" s="9" t="s">
        <v>91</v>
      </c>
      <c r="U250" s="9" t="s">
        <v>91</v>
      </c>
      <c r="V250" s="9" t="s">
        <v>93</v>
      </c>
      <c r="W250" s="9" t="s">
        <v>3565</v>
      </c>
      <c r="X250" s="9" t="s">
        <v>3002</v>
      </c>
      <c r="Y250" s="9"/>
      <c r="Z250" s="9"/>
      <c r="AA250" s="9" t="s">
        <v>3002</v>
      </c>
    </row>
    <row r="251" spans="1:27" x14ac:dyDescent="0.35">
      <c r="A251" s="4" t="str">
        <f>IF(Table5[[#This Row],[SM_Amount__c]]="25.0","FEE",IF(IF(Table5[[#This Row],[SM_Original_Type__c]]="",Table5[[#This Row],[SM_Type__c]],Table5[[#This Row],[SM_Original_Type__c]])="AC","AC","SUBS"))</f>
        <v>SUBS</v>
      </c>
      <c r="B251" s="27">
        <f>IF(INDEX(Contract[SM_AC_start_date__c],MATCH(Table5[[#This Row],[SM_Contract__c]],Contract[Id],0))=0,"",INDEX(Contract[SM_AC_start_date__c],MATCH(Table5[[#This Row],[SM_Contract__c]],Contract[Id],0)))</f>
        <v>46001</v>
      </c>
      <c r="C251" s="27" t="str">
        <f>IF(INDEX(Contract[SM_AC_Split_Date__c],MATCH(Table5[[#This Row],[SM_Contract__c]],Contract[Id],0))=0,"",INDEX(Contract[SM_AC_Split_Date__c],MATCH(Table5[[#This Row],[SM_Contract__c]],Contract[Id],0)))</f>
        <v/>
      </c>
      <c r="D251" s="27">
        <f>IF(INDEX(Contract[SM_Start_date__c],MATCH(Table5[[#This Row],[SM_Contract__c]],Contract[Id],0))=0,"",INDEX(Contract[SM_Start_date__c],MATCH(Table5[[#This Row],[SM_Contract__c]],Contract[Id],0)))</f>
        <v>46052</v>
      </c>
      <c r="E251" s="4">
        <f ca="1">(YEAR(TODAY())-YEAR(Table5[[#This Row],[RC DATE]]))*12 + MONTH(TODAY())-MONTH(Table5[[#This Row],[RC DATE]])</f>
        <v>6</v>
      </c>
      <c r="F25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251" s="19">
        <f>IF(Table5[[#This Row],[Payment_Status__c]]="ACCEPTED",1,"")</f>
        <v>1</v>
      </c>
      <c r="H25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1" s="19">
        <f ca="1">Table5[[#This Row],['# months]]-COUNTIFS(Table5[SM_Contract__c],Table5[[#This Row],[SM_Contract__c]],Table5[TYPE],"SUBS",Table5[ACCEPTED],1)</f>
        <v>2</v>
      </c>
      <c r="J251" s="19" t="b">
        <f>ISNUMBER(MATCH(Table5[[#This Row],[SM_Contract__c]],Contract[Id],0))</f>
        <v>1</v>
      </c>
      <c r="K251" s="9" t="s">
        <v>3112</v>
      </c>
      <c r="L251" s="9" t="s">
        <v>3113</v>
      </c>
      <c r="M251" s="9" t="s">
        <v>597</v>
      </c>
      <c r="N251" s="9" t="s">
        <v>3720</v>
      </c>
      <c r="O251" s="9" t="s">
        <v>1563</v>
      </c>
      <c r="P251" s="9" t="s">
        <v>2363</v>
      </c>
      <c r="Q251" s="9" t="s">
        <v>83</v>
      </c>
      <c r="R251" s="9" t="s">
        <v>76</v>
      </c>
      <c r="S251" s="9" t="s">
        <v>91</v>
      </c>
      <c r="T251" s="9" t="s">
        <v>91</v>
      </c>
      <c r="U251" s="9" t="s">
        <v>91</v>
      </c>
      <c r="V251" s="9" t="s">
        <v>93</v>
      </c>
      <c r="W251" s="9" t="s">
        <v>3566</v>
      </c>
      <c r="X251" s="9" t="s">
        <v>3003</v>
      </c>
      <c r="Y251" s="9"/>
      <c r="Z251" s="9"/>
      <c r="AA251" s="9" t="s">
        <v>3003</v>
      </c>
    </row>
    <row r="252" spans="1:27" x14ac:dyDescent="0.35">
      <c r="A252" s="4" t="str">
        <f>IF(Table5[[#This Row],[SM_Amount__c]]="25.0","FEE",IF(IF(Table5[[#This Row],[SM_Original_Type__c]]="",Table5[[#This Row],[SM_Type__c]],Table5[[#This Row],[SM_Original_Type__c]])="AC","AC","SUBS"))</f>
        <v>AC</v>
      </c>
      <c r="B252" s="27">
        <f>IF(INDEX(Contract[SM_AC_start_date__c],MATCH(Table5[[#This Row],[SM_Contract__c]],Contract[Id],0))=0,"",INDEX(Contract[SM_AC_start_date__c],MATCH(Table5[[#This Row],[SM_Contract__c]],Contract[Id],0)))</f>
        <v>46041</v>
      </c>
      <c r="C252" s="27">
        <f>IF(INDEX(Contract[SM_AC_Split_Date__c],MATCH(Table5[[#This Row],[SM_Contract__c]],Contract[Id],0))=0,"",INDEX(Contract[SM_AC_Split_Date__c],MATCH(Table5[[#This Row],[SM_Contract__c]],Contract[Id],0)))</f>
        <v>46055</v>
      </c>
      <c r="D252" s="27">
        <f>IF(INDEX(Contract[SM_Start_date__c],MATCH(Table5[[#This Row],[SM_Contract__c]],Contract[Id],0))=0,"",INDEX(Contract[SM_Start_date__c],MATCH(Table5[[#This Row],[SM_Contract__c]],Contract[Id],0)))</f>
        <v>46083</v>
      </c>
      <c r="E252" s="4">
        <f ca="1">(YEAR(TODAY())-YEAR(Table5[[#This Row],[RC DATE]]))*12 + MONTH(TODAY())-MONTH(Table5[[#This Row],[RC DATE]])</f>
        <v>4</v>
      </c>
      <c r="F25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46144</v>
      </c>
      <c r="G252" s="19">
        <f>IF(Table5[[#This Row],[Payment_Status__c]]="ACCEPTED",1,"")</f>
        <v>1</v>
      </c>
      <c r="H25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2" s="19">
        <f ca="1">Table5[[#This Row],['# months]]-COUNTIFS(Table5[SM_Contract__c],Table5[[#This Row],[SM_Contract__c]],Table5[TYPE],"SUBS",Table5[ACCEPTED],1)</f>
        <v>2</v>
      </c>
      <c r="J252" s="19" t="b">
        <f>ISNUMBER(MATCH(Table5[[#This Row],[SM_Contract__c]],Contract[Id],0))</f>
        <v>1</v>
      </c>
      <c r="K252" s="9" t="s">
        <v>3118</v>
      </c>
      <c r="L252" s="9" t="s">
        <v>3119</v>
      </c>
      <c r="M252" s="9" t="s">
        <v>605</v>
      </c>
      <c r="N252" s="9" t="s">
        <v>3721</v>
      </c>
      <c r="O252" s="9" t="s">
        <v>1563</v>
      </c>
      <c r="P252" s="9" t="s">
        <v>2363</v>
      </c>
      <c r="Q252" s="9" t="s">
        <v>77</v>
      </c>
      <c r="R252" s="9" t="s">
        <v>77</v>
      </c>
      <c r="S252" s="9" t="s">
        <v>2094</v>
      </c>
      <c r="T252" s="9" t="s">
        <v>2094</v>
      </c>
      <c r="U252" s="9" t="s">
        <v>2094</v>
      </c>
      <c r="V252" s="9" t="s">
        <v>93</v>
      </c>
      <c r="W252" s="9" t="s">
        <v>3635</v>
      </c>
      <c r="X252" s="9" t="s">
        <v>3120</v>
      </c>
      <c r="Y252" s="9"/>
      <c r="Z252" s="9"/>
      <c r="AA252" s="9" t="s">
        <v>3120</v>
      </c>
    </row>
    <row r="253" spans="1:27" x14ac:dyDescent="0.35">
      <c r="A253" s="4" t="str">
        <f>IF(Table5[[#This Row],[SM_Amount__c]]="25.0","FEE",IF(IF(Table5[[#This Row],[SM_Original_Type__c]]="",Table5[[#This Row],[SM_Type__c]],Table5[[#This Row],[SM_Original_Type__c]])="AC","AC","SUBS"))</f>
        <v>AC</v>
      </c>
      <c r="B253" s="27">
        <f>IF(INDEX(Contract[SM_AC_start_date__c],MATCH(Table5[[#This Row],[SM_Contract__c]],Contract[Id],0))=0,"",INDEX(Contract[SM_AC_start_date__c],MATCH(Table5[[#This Row],[SM_Contract__c]],Contract[Id],0)))</f>
        <v>46041</v>
      </c>
      <c r="C253" s="27">
        <f>IF(INDEX(Contract[SM_AC_Split_Date__c],MATCH(Table5[[#This Row],[SM_Contract__c]],Contract[Id],0))=0,"",INDEX(Contract[SM_AC_Split_Date__c],MATCH(Table5[[#This Row],[SM_Contract__c]],Contract[Id],0)))</f>
        <v>46055</v>
      </c>
      <c r="D253" s="27">
        <f>IF(INDEX(Contract[SM_Start_date__c],MATCH(Table5[[#This Row],[SM_Contract__c]],Contract[Id],0))=0,"",INDEX(Contract[SM_Start_date__c],MATCH(Table5[[#This Row],[SM_Contract__c]],Contract[Id],0)))</f>
        <v>46083</v>
      </c>
      <c r="E253" s="4">
        <f ca="1">(YEAR(TODAY())-YEAR(Table5[[#This Row],[RC DATE]]))*12 + MONTH(TODAY())-MONTH(Table5[[#This Row],[RC DATE]])</f>
        <v>4</v>
      </c>
      <c r="F25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46144</v>
      </c>
      <c r="G253" s="19">
        <f>IF(Table5[[#This Row],[Payment_Status__c]]="ACCEPTED",1,"")</f>
        <v>1</v>
      </c>
      <c r="H25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3" s="19">
        <f ca="1">Table5[[#This Row],['# months]]-COUNTIFS(Table5[SM_Contract__c],Table5[[#This Row],[SM_Contract__c]],Table5[TYPE],"SUBS",Table5[ACCEPTED],1)</f>
        <v>2</v>
      </c>
      <c r="J253" s="19" t="b">
        <f>ISNUMBER(MATCH(Table5[[#This Row],[SM_Contract__c]],Contract[Id],0))</f>
        <v>1</v>
      </c>
      <c r="K253" s="9" t="s">
        <v>3121</v>
      </c>
      <c r="L253" s="9" t="s">
        <v>3122</v>
      </c>
      <c r="M253" s="9" t="s">
        <v>605</v>
      </c>
      <c r="N253" s="9" t="s">
        <v>3721</v>
      </c>
      <c r="O253" s="9" t="s">
        <v>1563</v>
      </c>
      <c r="P253" s="9" t="s">
        <v>2363</v>
      </c>
      <c r="Q253" s="9" t="s">
        <v>77</v>
      </c>
      <c r="R253" s="9" t="s">
        <v>77</v>
      </c>
      <c r="S253" s="9" t="s">
        <v>2094</v>
      </c>
      <c r="T253" s="9" t="s">
        <v>2094</v>
      </c>
      <c r="U253" s="9" t="s">
        <v>2094</v>
      </c>
      <c r="V253" s="9" t="s">
        <v>93</v>
      </c>
      <c r="W253" s="9" t="s">
        <v>3572</v>
      </c>
      <c r="X253" s="9" t="s">
        <v>3123</v>
      </c>
      <c r="Y253" s="9"/>
      <c r="Z253" s="9"/>
      <c r="AA253" s="9" t="s">
        <v>3123</v>
      </c>
    </row>
    <row r="254" spans="1:27" x14ac:dyDescent="0.35">
      <c r="A254" s="4" t="str">
        <f>IF(Table5[[#This Row],[SM_Amount__c]]="25.0","FEE",IF(IF(Table5[[#This Row],[SM_Original_Type__c]]="",Table5[[#This Row],[SM_Type__c]],Table5[[#This Row],[SM_Original_Type__c]])="AC","AC","SUBS"))</f>
        <v>SUBS</v>
      </c>
      <c r="B254" s="27">
        <f>IF(INDEX(Contract[SM_AC_start_date__c],MATCH(Table5[[#This Row],[SM_Contract__c]],Contract[Id],0))=0,"",INDEX(Contract[SM_AC_start_date__c],MATCH(Table5[[#This Row],[SM_Contract__c]],Contract[Id],0)))</f>
        <v>46041</v>
      </c>
      <c r="C254" s="27">
        <f>IF(INDEX(Contract[SM_AC_Split_Date__c],MATCH(Table5[[#This Row],[SM_Contract__c]],Contract[Id],0))=0,"",INDEX(Contract[SM_AC_Split_Date__c],MATCH(Table5[[#This Row],[SM_Contract__c]],Contract[Id],0)))</f>
        <v>46055</v>
      </c>
      <c r="D254" s="27">
        <f>IF(INDEX(Contract[SM_Start_date__c],MATCH(Table5[[#This Row],[SM_Contract__c]],Contract[Id],0))=0,"",INDEX(Contract[SM_Start_date__c],MATCH(Table5[[#This Row],[SM_Contract__c]],Contract[Id],0)))</f>
        <v>46083</v>
      </c>
      <c r="E254" s="4">
        <f ca="1">(YEAR(TODAY())-YEAR(Table5[[#This Row],[RC DATE]]))*12 + MONTH(TODAY())-MONTH(Table5[[#This Row],[RC DATE]])</f>
        <v>4</v>
      </c>
      <c r="F25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46144</v>
      </c>
      <c r="G254" s="19">
        <f>IF(Table5[[#This Row],[Payment_Status__c]]="ACCEPTED",1,"")</f>
        <v>1</v>
      </c>
      <c r="H25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4" s="19">
        <f ca="1">Table5[[#This Row],['# months]]-COUNTIFS(Table5[SM_Contract__c],Table5[[#This Row],[SM_Contract__c]],Table5[TYPE],"SUBS",Table5[ACCEPTED],1)</f>
        <v>2</v>
      </c>
      <c r="J254" s="19" t="b">
        <f>ISNUMBER(MATCH(Table5[[#This Row],[SM_Contract__c]],Contract[Id],0))</f>
        <v>1</v>
      </c>
      <c r="K254" s="9" t="s">
        <v>3124</v>
      </c>
      <c r="L254" s="9" t="s">
        <v>3125</v>
      </c>
      <c r="M254" s="9" t="s">
        <v>605</v>
      </c>
      <c r="N254" s="9" t="s">
        <v>3721</v>
      </c>
      <c r="O254" s="9" t="s">
        <v>1563</v>
      </c>
      <c r="P254" s="9" t="s">
        <v>2363</v>
      </c>
      <c r="Q254" s="9" t="s">
        <v>83</v>
      </c>
      <c r="R254" s="9" t="s">
        <v>76</v>
      </c>
      <c r="S254" s="9" t="s">
        <v>91</v>
      </c>
      <c r="T254" s="9" t="s">
        <v>91</v>
      </c>
      <c r="U254" s="9" t="s">
        <v>91</v>
      </c>
      <c r="V254" s="9" t="s">
        <v>93</v>
      </c>
      <c r="W254" s="9" t="s">
        <v>3606</v>
      </c>
      <c r="X254" s="9" t="s">
        <v>3126</v>
      </c>
      <c r="Y254" s="9"/>
      <c r="Z254" s="9"/>
      <c r="AA254" s="9" t="s">
        <v>3126</v>
      </c>
    </row>
    <row r="255" spans="1:27" x14ac:dyDescent="0.35">
      <c r="A255" s="4" t="str">
        <f>IF(Table5[[#This Row],[SM_Amount__c]]="25.0","FEE",IF(IF(Table5[[#This Row],[SM_Original_Type__c]]="",Table5[[#This Row],[SM_Type__c]],Table5[[#This Row],[SM_Original_Type__c]])="AC","AC","SUBS"))</f>
        <v>SUBS</v>
      </c>
      <c r="B255" s="27">
        <f>IF(INDEX(Contract[SM_AC_start_date__c],MATCH(Table5[[#This Row],[SM_Contract__c]],Contract[Id],0))=0,"",INDEX(Contract[SM_AC_start_date__c],MATCH(Table5[[#This Row],[SM_Contract__c]],Contract[Id],0)))</f>
        <v>46041</v>
      </c>
      <c r="C255" s="27">
        <f>IF(INDEX(Contract[SM_AC_Split_Date__c],MATCH(Table5[[#This Row],[SM_Contract__c]],Contract[Id],0))=0,"",INDEX(Contract[SM_AC_Split_Date__c],MATCH(Table5[[#This Row],[SM_Contract__c]],Contract[Id],0)))</f>
        <v>46055</v>
      </c>
      <c r="D255" s="27">
        <f>IF(INDEX(Contract[SM_Start_date__c],MATCH(Table5[[#This Row],[SM_Contract__c]],Contract[Id],0))=0,"",INDEX(Contract[SM_Start_date__c],MATCH(Table5[[#This Row],[SM_Contract__c]],Contract[Id],0)))</f>
        <v>46083</v>
      </c>
      <c r="E255" s="4">
        <f ca="1">(YEAR(TODAY())-YEAR(Table5[[#This Row],[RC DATE]]))*12 + MONTH(TODAY())-MONTH(Table5[[#This Row],[RC DATE]])</f>
        <v>4</v>
      </c>
      <c r="F25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46144</v>
      </c>
      <c r="G255" s="19">
        <f>IF(Table5[[#This Row],[Payment_Status__c]]="ACCEPTED",1,"")</f>
        <v>1</v>
      </c>
      <c r="H25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55" s="19">
        <f ca="1">Table5[[#This Row],['# months]]-COUNTIFS(Table5[SM_Contract__c],Table5[[#This Row],[SM_Contract__c]],Table5[TYPE],"SUBS",Table5[ACCEPTED],1)</f>
        <v>2</v>
      </c>
      <c r="J255" s="19" t="b">
        <f>ISNUMBER(MATCH(Table5[[#This Row],[SM_Contract__c]],Contract[Id],0))</f>
        <v>1</v>
      </c>
      <c r="K255" s="9" t="s">
        <v>3127</v>
      </c>
      <c r="L255" s="9" t="s">
        <v>3128</v>
      </c>
      <c r="M255" s="9" t="s">
        <v>605</v>
      </c>
      <c r="N255" s="9" t="s">
        <v>3721</v>
      </c>
      <c r="O255" s="9" t="s">
        <v>1563</v>
      </c>
      <c r="P255" s="9" t="s">
        <v>2363</v>
      </c>
      <c r="Q255" s="9" t="s">
        <v>71</v>
      </c>
      <c r="R255" s="9" t="s">
        <v>83</v>
      </c>
      <c r="S255" s="9" t="s">
        <v>2087</v>
      </c>
      <c r="T255" s="9" t="s">
        <v>2087</v>
      </c>
      <c r="U255" s="9" t="s">
        <v>91</v>
      </c>
      <c r="V255" s="9" t="s">
        <v>148</v>
      </c>
      <c r="W255" s="9" t="s">
        <v>3650</v>
      </c>
      <c r="X255" s="9" t="s">
        <v>3129</v>
      </c>
      <c r="Y255" s="9"/>
      <c r="Z255" s="9" t="s">
        <v>1073</v>
      </c>
      <c r="AA255" s="9" t="s">
        <v>3129</v>
      </c>
    </row>
    <row r="256" spans="1:27" x14ac:dyDescent="0.35">
      <c r="A256" s="4" t="str">
        <f>IF(Table5[[#This Row],[SM_Amount__c]]="25.0","FEE",IF(IF(Table5[[#This Row],[SM_Original_Type__c]]="",Table5[[#This Row],[SM_Type__c]],Table5[[#This Row],[SM_Original_Type__c]])="AC","AC","SUBS"))</f>
        <v>AC</v>
      </c>
      <c r="B256" s="27">
        <f>IF(INDEX(Contract[SM_AC_start_date__c],MATCH(Table5[[#This Row],[SM_Contract__c]],Contract[Id],0))=0,"",INDEX(Contract[SM_AC_start_date__c],MATCH(Table5[[#This Row],[SM_Contract__c]],Contract[Id],0)))</f>
        <v>46017</v>
      </c>
      <c r="C256" s="27" t="str">
        <f>IF(INDEX(Contract[SM_AC_Split_Date__c],MATCH(Table5[[#This Row],[SM_Contract__c]],Contract[Id],0))=0,"",INDEX(Contract[SM_AC_Split_Date__c],MATCH(Table5[[#This Row],[SM_Contract__c]],Contract[Id],0)))</f>
        <v/>
      </c>
      <c r="D256" s="27">
        <f>IF(INDEX(Contract[SM_Start_date__c],MATCH(Table5[[#This Row],[SM_Contract__c]],Contract[Id],0))=0,"",INDEX(Contract[SM_Start_date__c],MATCH(Table5[[#This Row],[SM_Contract__c]],Contract[Id],0)))</f>
        <v>46052</v>
      </c>
      <c r="E256" s="4">
        <f ca="1">(YEAR(TODAY())-YEAR(Table5[[#This Row],[RC DATE]]))*12 + MONTH(TODAY())-MONTH(Table5[[#This Row],[RC DATE]])</f>
        <v>6</v>
      </c>
      <c r="F25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256" s="19">
        <f>IF(Table5[[#This Row],[Payment_Status__c]]="ACCEPTED",1,"")</f>
        <v>1</v>
      </c>
      <c r="H25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256" s="19">
        <f ca="1">Table5[[#This Row],['# months]]-COUNTIFS(Table5[SM_Contract__c],Table5[[#This Row],[SM_Contract__c]],Table5[TYPE],"SUBS",Table5[ACCEPTED],1)</f>
        <v>4</v>
      </c>
      <c r="J256" s="19" t="b">
        <f>ISNUMBER(MATCH(Table5[[#This Row],[SM_Contract__c]],Contract[Id],0))</f>
        <v>1</v>
      </c>
      <c r="K256" s="9" t="s">
        <v>3134</v>
      </c>
      <c r="L256" s="9" t="s">
        <v>3135</v>
      </c>
      <c r="M256" s="9" t="s">
        <v>617</v>
      </c>
      <c r="N256" s="9" t="s">
        <v>3722</v>
      </c>
      <c r="O256" s="9" t="s">
        <v>1563</v>
      </c>
      <c r="P256" s="9" t="s">
        <v>2363</v>
      </c>
      <c r="Q256" s="9" t="s">
        <v>71</v>
      </c>
      <c r="R256" s="9" t="s">
        <v>77</v>
      </c>
      <c r="S256" s="9" t="s">
        <v>2163</v>
      </c>
      <c r="T256" s="9" t="s">
        <v>2163</v>
      </c>
      <c r="U256" s="9" t="s">
        <v>2078</v>
      </c>
      <c r="V256" s="9" t="s">
        <v>148</v>
      </c>
      <c r="W256" s="9" t="s">
        <v>3683</v>
      </c>
      <c r="X256" s="9" t="s">
        <v>2749</v>
      </c>
      <c r="Y256" s="9"/>
      <c r="Z256" s="9" t="s">
        <v>668</v>
      </c>
      <c r="AA256" s="9" t="s">
        <v>2749</v>
      </c>
    </row>
    <row r="257" spans="1:27" x14ac:dyDescent="0.35">
      <c r="A257" s="4" t="str">
        <f>IF(Table5[[#This Row],[SM_Amount__c]]="25.0","FEE",IF(IF(Table5[[#This Row],[SM_Original_Type__c]]="",Table5[[#This Row],[SM_Type__c]],Table5[[#This Row],[SM_Original_Type__c]])="AC","AC","SUBS"))</f>
        <v>SUBS</v>
      </c>
      <c r="B257" s="27">
        <f>IF(INDEX(Contract[SM_AC_start_date__c],MATCH(Table5[[#This Row],[SM_Contract__c]],Contract[Id],0))=0,"",INDEX(Contract[SM_AC_start_date__c],MATCH(Table5[[#This Row],[SM_Contract__c]],Contract[Id],0)))</f>
        <v>46017</v>
      </c>
      <c r="C257" s="27" t="str">
        <f>IF(INDEX(Contract[SM_AC_Split_Date__c],MATCH(Table5[[#This Row],[SM_Contract__c]],Contract[Id],0))=0,"",INDEX(Contract[SM_AC_Split_Date__c],MATCH(Table5[[#This Row],[SM_Contract__c]],Contract[Id],0)))</f>
        <v/>
      </c>
      <c r="D257" s="27">
        <f>IF(INDEX(Contract[SM_Start_date__c],MATCH(Table5[[#This Row],[SM_Contract__c]],Contract[Id],0))=0,"",INDEX(Contract[SM_Start_date__c],MATCH(Table5[[#This Row],[SM_Contract__c]],Contract[Id],0)))</f>
        <v>46052</v>
      </c>
      <c r="E257" s="4">
        <f ca="1">(YEAR(TODAY())-YEAR(Table5[[#This Row],[RC DATE]]))*12 + MONTH(TODAY())-MONTH(Table5[[#This Row],[RC DATE]])</f>
        <v>6</v>
      </c>
      <c r="F25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257" s="19">
        <f>IF(Table5[[#This Row],[Payment_Status__c]]="ACCEPTED",1,"")</f>
        <v>1</v>
      </c>
      <c r="H25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257" s="19">
        <f ca="1">Table5[[#This Row],['# months]]-COUNTIFS(Table5[SM_Contract__c],Table5[[#This Row],[SM_Contract__c]],Table5[TYPE],"SUBS",Table5[ACCEPTED],1)</f>
        <v>4</v>
      </c>
      <c r="J257" s="19" t="b">
        <f>ISNUMBER(MATCH(Table5[[#This Row],[SM_Contract__c]],Contract[Id],0))</f>
        <v>1</v>
      </c>
      <c r="K257" s="9" t="s">
        <v>3136</v>
      </c>
      <c r="L257" s="9" t="s">
        <v>3137</v>
      </c>
      <c r="M257" s="9" t="s">
        <v>617</v>
      </c>
      <c r="N257" s="9" t="s">
        <v>3722</v>
      </c>
      <c r="O257" s="9" t="s">
        <v>1563</v>
      </c>
      <c r="P257" s="9" t="s">
        <v>2363</v>
      </c>
      <c r="Q257" s="9" t="s">
        <v>71</v>
      </c>
      <c r="R257" s="9" t="s">
        <v>83</v>
      </c>
      <c r="S257" s="9" t="s">
        <v>2087</v>
      </c>
      <c r="T257" s="9" t="s">
        <v>2087</v>
      </c>
      <c r="U257" s="9" t="s">
        <v>91</v>
      </c>
      <c r="V257" s="9" t="s">
        <v>148</v>
      </c>
      <c r="W257" s="9" t="s">
        <v>3646</v>
      </c>
      <c r="X257" s="9" t="s">
        <v>3138</v>
      </c>
      <c r="Y257" s="9"/>
      <c r="Z257" s="9" t="s">
        <v>910</v>
      </c>
      <c r="AA257" s="9" t="s">
        <v>3138</v>
      </c>
    </row>
    <row r="258" spans="1:27" x14ac:dyDescent="0.35">
      <c r="A258" s="4" t="str">
        <f>IF(Table5[[#This Row],[SM_Amount__c]]="25.0","FEE",IF(IF(Table5[[#This Row],[SM_Original_Type__c]]="",Table5[[#This Row],[SM_Type__c]],Table5[[#This Row],[SM_Original_Type__c]])="AC","AC","SUBS"))</f>
        <v>SUBS</v>
      </c>
      <c r="B258" s="27">
        <f>IF(INDEX(Contract[SM_AC_start_date__c],MATCH(Table5[[#This Row],[SM_Contract__c]],Contract[Id],0))=0,"",INDEX(Contract[SM_AC_start_date__c],MATCH(Table5[[#This Row],[SM_Contract__c]],Contract[Id],0)))</f>
        <v>46017</v>
      </c>
      <c r="C258" s="27" t="str">
        <f>IF(INDEX(Contract[SM_AC_Split_Date__c],MATCH(Table5[[#This Row],[SM_Contract__c]],Contract[Id],0))=0,"",INDEX(Contract[SM_AC_Split_Date__c],MATCH(Table5[[#This Row],[SM_Contract__c]],Contract[Id],0)))</f>
        <v/>
      </c>
      <c r="D258" s="27">
        <f>IF(INDEX(Contract[SM_Start_date__c],MATCH(Table5[[#This Row],[SM_Contract__c]],Contract[Id],0))=0,"",INDEX(Contract[SM_Start_date__c],MATCH(Table5[[#This Row],[SM_Contract__c]],Contract[Id],0)))</f>
        <v>46052</v>
      </c>
      <c r="E258" s="4">
        <f ca="1">(YEAR(TODAY())-YEAR(Table5[[#This Row],[RC DATE]]))*12 + MONTH(TODAY())-MONTH(Table5[[#This Row],[RC DATE]])</f>
        <v>6</v>
      </c>
      <c r="F25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46111</v>
      </c>
      <c r="G258" s="19">
        <f>IF(Table5[[#This Row],[Payment_Status__c]]="ACCEPTED",1,"")</f>
        <v>1</v>
      </c>
      <c r="H25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258" s="19">
        <f ca="1">Table5[[#This Row],['# months]]-COUNTIFS(Table5[SM_Contract__c],Table5[[#This Row],[SM_Contract__c]],Table5[TYPE],"SUBS",Table5[ACCEPTED],1)</f>
        <v>4</v>
      </c>
      <c r="J258" s="19" t="b">
        <f>ISNUMBER(MATCH(Table5[[#This Row],[SM_Contract__c]],Contract[Id],0))</f>
        <v>1</v>
      </c>
      <c r="K258" s="9" t="s">
        <v>3139</v>
      </c>
      <c r="L258" s="9" t="s">
        <v>3140</v>
      </c>
      <c r="M258" s="9" t="s">
        <v>617</v>
      </c>
      <c r="N258" s="9" t="s">
        <v>3722</v>
      </c>
      <c r="O258" s="9" t="s">
        <v>1563</v>
      </c>
      <c r="P258" s="9" t="s">
        <v>2363</v>
      </c>
      <c r="Q258" s="9" t="s">
        <v>71</v>
      </c>
      <c r="R258" s="9" t="s">
        <v>83</v>
      </c>
      <c r="S258" s="9" t="s">
        <v>2087</v>
      </c>
      <c r="T258" s="9" t="s">
        <v>2087</v>
      </c>
      <c r="U258" s="9" t="s">
        <v>91</v>
      </c>
      <c r="V258" s="9" t="s">
        <v>148</v>
      </c>
      <c r="W258" s="9" t="s">
        <v>3601</v>
      </c>
      <c r="X258" s="9" t="s">
        <v>3141</v>
      </c>
      <c r="Y258" s="9"/>
      <c r="Z258" s="9" t="s">
        <v>999</v>
      </c>
      <c r="AA258" s="9" t="s">
        <v>3141</v>
      </c>
    </row>
    <row r="259" spans="1:27" x14ac:dyDescent="0.35">
      <c r="A259" s="4" t="str">
        <f>IF(Table5[[#This Row],[SM_Amount__c]]="25.0","FEE",IF(IF(Table5[[#This Row],[SM_Original_Type__c]]="",Table5[[#This Row],[SM_Type__c]],Table5[[#This Row],[SM_Original_Type__c]])="AC","AC","SUBS"))</f>
        <v>AC</v>
      </c>
      <c r="B259" s="27">
        <f>IF(INDEX(Contract[SM_AC_start_date__c],MATCH(Table5[[#This Row],[SM_Contract__c]],Contract[Id],0))=0,"",INDEX(Contract[SM_AC_start_date__c],MATCH(Table5[[#This Row],[SM_Contract__c]],Contract[Id],0)))</f>
        <v>46008</v>
      </c>
      <c r="C259" s="27" t="str">
        <f>IF(INDEX(Contract[SM_AC_Split_Date__c],MATCH(Table5[[#This Row],[SM_Contract__c]],Contract[Id],0))=0,"",INDEX(Contract[SM_AC_Split_Date__c],MATCH(Table5[[#This Row],[SM_Contract__c]],Contract[Id],0)))</f>
        <v/>
      </c>
      <c r="D259" s="27">
        <f>IF(INDEX(Contract[SM_Start_date__c],MATCH(Table5[[#This Row],[SM_Contract__c]],Contract[Id],0))=0,"",INDEX(Contract[SM_Start_date__c],MATCH(Table5[[#This Row],[SM_Contract__c]],Contract[Id],0)))</f>
        <v>46037</v>
      </c>
      <c r="E259" s="4">
        <f ca="1">(YEAR(TODAY())-YEAR(Table5[[#This Row],[RC DATE]]))*12 + MONTH(TODAY())-MONTH(Table5[[#This Row],[RC DATE]])</f>
        <v>6</v>
      </c>
      <c r="F25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59" s="19">
        <f>IF(Table5[[#This Row],[Payment_Status__c]]="ACCEPTED",1,"")</f>
        <v>1</v>
      </c>
      <c r="H25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59" s="19">
        <f ca="1">Table5[[#This Row],['# months]]-COUNTIFS(Table5[SM_Contract__c],Table5[[#This Row],[SM_Contract__c]],Table5[TYPE],"SUBS",Table5[ACCEPTED],1)</f>
        <v>1</v>
      </c>
      <c r="J259" s="19" t="b">
        <f>ISNUMBER(MATCH(Table5[[#This Row],[SM_Contract__c]],Contract[Id],0))</f>
        <v>1</v>
      </c>
      <c r="K259" s="9" t="s">
        <v>3142</v>
      </c>
      <c r="L259" s="9" t="s">
        <v>3143</v>
      </c>
      <c r="M259" s="9" t="s">
        <v>623</v>
      </c>
      <c r="N259" s="9" t="s">
        <v>3723</v>
      </c>
      <c r="O259" s="9" t="s">
        <v>1563</v>
      </c>
      <c r="P259" s="9" t="s">
        <v>2363</v>
      </c>
      <c r="Q259" s="9" t="s">
        <v>77</v>
      </c>
      <c r="R259" s="9" t="s">
        <v>77</v>
      </c>
      <c r="S259" s="9" t="s">
        <v>2078</v>
      </c>
      <c r="T259" s="9" t="s">
        <v>2078</v>
      </c>
      <c r="U259" s="9" t="s">
        <v>2078</v>
      </c>
      <c r="V259" s="9" t="s">
        <v>93</v>
      </c>
      <c r="W259" s="9" t="s">
        <v>3672</v>
      </c>
      <c r="X259" s="9" t="s">
        <v>3130</v>
      </c>
      <c r="Y259" s="9"/>
      <c r="Z259" s="9"/>
      <c r="AA259" s="9" t="s">
        <v>3130</v>
      </c>
    </row>
    <row r="260" spans="1:27" x14ac:dyDescent="0.35">
      <c r="A260" s="4" t="str">
        <f>IF(Table5[[#This Row],[SM_Amount__c]]="25.0","FEE",IF(IF(Table5[[#This Row],[SM_Original_Type__c]]="",Table5[[#This Row],[SM_Type__c]],Table5[[#This Row],[SM_Original_Type__c]])="AC","AC","SUBS"))</f>
        <v>SUBS</v>
      </c>
      <c r="B260" s="27">
        <f>IF(INDEX(Contract[SM_AC_start_date__c],MATCH(Table5[[#This Row],[SM_Contract__c]],Contract[Id],0))=0,"",INDEX(Contract[SM_AC_start_date__c],MATCH(Table5[[#This Row],[SM_Contract__c]],Contract[Id],0)))</f>
        <v>46008</v>
      </c>
      <c r="C260" s="27" t="str">
        <f>IF(INDEX(Contract[SM_AC_Split_Date__c],MATCH(Table5[[#This Row],[SM_Contract__c]],Contract[Id],0))=0,"",INDEX(Contract[SM_AC_Split_Date__c],MATCH(Table5[[#This Row],[SM_Contract__c]],Contract[Id],0)))</f>
        <v/>
      </c>
      <c r="D260" s="27">
        <f>IF(INDEX(Contract[SM_Start_date__c],MATCH(Table5[[#This Row],[SM_Contract__c]],Contract[Id],0))=0,"",INDEX(Contract[SM_Start_date__c],MATCH(Table5[[#This Row],[SM_Contract__c]],Contract[Id],0)))</f>
        <v>46037</v>
      </c>
      <c r="E260" s="4">
        <f ca="1">(YEAR(TODAY())-YEAR(Table5[[#This Row],[RC DATE]]))*12 + MONTH(TODAY())-MONTH(Table5[[#This Row],[RC DATE]])</f>
        <v>6</v>
      </c>
      <c r="F26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60" s="19">
        <f>IF(Table5[[#This Row],[Payment_Status__c]]="ACCEPTED",1,"")</f>
        <v>1</v>
      </c>
      <c r="H26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0" s="19">
        <f ca="1">Table5[[#This Row],['# months]]-COUNTIFS(Table5[SM_Contract__c],Table5[[#This Row],[SM_Contract__c]],Table5[TYPE],"SUBS",Table5[ACCEPTED],1)</f>
        <v>1</v>
      </c>
      <c r="J260" s="19" t="b">
        <f>ISNUMBER(MATCH(Table5[[#This Row],[SM_Contract__c]],Contract[Id],0))</f>
        <v>1</v>
      </c>
      <c r="K260" s="9" t="s">
        <v>3144</v>
      </c>
      <c r="L260" s="9" t="s">
        <v>3145</v>
      </c>
      <c r="M260" s="9" t="s">
        <v>623</v>
      </c>
      <c r="N260" s="9" t="s">
        <v>3723</v>
      </c>
      <c r="O260" s="9" t="s">
        <v>1563</v>
      </c>
      <c r="P260" s="9" t="s">
        <v>2363</v>
      </c>
      <c r="Q260" s="9" t="s">
        <v>83</v>
      </c>
      <c r="R260" s="9" t="s">
        <v>76</v>
      </c>
      <c r="S260" s="9" t="s">
        <v>91</v>
      </c>
      <c r="T260" s="9" t="s">
        <v>91</v>
      </c>
      <c r="U260" s="9" t="s">
        <v>91</v>
      </c>
      <c r="V260" s="9" t="s">
        <v>93</v>
      </c>
      <c r="W260" s="9" t="s">
        <v>3581</v>
      </c>
      <c r="X260" s="9" t="s">
        <v>3114</v>
      </c>
      <c r="Y260" s="9"/>
      <c r="Z260" s="9"/>
      <c r="AA260" s="9" t="s">
        <v>3114</v>
      </c>
    </row>
    <row r="261" spans="1:27" x14ac:dyDescent="0.35">
      <c r="A261" s="4" t="str">
        <f>IF(Table5[[#This Row],[SM_Amount__c]]="25.0","FEE",IF(IF(Table5[[#This Row],[SM_Original_Type__c]]="",Table5[[#This Row],[SM_Type__c]],Table5[[#This Row],[SM_Original_Type__c]])="AC","AC","SUBS"))</f>
        <v>SUBS</v>
      </c>
      <c r="B261" s="27">
        <f>IF(INDEX(Contract[SM_AC_start_date__c],MATCH(Table5[[#This Row],[SM_Contract__c]],Contract[Id],0))=0,"",INDEX(Contract[SM_AC_start_date__c],MATCH(Table5[[#This Row],[SM_Contract__c]],Contract[Id],0)))</f>
        <v>46008</v>
      </c>
      <c r="C261" s="27" t="str">
        <f>IF(INDEX(Contract[SM_AC_Split_Date__c],MATCH(Table5[[#This Row],[SM_Contract__c]],Contract[Id],0))=0,"",INDEX(Contract[SM_AC_Split_Date__c],MATCH(Table5[[#This Row],[SM_Contract__c]],Contract[Id],0)))</f>
        <v/>
      </c>
      <c r="D261" s="27">
        <f>IF(INDEX(Contract[SM_Start_date__c],MATCH(Table5[[#This Row],[SM_Contract__c]],Contract[Id],0))=0,"",INDEX(Contract[SM_Start_date__c],MATCH(Table5[[#This Row],[SM_Contract__c]],Contract[Id],0)))</f>
        <v>46037</v>
      </c>
      <c r="E261" s="4">
        <f ca="1">(YEAR(TODAY())-YEAR(Table5[[#This Row],[RC DATE]]))*12 + MONTH(TODAY())-MONTH(Table5[[#This Row],[RC DATE]])</f>
        <v>6</v>
      </c>
      <c r="F26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61" s="19">
        <f>IF(Table5[[#This Row],[Payment_Status__c]]="ACCEPTED",1,"")</f>
        <v>1</v>
      </c>
      <c r="H26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1" s="19">
        <f ca="1">Table5[[#This Row],['# months]]-COUNTIFS(Table5[SM_Contract__c],Table5[[#This Row],[SM_Contract__c]],Table5[TYPE],"SUBS",Table5[ACCEPTED],1)</f>
        <v>1</v>
      </c>
      <c r="J261" s="19" t="b">
        <f>ISNUMBER(MATCH(Table5[[#This Row],[SM_Contract__c]],Contract[Id],0))</f>
        <v>1</v>
      </c>
      <c r="K261" s="9" t="s">
        <v>3146</v>
      </c>
      <c r="L261" s="9" t="s">
        <v>3147</v>
      </c>
      <c r="M261" s="9" t="s">
        <v>623</v>
      </c>
      <c r="N261" s="9" t="s">
        <v>3723</v>
      </c>
      <c r="O261" s="9" t="s">
        <v>1563</v>
      </c>
      <c r="P261" s="9" t="s">
        <v>2363</v>
      </c>
      <c r="Q261" s="9" t="s">
        <v>83</v>
      </c>
      <c r="R261" s="9" t="s">
        <v>76</v>
      </c>
      <c r="S261" s="9" t="s">
        <v>91</v>
      </c>
      <c r="T261" s="9" t="s">
        <v>91</v>
      </c>
      <c r="U261" s="9" t="s">
        <v>91</v>
      </c>
      <c r="V261" s="9" t="s">
        <v>93</v>
      </c>
      <c r="W261" s="9" t="s">
        <v>3582</v>
      </c>
      <c r="X261" s="9" t="s">
        <v>3115</v>
      </c>
      <c r="Y261" s="9"/>
      <c r="Z261" s="9"/>
      <c r="AA261" s="9" t="s">
        <v>3115</v>
      </c>
    </row>
    <row r="262" spans="1:27" x14ac:dyDescent="0.35">
      <c r="A262" s="4" t="str">
        <f>IF(Table5[[#This Row],[SM_Amount__c]]="25.0","FEE",IF(IF(Table5[[#This Row],[SM_Original_Type__c]]="",Table5[[#This Row],[SM_Type__c]],Table5[[#This Row],[SM_Original_Type__c]])="AC","AC","SUBS"))</f>
        <v>SUBS</v>
      </c>
      <c r="B262" s="27">
        <f>IF(INDEX(Contract[SM_AC_start_date__c],MATCH(Table5[[#This Row],[SM_Contract__c]],Contract[Id],0))=0,"",INDEX(Contract[SM_AC_start_date__c],MATCH(Table5[[#This Row],[SM_Contract__c]],Contract[Id],0)))</f>
        <v>46008</v>
      </c>
      <c r="C262" s="27" t="str">
        <f>IF(INDEX(Contract[SM_AC_Split_Date__c],MATCH(Table5[[#This Row],[SM_Contract__c]],Contract[Id],0))=0,"",INDEX(Contract[SM_AC_Split_Date__c],MATCH(Table5[[#This Row],[SM_Contract__c]],Contract[Id],0)))</f>
        <v/>
      </c>
      <c r="D262" s="27">
        <f>IF(INDEX(Contract[SM_Start_date__c],MATCH(Table5[[#This Row],[SM_Contract__c]],Contract[Id],0))=0,"",INDEX(Contract[SM_Start_date__c],MATCH(Table5[[#This Row],[SM_Contract__c]],Contract[Id],0)))</f>
        <v>46037</v>
      </c>
      <c r="E262" s="4">
        <f ca="1">(YEAR(TODAY())-YEAR(Table5[[#This Row],[RC DATE]]))*12 + MONTH(TODAY())-MONTH(Table5[[#This Row],[RC DATE]])</f>
        <v>6</v>
      </c>
      <c r="F26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62" s="19">
        <f>IF(Table5[[#This Row],[Payment_Status__c]]="ACCEPTED",1,"")</f>
        <v>1</v>
      </c>
      <c r="H26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2" s="19">
        <f ca="1">Table5[[#This Row],['# months]]-COUNTIFS(Table5[SM_Contract__c],Table5[[#This Row],[SM_Contract__c]],Table5[TYPE],"SUBS",Table5[ACCEPTED],1)</f>
        <v>1</v>
      </c>
      <c r="J262" s="19" t="b">
        <f>ISNUMBER(MATCH(Table5[[#This Row],[SM_Contract__c]],Contract[Id],0))</f>
        <v>1</v>
      </c>
      <c r="K262" s="9" t="s">
        <v>3148</v>
      </c>
      <c r="L262" s="9" t="s">
        <v>3149</v>
      </c>
      <c r="M262" s="9" t="s">
        <v>623</v>
      </c>
      <c r="N262" s="9" t="s">
        <v>3723</v>
      </c>
      <c r="O262" s="9" t="s">
        <v>1563</v>
      </c>
      <c r="P262" s="9" t="s">
        <v>2363</v>
      </c>
      <c r="Q262" s="9" t="s">
        <v>83</v>
      </c>
      <c r="R262" s="9" t="s">
        <v>76</v>
      </c>
      <c r="S262" s="9" t="s">
        <v>91</v>
      </c>
      <c r="T262" s="9" t="s">
        <v>91</v>
      </c>
      <c r="U262" s="9" t="s">
        <v>91</v>
      </c>
      <c r="V262" s="9" t="s">
        <v>93</v>
      </c>
      <c r="W262" s="9" t="s">
        <v>3583</v>
      </c>
      <c r="X262" s="9" t="s">
        <v>3131</v>
      </c>
      <c r="Y262" s="9"/>
      <c r="Z262" s="9"/>
      <c r="AA262" s="9" t="s">
        <v>3131</v>
      </c>
    </row>
    <row r="263" spans="1:27" x14ac:dyDescent="0.35">
      <c r="A263" s="4" t="str">
        <f>IF(Table5[[#This Row],[SM_Amount__c]]="25.0","FEE",IF(IF(Table5[[#This Row],[SM_Original_Type__c]]="",Table5[[#This Row],[SM_Type__c]],Table5[[#This Row],[SM_Original_Type__c]])="AC","AC","SUBS"))</f>
        <v>SUBS</v>
      </c>
      <c r="B263" s="27">
        <f>IF(INDEX(Contract[SM_AC_start_date__c],MATCH(Table5[[#This Row],[SM_Contract__c]],Contract[Id],0))=0,"",INDEX(Contract[SM_AC_start_date__c],MATCH(Table5[[#This Row],[SM_Contract__c]],Contract[Id],0)))</f>
        <v>46008</v>
      </c>
      <c r="C263" s="27" t="str">
        <f>IF(INDEX(Contract[SM_AC_Split_Date__c],MATCH(Table5[[#This Row],[SM_Contract__c]],Contract[Id],0))=0,"",INDEX(Contract[SM_AC_Split_Date__c],MATCH(Table5[[#This Row],[SM_Contract__c]],Contract[Id],0)))</f>
        <v/>
      </c>
      <c r="D263" s="27">
        <f>IF(INDEX(Contract[SM_Start_date__c],MATCH(Table5[[#This Row],[SM_Contract__c]],Contract[Id],0))=0,"",INDEX(Contract[SM_Start_date__c],MATCH(Table5[[#This Row],[SM_Contract__c]],Contract[Id],0)))</f>
        <v>46037</v>
      </c>
      <c r="E263" s="4">
        <f ca="1">(YEAR(TODAY())-YEAR(Table5[[#This Row],[RC DATE]]))*12 + MONTH(TODAY())-MONTH(Table5[[#This Row],[RC DATE]])</f>
        <v>6</v>
      </c>
      <c r="F26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63" s="19">
        <f>IF(Table5[[#This Row],[Payment_Status__c]]="ACCEPTED",1,"")</f>
        <v>1</v>
      </c>
      <c r="H26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3" s="19">
        <f ca="1">Table5[[#This Row],['# months]]-COUNTIFS(Table5[SM_Contract__c],Table5[[#This Row],[SM_Contract__c]],Table5[TYPE],"SUBS",Table5[ACCEPTED],1)</f>
        <v>1</v>
      </c>
      <c r="J263" s="19" t="b">
        <f>ISNUMBER(MATCH(Table5[[#This Row],[SM_Contract__c]],Contract[Id],0))</f>
        <v>1</v>
      </c>
      <c r="K263" s="9" t="s">
        <v>3150</v>
      </c>
      <c r="L263" s="9" t="s">
        <v>3151</v>
      </c>
      <c r="M263" s="9" t="s">
        <v>623</v>
      </c>
      <c r="N263" s="9" t="s">
        <v>3723</v>
      </c>
      <c r="O263" s="9" t="s">
        <v>1563</v>
      </c>
      <c r="P263" s="9" t="s">
        <v>2363</v>
      </c>
      <c r="Q263" s="9" t="s">
        <v>83</v>
      </c>
      <c r="R263" s="9" t="s">
        <v>76</v>
      </c>
      <c r="S263" s="9" t="s">
        <v>91</v>
      </c>
      <c r="T263" s="9" t="s">
        <v>91</v>
      </c>
      <c r="U263" s="9" t="s">
        <v>91</v>
      </c>
      <c r="V263" s="9" t="s">
        <v>93</v>
      </c>
      <c r="W263" s="9" t="s">
        <v>3584</v>
      </c>
      <c r="X263" s="9" t="s">
        <v>3116</v>
      </c>
      <c r="Y263" s="9"/>
      <c r="Z263" s="9"/>
      <c r="AA263" s="9" t="s">
        <v>3116</v>
      </c>
    </row>
    <row r="264" spans="1:27" x14ac:dyDescent="0.35">
      <c r="A264" s="4" t="str">
        <f>IF(Table5[[#This Row],[SM_Amount__c]]="25.0","FEE",IF(IF(Table5[[#This Row],[SM_Original_Type__c]]="",Table5[[#This Row],[SM_Type__c]],Table5[[#This Row],[SM_Original_Type__c]])="AC","AC","SUBS"))</f>
        <v>SUBS</v>
      </c>
      <c r="B264" s="27">
        <f>IF(INDEX(Contract[SM_AC_start_date__c],MATCH(Table5[[#This Row],[SM_Contract__c]],Contract[Id],0))=0,"",INDEX(Contract[SM_AC_start_date__c],MATCH(Table5[[#This Row],[SM_Contract__c]],Contract[Id],0)))</f>
        <v>46008</v>
      </c>
      <c r="C264" s="27" t="str">
        <f>IF(INDEX(Contract[SM_AC_Split_Date__c],MATCH(Table5[[#This Row],[SM_Contract__c]],Contract[Id],0))=0,"",INDEX(Contract[SM_AC_Split_Date__c],MATCH(Table5[[#This Row],[SM_Contract__c]],Contract[Id],0)))</f>
        <v/>
      </c>
      <c r="D264" s="27">
        <f>IF(INDEX(Contract[SM_Start_date__c],MATCH(Table5[[#This Row],[SM_Contract__c]],Contract[Id],0))=0,"",INDEX(Contract[SM_Start_date__c],MATCH(Table5[[#This Row],[SM_Contract__c]],Contract[Id],0)))</f>
        <v>46037</v>
      </c>
      <c r="E264" s="4">
        <f ca="1">(YEAR(TODAY())-YEAR(Table5[[#This Row],[RC DATE]]))*12 + MONTH(TODAY())-MONTH(Table5[[#This Row],[RC DATE]])</f>
        <v>6</v>
      </c>
      <c r="F26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264" s="19">
        <f>IF(Table5[[#This Row],[Payment_Status__c]]="ACCEPTED",1,"")</f>
        <v>1</v>
      </c>
      <c r="H26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64" s="19">
        <f ca="1">Table5[[#This Row],['# months]]-COUNTIFS(Table5[SM_Contract__c],Table5[[#This Row],[SM_Contract__c]],Table5[TYPE],"SUBS",Table5[ACCEPTED],1)</f>
        <v>1</v>
      </c>
      <c r="J264" s="19" t="b">
        <f>ISNUMBER(MATCH(Table5[[#This Row],[SM_Contract__c]],Contract[Id],0))</f>
        <v>1</v>
      </c>
      <c r="K264" s="9" t="s">
        <v>3152</v>
      </c>
      <c r="L264" s="9" t="s">
        <v>3153</v>
      </c>
      <c r="M264" s="9" t="s">
        <v>623</v>
      </c>
      <c r="N264" s="9" t="s">
        <v>3723</v>
      </c>
      <c r="O264" s="9" t="s">
        <v>1563</v>
      </c>
      <c r="P264" s="9" t="s">
        <v>2363</v>
      </c>
      <c r="Q264" s="9" t="s">
        <v>83</v>
      </c>
      <c r="R264" s="9" t="s">
        <v>76</v>
      </c>
      <c r="S264" s="9" t="s">
        <v>91</v>
      </c>
      <c r="T264" s="9" t="s">
        <v>91</v>
      </c>
      <c r="U264" s="9" t="s">
        <v>91</v>
      </c>
      <c r="V264" s="9" t="s">
        <v>93</v>
      </c>
      <c r="W264" s="9" t="s">
        <v>3585</v>
      </c>
      <c r="X264" s="9" t="s">
        <v>3117</v>
      </c>
      <c r="Y264" s="9"/>
      <c r="Z264" s="9"/>
      <c r="AA264" s="9" t="s">
        <v>3117</v>
      </c>
    </row>
    <row r="265" spans="1:27" x14ac:dyDescent="0.35">
      <c r="A265" s="4" t="str">
        <f>IF(Table5[[#This Row],[SM_Amount__c]]="25.0","FEE",IF(IF(Table5[[#This Row],[SM_Original_Type__c]]="",Table5[[#This Row],[SM_Type__c]],Table5[[#This Row],[SM_Original_Type__c]])="AC","AC","SUBS"))</f>
        <v>AC</v>
      </c>
      <c r="B265" s="27">
        <f>IF(INDEX(Contract[SM_AC_start_date__c],MATCH(Table5[[#This Row],[SM_Contract__c]],Contract[Id],0))=0,"",INDEX(Contract[SM_AC_start_date__c],MATCH(Table5[[#This Row],[SM_Contract__c]],Contract[Id],0)))</f>
        <v>46038</v>
      </c>
      <c r="C265" s="27">
        <f>IF(INDEX(Contract[SM_AC_Split_Date__c],MATCH(Table5[[#This Row],[SM_Contract__c]],Contract[Id],0))=0,"",INDEX(Contract[SM_AC_Split_Date__c],MATCH(Table5[[#This Row],[SM_Contract__c]],Contract[Id],0)))</f>
        <v>46052</v>
      </c>
      <c r="D265" s="27">
        <f>IF(INDEX(Contract[SM_Start_date__c],MATCH(Table5[[#This Row],[SM_Contract__c]],Contract[Id],0))=0,"",INDEX(Contract[SM_Start_date__c],MATCH(Table5[[#This Row],[SM_Contract__c]],Contract[Id],0)))</f>
        <v>46069</v>
      </c>
      <c r="E265" s="4">
        <f ca="1">(YEAR(TODAY())-YEAR(Table5[[#This Row],[RC DATE]]))*12 + MONTH(TODAY())-MONTH(Table5[[#This Row],[RC DATE]])</f>
        <v>5</v>
      </c>
      <c r="F26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46128</v>
      </c>
      <c r="G265" s="19">
        <f>IF(Table5[[#This Row],[Payment_Status__c]]="ACCEPTED",1,"")</f>
        <v>1</v>
      </c>
      <c r="H26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65" s="19">
        <f ca="1">Table5[[#This Row],['# months]]-COUNTIFS(Table5[SM_Contract__c],Table5[[#This Row],[SM_Contract__c]],Table5[TYPE],"SUBS",Table5[ACCEPTED],1)</f>
        <v>3</v>
      </c>
      <c r="J265" s="19" t="b">
        <f>ISNUMBER(MATCH(Table5[[#This Row],[SM_Contract__c]],Contract[Id],0))</f>
        <v>1</v>
      </c>
      <c r="K265" s="9" t="s">
        <v>3155</v>
      </c>
      <c r="L265" s="9" t="s">
        <v>3156</v>
      </c>
      <c r="M265" s="9" t="s">
        <v>635</v>
      </c>
      <c r="N265" s="9" t="s">
        <v>3724</v>
      </c>
      <c r="O265" s="9" t="s">
        <v>1563</v>
      </c>
      <c r="P265" s="9" t="s">
        <v>2363</v>
      </c>
      <c r="Q265" s="9" t="s">
        <v>77</v>
      </c>
      <c r="R265" s="9" t="s">
        <v>77</v>
      </c>
      <c r="S265" s="9" t="s">
        <v>2094</v>
      </c>
      <c r="T265" s="9" t="s">
        <v>2094</v>
      </c>
      <c r="U265" s="9" t="s">
        <v>2094</v>
      </c>
      <c r="V265" s="9" t="s">
        <v>93</v>
      </c>
      <c r="W265" s="9" t="s">
        <v>3615</v>
      </c>
      <c r="X265" s="9" t="s">
        <v>3157</v>
      </c>
      <c r="Y265" s="9"/>
      <c r="Z265" s="9"/>
      <c r="AA265" s="9" t="s">
        <v>3157</v>
      </c>
    </row>
    <row r="266" spans="1:27" x14ac:dyDescent="0.35">
      <c r="A266" s="4" t="str">
        <f>IF(Table5[[#This Row],[SM_Amount__c]]="25.0","FEE",IF(IF(Table5[[#This Row],[SM_Original_Type__c]]="",Table5[[#This Row],[SM_Type__c]],Table5[[#This Row],[SM_Original_Type__c]])="AC","AC","SUBS"))</f>
        <v>AC</v>
      </c>
      <c r="B266" s="27">
        <f>IF(INDEX(Contract[SM_AC_start_date__c],MATCH(Table5[[#This Row],[SM_Contract__c]],Contract[Id],0))=0,"",INDEX(Contract[SM_AC_start_date__c],MATCH(Table5[[#This Row],[SM_Contract__c]],Contract[Id],0)))</f>
        <v>46038</v>
      </c>
      <c r="C266" s="27">
        <f>IF(INDEX(Contract[SM_AC_Split_Date__c],MATCH(Table5[[#This Row],[SM_Contract__c]],Contract[Id],0))=0,"",INDEX(Contract[SM_AC_Split_Date__c],MATCH(Table5[[#This Row],[SM_Contract__c]],Contract[Id],0)))</f>
        <v>46052</v>
      </c>
      <c r="D266" s="27">
        <f>IF(INDEX(Contract[SM_Start_date__c],MATCH(Table5[[#This Row],[SM_Contract__c]],Contract[Id],0))=0,"",INDEX(Contract[SM_Start_date__c],MATCH(Table5[[#This Row],[SM_Contract__c]],Contract[Id],0)))</f>
        <v>46069</v>
      </c>
      <c r="E266" s="4">
        <f ca="1">(YEAR(TODAY())-YEAR(Table5[[#This Row],[RC DATE]]))*12 + MONTH(TODAY())-MONTH(Table5[[#This Row],[RC DATE]])</f>
        <v>5</v>
      </c>
      <c r="F26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46128</v>
      </c>
      <c r="G266" s="19">
        <f>IF(Table5[[#This Row],[Payment_Status__c]]="ACCEPTED",1,"")</f>
        <v>1</v>
      </c>
      <c r="H26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66" s="19">
        <f ca="1">Table5[[#This Row],['# months]]-COUNTIFS(Table5[SM_Contract__c],Table5[[#This Row],[SM_Contract__c]],Table5[TYPE],"SUBS",Table5[ACCEPTED],1)</f>
        <v>3</v>
      </c>
      <c r="J266" s="19" t="b">
        <f>ISNUMBER(MATCH(Table5[[#This Row],[SM_Contract__c]],Contract[Id],0))</f>
        <v>1</v>
      </c>
      <c r="K266" s="9" t="s">
        <v>3158</v>
      </c>
      <c r="L266" s="9" t="s">
        <v>3159</v>
      </c>
      <c r="M266" s="9" t="s">
        <v>635</v>
      </c>
      <c r="N266" s="9" t="s">
        <v>3724</v>
      </c>
      <c r="O266" s="9" t="s">
        <v>1563</v>
      </c>
      <c r="P266" s="9" t="s">
        <v>2363</v>
      </c>
      <c r="Q266" s="9" t="s">
        <v>77</v>
      </c>
      <c r="R266" s="9" t="s">
        <v>77</v>
      </c>
      <c r="S266" s="9" t="s">
        <v>2094</v>
      </c>
      <c r="T266" s="9" t="s">
        <v>2094</v>
      </c>
      <c r="U266" s="9" t="s">
        <v>2094</v>
      </c>
      <c r="V266" s="9" t="s">
        <v>93</v>
      </c>
      <c r="W266" s="9" t="s">
        <v>3563</v>
      </c>
      <c r="X266" s="9" t="s">
        <v>3133</v>
      </c>
      <c r="Y266" s="9"/>
      <c r="Z266" s="9"/>
      <c r="AA266" s="9" t="s">
        <v>3133</v>
      </c>
    </row>
    <row r="267" spans="1:27" x14ac:dyDescent="0.35">
      <c r="A267" s="4" t="str">
        <f>IF(Table5[[#This Row],[SM_Amount__c]]="25.0","FEE",IF(IF(Table5[[#This Row],[SM_Original_Type__c]]="",Table5[[#This Row],[SM_Type__c]],Table5[[#This Row],[SM_Original_Type__c]])="AC","AC","SUBS"))</f>
        <v>SUBS</v>
      </c>
      <c r="B267" s="27">
        <f>IF(INDEX(Contract[SM_AC_start_date__c],MATCH(Table5[[#This Row],[SM_Contract__c]],Contract[Id],0))=0,"",INDEX(Contract[SM_AC_start_date__c],MATCH(Table5[[#This Row],[SM_Contract__c]],Contract[Id],0)))</f>
        <v>46038</v>
      </c>
      <c r="C267" s="27">
        <f>IF(INDEX(Contract[SM_AC_Split_Date__c],MATCH(Table5[[#This Row],[SM_Contract__c]],Contract[Id],0))=0,"",INDEX(Contract[SM_AC_Split_Date__c],MATCH(Table5[[#This Row],[SM_Contract__c]],Contract[Id],0)))</f>
        <v>46052</v>
      </c>
      <c r="D267" s="27">
        <f>IF(INDEX(Contract[SM_Start_date__c],MATCH(Table5[[#This Row],[SM_Contract__c]],Contract[Id],0))=0,"",INDEX(Contract[SM_Start_date__c],MATCH(Table5[[#This Row],[SM_Contract__c]],Contract[Id],0)))</f>
        <v>46069</v>
      </c>
      <c r="E267" s="4">
        <f ca="1">(YEAR(TODAY())-YEAR(Table5[[#This Row],[RC DATE]]))*12 + MONTH(TODAY())-MONTH(Table5[[#This Row],[RC DATE]])</f>
        <v>5</v>
      </c>
      <c r="F26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46128</v>
      </c>
      <c r="G267" s="19">
        <f>IF(Table5[[#This Row],[Payment_Status__c]]="ACCEPTED",1,"")</f>
        <v>1</v>
      </c>
      <c r="H26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67" s="19">
        <f ca="1">Table5[[#This Row],['# months]]-COUNTIFS(Table5[SM_Contract__c],Table5[[#This Row],[SM_Contract__c]],Table5[TYPE],"SUBS",Table5[ACCEPTED],1)</f>
        <v>3</v>
      </c>
      <c r="J267" s="19" t="b">
        <f>ISNUMBER(MATCH(Table5[[#This Row],[SM_Contract__c]],Contract[Id],0))</f>
        <v>1</v>
      </c>
      <c r="K267" s="9" t="s">
        <v>3160</v>
      </c>
      <c r="L267" s="9" t="s">
        <v>3161</v>
      </c>
      <c r="M267" s="9" t="s">
        <v>635</v>
      </c>
      <c r="N267" s="9" t="s">
        <v>3724</v>
      </c>
      <c r="O267" s="9" t="s">
        <v>1563</v>
      </c>
      <c r="P267" s="9" t="s">
        <v>2363</v>
      </c>
      <c r="Q267" s="9" t="s">
        <v>83</v>
      </c>
      <c r="R267" s="9" t="s">
        <v>76</v>
      </c>
      <c r="S267" s="9" t="s">
        <v>91</v>
      </c>
      <c r="T267" s="9" t="s">
        <v>91</v>
      </c>
      <c r="U267" s="9" t="s">
        <v>91</v>
      </c>
      <c r="V267" s="9" t="s">
        <v>93</v>
      </c>
      <c r="W267" s="9" t="s">
        <v>3616</v>
      </c>
      <c r="X267" s="9" t="s">
        <v>3162</v>
      </c>
      <c r="Y267" s="9"/>
      <c r="Z267" s="9"/>
      <c r="AA267" s="9" t="s">
        <v>3162</v>
      </c>
    </row>
    <row r="268" spans="1:27" x14ac:dyDescent="0.35">
      <c r="A268" s="4" t="str">
        <f>IF(Table5[[#This Row],[SM_Amount__c]]="25.0","FEE",IF(IF(Table5[[#This Row],[SM_Original_Type__c]]="",Table5[[#This Row],[SM_Type__c]],Table5[[#This Row],[SM_Original_Type__c]])="AC","AC","SUBS"))</f>
        <v>SUBS</v>
      </c>
      <c r="B268" s="27">
        <f>IF(INDEX(Contract[SM_AC_start_date__c],MATCH(Table5[[#This Row],[SM_Contract__c]],Contract[Id],0))=0,"",INDEX(Contract[SM_AC_start_date__c],MATCH(Table5[[#This Row],[SM_Contract__c]],Contract[Id],0)))</f>
        <v>46038</v>
      </c>
      <c r="C268" s="27">
        <f>IF(INDEX(Contract[SM_AC_Split_Date__c],MATCH(Table5[[#This Row],[SM_Contract__c]],Contract[Id],0))=0,"",INDEX(Contract[SM_AC_Split_Date__c],MATCH(Table5[[#This Row],[SM_Contract__c]],Contract[Id],0)))</f>
        <v>46052</v>
      </c>
      <c r="D268" s="27">
        <f>IF(INDEX(Contract[SM_Start_date__c],MATCH(Table5[[#This Row],[SM_Contract__c]],Contract[Id],0))=0,"",INDEX(Contract[SM_Start_date__c],MATCH(Table5[[#This Row],[SM_Contract__c]],Contract[Id],0)))</f>
        <v>46069</v>
      </c>
      <c r="E268" s="4">
        <f ca="1">(YEAR(TODAY())-YEAR(Table5[[#This Row],[RC DATE]]))*12 + MONTH(TODAY())-MONTH(Table5[[#This Row],[RC DATE]])</f>
        <v>5</v>
      </c>
      <c r="F26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46128</v>
      </c>
      <c r="G268" s="19">
        <f>IF(Table5[[#This Row],[Payment_Status__c]]="ACCEPTED",1,"")</f>
        <v>1</v>
      </c>
      <c r="H26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68" s="19">
        <f ca="1">Table5[[#This Row],['# months]]-COUNTIFS(Table5[SM_Contract__c],Table5[[#This Row],[SM_Contract__c]],Table5[TYPE],"SUBS",Table5[ACCEPTED],1)</f>
        <v>3</v>
      </c>
      <c r="J268" s="19" t="b">
        <f>ISNUMBER(MATCH(Table5[[#This Row],[SM_Contract__c]],Contract[Id],0))</f>
        <v>1</v>
      </c>
      <c r="K268" s="9" t="s">
        <v>3163</v>
      </c>
      <c r="L268" s="9" t="s">
        <v>3164</v>
      </c>
      <c r="M268" s="9" t="s">
        <v>635</v>
      </c>
      <c r="N268" s="9" t="s">
        <v>3724</v>
      </c>
      <c r="O268" s="9" t="s">
        <v>1563</v>
      </c>
      <c r="P268" s="9" t="s">
        <v>2363</v>
      </c>
      <c r="Q268" s="9" t="s">
        <v>83</v>
      </c>
      <c r="R268" s="9" t="s">
        <v>76</v>
      </c>
      <c r="S268" s="9" t="s">
        <v>91</v>
      </c>
      <c r="T268" s="9" t="s">
        <v>91</v>
      </c>
      <c r="U268" s="9" t="s">
        <v>91</v>
      </c>
      <c r="V268" s="9" t="s">
        <v>93</v>
      </c>
      <c r="W268" s="9" t="s">
        <v>3675</v>
      </c>
      <c r="X268" s="9" t="s">
        <v>3165</v>
      </c>
      <c r="Y268" s="9"/>
      <c r="Z268" s="9"/>
      <c r="AA268" s="9" t="s">
        <v>3165</v>
      </c>
    </row>
    <row r="269" spans="1:27" x14ac:dyDescent="0.35">
      <c r="A269" s="4" t="str">
        <f>IF(Table5[[#This Row],[SM_Amount__c]]="25.0","FEE",IF(IF(Table5[[#This Row],[SM_Original_Type__c]]="",Table5[[#This Row],[SM_Type__c]],Table5[[#This Row],[SM_Original_Type__c]])="AC","AC","SUBS"))</f>
        <v>AC</v>
      </c>
      <c r="B269" s="27">
        <f>IF(INDEX(Contract[SM_AC_start_date__c],MATCH(Table5[[#This Row],[SM_Contract__c]],Contract[Id],0))=0,"",INDEX(Contract[SM_AC_start_date__c],MATCH(Table5[[#This Row],[SM_Contract__c]],Contract[Id],0)))</f>
        <v>46017</v>
      </c>
      <c r="C269" s="27" t="str">
        <f>IF(INDEX(Contract[SM_AC_Split_Date__c],MATCH(Table5[[#This Row],[SM_Contract__c]],Contract[Id],0))=0,"",INDEX(Contract[SM_AC_Split_Date__c],MATCH(Table5[[#This Row],[SM_Contract__c]],Contract[Id],0)))</f>
        <v/>
      </c>
      <c r="D269" s="27">
        <f>IF(INDEX(Contract[SM_Start_date__c],MATCH(Table5[[#This Row],[SM_Contract__c]],Contract[Id],0))=0,"",INDEX(Contract[SM_Start_date__c],MATCH(Table5[[#This Row],[SM_Contract__c]],Contract[Id],0)))</f>
        <v>46052</v>
      </c>
      <c r="E269" s="4">
        <f ca="1">(YEAR(TODAY())-YEAR(Table5[[#This Row],[RC DATE]]))*12 + MONTH(TODAY())-MONTH(Table5[[#This Row],[RC DATE]])</f>
        <v>6</v>
      </c>
      <c r="F26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269" s="19">
        <f>IF(Table5[[#This Row],[Payment_Status__c]]="ACCEPTED",1,"")</f>
        <v>1</v>
      </c>
      <c r="H26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69" s="19">
        <f ca="1">Table5[[#This Row],['# months]]-COUNTIFS(Table5[SM_Contract__c],Table5[[#This Row],[SM_Contract__c]],Table5[TYPE],"SUBS",Table5[ACCEPTED],1)</f>
        <v>3</v>
      </c>
      <c r="J269" s="19" t="b">
        <f>ISNUMBER(MATCH(Table5[[#This Row],[SM_Contract__c]],Contract[Id],0))</f>
        <v>1</v>
      </c>
      <c r="K269" s="9" t="s">
        <v>3166</v>
      </c>
      <c r="L269" s="9" t="s">
        <v>3167</v>
      </c>
      <c r="M269" s="9" t="s">
        <v>631</v>
      </c>
      <c r="N269" s="9" t="s">
        <v>3725</v>
      </c>
      <c r="O269" s="9" t="s">
        <v>1563</v>
      </c>
      <c r="P269" s="9" t="s">
        <v>2363</v>
      </c>
      <c r="Q269" s="9" t="s">
        <v>77</v>
      </c>
      <c r="R269" s="9" t="s">
        <v>77</v>
      </c>
      <c r="S269" s="9" t="s">
        <v>2146</v>
      </c>
      <c r="T269" s="9" t="s">
        <v>2146</v>
      </c>
      <c r="U269" s="9" t="s">
        <v>2146</v>
      </c>
      <c r="V269" s="9" t="s">
        <v>93</v>
      </c>
      <c r="W269" s="9" t="s">
        <v>3562</v>
      </c>
      <c r="X269" s="9" t="s">
        <v>3154</v>
      </c>
      <c r="Y269" s="9"/>
      <c r="Z269" s="9"/>
      <c r="AA269" s="9" t="s">
        <v>3154</v>
      </c>
    </row>
    <row r="270" spans="1:27" x14ac:dyDescent="0.35">
      <c r="A270" s="4" t="str">
        <f>IF(Table5[[#This Row],[SM_Amount__c]]="25.0","FEE",IF(IF(Table5[[#This Row],[SM_Original_Type__c]]="",Table5[[#This Row],[SM_Type__c]],Table5[[#This Row],[SM_Original_Type__c]])="AC","AC","SUBS"))</f>
        <v>SUBS</v>
      </c>
      <c r="B270" s="27">
        <f>IF(INDEX(Contract[SM_AC_start_date__c],MATCH(Table5[[#This Row],[SM_Contract__c]],Contract[Id],0))=0,"",INDEX(Contract[SM_AC_start_date__c],MATCH(Table5[[#This Row],[SM_Contract__c]],Contract[Id],0)))</f>
        <v>46017</v>
      </c>
      <c r="C270" s="27" t="str">
        <f>IF(INDEX(Contract[SM_AC_Split_Date__c],MATCH(Table5[[#This Row],[SM_Contract__c]],Contract[Id],0))=0,"",INDEX(Contract[SM_AC_Split_Date__c],MATCH(Table5[[#This Row],[SM_Contract__c]],Contract[Id],0)))</f>
        <v/>
      </c>
      <c r="D270" s="27">
        <f>IF(INDEX(Contract[SM_Start_date__c],MATCH(Table5[[#This Row],[SM_Contract__c]],Contract[Id],0))=0,"",INDEX(Contract[SM_Start_date__c],MATCH(Table5[[#This Row],[SM_Contract__c]],Contract[Id],0)))</f>
        <v>46052</v>
      </c>
      <c r="E270" s="4">
        <f ca="1">(YEAR(TODAY())-YEAR(Table5[[#This Row],[RC DATE]]))*12 + MONTH(TODAY())-MONTH(Table5[[#This Row],[RC DATE]])</f>
        <v>6</v>
      </c>
      <c r="F27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270" s="19">
        <f>IF(Table5[[#This Row],[Payment_Status__c]]="ACCEPTED",1,"")</f>
        <v>1</v>
      </c>
      <c r="H27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70" s="19">
        <f ca="1">Table5[[#This Row],['# months]]-COUNTIFS(Table5[SM_Contract__c],Table5[[#This Row],[SM_Contract__c]],Table5[TYPE],"SUBS",Table5[ACCEPTED],1)</f>
        <v>3</v>
      </c>
      <c r="J270" s="19" t="b">
        <f>ISNUMBER(MATCH(Table5[[#This Row],[SM_Contract__c]],Contract[Id],0))</f>
        <v>1</v>
      </c>
      <c r="K270" s="9" t="s">
        <v>3168</v>
      </c>
      <c r="L270" s="9" t="s">
        <v>3169</v>
      </c>
      <c r="M270" s="9" t="s">
        <v>631</v>
      </c>
      <c r="N270" s="9" t="s">
        <v>3725</v>
      </c>
      <c r="O270" s="9" t="s">
        <v>1563</v>
      </c>
      <c r="P270" s="9" t="s">
        <v>2363</v>
      </c>
      <c r="Q270" s="9" t="s">
        <v>71</v>
      </c>
      <c r="R270" s="9" t="s">
        <v>83</v>
      </c>
      <c r="S270" s="9" t="s">
        <v>2254</v>
      </c>
      <c r="T270" s="9" t="s">
        <v>2254</v>
      </c>
      <c r="U270" s="9" t="s">
        <v>2146</v>
      </c>
      <c r="V270" s="9" t="s">
        <v>148</v>
      </c>
      <c r="W270" s="9" t="s">
        <v>3661</v>
      </c>
      <c r="X270" s="9" t="s">
        <v>3132</v>
      </c>
      <c r="Y270" s="9"/>
      <c r="Z270" s="9" t="s">
        <v>866</v>
      </c>
      <c r="AA270" s="9" t="s">
        <v>3132</v>
      </c>
    </row>
    <row r="271" spans="1:27" x14ac:dyDescent="0.35">
      <c r="A271" s="4" t="str">
        <f>IF(Table5[[#This Row],[SM_Amount__c]]="25.0","FEE",IF(IF(Table5[[#This Row],[SM_Original_Type__c]]="",Table5[[#This Row],[SM_Type__c]],Table5[[#This Row],[SM_Original_Type__c]])="AC","AC","SUBS"))</f>
        <v>SUBS</v>
      </c>
      <c r="B271" s="27">
        <f>IF(INDEX(Contract[SM_AC_start_date__c],MATCH(Table5[[#This Row],[SM_Contract__c]],Contract[Id],0))=0,"",INDEX(Contract[SM_AC_start_date__c],MATCH(Table5[[#This Row],[SM_Contract__c]],Contract[Id],0)))</f>
        <v>46017</v>
      </c>
      <c r="C271" s="27" t="str">
        <f>IF(INDEX(Contract[SM_AC_Split_Date__c],MATCH(Table5[[#This Row],[SM_Contract__c]],Contract[Id],0))=0,"",INDEX(Contract[SM_AC_Split_Date__c],MATCH(Table5[[#This Row],[SM_Contract__c]],Contract[Id],0)))</f>
        <v/>
      </c>
      <c r="D271" s="27">
        <f>IF(INDEX(Contract[SM_Start_date__c],MATCH(Table5[[#This Row],[SM_Contract__c]],Contract[Id],0))=0,"",INDEX(Contract[SM_Start_date__c],MATCH(Table5[[#This Row],[SM_Contract__c]],Contract[Id],0)))</f>
        <v>46052</v>
      </c>
      <c r="E271" s="4">
        <f ca="1">(YEAR(TODAY())-YEAR(Table5[[#This Row],[RC DATE]]))*12 + MONTH(TODAY())-MONTH(Table5[[#This Row],[RC DATE]])</f>
        <v>6</v>
      </c>
      <c r="F27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271" s="19">
        <f>IF(Table5[[#This Row],[Payment_Status__c]]="ACCEPTED",1,"")</f>
        <v>1</v>
      </c>
      <c r="H27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71" s="19">
        <f ca="1">Table5[[#This Row],['# months]]-COUNTIFS(Table5[SM_Contract__c],Table5[[#This Row],[SM_Contract__c]],Table5[TYPE],"SUBS",Table5[ACCEPTED],1)</f>
        <v>3</v>
      </c>
      <c r="J271" s="19" t="b">
        <f>ISNUMBER(MATCH(Table5[[#This Row],[SM_Contract__c]],Contract[Id],0))</f>
        <v>1</v>
      </c>
      <c r="K271" s="9" t="s">
        <v>3170</v>
      </c>
      <c r="L271" s="9" t="s">
        <v>3171</v>
      </c>
      <c r="M271" s="9" t="s">
        <v>631</v>
      </c>
      <c r="N271" s="9" t="s">
        <v>3725</v>
      </c>
      <c r="O271" s="9" t="s">
        <v>1563</v>
      </c>
      <c r="P271" s="9" t="s">
        <v>2363</v>
      </c>
      <c r="Q271" s="9" t="s">
        <v>71</v>
      </c>
      <c r="R271" s="9" t="s">
        <v>83</v>
      </c>
      <c r="S271" s="9" t="s">
        <v>2254</v>
      </c>
      <c r="T271" s="9" t="s">
        <v>2254</v>
      </c>
      <c r="U271" s="9" t="s">
        <v>2146</v>
      </c>
      <c r="V271" s="9" t="s">
        <v>148</v>
      </c>
      <c r="W271" s="9" t="s">
        <v>3595</v>
      </c>
      <c r="X271" s="9" t="s">
        <v>3172</v>
      </c>
      <c r="Y271" s="9"/>
      <c r="Z271" s="9" t="s">
        <v>1154</v>
      </c>
      <c r="AA271" s="9" t="s">
        <v>3172</v>
      </c>
    </row>
    <row r="272" spans="1:27" x14ac:dyDescent="0.35">
      <c r="A272" s="4" t="str">
        <f>IF(Table5[[#This Row],[SM_Amount__c]]="25.0","FEE",IF(IF(Table5[[#This Row],[SM_Original_Type__c]]="",Table5[[#This Row],[SM_Type__c]],Table5[[#This Row],[SM_Original_Type__c]])="AC","AC","SUBS"))</f>
        <v>SUBS</v>
      </c>
      <c r="B272" s="27">
        <f>IF(INDEX(Contract[SM_AC_start_date__c],MATCH(Table5[[#This Row],[SM_Contract__c]],Contract[Id],0))=0,"",INDEX(Contract[SM_AC_start_date__c],MATCH(Table5[[#This Row],[SM_Contract__c]],Contract[Id],0)))</f>
        <v>46017</v>
      </c>
      <c r="C272" s="27" t="str">
        <f>IF(INDEX(Contract[SM_AC_Split_Date__c],MATCH(Table5[[#This Row],[SM_Contract__c]],Contract[Id],0))=0,"",INDEX(Contract[SM_AC_Split_Date__c],MATCH(Table5[[#This Row],[SM_Contract__c]],Contract[Id],0)))</f>
        <v/>
      </c>
      <c r="D272" s="27">
        <f>IF(INDEX(Contract[SM_Start_date__c],MATCH(Table5[[#This Row],[SM_Contract__c]],Contract[Id],0))=0,"",INDEX(Contract[SM_Start_date__c],MATCH(Table5[[#This Row],[SM_Contract__c]],Contract[Id],0)))</f>
        <v>46052</v>
      </c>
      <c r="E272" s="4">
        <f ca="1">(YEAR(TODAY())-YEAR(Table5[[#This Row],[RC DATE]]))*12 + MONTH(TODAY())-MONTH(Table5[[#This Row],[RC DATE]])</f>
        <v>6</v>
      </c>
      <c r="F27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46142</v>
      </c>
      <c r="G272" s="19">
        <f>IF(Table5[[#This Row],[Payment_Status__c]]="ACCEPTED",1,"")</f>
        <v>1</v>
      </c>
      <c r="H27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272" s="19">
        <f ca="1">Table5[[#This Row],['# months]]-COUNTIFS(Table5[SM_Contract__c],Table5[[#This Row],[SM_Contract__c]],Table5[TYPE],"SUBS",Table5[ACCEPTED],1)</f>
        <v>3</v>
      </c>
      <c r="J272" s="19" t="b">
        <f>ISNUMBER(MATCH(Table5[[#This Row],[SM_Contract__c]],Contract[Id],0))</f>
        <v>1</v>
      </c>
      <c r="K272" s="9" t="s">
        <v>3173</v>
      </c>
      <c r="L272" s="9" t="s">
        <v>3174</v>
      </c>
      <c r="M272" s="9" t="s">
        <v>631</v>
      </c>
      <c r="N272" s="9" t="s">
        <v>3725</v>
      </c>
      <c r="O272" s="9" t="s">
        <v>1563</v>
      </c>
      <c r="P272" s="9" t="s">
        <v>2363</v>
      </c>
      <c r="Q272" s="9" t="s">
        <v>71</v>
      </c>
      <c r="R272" s="9" t="s">
        <v>83</v>
      </c>
      <c r="S272" s="9" t="s">
        <v>2146</v>
      </c>
      <c r="T272" s="9" t="s">
        <v>2146</v>
      </c>
      <c r="U272" s="9" t="s">
        <v>2146</v>
      </c>
      <c r="V272" s="9" t="s">
        <v>93</v>
      </c>
      <c r="W272" s="9" t="s">
        <v>3666</v>
      </c>
      <c r="X272" s="9" t="s">
        <v>3175</v>
      </c>
      <c r="Y272" s="9"/>
      <c r="Z272" s="9" t="s">
        <v>1060</v>
      </c>
      <c r="AA272" s="9" t="s">
        <v>3175</v>
      </c>
    </row>
    <row r="273" spans="1:27" x14ac:dyDescent="0.35">
      <c r="A273" s="4" t="str">
        <f>IF(Table5[[#This Row],[SM_Amount__c]]="25.0","FEE",IF(IF(Table5[[#This Row],[SM_Original_Type__c]]="",Table5[[#This Row],[SM_Type__c]],Table5[[#This Row],[SM_Original_Type__c]])="AC","AC","SUBS"))</f>
        <v>AC</v>
      </c>
      <c r="B273" s="27">
        <f>IF(INDEX(Contract[SM_AC_start_date__c],MATCH(Table5[[#This Row],[SM_Contract__c]],Contract[Id],0))=0,"",INDEX(Contract[SM_AC_start_date__c],MATCH(Table5[[#This Row],[SM_Contract__c]],Contract[Id],0)))</f>
        <v>46052</v>
      </c>
      <c r="C273" s="27" t="str">
        <f>IF(INDEX(Contract[SM_AC_Split_Date__c],MATCH(Table5[[#This Row],[SM_Contract__c]],Contract[Id],0))=0,"",INDEX(Contract[SM_AC_Split_Date__c],MATCH(Table5[[#This Row],[SM_Contract__c]],Contract[Id],0)))</f>
        <v/>
      </c>
      <c r="D273" s="27">
        <f>IF(INDEX(Contract[SM_Start_date__c],MATCH(Table5[[#This Row],[SM_Contract__c]],Contract[Id],0))=0,"",INDEX(Contract[SM_Start_date__c],MATCH(Table5[[#This Row],[SM_Contract__c]],Contract[Id],0)))</f>
        <v>46080</v>
      </c>
      <c r="E273" s="4">
        <f ca="1">(YEAR(TODAY())-YEAR(Table5[[#This Row],[RC DATE]]))*12 + MONTH(TODAY())-MONTH(Table5[[#This Row],[RC DATE]])</f>
        <v>5</v>
      </c>
      <c r="F27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273" s="19">
        <f>IF(Table5[[#This Row],[Payment_Status__c]]="ACCEPTED",1,"")</f>
        <v>1</v>
      </c>
      <c r="H27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73" s="19">
        <f ca="1">Table5[[#This Row],['# months]]-COUNTIFS(Table5[SM_Contract__c],Table5[[#This Row],[SM_Contract__c]],Table5[TYPE],"SUBS",Table5[ACCEPTED],1)</f>
        <v>2</v>
      </c>
      <c r="J273" s="19" t="b">
        <f>ISNUMBER(MATCH(Table5[[#This Row],[SM_Contract__c]],Contract[Id],0))</f>
        <v>1</v>
      </c>
      <c r="K273" s="9" t="s">
        <v>3177</v>
      </c>
      <c r="L273" s="9" t="s">
        <v>3178</v>
      </c>
      <c r="M273" s="9" t="s">
        <v>645</v>
      </c>
      <c r="N273" s="9" t="s">
        <v>3726</v>
      </c>
      <c r="O273" s="9" t="s">
        <v>1563</v>
      </c>
      <c r="P273" s="9" t="s">
        <v>2363</v>
      </c>
      <c r="Q273" s="9" t="s">
        <v>77</v>
      </c>
      <c r="R273" s="9" t="s">
        <v>77</v>
      </c>
      <c r="S273" s="9" t="s">
        <v>2146</v>
      </c>
      <c r="T273" s="9" t="s">
        <v>2146</v>
      </c>
      <c r="U273" s="9" t="s">
        <v>2146</v>
      </c>
      <c r="V273" s="9" t="s">
        <v>93</v>
      </c>
      <c r="W273" s="9" t="s">
        <v>3563</v>
      </c>
      <c r="X273" s="9" t="s">
        <v>3176</v>
      </c>
      <c r="Y273" s="9"/>
      <c r="Z273" s="9"/>
      <c r="AA273" s="9" t="s">
        <v>3176</v>
      </c>
    </row>
    <row r="274" spans="1:27" x14ac:dyDescent="0.35">
      <c r="A274" s="4" t="str">
        <f>IF(Table5[[#This Row],[SM_Amount__c]]="25.0","FEE",IF(IF(Table5[[#This Row],[SM_Original_Type__c]]="",Table5[[#This Row],[SM_Type__c]],Table5[[#This Row],[SM_Original_Type__c]])="AC","AC","SUBS"))</f>
        <v>SUBS</v>
      </c>
      <c r="B274" s="27">
        <f>IF(INDEX(Contract[SM_AC_start_date__c],MATCH(Table5[[#This Row],[SM_Contract__c]],Contract[Id],0))=0,"",INDEX(Contract[SM_AC_start_date__c],MATCH(Table5[[#This Row],[SM_Contract__c]],Contract[Id],0)))</f>
        <v>46052</v>
      </c>
      <c r="C274" s="27" t="str">
        <f>IF(INDEX(Contract[SM_AC_Split_Date__c],MATCH(Table5[[#This Row],[SM_Contract__c]],Contract[Id],0))=0,"",INDEX(Contract[SM_AC_Split_Date__c],MATCH(Table5[[#This Row],[SM_Contract__c]],Contract[Id],0)))</f>
        <v/>
      </c>
      <c r="D274" s="27">
        <f>IF(INDEX(Contract[SM_Start_date__c],MATCH(Table5[[#This Row],[SM_Contract__c]],Contract[Id],0))=0,"",INDEX(Contract[SM_Start_date__c],MATCH(Table5[[#This Row],[SM_Contract__c]],Contract[Id],0)))</f>
        <v>46080</v>
      </c>
      <c r="E274" s="4">
        <f ca="1">(YEAR(TODAY())-YEAR(Table5[[#This Row],[RC DATE]]))*12 + MONTH(TODAY())-MONTH(Table5[[#This Row],[RC DATE]])</f>
        <v>5</v>
      </c>
      <c r="F27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274" s="19">
        <f>IF(Table5[[#This Row],[Payment_Status__c]]="ACCEPTED",1,"")</f>
        <v>1</v>
      </c>
      <c r="H27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74" s="19">
        <f ca="1">Table5[[#This Row],['# months]]-COUNTIFS(Table5[SM_Contract__c],Table5[[#This Row],[SM_Contract__c]],Table5[TYPE],"SUBS",Table5[ACCEPTED],1)</f>
        <v>2</v>
      </c>
      <c r="J274" s="19" t="b">
        <f>ISNUMBER(MATCH(Table5[[#This Row],[SM_Contract__c]],Contract[Id],0))</f>
        <v>1</v>
      </c>
      <c r="K274" s="9" t="s">
        <v>3179</v>
      </c>
      <c r="L274" s="9" t="s">
        <v>3180</v>
      </c>
      <c r="M274" s="9" t="s">
        <v>645</v>
      </c>
      <c r="N274" s="9" t="s">
        <v>3726</v>
      </c>
      <c r="O274" s="9" t="s">
        <v>1563</v>
      </c>
      <c r="P274" s="9" t="s">
        <v>2363</v>
      </c>
      <c r="Q274" s="9" t="s">
        <v>83</v>
      </c>
      <c r="R274" s="9" t="s">
        <v>76</v>
      </c>
      <c r="S274" s="9" t="s">
        <v>2146</v>
      </c>
      <c r="T274" s="9" t="s">
        <v>2146</v>
      </c>
      <c r="U274" s="9" t="s">
        <v>2146</v>
      </c>
      <c r="V274" s="9" t="s">
        <v>93</v>
      </c>
      <c r="W274" s="9" t="s">
        <v>3564</v>
      </c>
      <c r="X274" s="9" t="s">
        <v>3181</v>
      </c>
      <c r="Y274" s="9"/>
      <c r="Z274" s="9"/>
      <c r="AA274" s="9" t="s">
        <v>3181</v>
      </c>
    </row>
    <row r="275" spans="1:27" x14ac:dyDescent="0.35">
      <c r="A275" s="4" t="str">
        <f>IF(Table5[[#This Row],[SM_Amount__c]]="25.0","FEE",IF(IF(Table5[[#This Row],[SM_Original_Type__c]]="",Table5[[#This Row],[SM_Type__c]],Table5[[#This Row],[SM_Original_Type__c]])="AC","AC","SUBS"))</f>
        <v>SUBS</v>
      </c>
      <c r="B275" s="27">
        <f>IF(INDEX(Contract[SM_AC_start_date__c],MATCH(Table5[[#This Row],[SM_Contract__c]],Contract[Id],0))=0,"",INDEX(Contract[SM_AC_start_date__c],MATCH(Table5[[#This Row],[SM_Contract__c]],Contract[Id],0)))</f>
        <v>46052</v>
      </c>
      <c r="C275" s="27" t="str">
        <f>IF(INDEX(Contract[SM_AC_Split_Date__c],MATCH(Table5[[#This Row],[SM_Contract__c]],Contract[Id],0))=0,"",INDEX(Contract[SM_AC_Split_Date__c],MATCH(Table5[[#This Row],[SM_Contract__c]],Contract[Id],0)))</f>
        <v/>
      </c>
      <c r="D275" s="27">
        <f>IF(INDEX(Contract[SM_Start_date__c],MATCH(Table5[[#This Row],[SM_Contract__c]],Contract[Id],0))=0,"",INDEX(Contract[SM_Start_date__c],MATCH(Table5[[#This Row],[SM_Contract__c]],Contract[Id],0)))</f>
        <v>46080</v>
      </c>
      <c r="E275" s="4">
        <f ca="1">(YEAR(TODAY())-YEAR(Table5[[#This Row],[RC DATE]]))*12 + MONTH(TODAY())-MONTH(Table5[[#This Row],[RC DATE]])</f>
        <v>5</v>
      </c>
      <c r="F27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275" s="19">
        <f>IF(Table5[[#This Row],[Payment_Status__c]]="ACCEPTED",1,"")</f>
        <v>1</v>
      </c>
      <c r="H27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75" s="19">
        <f ca="1">Table5[[#This Row],['# months]]-COUNTIFS(Table5[SM_Contract__c],Table5[[#This Row],[SM_Contract__c]],Table5[TYPE],"SUBS",Table5[ACCEPTED],1)</f>
        <v>2</v>
      </c>
      <c r="J275" s="19" t="b">
        <f>ISNUMBER(MATCH(Table5[[#This Row],[SM_Contract__c]],Contract[Id],0))</f>
        <v>1</v>
      </c>
      <c r="K275" s="9" t="s">
        <v>3182</v>
      </c>
      <c r="L275" s="9" t="s">
        <v>3183</v>
      </c>
      <c r="M275" s="9" t="s">
        <v>645</v>
      </c>
      <c r="N275" s="9" t="s">
        <v>3726</v>
      </c>
      <c r="O275" s="9" t="s">
        <v>1563</v>
      </c>
      <c r="P275" s="9" t="s">
        <v>2363</v>
      </c>
      <c r="Q275" s="9" t="s">
        <v>83</v>
      </c>
      <c r="R275" s="9" t="s">
        <v>76</v>
      </c>
      <c r="S275" s="9" t="s">
        <v>2146</v>
      </c>
      <c r="T275" s="9" t="s">
        <v>2146</v>
      </c>
      <c r="U275" s="9" t="s">
        <v>2146</v>
      </c>
      <c r="V275" s="9" t="s">
        <v>93</v>
      </c>
      <c r="W275" s="9" t="s">
        <v>3598</v>
      </c>
      <c r="X275" s="9" t="s">
        <v>3184</v>
      </c>
      <c r="Y275" s="9"/>
      <c r="Z275" s="9"/>
      <c r="AA275" s="9" t="s">
        <v>3184</v>
      </c>
    </row>
    <row r="276" spans="1:27" x14ac:dyDescent="0.35">
      <c r="A276" s="4" t="str">
        <f>IF(Table5[[#This Row],[SM_Amount__c]]="25.0","FEE",IF(IF(Table5[[#This Row],[SM_Original_Type__c]]="",Table5[[#This Row],[SM_Type__c]],Table5[[#This Row],[SM_Original_Type__c]])="AC","AC","SUBS"))</f>
        <v>SUBS</v>
      </c>
      <c r="B276" s="27">
        <f>IF(INDEX(Contract[SM_AC_start_date__c],MATCH(Table5[[#This Row],[SM_Contract__c]],Contract[Id],0))=0,"",INDEX(Contract[SM_AC_start_date__c],MATCH(Table5[[#This Row],[SM_Contract__c]],Contract[Id],0)))</f>
        <v>46052</v>
      </c>
      <c r="C276" s="27" t="str">
        <f>IF(INDEX(Contract[SM_AC_Split_Date__c],MATCH(Table5[[#This Row],[SM_Contract__c]],Contract[Id],0))=0,"",INDEX(Contract[SM_AC_Split_Date__c],MATCH(Table5[[#This Row],[SM_Contract__c]],Contract[Id],0)))</f>
        <v/>
      </c>
      <c r="D276" s="27">
        <f>IF(INDEX(Contract[SM_Start_date__c],MATCH(Table5[[#This Row],[SM_Contract__c]],Contract[Id],0))=0,"",INDEX(Contract[SM_Start_date__c],MATCH(Table5[[#This Row],[SM_Contract__c]],Contract[Id],0)))</f>
        <v>46080</v>
      </c>
      <c r="E276" s="4">
        <f ca="1">(YEAR(TODAY())-YEAR(Table5[[#This Row],[RC DATE]]))*12 + MONTH(TODAY())-MONTH(Table5[[#This Row],[RC DATE]])</f>
        <v>5</v>
      </c>
      <c r="F27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276" s="19">
        <f>IF(Table5[[#This Row],[Payment_Status__c]]="ACCEPTED",1,"")</f>
        <v>1</v>
      </c>
      <c r="H27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76" s="19">
        <f ca="1">Table5[[#This Row],['# months]]-COUNTIFS(Table5[SM_Contract__c],Table5[[#This Row],[SM_Contract__c]],Table5[TYPE],"SUBS",Table5[ACCEPTED],1)</f>
        <v>2</v>
      </c>
      <c r="J276" s="19" t="b">
        <f>ISNUMBER(MATCH(Table5[[#This Row],[SM_Contract__c]],Contract[Id],0))</f>
        <v>1</v>
      </c>
      <c r="K276" s="9" t="s">
        <v>3185</v>
      </c>
      <c r="L276" s="9" t="s">
        <v>3186</v>
      </c>
      <c r="M276" s="9" t="s">
        <v>645</v>
      </c>
      <c r="N276" s="9" t="s">
        <v>3726</v>
      </c>
      <c r="O276" s="9" t="s">
        <v>1563</v>
      </c>
      <c r="P276" s="9" t="s">
        <v>2363</v>
      </c>
      <c r="Q276" s="9" t="s">
        <v>83</v>
      </c>
      <c r="R276" s="9" t="s">
        <v>76</v>
      </c>
      <c r="S276" s="9" t="s">
        <v>2146</v>
      </c>
      <c r="T276" s="9" t="s">
        <v>2146</v>
      </c>
      <c r="U276" s="9" t="s">
        <v>2146</v>
      </c>
      <c r="V276" s="9" t="s">
        <v>93</v>
      </c>
      <c r="W276" s="9" t="s">
        <v>3693</v>
      </c>
      <c r="X276" s="9" t="s">
        <v>3187</v>
      </c>
      <c r="Y276" s="9"/>
      <c r="Z276" s="9"/>
      <c r="AA276" s="9" t="s">
        <v>3187</v>
      </c>
    </row>
    <row r="277" spans="1:27" x14ac:dyDescent="0.35">
      <c r="A277" s="4" t="str">
        <f>IF(Table5[[#This Row],[SM_Amount__c]]="25.0","FEE",IF(IF(Table5[[#This Row],[SM_Original_Type__c]]="",Table5[[#This Row],[SM_Type__c]],Table5[[#This Row],[SM_Original_Type__c]])="AC","AC","SUBS"))</f>
        <v>AC</v>
      </c>
      <c r="B277" s="27">
        <f>IF(INDEX(Contract[SM_AC_start_date__c],MATCH(Table5[[#This Row],[SM_Contract__c]],Contract[Id],0))=0,"",INDEX(Contract[SM_AC_start_date__c],MATCH(Table5[[#This Row],[SM_Contract__c]],Contract[Id],0)))</f>
        <v>46009</v>
      </c>
      <c r="C277" s="27" t="str">
        <f>IF(INDEX(Contract[SM_AC_Split_Date__c],MATCH(Table5[[#This Row],[SM_Contract__c]],Contract[Id],0))=0,"",INDEX(Contract[SM_AC_Split_Date__c],MATCH(Table5[[#This Row],[SM_Contract__c]],Contract[Id],0)))</f>
        <v/>
      </c>
      <c r="D277" s="27">
        <f>IF(INDEX(Contract[SM_Start_date__c],MATCH(Table5[[#This Row],[SM_Contract__c]],Contract[Id],0))=0,"",INDEX(Contract[SM_Start_date__c],MATCH(Table5[[#This Row],[SM_Contract__c]],Contract[Id],0)))</f>
        <v>46040</v>
      </c>
      <c r="E277" s="4">
        <f ca="1">(YEAR(TODAY())-YEAR(Table5[[#This Row],[RC DATE]]))*12 + MONTH(TODAY())-MONTH(Table5[[#This Row],[RC DATE]])</f>
        <v>6</v>
      </c>
      <c r="F27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77" s="19">
        <f>IF(Table5[[#This Row],[Payment_Status__c]]="ACCEPTED",1,"")</f>
        <v>1</v>
      </c>
      <c r="H277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77" s="19">
        <f ca="1">Table5[[#This Row],['# months]]-COUNTIFS(Table5[SM_Contract__c],Table5[[#This Row],[SM_Contract__c]],Table5[TYPE],"SUBS",Table5[ACCEPTED],1)</f>
        <v>0</v>
      </c>
      <c r="J277" s="19" t="b">
        <f>ISNUMBER(MATCH(Table5[[#This Row],[SM_Contract__c]],Contract[Id],0))</f>
        <v>1</v>
      </c>
      <c r="K277" s="9" t="s">
        <v>3188</v>
      </c>
      <c r="L277" s="9" t="s">
        <v>3189</v>
      </c>
      <c r="M277" s="9" t="s">
        <v>651</v>
      </c>
      <c r="N277" s="9" t="s">
        <v>3727</v>
      </c>
      <c r="O277" s="9" t="s">
        <v>1563</v>
      </c>
      <c r="P277" s="9" t="s">
        <v>2363</v>
      </c>
      <c r="Q277" s="9" t="s">
        <v>77</v>
      </c>
      <c r="R277" s="9" t="s">
        <v>77</v>
      </c>
      <c r="S277" s="9" t="s">
        <v>2078</v>
      </c>
      <c r="T277" s="9" t="s">
        <v>2078</v>
      </c>
      <c r="U277" s="9" t="s">
        <v>2078</v>
      </c>
      <c r="V277" s="9" t="s">
        <v>93</v>
      </c>
      <c r="W277" s="9" t="s">
        <v>3649</v>
      </c>
      <c r="X277" s="9" t="s">
        <v>3190</v>
      </c>
      <c r="Y277" s="9"/>
      <c r="Z277" s="9"/>
      <c r="AA277" s="9" t="s">
        <v>3190</v>
      </c>
    </row>
    <row r="278" spans="1:27" x14ac:dyDescent="0.35">
      <c r="A278" s="4" t="str">
        <f>IF(Table5[[#This Row],[SM_Amount__c]]="25.0","FEE",IF(IF(Table5[[#This Row],[SM_Original_Type__c]]="",Table5[[#This Row],[SM_Type__c]],Table5[[#This Row],[SM_Original_Type__c]])="AC","AC","SUBS"))</f>
        <v>SUBS</v>
      </c>
      <c r="B278" s="27">
        <f>IF(INDEX(Contract[SM_AC_start_date__c],MATCH(Table5[[#This Row],[SM_Contract__c]],Contract[Id],0))=0,"",INDEX(Contract[SM_AC_start_date__c],MATCH(Table5[[#This Row],[SM_Contract__c]],Contract[Id],0)))</f>
        <v>46009</v>
      </c>
      <c r="C278" s="27" t="str">
        <f>IF(INDEX(Contract[SM_AC_Split_Date__c],MATCH(Table5[[#This Row],[SM_Contract__c]],Contract[Id],0))=0,"",INDEX(Contract[SM_AC_Split_Date__c],MATCH(Table5[[#This Row],[SM_Contract__c]],Contract[Id],0)))</f>
        <v/>
      </c>
      <c r="D278" s="27">
        <f>IF(INDEX(Contract[SM_Start_date__c],MATCH(Table5[[#This Row],[SM_Contract__c]],Contract[Id],0))=0,"",INDEX(Contract[SM_Start_date__c],MATCH(Table5[[#This Row],[SM_Contract__c]],Contract[Id],0)))</f>
        <v>46040</v>
      </c>
      <c r="E278" s="4">
        <f ca="1">(YEAR(TODAY())-YEAR(Table5[[#This Row],[RC DATE]]))*12 + MONTH(TODAY())-MONTH(Table5[[#This Row],[RC DATE]])</f>
        <v>6</v>
      </c>
      <c r="F27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78" s="19">
        <f>IF(Table5[[#This Row],[Payment_Status__c]]="ACCEPTED",1,"")</f>
        <v>1</v>
      </c>
      <c r="H278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78" s="19">
        <f ca="1">Table5[[#This Row],['# months]]-COUNTIFS(Table5[SM_Contract__c],Table5[[#This Row],[SM_Contract__c]],Table5[TYPE],"SUBS",Table5[ACCEPTED],1)</f>
        <v>0</v>
      </c>
      <c r="J278" s="19" t="b">
        <f>ISNUMBER(MATCH(Table5[[#This Row],[SM_Contract__c]],Contract[Id],0))</f>
        <v>1</v>
      </c>
      <c r="K278" s="9" t="s">
        <v>3191</v>
      </c>
      <c r="L278" s="9" t="s">
        <v>3192</v>
      </c>
      <c r="M278" s="9" t="s">
        <v>651</v>
      </c>
      <c r="N278" s="9" t="s">
        <v>3727</v>
      </c>
      <c r="O278" s="9" t="s">
        <v>1563</v>
      </c>
      <c r="P278" s="9" t="s">
        <v>2363</v>
      </c>
      <c r="Q278" s="9" t="s">
        <v>83</v>
      </c>
      <c r="R278" s="9" t="s">
        <v>76</v>
      </c>
      <c r="S278" s="9" t="s">
        <v>91</v>
      </c>
      <c r="T278" s="9" t="s">
        <v>91</v>
      </c>
      <c r="U278" s="9" t="s">
        <v>91</v>
      </c>
      <c r="V278" s="9" t="s">
        <v>93</v>
      </c>
      <c r="W278" s="9" t="s">
        <v>3615</v>
      </c>
      <c r="X278" s="9" t="s">
        <v>3193</v>
      </c>
      <c r="Y278" s="9"/>
      <c r="Z278" s="9"/>
      <c r="AA278" s="9" t="s">
        <v>3193</v>
      </c>
    </row>
    <row r="279" spans="1:27" x14ac:dyDescent="0.35">
      <c r="A279" s="4" t="str">
        <f>IF(Table5[[#This Row],[SM_Amount__c]]="25.0","FEE",IF(IF(Table5[[#This Row],[SM_Original_Type__c]]="",Table5[[#This Row],[SM_Type__c]],Table5[[#This Row],[SM_Original_Type__c]])="AC","AC","SUBS"))</f>
        <v>SUBS</v>
      </c>
      <c r="B279" s="27">
        <f>IF(INDEX(Contract[SM_AC_start_date__c],MATCH(Table5[[#This Row],[SM_Contract__c]],Contract[Id],0))=0,"",INDEX(Contract[SM_AC_start_date__c],MATCH(Table5[[#This Row],[SM_Contract__c]],Contract[Id],0)))</f>
        <v>46009</v>
      </c>
      <c r="C279" s="27" t="str">
        <f>IF(INDEX(Contract[SM_AC_Split_Date__c],MATCH(Table5[[#This Row],[SM_Contract__c]],Contract[Id],0))=0,"",INDEX(Contract[SM_AC_Split_Date__c],MATCH(Table5[[#This Row],[SM_Contract__c]],Contract[Id],0)))</f>
        <v/>
      </c>
      <c r="D279" s="27">
        <f>IF(INDEX(Contract[SM_Start_date__c],MATCH(Table5[[#This Row],[SM_Contract__c]],Contract[Id],0))=0,"",INDEX(Contract[SM_Start_date__c],MATCH(Table5[[#This Row],[SM_Contract__c]],Contract[Id],0)))</f>
        <v>46040</v>
      </c>
      <c r="E279" s="4">
        <f ca="1">(YEAR(TODAY())-YEAR(Table5[[#This Row],[RC DATE]]))*12 + MONTH(TODAY())-MONTH(Table5[[#This Row],[RC DATE]])</f>
        <v>6</v>
      </c>
      <c r="F27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79" s="19">
        <f>IF(Table5[[#This Row],[Payment_Status__c]]="ACCEPTED",1,"")</f>
        <v>1</v>
      </c>
      <c r="H279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79" s="19">
        <f ca="1">Table5[[#This Row],['# months]]-COUNTIFS(Table5[SM_Contract__c],Table5[[#This Row],[SM_Contract__c]],Table5[TYPE],"SUBS",Table5[ACCEPTED],1)</f>
        <v>0</v>
      </c>
      <c r="J279" s="19" t="b">
        <f>ISNUMBER(MATCH(Table5[[#This Row],[SM_Contract__c]],Contract[Id],0))</f>
        <v>1</v>
      </c>
      <c r="K279" s="9" t="s">
        <v>3194</v>
      </c>
      <c r="L279" s="9" t="s">
        <v>3195</v>
      </c>
      <c r="M279" s="9" t="s">
        <v>651</v>
      </c>
      <c r="N279" s="9" t="s">
        <v>3727</v>
      </c>
      <c r="O279" s="9" t="s">
        <v>1563</v>
      </c>
      <c r="P279" s="9" t="s">
        <v>2363</v>
      </c>
      <c r="Q279" s="9" t="s">
        <v>83</v>
      </c>
      <c r="R279" s="9" t="s">
        <v>76</v>
      </c>
      <c r="S279" s="9" t="s">
        <v>91</v>
      </c>
      <c r="T279" s="9" t="s">
        <v>91</v>
      </c>
      <c r="U279" s="9" t="s">
        <v>91</v>
      </c>
      <c r="V279" s="9" t="s">
        <v>93</v>
      </c>
      <c r="W279" s="9" t="s">
        <v>3700</v>
      </c>
      <c r="X279" s="9" t="s">
        <v>3196</v>
      </c>
      <c r="Y279" s="9"/>
      <c r="Z279" s="9"/>
      <c r="AA279" s="9" t="s">
        <v>3196</v>
      </c>
    </row>
    <row r="280" spans="1:27" x14ac:dyDescent="0.35">
      <c r="A280" s="4" t="str">
        <f>IF(Table5[[#This Row],[SM_Amount__c]]="25.0","FEE",IF(IF(Table5[[#This Row],[SM_Original_Type__c]]="",Table5[[#This Row],[SM_Type__c]],Table5[[#This Row],[SM_Original_Type__c]])="AC","AC","SUBS"))</f>
        <v>SUBS</v>
      </c>
      <c r="B280" s="27">
        <f>IF(INDEX(Contract[SM_AC_start_date__c],MATCH(Table5[[#This Row],[SM_Contract__c]],Contract[Id],0))=0,"",INDEX(Contract[SM_AC_start_date__c],MATCH(Table5[[#This Row],[SM_Contract__c]],Contract[Id],0)))</f>
        <v>46009</v>
      </c>
      <c r="C280" s="27" t="str">
        <f>IF(INDEX(Contract[SM_AC_Split_Date__c],MATCH(Table5[[#This Row],[SM_Contract__c]],Contract[Id],0))=0,"",INDEX(Contract[SM_AC_Split_Date__c],MATCH(Table5[[#This Row],[SM_Contract__c]],Contract[Id],0)))</f>
        <v/>
      </c>
      <c r="D280" s="27">
        <f>IF(INDEX(Contract[SM_Start_date__c],MATCH(Table5[[#This Row],[SM_Contract__c]],Contract[Id],0))=0,"",INDEX(Contract[SM_Start_date__c],MATCH(Table5[[#This Row],[SM_Contract__c]],Contract[Id],0)))</f>
        <v>46040</v>
      </c>
      <c r="E280" s="4">
        <f ca="1">(YEAR(TODAY())-YEAR(Table5[[#This Row],[RC DATE]]))*12 + MONTH(TODAY())-MONTH(Table5[[#This Row],[RC DATE]])</f>
        <v>6</v>
      </c>
      <c r="F28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80" s="19">
        <f>IF(Table5[[#This Row],[Payment_Status__c]]="ACCEPTED",1,"")</f>
        <v>1</v>
      </c>
      <c r="H280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80" s="19">
        <f ca="1">Table5[[#This Row],['# months]]-COUNTIFS(Table5[SM_Contract__c],Table5[[#This Row],[SM_Contract__c]],Table5[TYPE],"SUBS",Table5[ACCEPTED],1)</f>
        <v>0</v>
      </c>
      <c r="J280" s="19" t="b">
        <f>ISNUMBER(MATCH(Table5[[#This Row],[SM_Contract__c]],Contract[Id],0))</f>
        <v>1</v>
      </c>
      <c r="K280" s="9" t="s">
        <v>3197</v>
      </c>
      <c r="L280" s="9" t="s">
        <v>3198</v>
      </c>
      <c r="M280" s="9" t="s">
        <v>651</v>
      </c>
      <c r="N280" s="9" t="s">
        <v>3727</v>
      </c>
      <c r="O280" s="9" t="s">
        <v>1563</v>
      </c>
      <c r="P280" s="9" t="s">
        <v>2363</v>
      </c>
      <c r="Q280" s="9" t="s">
        <v>83</v>
      </c>
      <c r="R280" s="9" t="s">
        <v>76</v>
      </c>
      <c r="S280" s="9" t="s">
        <v>91</v>
      </c>
      <c r="T280" s="9" t="s">
        <v>91</v>
      </c>
      <c r="U280" s="9" t="s">
        <v>91</v>
      </c>
      <c r="V280" s="9" t="s">
        <v>93</v>
      </c>
      <c r="W280" s="9" t="s">
        <v>3681</v>
      </c>
      <c r="X280" s="9" t="s">
        <v>3199</v>
      </c>
      <c r="Y280" s="9"/>
      <c r="Z280" s="9"/>
      <c r="AA280" s="9" t="s">
        <v>3199</v>
      </c>
    </row>
    <row r="281" spans="1:27" x14ac:dyDescent="0.35">
      <c r="A281" s="4" t="str">
        <f>IF(Table5[[#This Row],[SM_Amount__c]]="25.0","FEE",IF(IF(Table5[[#This Row],[SM_Original_Type__c]]="",Table5[[#This Row],[SM_Type__c]],Table5[[#This Row],[SM_Original_Type__c]])="AC","AC","SUBS"))</f>
        <v>SUBS</v>
      </c>
      <c r="B281" s="27">
        <f>IF(INDEX(Contract[SM_AC_start_date__c],MATCH(Table5[[#This Row],[SM_Contract__c]],Contract[Id],0))=0,"",INDEX(Contract[SM_AC_start_date__c],MATCH(Table5[[#This Row],[SM_Contract__c]],Contract[Id],0)))</f>
        <v>46009</v>
      </c>
      <c r="C281" s="27" t="str">
        <f>IF(INDEX(Contract[SM_AC_Split_Date__c],MATCH(Table5[[#This Row],[SM_Contract__c]],Contract[Id],0))=0,"",INDEX(Contract[SM_AC_Split_Date__c],MATCH(Table5[[#This Row],[SM_Contract__c]],Contract[Id],0)))</f>
        <v/>
      </c>
      <c r="D281" s="27">
        <f>IF(INDEX(Contract[SM_Start_date__c],MATCH(Table5[[#This Row],[SM_Contract__c]],Contract[Id],0))=0,"",INDEX(Contract[SM_Start_date__c],MATCH(Table5[[#This Row],[SM_Contract__c]],Contract[Id],0)))</f>
        <v>46040</v>
      </c>
      <c r="E281" s="4">
        <f ca="1">(YEAR(TODAY())-YEAR(Table5[[#This Row],[RC DATE]]))*12 + MONTH(TODAY())-MONTH(Table5[[#This Row],[RC DATE]])</f>
        <v>6</v>
      </c>
      <c r="F28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81" s="19">
        <f>IF(Table5[[#This Row],[Payment_Status__c]]="ACCEPTED",1,"")</f>
        <v>1</v>
      </c>
      <c r="H281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81" s="19">
        <f ca="1">Table5[[#This Row],['# months]]-COUNTIFS(Table5[SM_Contract__c],Table5[[#This Row],[SM_Contract__c]],Table5[TYPE],"SUBS",Table5[ACCEPTED],1)</f>
        <v>0</v>
      </c>
      <c r="J281" s="19" t="b">
        <f>ISNUMBER(MATCH(Table5[[#This Row],[SM_Contract__c]],Contract[Id],0))</f>
        <v>1</v>
      </c>
      <c r="K281" s="9" t="s">
        <v>3200</v>
      </c>
      <c r="L281" s="9" t="s">
        <v>3201</v>
      </c>
      <c r="M281" s="9" t="s">
        <v>651</v>
      </c>
      <c r="N281" s="9" t="s">
        <v>3727</v>
      </c>
      <c r="O281" s="9" t="s">
        <v>1563</v>
      </c>
      <c r="P281" s="9" t="s">
        <v>2363</v>
      </c>
      <c r="Q281" s="9" t="s">
        <v>83</v>
      </c>
      <c r="R281" s="9" t="s">
        <v>76</v>
      </c>
      <c r="S281" s="9" t="s">
        <v>91</v>
      </c>
      <c r="T281" s="9" t="s">
        <v>91</v>
      </c>
      <c r="U281" s="9" t="s">
        <v>91</v>
      </c>
      <c r="V281" s="9" t="s">
        <v>93</v>
      </c>
      <c r="W281" s="9" t="s">
        <v>3650</v>
      </c>
      <c r="X281" s="9" t="s">
        <v>3202</v>
      </c>
      <c r="Y281" s="9"/>
      <c r="Z281" s="9"/>
      <c r="AA281" s="9" t="s">
        <v>3202</v>
      </c>
    </row>
    <row r="282" spans="1:27" x14ac:dyDescent="0.35">
      <c r="A282" s="4" t="str">
        <f>IF(Table5[[#This Row],[SM_Amount__c]]="25.0","FEE",IF(IF(Table5[[#This Row],[SM_Original_Type__c]]="",Table5[[#This Row],[SM_Type__c]],Table5[[#This Row],[SM_Original_Type__c]])="AC","AC","SUBS"))</f>
        <v>SUBS</v>
      </c>
      <c r="B282" s="27">
        <f>IF(INDEX(Contract[SM_AC_start_date__c],MATCH(Table5[[#This Row],[SM_Contract__c]],Contract[Id],0))=0,"",INDEX(Contract[SM_AC_start_date__c],MATCH(Table5[[#This Row],[SM_Contract__c]],Contract[Id],0)))</f>
        <v>46009</v>
      </c>
      <c r="C282" s="27" t="str">
        <f>IF(INDEX(Contract[SM_AC_Split_Date__c],MATCH(Table5[[#This Row],[SM_Contract__c]],Contract[Id],0))=0,"",INDEX(Contract[SM_AC_Split_Date__c],MATCH(Table5[[#This Row],[SM_Contract__c]],Contract[Id],0)))</f>
        <v/>
      </c>
      <c r="D282" s="27">
        <f>IF(INDEX(Contract[SM_Start_date__c],MATCH(Table5[[#This Row],[SM_Contract__c]],Contract[Id],0))=0,"",INDEX(Contract[SM_Start_date__c],MATCH(Table5[[#This Row],[SM_Contract__c]],Contract[Id],0)))</f>
        <v>46040</v>
      </c>
      <c r="E282" s="4">
        <f ca="1">(YEAR(TODAY())-YEAR(Table5[[#This Row],[RC DATE]]))*12 + MONTH(TODAY())-MONTH(Table5[[#This Row],[RC DATE]])</f>
        <v>6</v>
      </c>
      <c r="F28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82" s="19">
        <f>IF(Table5[[#This Row],[Payment_Status__c]]="ACCEPTED",1,"")</f>
        <v>1</v>
      </c>
      <c r="H282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82" s="19">
        <f ca="1">Table5[[#This Row],['# months]]-COUNTIFS(Table5[SM_Contract__c],Table5[[#This Row],[SM_Contract__c]],Table5[TYPE],"SUBS",Table5[ACCEPTED],1)</f>
        <v>0</v>
      </c>
      <c r="J282" s="19" t="b">
        <f>ISNUMBER(MATCH(Table5[[#This Row],[SM_Contract__c]],Contract[Id],0))</f>
        <v>1</v>
      </c>
      <c r="K282" s="9" t="s">
        <v>3203</v>
      </c>
      <c r="L282" s="9" t="s">
        <v>3204</v>
      </c>
      <c r="M282" s="9" t="s">
        <v>651</v>
      </c>
      <c r="N282" s="9" t="s">
        <v>3727</v>
      </c>
      <c r="O282" s="9" t="s">
        <v>1563</v>
      </c>
      <c r="P282" s="9" t="s">
        <v>2363</v>
      </c>
      <c r="Q282" s="9" t="s">
        <v>71</v>
      </c>
      <c r="R282" s="9" t="s">
        <v>83</v>
      </c>
      <c r="S282" s="9" t="s">
        <v>2087</v>
      </c>
      <c r="T282" s="9" t="s">
        <v>2087</v>
      </c>
      <c r="U282" s="9" t="s">
        <v>91</v>
      </c>
      <c r="V282" s="9" t="s">
        <v>148</v>
      </c>
      <c r="W282" s="9" t="s">
        <v>3640</v>
      </c>
      <c r="X282" s="9" t="s">
        <v>3205</v>
      </c>
      <c r="Y282" s="9"/>
      <c r="Z282" s="9" t="s">
        <v>1173</v>
      </c>
      <c r="AA282" s="9" t="s">
        <v>3205</v>
      </c>
    </row>
    <row r="283" spans="1:27" x14ac:dyDescent="0.35">
      <c r="A283" s="4" t="str">
        <f>IF(Table5[[#This Row],[SM_Amount__c]]="25.0","FEE",IF(IF(Table5[[#This Row],[SM_Original_Type__c]]="",Table5[[#This Row],[SM_Type__c]],Table5[[#This Row],[SM_Original_Type__c]])="AC","AC","SUBS"))</f>
        <v>SUBS</v>
      </c>
      <c r="B283" s="27">
        <f>IF(INDEX(Contract[SM_AC_start_date__c],MATCH(Table5[[#This Row],[SM_Contract__c]],Contract[Id],0))=0,"",INDEX(Contract[SM_AC_start_date__c],MATCH(Table5[[#This Row],[SM_Contract__c]],Contract[Id],0)))</f>
        <v>46009</v>
      </c>
      <c r="C283" s="27" t="str">
        <f>IF(INDEX(Contract[SM_AC_Split_Date__c],MATCH(Table5[[#This Row],[SM_Contract__c]],Contract[Id],0))=0,"",INDEX(Contract[SM_AC_Split_Date__c],MATCH(Table5[[#This Row],[SM_Contract__c]],Contract[Id],0)))</f>
        <v/>
      </c>
      <c r="D283" s="27">
        <f>IF(INDEX(Contract[SM_Start_date__c],MATCH(Table5[[#This Row],[SM_Contract__c]],Contract[Id],0))=0,"",INDEX(Contract[SM_Start_date__c],MATCH(Table5[[#This Row],[SM_Contract__c]],Contract[Id],0)))</f>
        <v>46040</v>
      </c>
      <c r="E283" s="4">
        <f ca="1">(YEAR(TODAY())-YEAR(Table5[[#This Row],[RC DATE]]))*12 + MONTH(TODAY())-MONTH(Table5[[#This Row],[RC DATE]])</f>
        <v>6</v>
      </c>
      <c r="F28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46221</v>
      </c>
      <c r="G283" s="19">
        <f>IF(Table5[[#This Row],[Payment_Status__c]]="ACCEPTED",1,"")</f>
        <v>1</v>
      </c>
      <c r="H283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283" s="19">
        <f ca="1">Table5[[#This Row],['# months]]-COUNTIFS(Table5[SM_Contract__c],Table5[[#This Row],[SM_Contract__c]],Table5[TYPE],"SUBS",Table5[ACCEPTED],1)</f>
        <v>0</v>
      </c>
      <c r="J283" s="19" t="b">
        <f>ISNUMBER(MATCH(Table5[[#This Row],[SM_Contract__c]],Contract[Id],0))</f>
        <v>1</v>
      </c>
      <c r="K283" s="9" t="s">
        <v>3206</v>
      </c>
      <c r="L283" s="9" t="s">
        <v>3207</v>
      </c>
      <c r="M283" s="9" t="s">
        <v>651</v>
      </c>
      <c r="N283" s="9" t="s">
        <v>3727</v>
      </c>
      <c r="O283" s="9" t="s">
        <v>1563</v>
      </c>
      <c r="P283" s="9" t="s">
        <v>2363</v>
      </c>
      <c r="Q283" s="9" t="s">
        <v>83</v>
      </c>
      <c r="R283" s="9" t="s">
        <v>76</v>
      </c>
      <c r="S283" s="9" t="s">
        <v>91</v>
      </c>
      <c r="T283" s="9" t="s">
        <v>91</v>
      </c>
      <c r="U283" s="9" t="s">
        <v>91</v>
      </c>
      <c r="V283" s="9" t="s">
        <v>93</v>
      </c>
      <c r="W283" s="9" t="s">
        <v>3588</v>
      </c>
      <c r="X283" s="9" t="s">
        <v>3208</v>
      </c>
      <c r="Y283" s="9"/>
      <c r="Z283" s="9"/>
      <c r="AA283" s="9" t="s">
        <v>3208</v>
      </c>
    </row>
    <row r="284" spans="1:27" x14ac:dyDescent="0.35">
      <c r="A284" s="4" t="str">
        <f>IF(Table5[[#This Row],[SM_Amount__c]]="25.0","FEE",IF(IF(Table5[[#This Row],[SM_Original_Type__c]]="",Table5[[#This Row],[SM_Type__c]],Table5[[#This Row],[SM_Original_Type__c]])="AC","AC","SUBS"))</f>
        <v>FEE</v>
      </c>
      <c r="B284" s="27">
        <f>IF(INDEX(Contract[SM_AC_start_date__c],MATCH(Table5[[#This Row],[SM_Contract__c]],Contract[Id],0))=0,"",INDEX(Contract[SM_AC_start_date__c],MATCH(Table5[[#This Row],[SM_Contract__c]],Contract[Id],0)))</f>
        <v>46021</v>
      </c>
      <c r="C284" s="27" t="str">
        <f>IF(INDEX(Contract[SM_AC_Split_Date__c],MATCH(Table5[[#This Row],[SM_Contract__c]],Contract[Id],0))=0,"",INDEX(Contract[SM_AC_Split_Date__c],MATCH(Table5[[#This Row],[SM_Contract__c]],Contract[Id],0)))</f>
        <v/>
      </c>
      <c r="D284" s="27">
        <f>IF(INDEX(Contract[SM_Start_date__c],MATCH(Table5[[#This Row],[SM_Contract__c]],Contract[Id],0))=0,"",INDEX(Contract[SM_Start_date__c],MATCH(Table5[[#This Row],[SM_Contract__c]],Contract[Id],0)))</f>
        <v>46031</v>
      </c>
      <c r="E284" s="4">
        <f ca="1">(YEAR(TODAY())-YEAR(Table5[[#This Row],[RC DATE]]))*12 + MONTH(TODAY())-MONTH(Table5[[#This Row],[RC DATE]])</f>
        <v>6</v>
      </c>
      <c r="F28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4" s="19">
        <f>IF(Table5[[#This Row],[Payment_Status__c]]="ACCEPTED",1,"")</f>
        <v>1</v>
      </c>
      <c r="H28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4" s="19">
        <f ca="1">Table5[[#This Row],['# months]]-COUNTIFS(Table5[SM_Contract__c],Table5[[#This Row],[SM_Contract__c]],Table5[TYPE],"SUBS",Table5[ACCEPTED],1)</f>
        <v>1</v>
      </c>
      <c r="J284" s="19" t="b">
        <f>ISNUMBER(MATCH(Table5[[#This Row],[SM_Contract__c]],Contract[Id],0))</f>
        <v>1</v>
      </c>
      <c r="K284" s="9" t="s">
        <v>3209</v>
      </c>
      <c r="L284" s="9" t="s">
        <v>3210</v>
      </c>
      <c r="M284" s="9" t="s">
        <v>695</v>
      </c>
      <c r="N284" s="9" t="s">
        <v>3728</v>
      </c>
      <c r="O284" s="9" t="s">
        <v>1563</v>
      </c>
      <c r="P284" s="9" t="s">
        <v>2363</v>
      </c>
      <c r="Q284" s="9" t="s">
        <v>77</v>
      </c>
      <c r="R284" s="9" t="s">
        <v>77</v>
      </c>
      <c r="S284" s="9" t="s">
        <v>148</v>
      </c>
      <c r="T284" s="9" t="s">
        <v>148</v>
      </c>
      <c r="U284" s="9" t="s">
        <v>148</v>
      </c>
      <c r="V284" s="9" t="s">
        <v>93</v>
      </c>
      <c r="W284" s="9" t="s">
        <v>3619</v>
      </c>
      <c r="X284" s="9" t="s">
        <v>3211</v>
      </c>
      <c r="Y284" s="9"/>
      <c r="Z284" s="9"/>
      <c r="AA284" s="9" t="s">
        <v>3211</v>
      </c>
    </row>
    <row r="285" spans="1:27" x14ac:dyDescent="0.35">
      <c r="A285" s="4" t="str">
        <f>IF(Table5[[#This Row],[SM_Amount__c]]="25.0","FEE",IF(IF(Table5[[#This Row],[SM_Original_Type__c]]="",Table5[[#This Row],[SM_Type__c]],Table5[[#This Row],[SM_Original_Type__c]])="AC","AC","SUBS"))</f>
        <v>SUBS</v>
      </c>
      <c r="B285" s="27">
        <f>IF(INDEX(Contract[SM_AC_start_date__c],MATCH(Table5[[#This Row],[SM_Contract__c]],Contract[Id],0))=0,"",INDEX(Contract[SM_AC_start_date__c],MATCH(Table5[[#This Row],[SM_Contract__c]],Contract[Id],0)))</f>
        <v>46021</v>
      </c>
      <c r="C285" s="27" t="str">
        <f>IF(INDEX(Contract[SM_AC_Split_Date__c],MATCH(Table5[[#This Row],[SM_Contract__c]],Contract[Id],0))=0,"",INDEX(Contract[SM_AC_Split_Date__c],MATCH(Table5[[#This Row],[SM_Contract__c]],Contract[Id],0)))</f>
        <v/>
      </c>
      <c r="D285" s="27">
        <f>IF(INDEX(Contract[SM_Start_date__c],MATCH(Table5[[#This Row],[SM_Contract__c]],Contract[Id],0))=0,"",INDEX(Contract[SM_Start_date__c],MATCH(Table5[[#This Row],[SM_Contract__c]],Contract[Id],0)))</f>
        <v>46031</v>
      </c>
      <c r="E285" s="4">
        <f ca="1">(YEAR(TODAY())-YEAR(Table5[[#This Row],[RC DATE]]))*12 + MONTH(TODAY())-MONTH(Table5[[#This Row],[RC DATE]])</f>
        <v>6</v>
      </c>
      <c r="F28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5" s="19">
        <f>IF(Table5[[#This Row],[Payment_Status__c]]="ACCEPTED",1,"")</f>
        <v>1</v>
      </c>
      <c r="H28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5" s="19">
        <f ca="1">Table5[[#This Row],['# months]]-COUNTIFS(Table5[SM_Contract__c],Table5[[#This Row],[SM_Contract__c]],Table5[TYPE],"SUBS",Table5[ACCEPTED],1)</f>
        <v>1</v>
      </c>
      <c r="J285" s="19" t="b">
        <f>ISNUMBER(MATCH(Table5[[#This Row],[SM_Contract__c]],Contract[Id],0))</f>
        <v>1</v>
      </c>
      <c r="K285" s="9" t="s">
        <v>3212</v>
      </c>
      <c r="L285" s="9" t="s">
        <v>3213</v>
      </c>
      <c r="M285" s="9" t="s">
        <v>695</v>
      </c>
      <c r="N285" s="9" t="s">
        <v>3728</v>
      </c>
      <c r="O285" s="9" t="s">
        <v>1563</v>
      </c>
      <c r="P285" s="9" t="s">
        <v>2363</v>
      </c>
      <c r="Q285" s="9" t="s">
        <v>83</v>
      </c>
      <c r="R285" s="9" t="s">
        <v>76</v>
      </c>
      <c r="S285" s="9" t="s">
        <v>167</v>
      </c>
      <c r="T285" s="9" t="s">
        <v>167</v>
      </c>
      <c r="U285" s="9" t="s">
        <v>167</v>
      </c>
      <c r="V285" s="9" t="s">
        <v>93</v>
      </c>
      <c r="W285" s="9" t="s">
        <v>3683</v>
      </c>
      <c r="X285" s="9" t="s">
        <v>3214</v>
      </c>
      <c r="Y285" s="9"/>
      <c r="Z285" s="9"/>
      <c r="AA285" s="9" t="s">
        <v>3214</v>
      </c>
    </row>
    <row r="286" spans="1:27" x14ac:dyDescent="0.35">
      <c r="A286" s="4" t="str">
        <f>IF(Table5[[#This Row],[SM_Amount__c]]="25.0","FEE",IF(IF(Table5[[#This Row],[SM_Original_Type__c]]="",Table5[[#This Row],[SM_Type__c]],Table5[[#This Row],[SM_Original_Type__c]])="AC","AC","SUBS"))</f>
        <v>SUBS</v>
      </c>
      <c r="B286" s="27">
        <f>IF(INDEX(Contract[SM_AC_start_date__c],MATCH(Table5[[#This Row],[SM_Contract__c]],Contract[Id],0))=0,"",INDEX(Contract[SM_AC_start_date__c],MATCH(Table5[[#This Row],[SM_Contract__c]],Contract[Id],0)))</f>
        <v>46021</v>
      </c>
      <c r="C286" s="27" t="str">
        <f>IF(INDEX(Contract[SM_AC_Split_Date__c],MATCH(Table5[[#This Row],[SM_Contract__c]],Contract[Id],0))=0,"",INDEX(Contract[SM_AC_Split_Date__c],MATCH(Table5[[#This Row],[SM_Contract__c]],Contract[Id],0)))</f>
        <v/>
      </c>
      <c r="D286" s="27">
        <f>IF(INDEX(Contract[SM_Start_date__c],MATCH(Table5[[#This Row],[SM_Contract__c]],Contract[Id],0))=0,"",INDEX(Contract[SM_Start_date__c],MATCH(Table5[[#This Row],[SM_Contract__c]],Contract[Id],0)))</f>
        <v>46031</v>
      </c>
      <c r="E286" s="4">
        <f ca="1">(YEAR(TODAY())-YEAR(Table5[[#This Row],[RC DATE]]))*12 + MONTH(TODAY())-MONTH(Table5[[#This Row],[RC DATE]])</f>
        <v>6</v>
      </c>
      <c r="F28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6" s="19">
        <f>IF(Table5[[#This Row],[Payment_Status__c]]="ACCEPTED",1,"")</f>
        <v>1</v>
      </c>
      <c r="H28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6" s="19">
        <f ca="1">Table5[[#This Row],['# months]]-COUNTIFS(Table5[SM_Contract__c],Table5[[#This Row],[SM_Contract__c]],Table5[TYPE],"SUBS",Table5[ACCEPTED],1)</f>
        <v>1</v>
      </c>
      <c r="J286" s="19" t="b">
        <f>ISNUMBER(MATCH(Table5[[#This Row],[SM_Contract__c]],Contract[Id],0))</f>
        <v>1</v>
      </c>
      <c r="K286" s="9" t="s">
        <v>3215</v>
      </c>
      <c r="L286" s="9" t="s">
        <v>3216</v>
      </c>
      <c r="M286" s="9" t="s">
        <v>695</v>
      </c>
      <c r="N286" s="9" t="s">
        <v>3728</v>
      </c>
      <c r="O286" s="9" t="s">
        <v>1563</v>
      </c>
      <c r="P286" s="9" t="s">
        <v>2363</v>
      </c>
      <c r="Q286" s="9" t="s">
        <v>83</v>
      </c>
      <c r="R286" s="9" t="s">
        <v>76</v>
      </c>
      <c r="S286" s="9" t="s">
        <v>167</v>
      </c>
      <c r="T286" s="9" t="s">
        <v>167</v>
      </c>
      <c r="U286" s="9" t="s">
        <v>167</v>
      </c>
      <c r="V286" s="9" t="s">
        <v>93</v>
      </c>
      <c r="W286" s="9" t="s">
        <v>3661</v>
      </c>
      <c r="X286" s="9" t="s">
        <v>3217</v>
      </c>
      <c r="Y286" s="9"/>
      <c r="Z286" s="9"/>
      <c r="AA286" s="9" t="s">
        <v>3217</v>
      </c>
    </row>
    <row r="287" spans="1:27" x14ac:dyDescent="0.35">
      <c r="A287" s="4" t="str">
        <f>IF(Table5[[#This Row],[SM_Amount__c]]="25.0","FEE",IF(IF(Table5[[#This Row],[SM_Original_Type__c]]="",Table5[[#This Row],[SM_Type__c]],Table5[[#This Row],[SM_Original_Type__c]])="AC","AC","SUBS"))</f>
        <v>SUBS</v>
      </c>
      <c r="B287" s="27">
        <f>IF(INDEX(Contract[SM_AC_start_date__c],MATCH(Table5[[#This Row],[SM_Contract__c]],Contract[Id],0))=0,"",INDEX(Contract[SM_AC_start_date__c],MATCH(Table5[[#This Row],[SM_Contract__c]],Contract[Id],0)))</f>
        <v>46021</v>
      </c>
      <c r="C287" s="27" t="str">
        <f>IF(INDEX(Contract[SM_AC_Split_Date__c],MATCH(Table5[[#This Row],[SM_Contract__c]],Contract[Id],0))=0,"",INDEX(Contract[SM_AC_Split_Date__c],MATCH(Table5[[#This Row],[SM_Contract__c]],Contract[Id],0)))</f>
        <v/>
      </c>
      <c r="D287" s="27">
        <f>IF(INDEX(Contract[SM_Start_date__c],MATCH(Table5[[#This Row],[SM_Contract__c]],Contract[Id],0))=0,"",INDEX(Contract[SM_Start_date__c],MATCH(Table5[[#This Row],[SM_Contract__c]],Contract[Id],0)))</f>
        <v>46031</v>
      </c>
      <c r="E287" s="4">
        <f ca="1">(YEAR(TODAY())-YEAR(Table5[[#This Row],[RC DATE]]))*12 + MONTH(TODAY())-MONTH(Table5[[#This Row],[RC DATE]])</f>
        <v>6</v>
      </c>
      <c r="F28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7" s="19">
        <f>IF(Table5[[#This Row],[Payment_Status__c]]="ACCEPTED",1,"")</f>
        <v>1</v>
      </c>
      <c r="H28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7" s="19">
        <f ca="1">Table5[[#This Row],['# months]]-COUNTIFS(Table5[SM_Contract__c],Table5[[#This Row],[SM_Contract__c]],Table5[TYPE],"SUBS",Table5[ACCEPTED],1)</f>
        <v>1</v>
      </c>
      <c r="J287" s="19" t="b">
        <f>ISNUMBER(MATCH(Table5[[#This Row],[SM_Contract__c]],Contract[Id],0))</f>
        <v>1</v>
      </c>
      <c r="K287" s="9" t="s">
        <v>3218</v>
      </c>
      <c r="L287" s="9" t="s">
        <v>3219</v>
      </c>
      <c r="M287" s="9" t="s">
        <v>695</v>
      </c>
      <c r="N287" s="9" t="s">
        <v>3728</v>
      </c>
      <c r="O287" s="9" t="s">
        <v>1563</v>
      </c>
      <c r="P287" s="9" t="s">
        <v>2363</v>
      </c>
      <c r="Q287" s="9" t="s">
        <v>83</v>
      </c>
      <c r="R287" s="9" t="s">
        <v>76</v>
      </c>
      <c r="S287" s="9" t="s">
        <v>167</v>
      </c>
      <c r="T287" s="9" t="s">
        <v>167</v>
      </c>
      <c r="U287" s="9" t="s">
        <v>167</v>
      </c>
      <c r="V287" s="9" t="s">
        <v>93</v>
      </c>
      <c r="W287" s="9" t="s">
        <v>3698</v>
      </c>
      <c r="X287" s="9" t="s">
        <v>3220</v>
      </c>
      <c r="Y287" s="9"/>
      <c r="Z287" s="9"/>
      <c r="AA287" s="9" t="s">
        <v>3220</v>
      </c>
    </row>
    <row r="288" spans="1:27" x14ac:dyDescent="0.35">
      <c r="A288" s="4" t="str">
        <f>IF(Table5[[#This Row],[SM_Amount__c]]="25.0","FEE",IF(IF(Table5[[#This Row],[SM_Original_Type__c]]="",Table5[[#This Row],[SM_Type__c]],Table5[[#This Row],[SM_Original_Type__c]])="AC","AC","SUBS"))</f>
        <v>SUBS</v>
      </c>
      <c r="B288" s="27">
        <f>IF(INDEX(Contract[SM_AC_start_date__c],MATCH(Table5[[#This Row],[SM_Contract__c]],Contract[Id],0))=0,"",INDEX(Contract[SM_AC_start_date__c],MATCH(Table5[[#This Row],[SM_Contract__c]],Contract[Id],0)))</f>
        <v>46021</v>
      </c>
      <c r="C288" s="27" t="str">
        <f>IF(INDEX(Contract[SM_AC_Split_Date__c],MATCH(Table5[[#This Row],[SM_Contract__c]],Contract[Id],0))=0,"",INDEX(Contract[SM_AC_Split_Date__c],MATCH(Table5[[#This Row],[SM_Contract__c]],Contract[Id],0)))</f>
        <v/>
      </c>
      <c r="D288" s="27">
        <f>IF(INDEX(Contract[SM_Start_date__c],MATCH(Table5[[#This Row],[SM_Contract__c]],Contract[Id],0))=0,"",INDEX(Contract[SM_Start_date__c],MATCH(Table5[[#This Row],[SM_Contract__c]],Contract[Id],0)))</f>
        <v>46031</v>
      </c>
      <c r="E288" s="4">
        <f ca="1">(YEAR(TODAY())-YEAR(Table5[[#This Row],[RC DATE]]))*12 + MONTH(TODAY())-MONTH(Table5[[#This Row],[RC DATE]])</f>
        <v>6</v>
      </c>
      <c r="F28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8" s="19">
        <f>IF(Table5[[#This Row],[Payment_Status__c]]="ACCEPTED",1,"")</f>
        <v>1</v>
      </c>
      <c r="H28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8" s="19">
        <f ca="1">Table5[[#This Row],['# months]]-COUNTIFS(Table5[SM_Contract__c],Table5[[#This Row],[SM_Contract__c]],Table5[TYPE],"SUBS",Table5[ACCEPTED],1)</f>
        <v>1</v>
      </c>
      <c r="J288" s="19" t="b">
        <f>ISNUMBER(MATCH(Table5[[#This Row],[SM_Contract__c]],Contract[Id],0))</f>
        <v>1</v>
      </c>
      <c r="K288" s="9" t="s">
        <v>3221</v>
      </c>
      <c r="L288" s="9" t="s">
        <v>3222</v>
      </c>
      <c r="M288" s="9" t="s">
        <v>695</v>
      </c>
      <c r="N288" s="9" t="s">
        <v>3728</v>
      </c>
      <c r="O288" s="9" t="s">
        <v>1563</v>
      </c>
      <c r="P288" s="9" t="s">
        <v>2363</v>
      </c>
      <c r="Q288" s="9" t="s">
        <v>83</v>
      </c>
      <c r="R288" s="9" t="s">
        <v>76</v>
      </c>
      <c r="S288" s="9" t="s">
        <v>167</v>
      </c>
      <c r="T288" s="9" t="s">
        <v>167</v>
      </c>
      <c r="U288" s="9" t="s">
        <v>167</v>
      </c>
      <c r="V288" s="9" t="s">
        <v>93</v>
      </c>
      <c r="W288" s="9" t="s">
        <v>3677</v>
      </c>
      <c r="X288" s="9" t="s">
        <v>3223</v>
      </c>
      <c r="Y288" s="9"/>
      <c r="Z288" s="9"/>
      <c r="AA288" s="9" t="s">
        <v>3223</v>
      </c>
    </row>
    <row r="289" spans="1:27" x14ac:dyDescent="0.35">
      <c r="A289" s="4" t="str">
        <f>IF(Table5[[#This Row],[SM_Amount__c]]="25.0","FEE",IF(IF(Table5[[#This Row],[SM_Original_Type__c]]="",Table5[[#This Row],[SM_Type__c]],Table5[[#This Row],[SM_Original_Type__c]])="AC","AC","SUBS"))</f>
        <v>SUBS</v>
      </c>
      <c r="B289" s="27">
        <f>IF(INDEX(Contract[SM_AC_start_date__c],MATCH(Table5[[#This Row],[SM_Contract__c]],Contract[Id],0))=0,"",INDEX(Contract[SM_AC_start_date__c],MATCH(Table5[[#This Row],[SM_Contract__c]],Contract[Id],0)))</f>
        <v>46021</v>
      </c>
      <c r="C289" s="27" t="str">
        <f>IF(INDEX(Contract[SM_AC_Split_Date__c],MATCH(Table5[[#This Row],[SM_Contract__c]],Contract[Id],0))=0,"",INDEX(Contract[SM_AC_Split_Date__c],MATCH(Table5[[#This Row],[SM_Contract__c]],Contract[Id],0)))</f>
        <v/>
      </c>
      <c r="D289" s="27">
        <f>IF(INDEX(Contract[SM_Start_date__c],MATCH(Table5[[#This Row],[SM_Contract__c]],Contract[Id],0))=0,"",INDEX(Contract[SM_Start_date__c],MATCH(Table5[[#This Row],[SM_Contract__c]],Contract[Id],0)))</f>
        <v>46031</v>
      </c>
      <c r="E289" s="4">
        <f ca="1">(YEAR(TODAY())-YEAR(Table5[[#This Row],[RC DATE]]))*12 + MONTH(TODAY())-MONTH(Table5[[#This Row],[RC DATE]])</f>
        <v>6</v>
      </c>
      <c r="F28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46182</v>
      </c>
      <c r="G289" s="19">
        <f>IF(Table5[[#This Row],[Payment_Status__c]]="ACCEPTED",1,"")</f>
        <v>1</v>
      </c>
      <c r="H28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89" s="19">
        <f ca="1">Table5[[#This Row],['# months]]-COUNTIFS(Table5[SM_Contract__c],Table5[[#This Row],[SM_Contract__c]],Table5[TYPE],"SUBS",Table5[ACCEPTED],1)</f>
        <v>1</v>
      </c>
      <c r="J289" s="19" t="b">
        <f>ISNUMBER(MATCH(Table5[[#This Row],[SM_Contract__c]],Contract[Id],0))</f>
        <v>1</v>
      </c>
      <c r="K289" s="9" t="s">
        <v>3224</v>
      </c>
      <c r="L289" s="9" t="s">
        <v>3225</v>
      </c>
      <c r="M289" s="9" t="s">
        <v>695</v>
      </c>
      <c r="N289" s="9" t="s">
        <v>3728</v>
      </c>
      <c r="O289" s="9" t="s">
        <v>1563</v>
      </c>
      <c r="P289" s="9" t="s">
        <v>2363</v>
      </c>
      <c r="Q289" s="9" t="s">
        <v>83</v>
      </c>
      <c r="R289" s="9" t="s">
        <v>76</v>
      </c>
      <c r="S289" s="9" t="s">
        <v>167</v>
      </c>
      <c r="T289" s="9" t="s">
        <v>167</v>
      </c>
      <c r="U289" s="9" t="s">
        <v>167</v>
      </c>
      <c r="V289" s="9" t="s">
        <v>93</v>
      </c>
      <c r="W289" s="9" t="s">
        <v>3633</v>
      </c>
      <c r="X289" s="9" t="s">
        <v>3226</v>
      </c>
      <c r="Y289" s="9"/>
      <c r="Z289" s="9"/>
      <c r="AA289" s="9" t="s">
        <v>3226</v>
      </c>
    </row>
    <row r="290" spans="1:27" x14ac:dyDescent="0.35">
      <c r="A290" s="4" t="str">
        <f>IF(Table5[[#This Row],[SM_Amount__c]]="25.0","FEE",IF(IF(Table5[[#This Row],[SM_Original_Type__c]]="",Table5[[#This Row],[SM_Type__c]],Table5[[#This Row],[SM_Original_Type__c]])="AC","AC","SUBS"))</f>
        <v>AC</v>
      </c>
      <c r="B290" s="27">
        <f>IF(INDEX(Contract[SM_AC_start_date__c],MATCH(Table5[[#This Row],[SM_Contract__c]],Contract[Id],0))=0,"",INDEX(Contract[SM_AC_start_date__c],MATCH(Table5[[#This Row],[SM_Contract__c]],Contract[Id],0)))</f>
        <v>46024</v>
      </c>
      <c r="C290" s="27" t="str">
        <f>IF(INDEX(Contract[SM_AC_Split_Date__c],MATCH(Table5[[#This Row],[SM_Contract__c]],Contract[Id],0))=0,"",INDEX(Contract[SM_AC_Split_Date__c],MATCH(Table5[[#This Row],[SM_Contract__c]],Contract[Id],0)))</f>
        <v/>
      </c>
      <c r="D290" s="27">
        <f>IF(INDEX(Contract[SM_Start_date__c],MATCH(Table5[[#This Row],[SM_Contract__c]],Contract[Id],0))=0,"",INDEX(Contract[SM_Start_date__c],MATCH(Table5[[#This Row],[SM_Contract__c]],Contract[Id],0)))</f>
        <v>46059</v>
      </c>
      <c r="E290" s="4">
        <f ca="1">(YEAR(TODAY())-YEAR(Table5[[#This Row],[RC DATE]]))*12 + MONTH(TODAY())-MONTH(Table5[[#This Row],[RC DATE]])</f>
        <v>5</v>
      </c>
      <c r="F29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46179</v>
      </c>
      <c r="G290" s="19">
        <f>IF(Table5[[#This Row],[Payment_Status__c]]="ACCEPTED",1,"")</f>
        <v>1</v>
      </c>
      <c r="H29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0" s="19">
        <f ca="1">Table5[[#This Row],['# months]]-COUNTIFS(Table5[SM_Contract__c],Table5[[#This Row],[SM_Contract__c]],Table5[TYPE],"SUBS",Table5[ACCEPTED],1)</f>
        <v>1</v>
      </c>
      <c r="J290" s="19" t="b">
        <f>ISNUMBER(MATCH(Table5[[#This Row],[SM_Contract__c]],Contract[Id],0))</f>
        <v>1</v>
      </c>
      <c r="K290" s="9" t="s">
        <v>3227</v>
      </c>
      <c r="L290" s="9" t="s">
        <v>3228</v>
      </c>
      <c r="M290" s="9" t="s">
        <v>703</v>
      </c>
      <c r="N290" s="9" t="s">
        <v>3729</v>
      </c>
      <c r="O290" s="9" t="s">
        <v>1563</v>
      </c>
      <c r="P290" s="9" t="s">
        <v>2363</v>
      </c>
      <c r="Q290" s="9" t="s">
        <v>77</v>
      </c>
      <c r="R290" s="9" t="s">
        <v>77</v>
      </c>
      <c r="S290" s="9" t="s">
        <v>167</v>
      </c>
      <c r="T290" s="9" t="s">
        <v>167</v>
      </c>
      <c r="U290" s="9" t="s">
        <v>167</v>
      </c>
      <c r="V290" s="9" t="s">
        <v>93</v>
      </c>
      <c r="W290" s="9" t="s">
        <v>3594</v>
      </c>
      <c r="X290" s="9" t="s">
        <v>3229</v>
      </c>
      <c r="Y290" s="9"/>
      <c r="Z290" s="9"/>
      <c r="AA290" s="9" t="s">
        <v>3229</v>
      </c>
    </row>
    <row r="291" spans="1:27" x14ac:dyDescent="0.35">
      <c r="A291" s="4" t="str">
        <f>IF(Table5[[#This Row],[SM_Amount__c]]="25.0","FEE",IF(IF(Table5[[#This Row],[SM_Original_Type__c]]="",Table5[[#This Row],[SM_Type__c]],Table5[[#This Row],[SM_Original_Type__c]])="AC","AC","SUBS"))</f>
        <v>SUBS</v>
      </c>
      <c r="B291" s="27">
        <f>IF(INDEX(Contract[SM_AC_start_date__c],MATCH(Table5[[#This Row],[SM_Contract__c]],Contract[Id],0))=0,"",INDEX(Contract[SM_AC_start_date__c],MATCH(Table5[[#This Row],[SM_Contract__c]],Contract[Id],0)))</f>
        <v>46024</v>
      </c>
      <c r="C291" s="27" t="str">
        <f>IF(INDEX(Contract[SM_AC_Split_Date__c],MATCH(Table5[[#This Row],[SM_Contract__c]],Contract[Id],0))=0,"",INDEX(Contract[SM_AC_Split_Date__c],MATCH(Table5[[#This Row],[SM_Contract__c]],Contract[Id],0)))</f>
        <v/>
      </c>
      <c r="D291" s="27">
        <f>IF(INDEX(Contract[SM_Start_date__c],MATCH(Table5[[#This Row],[SM_Contract__c]],Contract[Id],0))=0,"",INDEX(Contract[SM_Start_date__c],MATCH(Table5[[#This Row],[SM_Contract__c]],Contract[Id],0)))</f>
        <v>46059</v>
      </c>
      <c r="E291" s="4">
        <f ca="1">(YEAR(TODAY())-YEAR(Table5[[#This Row],[RC DATE]]))*12 + MONTH(TODAY())-MONTH(Table5[[#This Row],[RC DATE]])</f>
        <v>5</v>
      </c>
      <c r="F29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46179</v>
      </c>
      <c r="G291" s="19">
        <f>IF(Table5[[#This Row],[Payment_Status__c]]="ACCEPTED",1,"")</f>
        <v>1</v>
      </c>
      <c r="H29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1" s="19">
        <f ca="1">Table5[[#This Row],['# months]]-COUNTIFS(Table5[SM_Contract__c],Table5[[#This Row],[SM_Contract__c]],Table5[TYPE],"SUBS",Table5[ACCEPTED],1)</f>
        <v>1</v>
      </c>
      <c r="J291" s="19" t="b">
        <f>ISNUMBER(MATCH(Table5[[#This Row],[SM_Contract__c]],Contract[Id],0))</f>
        <v>1</v>
      </c>
      <c r="K291" s="9" t="s">
        <v>3230</v>
      </c>
      <c r="L291" s="9" t="s">
        <v>3231</v>
      </c>
      <c r="M291" s="9" t="s">
        <v>703</v>
      </c>
      <c r="N291" s="9" t="s">
        <v>3729</v>
      </c>
      <c r="O291" s="9" t="s">
        <v>1563</v>
      </c>
      <c r="P291" s="9" t="s">
        <v>2363</v>
      </c>
      <c r="Q291" s="9" t="s">
        <v>71</v>
      </c>
      <c r="R291" s="9" t="s">
        <v>83</v>
      </c>
      <c r="S291" s="9" t="s">
        <v>2220</v>
      </c>
      <c r="T291" s="9" t="s">
        <v>2220</v>
      </c>
      <c r="U291" s="9" t="s">
        <v>167</v>
      </c>
      <c r="V291" s="9" t="s">
        <v>148</v>
      </c>
      <c r="W291" s="9" t="s">
        <v>3661</v>
      </c>
      <c r="X291" s="9" t="s">
        <v>3232</v>
      </c>
      <c r="Y291" s="9"/>
      <c r="Z291" s="9" t="s">
        <v>924</v>
      </c>
      <c r="AA291" s="9" t="s">
        <v>3232</v>
      </c>
    </row>
    <row r="292" spans="1:27" x14ac:dyDescent="0.35">
      <c r="A292" s="4" t="str">
        <f>IF(Table5[[#This Row],[SM_Amount__c]]="25.0","FEE",IF(IF(Table5[[#This Row],[SM_Original_Type__c]]="",Table5[[#This Row],[SM_Type__c]],Table5[[#This Row],[SM_Original_Type__c]])="AC","AC","SUBS"))</f>
        <v>SUBS</v>
      </c>
      <c r="B292" s="27">
        <f>IF(INDEX(Contract[SM_AC_start_date__c],MATCH(Table5[[#This Row],[SM_Contract__c]],Contract[Id],0))=0,"",INDEX(Contract[SM_AC_start_date__c],MATCH(Table5[[#This Row],[SM_Contract__c]],Contract[Id],0)))</f>
        <v>46024</v>
      </c>
      <c r="C292" s="27" t="str">
        <f>IF(INDEX(Contract[SM_AC_Split_Date__c],MATCH(Table5[[#This Row],[SM_Contract__c]],Contract[Id],0))=0,"",INDEX(Contract[SM_AC_Split_Date__c],MATCH(Table5[[#This Row],[SM_Contract__c]],Contract[Id],0)))</f>
        <v/>
      </c>
      <c r="D292" s="27">
        <f>IF(INDEX(Contract[SM_Start_date__c],MATCH(Table5[[#This Row],[SM_Contract__c]],Contract[Id],0))=0,"",INDEX(Contract[SM_Start_date__c],MATCH(Table5[[#This Row],[SM_Contract__c]],Contract[Id],0)))</f>
        <v>46059</v>
      </c>
      <c r="E292" s="4">
        <f ca="1">(YEAR(TODAY())-YEAR(Table5[[#This Row],[RC DATE]]))*12 + MONTH(TODAY())-MONTH(Table5[[#This Row],[RC DATE]])</f>
        <v>5</v>
      </c>
      <c r="F29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46179</v>
      </c>
      <c r="G292" s="19">
        <f>IF(Table5[[#This Row],[Payment_Status__c]]="ACCEPTED",1,"")</f>
        <v>1</v>
      </c>
      <c r="H29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2" s="19">
        <f ca="1">Table5[[#This Row],['# months]]-COUNTIFS(Table5[SM_Contract__c],Table5[[#This Row],[SM_Contract__c]],Table5[TYPE],"SUBS",Table5[ACCEPTED],1)</f>
        <v>1</v>
      </c>
      <c r="J292" s="19" t="b">
        <f>ISNUMBER(MATCH(Table5[[#This Row],[SM_Contract__c]],Contract[Id],0))</f>
        <v>1</v>
      </c>
      <c r="K292" s="9" t="s">
        <v>3233</v>
      </c>
      <c r="L292" s="9" t="s">
        <v>3234</v>
      </c>
      <c r="M292" s="9" t="s">
        <v>703</v>
      </c>
      <c r="N292" s="9" t="s">
        <v>3729</v>
      </c>
      <c r="O292" s="9" t="s">
        <v>1563</v>
      </c>
      <c r="P292" s="9" t="s">
        <v>2363</v>
      </c>
      <c r="Q292" s="9" t="s">
        <v>83</v>
      </c>
      <c r="R292" s="9" t="s">
        <v>76</v>
      </c>
      <c r="S292" s="9" t="s">
        <v>167</v>
      </c>
      <c r="T292" s="9" t="s">
        <v>167</v>
      </c>
      <c r="U292" s="9" t="s">
        <v>167</v>
      </c>
      <c r="V292" s="9" t="s">
        <v>93</v>
      </c>
      <c r="W292" s="9" t="s">
        <v>3647</v>
      </c>
      <c r="X292" s="9" t="s">
        <v>2964</v>
      </c>
      <c r="Y292" s="9"/>
      <c r="Z292" s="9"/>
      <c r="AA292" s="9" t="s">
        <v>2964</v>
      </c>
    </row>
    <row r="293" spans="1:27" x14ac:dyDescent="0.35">
      <c r="A293" s="4" t="str">
        <f>IF(Table5[[#This Row],[SM_Amount__c]]="25.0","FEE",IF(IF(Table5[[#This Row],[SM_Original_Type__c]]="",Table5[[#This Row],[SM_Type__c]],Table5[[#This Row],[SM_Original_Type__c]])="AC","AC","SUBS"))</f>
        <v>SUBS</v>
      </c>
      <c r="B293" s="27">
        <f>IF(INDEX(Contract[SM_AC_start_date__c],MATCH(Table5[[#This Row],[SM_Contract__c]],Contract[Id],0))=0,"",INDEX(Contract[SM_AC_start_date__c],MATCH(Table5[[#This Row],[SM_Contract__c]],Contract[Id],0)))</f>
        <v>46024</v>
      </c>
      <c r="C293" s="27" t="str">
        <f>IF(INDEX(Contract[SM_AC_Split_Date__c],MATCH(Table5[[#This Row],[SM_Contract__c]],Contract[Id],0))=0,"",INDEX(Contract[SM_AC_Split_Date__c],MATCH(Table5[[#This Row],[SM_Contract__c]],Contract[Id],0)))</f>
        <v/>
      </c>
      <c r="D293" s="27">
        <f>IF(INDEX(Contract[SM_Start_date__c],MATCH(Table5[[#This Row],[SM_Contract__c]],Contract[Id],0))=0,"",INDEX(Contract[SM_Start_date__c],MATCH(Table5[[#This Row],[SM_Contract__c]],Contract[Id],0)))</f>
        <v>46059</v>
      </c>
      <c r="E293" s="4">
        <f ca="1">(YEAR(TODAY())-YEAR(Table5[[#This Row],[RC DATE]]))*12 + MONTH(TODAY())-MONTH(Table5[[#This Row],[RC DATE]])</f>
        <v>5</v>
      </c>
      <c r="F29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46179</v>
      </c>
      <c r="G293" s="19">
        <f>IF(Table5[[#This Row],[Payment_Status__c]]="ACCEPTED",1,"")</f>
        <v>1</v>
      </c>
      <c r="H29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3" s="19">
        <f ca="1">Table5[[#This Row],['# months]]-COUNTIFS(Table5[SM_Contract__c],Table5[[#This Row],[SM_Contract__c]],Table5[TYPE],"SUBS",Table5[ACCEPTED],1)</f>
        <v>1</v>
      </c>
      <c r="J293" s="19" t="b">
        <f>ISNUMBER(MATCH(Table5[[#This Row],[SM_Contract__c]],Contract[Id],0))</f>
        <v>1</v>
      </c>
      <c r="K293" s="9" t="s">
        <v>3235</v>
      </c>
      <c r="L293" s="9" t="s">
        <v>3236</v>
      </c>
      <c r="M293" s="9" t="s">
        <v>703</v>
      </c>
      <c r="N293" s="9" t="s">
        <v>3729</v>
      </c>
      <c r="O293" s="9" t="s">
        <v>1563</v>
      </c>
      <c r="P293" s="9" t="s">
        <v>2363</v>
      </c>
      <c r="Q293" s="9" t="s">
        <v>83</v>
      </c>
      <c r="R293" s="9" t="s">
        <v>76</v>
      </c>
      <c r="S293" s="9" t="s">
        <v>167</v>
      </c>
      <c r="T293" s="9" t="s">
        <v>167</v>
      </c>
      <c r="U293" s="9" t="s">
        <v>167</v>
      </c>
      <c r="V293" s="9" t="s">
        <v>93</v>
      </c>
      <c r="W293" s="9" t="s">
        <v>3697</v>
      </c>
      <c r="X293" s="9" t="s">
        <v>3237</v>
      </c>
      <c r="Y293" s="9"/>
      <c r="Z293" s="9"/>
      <c r="AA293" s="9" t="s">
        <v>3237</v>
      </c>
    </row>
    <row r="294" spans="1:27" x14ac:dyDescent="0.35">
      <c r="A294" s="4" t="str">
        <f>IF(Table5[[#This Row],[SM_Amount__c]]="25.0","FEE",IF(IF(Table5[[#This Row],[SM_Original_Type__c]]="",Table5[[#This Row],[SM_Type__c]],Table5[[#This Row],[SM_Original_Type__c]])="AC","AC","SUBS"))</f>
        <v>SUBS</v>
      </c>
      <c r="B294" s="27">
        <f>IF(INDEX(Contract[SM_AC_start_date__c],MATCH(Table5[[#This Row],[SM_Contract__c]],Contract[Id],0))=0,"",INDEX(Contract[SM_AC_start_date__c],MATCH(Table5[[#This Row],[SM_Contract__c]],Contract[Id],0)))</f>
        <v>46024</v>
      </c>
      <c r="C294" s="27" t="str">
        <f>IF(INDEX(Contract[SM_AC_Split_Date__c],MATCH(Table5[[#This Row],[SM_Contract__c]],Contract[Id],0))=0,"",INDEX(Contract[SM_AC_Split_Date__c],MATCH(Table5[[#This Row],[SM_Contract__c]],Contract[Id],0)))</f>
        <v/>
      </c>
      <c r="D294" s="27">
        <f>IF(INDEX(Contract[SM_Start_date__c],MATCH(Table5[[#This Row],[SM_Contract__c]],Contract[Id],0))=0,"",INDEX(Contract[SM_Start_date__c],MATCH(Table5[[#This Row],[SM_Contract__c]],Contract[Id],0)))</f>
        <v>46059</v>
      </c>
      <c r="E294" s="4">
        <f ca="1">(YEAR(TODAY())-YEAR(Table5[[#This Row],[RC DATE]]))*12 + MONTH(TODAY())-MONTH(Table5[[#This Row],[RC DATE]])</f>
        <v>5</v>
      </c>
      <c r="F29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46179</v>
      </c>
      <c r="G294" s="19">
        <f>IF(Table5[[#This Row],[Payment_Status__c]]="ACCEPTED",1,"")</f>
        <v>1</v>
      </c>
      <c r="H29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294" s="19">
        <f ca="1">Table5[[#This Row],['# months]]-COUNTIFS(Table5[SM_Contract__c],Table5[[#This Row],[SM_Contract__c]],Table5[TYPE],"SUBS",Table5[ACCEPTED],1)</f>
        <v>1</v>
      </c>
      <c r="J294" s="19" t="b">
        <f>ISNUMBER(MATCH(Table5[[#This Row],[SM_Contract__c]],Contract[Id],0))</f>
        <v>1</v>
      </c>
      <c r="K294" s="9" t="s">
        <v>3238</v>
      </c>
      <c r="L294" s="9" t="s">
        <v>3239</v>
      </c>
      <c r="M294" s="9" t="s">
        <v>703</v>
      </c>
      <c r="N294" s="9" t="s">
        <v>3729</v>
      </c>
      <c r="O294" s="9" t="s">
        <v>1563</v>
      </c>
      <c r="P294" s="9" t="s">
        <v>2363</v>
      </c>
      <c r="Q294" s="9" t="s">
        <v>83</v>
      </c>
      <c r="R294" s="9" t="s">
        <v>76</v>
      </c>
      <c r="S294" s="9" t="s">
        <v>167</v>
      </c>
      <c r="T294" s="9" t="s">
        <v>167</v>
      </c>
      <c r="U294" s="9" t="s">
        <v>167</v>
      </c>
      <c r="V294" s="9" t="s">
        <v>93</v>
      </c>
      <c r="W294" s="9" t="s">
        <v>3678</v>
      </c>
      <c r="X294" s="9" t="s">
        <v>3240</v>
      </c>
      <c r="Y294" s="9"/>
      <c r="Z294" s="9"/>
      <c r="AA294" s="9" t="s">
        <v>3240</v>
      </c>
    </row>
    <row r="295" spans="1:27" x14ac:dyDescent="0.35">
      <c r="A295" s="4" t="str">
        <f>IF(Table5[[#This Row],[SM_Amount__c]]="25.0","FEE",IF(IF(Table5[[#This Row],[SM_Original_Type__c]]="",Table5[[#This Row],[SM_Type__c]],Table5[[#This Row],[SM_Original_Type__c]])="AC","AC","SUBS"))</f>
        <v>AC</v>
      </c>
      <c r="B295" s="27">
        <f>IF(INDEX(Contract[SM_AC_start_date__c],MATCH(Table5[[#This Row],[SM_Contract__c]],Contract[Id],0))=0,"",INDEX(Contract[SM_AC_start_date__c],MATCH(Table5[[#This Row],[SM_Contract__c]],Contract[Id],0)))</f>
        <v>46052</v>
      </c>
      <c r="C295" s="27" t="str">
        <f>IF(INDEX(Contract[SM_AC_Split_Date__c],MATCH(Table5[[#This Row],[SM_Contract__c]],Contract[Id],0))=0,"",INDEX(Contract[SM_AC_Split_Date__c],MATCH(Table5[[#This Row],[SM_Contract__c]],Contract[Id],0)))</f>
        <v/>
      </c>
      <c r="D295" s="27">
        <f>IF(INDEX(Contract[SM_Start_date__c],MATCH(Table5[[#This Row],[SM_Contract__c]],Contract[Id],0))=0,"",INDEX(Contract[SM_Start_date__c],MATCH(Table5[[#This Row],[SM_Contract__c]],Contract[Id],0)))</f>
        <v>46081</v>
      </c>
      <c r="E295" s="4">
        <f ca="1">(YEAR(TODAY())-YEAR(Table5[[#This Row],[RC DATE]]))*12 + MONTH(TODAY())-MONTH(Table5[[#This Row],[RC DATE]])</f>
        <v>5</v>
      </c>
      <c r="F29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295" s="19">
        <f>IF(Table5[[#This Row],[Payment_Status__c]]="ACCEPTED",1,"")</f>
        <v>1</v>
      </c>
      <c r="H29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95" s="19">
        <f ca="1">Table5[[#This Row],['# months]]-COUNTIFS(Table5[SM_Contract__c],Table5[[#This Row],[SM_Contract__c]],Table5[TYPE],"SUBS",Table5[ACCEPTED],1)</f>
        <v>2</v>
      </c>
      <c r="J295" s="19" t="b">
        <f>ISNUMBER(MATCH(Table5[[#This Row],[SM_Contract__c]],Contract[Id],0))</f>
        <v>1</v>
      </c>
      <c r="K295" s="9" t="s">
        <v>3244</v>
      </c>
      <c r="L295" s="9" t="s">
        <v>3245</v>
      </c>
      <c r="M295" s="9" t="s">
        <v>711</v>
      </c>
      <c r="N295" s="9" t="s">
        <v>3730</v>
      </c>
      <c r="O295" s="9" t="s">
        <v>1563</v>
      </c>
      <c r="P295" s="9" t="s">
        <v>2363</v>
      </c>
      <c r="Q295" s="9" t="s">
        <v>77</v>
      </c>
      <c r="R295" s="9" t="s">
        <v>77</v>
      </c>
      <c r="S295" s="9" t="s">
        <v>167</v>
      </c>
      <c r="T295" s="9" t="s">
        <v>167</v>
      </c>
      <c r="U295" s="9" t="s">
        <v>167</v>
      </c>
      <c r="V295" s="9" t="s">
        <v>93</v>
      </c>
      <c r="W295" s="9" t="s">
        <v>3563</v>
      </c>
      <c r="X295" s="9" t="s">
        <v>3241</v>
      </c>
      <c r="Y295" s="9"/>
      <c r="Z295" s="9"/>
      <c r="AA295" s="9" t="s">
        <v>3241</v>
      </c>
    </row>
    <row r="296" spans="1:27" x14ac:dyDescent="0.35">
      <c r="A296" s="4" t="str">
        <f>IF(Table5[[#This Row],[SM_Amount__c]]="25.0","FEE",IF(IF(Table5[[#This Row],[SM_Original_Type__c]]="",Table5[[#This Row],[SM_Type__c]],Table5[[#This Row],[SM_Original_Type__c]])="AC","AC","SUBS"))</f>
        <v>SUBS</v>
      </c>
      <c r="B296" s="27">
        <f>IF(INDEX(Contract[SM_AC_start_date__c],MATCH(Table5[[#This Row],[SM_Contract__c]],Contract[Id],0))=0,"",INDEX(Contract[SM_AC_start_date__c],MATCH(Table5[[#This Row],[SM_Contract__c]],Contract[Id],0)))</f>
        <v>46052</v>
      </c>
      <c r="C296" s="27" t="str">
        <f>IF(INDEX(Contract[SM_AC_Split_Date__c],MATCH(Table5[[#This Row],[SM_Contract__c]],Contract[Id],0))=0,"",INDEX(Contract[SM_AC_Split_Date__c],MATCH(Table5[[#This Row],[SM_Contract__c]],Contract[Id],0)))</f>
        <v/>
      </c>
      <c r="D296" s="27">
        <f>IF(INDEX(Contract[SM_Start_date__c],MATCH(Table5[[#This Row],[SM_Contract__c]],Contract[Id],0))=0,"",INDEX(Contract[SM_Start_date__c],MATCH(Table5[[#This Row],[SM_Contract__c]],Contract[Id],0)))</f>
        <v>46081</v>
      </c>
      <c r="E296" s="4">
        <f ca="1">(YEAR(TODAY())-YEAR(Table5[[#This Row],[RC DATE]]))*12 + MONTH(TODAY())-MONTH(Table5[[#This Row],[RC DATE]])</f>
        <v>5</v>
      </c>
      <c r="F29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296" s="19">
        <f>IF(Table5[[#This Row],[Payment_Status__c]]="ACCEPTED",1,"")</f>
        <v>1</v>
      </c>
      <c r="H29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96" s="19">
        <f ca="1">Table5[[#This Row],['# months]]-COUNTIFS(Table5[SM_Contract__c],Table5[[#This Row],[SM_Contract__c]],Table5[TYPE],"SUBS",Table5[ACCEPTED],1)</f>
        <v>2</v>
      </c>
      <c r="J296" s="19" t="b">
        <f>ISNUMBER(MATCH(Table5[[#This Row],[SM_Contract__c]],Contract[Id],0))</f>
        <v>1</v>
      </c>
      <c r="K296" s="9" t="s">
        <v>3246</v>
      </c>
      <c r="L296" s="9" t="s">
        <v>3247</v>
      </c>
      <c r="M296" s="9" t="s">
        <v>711</v>
      </c>
      <c r="N296" s="9" t="s">
        <v>3730</v>
      </c>
      <c r="O296" s="9" t="s">
        <v>1563</v>
      </c>
      <c r="P296" s="9" t="s">
        <v>2363</v>
      </c>
      <c r="Q296" s="9" t="s">
        <v>83</v>
      </c>
      <c r="R296" s="9" t="s">
        <v>76</v>
      </c>
      <c r="S296" s="9" t="s">
        <v>167</v>
      </c>
      <c r="T296" s="9" t="s">
        <v>167</v>
      </c>
      <c r="U296" s="9" t="s">
        <v>167</v>
      </c>
      <c r="V296" s="9" t="s">
        <v>93</v>
      </c>
      <c r="W296" s="9" t="s">
        <v>3564</v>
      </c>
      <c r="X296" s="9" t="s">
        <v>3242</v>
      </c>
      <c r="Y296" s="9"/>
      <c r="Z296" s="9"/>
      <c r="AA296" s="9" t="s">
        <v>3242</v>
      </c>
    </row>
    <row r="297" spans="1:27" x14ac:dyDescent="0.35">
      <c r="A297" s="4" t="str">
        <f>IF(Table5[[#This Row],[SM_Amount__c]]="25.0","FEE",IF(IF(Table5[[#This Row],[SM_Original_Type__c]]="",Table5[[#This Row],[SM_Type__c]],Table5[[#This Row],[SM_Original_Type__c]])="AC","AC","SUBS"))</f>
        <v>SUBS</v>
      </c>
      <c r="B297" s="27">
        <f>IF(INDEX(Contract[SM_AC_start_date__c],MATCH(Table5[[#This Row],[SM_Contract__c]],Contract[Id],0))=0,"",INDEX(Contract[SM_AC_start_date__c],MATCH(Table5[[#This Row],[SM_Contract__c]],Contract[Id],0)))</f>
        <v>46052</v>
      </c>
      <c r="C297" s="27" t="str">
        <f>IF(INDEX(Contract[SM_AC_Split_Date__c],MATCH(Table5[[#This Row],[SM_Contract__c]],Contract[Id],0))=0,"",INDEX(Contract[SM_AC_Split_Date__c],MATCH(Table5[[#This Row],[SM_Contract__c]],Contract[Id],0)))</f>
        <v/>
      </c>
      <c r="D297" s="27">
        <f>IF(INDEX(Contract[SM_Start_date__c],MATCH(Table5[[#This Row],[SM_Contract__c]],Contract[Id],0))=0,"",INDEX(Contract[SM_Start_date__c],MATCH(Table5[[#This Row],[SM_Contract__c]],Contract[Id],0)))</f>
        <v>46081</v>
      </c>
      <c r="E297" s="4">
        <f ca="1">(YEAR(TODAY())-YEAR(Table5[[#This Row],[RC DATE]]))*12 + MONTH(TODAY())-MONTH(Table5[[#This Row],[RC DATE]])</f>
        <v>5</v>
      </c>
      <c r="F29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297" s="19">
        <f>IF(Table5[[#This Row],[Payment_Status__c]]="ACCEPTED",1,"")</f>
        <v>1</v>
      </c>
      <c r="H29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97" s="19">
        <f ca="1">Table5[[#This Row],['# months]]-COUNTIFS(Table5[SM_Contract__c],Table5[[#This Row],[SM_Contract__c]],Table5[TYPE],"SUBS",Table5[ACCEPTED],1)</f>
        <v>2</v>
      </c>
      <c r="J297" s="19" t="b">
        <f>ISNUMBER(MATCH(Table5[[#This Row],[SM_Contract__c]],Contract[Id],0))</f>
        <v>1</v>
      </c>
      <c r="K297" s="9" t="s">
        <v>3248</v>
      </c>
      <c r="L297" s="9" t="s">
        <v>3249</v>
      </c>
      <c r="M297" s="9" t="s">
        <v>711</v>
      </c>
      <c r="N297" s="9" t="s">
        <v>3730</v>
      </c>
      <c r="O297" s="9" t="s">
        <v>1563</v>
      </c>
      <c r="P297" s="9" t="s">
        <v>2363</v>
      </c>
      <c r="Q297" s="9" t="s">
        <v>83</v>
      </c>
      <c r="R297" s="9" t="s">
        <v>76</v>
      </c>
      <c r="S297" s="9" t="s">
        <v>167</v>
      </c>
      <c r="T297" s="9" t="s">
        <v>167</v>
      </c>
      <c r="U297" s="9" t="s">
        <v>167</v>
      </c>
      <c r="V297" s="9" t="s">
        <v>93</v>
      </c>
      <c r="W297" s="9" t="s">
        <v>3598</v>
      </c>
      <c r="X297" s="9" t="s">
        <v>3243</v>
      </c>
      <c r="Y297" s="9"/>
      <c r="Z297" s="9"/>
      <c r="AA297" s="9" t="s">
        <v>3243</v>
      </c>
    </row>
    <row r="298" spans="1:27" x14ac:dyDescent="0.35">
      <c r="A298" s="4" t="str">
        <f>IF(Table5[[#This Row],[SM_Amount__c]]="25.0","FEE",IF(IF(Table5[[#This Row],[SM_Original_Type__c]]="",Table5[[#This Row],[SM_Type__c]],Table5[[#This Row],[SM_Original_Type__c]])="AC","AC","SUBS"))</f>
        <v>SUBS</v>
      </c>
      <c r="B298" s="27">
        <f>IF(INDEX(Contract[SM_AC_start_date__c],MATCH(Table5[[#This Row],[SM_Contract__c]],Contract[Id],0))=0,"",INDEX(Contract[SM_AC_start_date__c],MATCH(Table5[[#This Row],[SM_Contract__c]],Contract[Id],0)))</f>
        <v>46052</v>
      </c>
      <c r="C298" s="27" t="str">
        <f>IF(INDEX(Contract[SM_AC_Split_Date__c],MATCH(Table5[[#This Row],[SM_Contract__c]],Contract[Id],0))=0,"",INDEX(Contract[SM_AC_Split_Date__c],MATCH(Table5[[#This Row],[SM_Contract__c]],Contract[Id],0)))</f>
        <v/>
      </c>
      <c r="D298" s="27">
        <f>IF(INDEX(Contract[SM_Start_date__c],MATCH(Table5[[#This Row],[SM_Contract__c]],Contract[Id],0))=0,"",INDEX(Contract[SM_Start_date__c],MATCH(Table5[[#This Row],[SM_Contract__c]],Contract[Id],0)))</f>
        <v>46081</v>
      </c>
      <c r="E298" s="4">
        <f ca="1">(YEAR(TODAY())-YEAR(Table5[[#This Row],[RC DATE]]))*12 + MONTH(TODAY())-MONTH(Table5[[#This Row],[RC DATE]])</f>
        <v>5</v>
      </c>
      <c r="F29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298" s="19">
        <f>IF(Table5[[#This Row],[Payment_Status__c]]="ACCEPTED",1,"")</f>
        <v>1</v>
      </c>
      <c r="H29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98" s="19">
        <f ca="1">Table5[[#This Row],['# months]]-COUNTIFS(Table5[SM_Contract__c],Table5[[#This Row],[SM_Contract__c]],Table5[TYPE],"SUBS",Table5[ACCEPTED],1)</f>
        <v>2</v>
      </c>
      <c r="J298" s="19" t="b">
        <f>ISNUMBER(MATCH(Table5[[#This Row],[SM_Contract__c]],Contract[Id],0))</f>
        <v>1</v>
      </c>
      <c r="K298" s="9" t="s">
        <v>3250</v>
      </c>
      <c r="L298" s="9" t="s">
        <v>3251</v>
      </c>
      <c r="M298" s="9" t="s">
        <v>711</v>
      </c>
      <c r="N298" s="9" t="s">
        <v>3730</v>
      </c>
      <c r="O298" s="9" t="s">
        <v>1563</v>
      </c>
      <c r="P298" s="9" t="s">
        <v>2363</v>
      </c>
      <c r="Q298" s="9" t="s">
        <v>83</v>
      </c>
      <c r="R298" s="9" t="s">
        <v>76</v>
      </c>
      <c r="S298" s="9" t="s">
        <v>167</v>
      </c>
      <c r="T298" s="9" t="s">
        <v>167</v>
      </c>
      <c r="U298" s="9" t="s">
        <v>167</v>
      </c>
      <c r="V298" s="9" t="s">
        <v>93</v>
      </c>
      <c r="W298" s="9" t="s">
        <v>3610</v>
      </c>
      <c r="X298" s="9" t="s">
        <v>3252</v>
      </c>
      <c r="Y298" s="9"/>
      <c r="Z298" s="9"/>
      <c r="AA298" s="9" t="s">
        <v>3252</v>
      </c>
    </row>
    <row r="299" spans="1:27" x14ac:dyDescent="0.35">
      <c r="A299" s="4" t="str">
        <f>IF(Table5[[#This Row],[SM_Amount__c]]="25.0","FEE",IF(IF(Table5[[#This Row],[SM_Original_Type__c]]="",Table5[[#This Row],[SM_Type__c]],Table5[[#This Row],[SM_Original_Type__c]])="AC","AC","SUBS"))</f>
        <v>AC</v>
      </c>
      <c r="B299" s="27">
        <f>IF(INDEX(Contract[SM_AC_start_date__c],MATCH(Table5[[#This Row],[SM_Contract__c]],Contract[Id],0))=0,"",INDEX(Contract[SM_AC_start_date__c],MATCH(Table5[[#This Row],[SM_Contract__c]],Contract[Id],0)))</f>
        <v>46031</v>
      </c>
      <c r="C299" s="27" t="str">
        <f>IF(INDEX(Contract[SM_AC_Split_Date__c],MATCH(Table5[[#This Row],[SM_Contract__c]],Contract[Id],0))=0,"",INDEX(Contract[SM_AC_Split_Date__c],MATCH(Table5[[#This Row],[SM_Contract__c]],Contract[Id],0)))</f>
        <v/>
      </c>
      <c r="D299" s="27">
        <f>IF(INDEX(Contract[SM_Start_date__c],MATCH(Table5[[#This Row],[SM_Contract__c]],Contract[Id],0))=0,"",INDEX(Contract[SM_Start_date__c],MATCH(Table5[[#This Row],[SM_Contract__c]],Contract[Id],0)))</f>
        <v>46068</v>
      </c>
      <c r="E299" s="4">
        <f ca="1">(YEAR(TODAY())-YEAR(Table5[[#This Row],[RC DATE]]))*12 + MONTH(TODAY())-MONTH(Table5[[#This Row],[RC DATE]])</f>
        <v>5</v>
      </c>
      <c r="F29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46157</v>
      </c>
      <c r="G299" s="19">
        <f>IF(Table5[[#This Row],[Payment_Status__c]]="ACCEPTED",1,"")</f>
        <v>1</v>
      </c>
      <c r="H29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299" s="19">
        <f ca="1">Table5[[#This Row],['# months]]-COUNTIFS(Table5[SM_Contract__c],Table5[[#This Row],[SM_Contract__c]],Table5[TYPE],"SUBS",Table5[ACCEPTED],1)</f>
        <v>2</v>
      </c>
      <c r="J299" s="19" t="b">
        <f>ISNUMBER(MATCH(Table5[[#This Row],[SM_Contract__c]],Contract[Id],0))</f>
        <v>1</v>
      </c>
      <c r="K299" s="9" t="s">
        <v>3254</v>
      </c>
      <c r="L299" s="9" t="s">
        <v>3255</v>
      </c>
      <c r="M299" s="9" t="s">
        <v>717</v>
      </c>
      <c r="N299" s="9" t="s">
        <v>3731</v>
      </c>
      <c r="O299" s="9" t="s">
        <v>1563</v>
      </c>
      <c r="P299" s="9" t="s">
        <v>2363</v>
      </c>
      <c r="Q299" s="9" t="s">
        <v>71</v>
      </c>
      <c r="R299" s="9" t="s">
        <v>77</v>
      </c>
      <c r="S299" s="9" t="s">
        <v>167</v>
      </c>
      <c r="T299" s="9" t="s">
        <v>167</v>
      </c>
      <c r="U299" s="9" t="s">
        <v>167</v>
      </c>
      <c r="V299" s="9" t="s">
        <v>93</v>
      </c>
      <c r="W299" s="9" t="s">
        <v>3571</v>
      </c>
      <c r="X299" s="9" t="s">
        <v>3256</v>
      </c>
      <c r="Y299" s="9"/>
      <c r="Z299" s="9" t="s">
        <v>723</v>
      </c>
      <c r="AA299" s="9" t="s">
        <v>3256</v>
      </c>
    </row>
    <row r="300" spans="1:27" x14ac:dyDescent="0.35">
      <c r="A300" s="4" t="str">
        <f>IF(Table5[[#This Row],[SM_Amount__c]]="25.0","FEE",IF(IF(Table5[[#This Row],[SM_Original_Type__c]]="",Table5[[#This Row],[SM_Type__c]],Table5[[#This Row],[SM_Original_Type__c]])="AC","AC","SUBS"))</f>
        <v>SUBS</v>
      </c>
      <c r="B300" s="27">
        <f>IF(INDEX(Contract[SM_AC_start_date__c],MATCH(Table5[[#This Row],[SM_Contract__c]],Contract[Id],0))=0,"",INDEX(Contract[SM_AC_start_date__c],MATCH(Table5[[#This Row],[SM_Contract__c]],Contract[Id],0)))</f>
        <v>46031</v>
      </c>
      <c r="C300" s="27" t="str">
        <f>IF(INDEX(Contract[SM_AC_Split_Date__c],MATCH(Table5[[#This Row],[SM_Contract__c]],Contract[Id],0))=0,"",INDEX(Contract[SM_AC_Split_Date__c],MATCH(Table5[[#This Row],[SM_Contract__c]],Contract[Id],0)))</f>
        <v/>
      </c>
      <c r="D300" s="27">
        <f>IF(INDEX(Contract[SM_Start_date__c],MATCH(Table5[[#This Row],[SM_Contract__c]],Contract[Id],0))=0,"",INDEX(Contract[SM_Start_date__c],MATCH(Table5[[#This Row],[SM_Contract__c]],Contract[Id],0)))</f>
        <v>46068</v>
      </c>
      <c r="E300" s="4">
        <f ca="1">(YEAR(TODAY())-YEAR(Table5[[#This Row],[RC DATE]]))*12 + MONTH(TODAY())-MONTH(Table5[[#This Row],[RC DATE]])</f>
        <v>5</v>
      </c>
      <c r="F30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46157</v>
      </c>
      <c r="G300" s="19">
        <f>IF(Table5[[#This Row],[Payment_Status__c]]="ACCEPTED",1,"")</f>
        <v>1</v>
      </c>
      <c r="H30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00" s="19">
        <f ca="1">Table5[[#This Row],['# months]]-COUNTIFS(Table5[SM_Contract__c],Table5[[#This Row],[SM_Contract__c]],Table5[TYPE],"SUBS",Table5[ACCEPTED],1)</f>
        <v>2</v>
      </c>
      <c r="J300" s="19" t="b">
        <f>ISNUMBER(MATCH(Table5[[#This Row],[SM_Contract__c]],Contract[Id],0))</f>
        <v>1</v>
      </c>
      <c r="K300" s="9" t="s">
        <v>3257</v>
      </c>
      <c r="L300" s="9" t="s">
        <v>3258</v>
      </c>
      <c r="M300" s="9" t="s">
        <v>717</v>
      </c>
      <c r="N300" s="9" t="s">
        <v>3731</v>
      </c>
      <c r="O300" s="9" t="s">
        <v>1563</v>
      </c>
      <c r="P300" s="9" t="s">
        <v>2363</v>
      </c>
      <c r="Q300" s="9" t="s">
        <v>71</v>
      </c>
      <c r="R300" s="9" t="s">
        <v>83</v>
      </c>
      <c r="S300" s="9" t="s">
        <v>2220</v>
      </c>
      <c r="T300" s="9" t="s">
        <v>2220</v>
      </c>
      <c r="U300" s="9" t="s">
        <v>167</v>
      </c>
      <c r="V300" s="9" t="s">
        <v>148</v>
      </c>
      <c r="W300" s="9" t="s">
        <v>3647</v>
      </c>
      <c r="X300" s="9" t="s">
        <v>3259</v>
      </c>
      <c r="Y300" s="9"/>
      <c r="Z300" s="9" t="s">
        <v>960</v>
      </c>
      <c r="AA300" s="9" t="s">
        <v>3259</v>
      </c>
    </row>
    <row r="301" spans="1:27" x14ac:dyDescent="0.35">
      <c r="A301" s="4" t="str">
        <f>IF(Table5[[#This Row],[SM_Amount__c]]="25.0","FEE",IF(IF(Table5[[#This Row],[SM_Original_Type__c]]="",Table5[[#This Row],[SM_Type__c]],Table5[[#This Row],[SM_Original_Type__c]])="AC","AC","SUBS"))</f>
        <v>SUBS</v>
      </c>
      <c r="B301" s="27">
        <f>IF(INDEX(Contract[SM_AC_start_date__c],MATCH(Table5[[#This Row],[SM_Contract__c]],Contract[Id],0))=0,"",INDEX(Contract[SM_AC_start_date__c],MATCH(Table5[[#This Row],[SM_Contract__c]],Contract[Id],0)))</f>
        <v>46031</v>
      </c>
      <c r="C301" s="27" t="str">
        <f>IF(INDEX(Contract[SM_AC_Split_Date__c],MATCH(Table5[[#This Row],[SM_Contract__c]],Contract[Id],0))=0,"",INDEX(Contract[SM_AC_Split_Date__c],MATCH(Table5[[#This Row],[SM_Contract__c]],Contract[Id],0)))</f>
        <v/>
      </c>
      <c r="D301" s="27">
        <f>IF(INDEX(Contract[SM_Start_date__c],MATCH(Table5[[#This Row],[SM_Contract__c]],Contract[Id],0))=0,"",INDEX(Contract[SM_Start_date__c],MATCH(Table5[[#This Row],[SM_Contract__c]],Contract[Id],0)))</f>
        <v>46068</v>
      </c>
      <c r="E301" s="4">
        <f ca="1">(YEAR(TODAY())-YEAR(Table5[[#This Row],[RC DATE]]))*12 + MONTH(TODAY())-MONTH(Table5[[#This Row],[RC DATE]])</f>
        <v>5</v>
      </c>
      <c r="F30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46157</v>
      </c>
      <c r="G301" s="19">
        <f>IF(Table5[[#This Row],[Payment_Status__c]]="ACCEPTED",1,"")</f>
        <v>1</v>
      </c>
      <c r="H30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01" s="19">
        <f ca="1">Table5[[#This Row],['# months]]-COUNTIFS(Table5[SM_Contract__c],Table5[[#This Row],[SM_Contract__c]],Table5[TYPE],"SUBS",Table5[ACCEPTED],1)</f>
        <v>2</v>
      </c>
      <c r="J301" s="19" t="b">
        <f>ISNUMBER(MATCH(Table5[[#This Row],[SM_Contract__c]],Contract[Id],0))</f>
        <v>1</v>
      </c>
      <c r="K301" s="9" t="s">
        <v>3260</v>
      </c>
      <c r="L301" s="9" t="s">
        <v>3261</v>
      </c>
      <c r="M301" s="9" t="s">
        <v>717</v>
      </c>
      <c r="N301" s="9" t="s">
        <v>3731</v>
      </c>
      <c r="O301" s="9" t="s">
        <v>1563</v>
      </c>
      <c r="P301" s="9" t="s">
        <v>2363</v>
      </c>
      <c r="Q301" s="9" t="s">
        <v>71</v>
      </c>
      <c r="R301" s="9" t="s">
        <v>83</v>
      </c>
      <c r="S301" s="9" t="s">
        <v>167</v>
      </c>
      <c r="T301" s="9" t="s">
        <v>167</v>
      </c>
      <c r="U301" s="9" t="s">
        <v>167</v>
      </c>
      <c r="V301" s="9" t="s">
        <v>93</v>
      </c>
      <c r="W301" s="9" t="s">
        <v>3650</v>
      </c>
      <c r="X301" s="9" t="s">
        <v>3262</v>
      </c>
      <c r="Y301" s="9"/>
      <c r="Z301" s="9" t="s">
        <v>1084</v>
      </c>
      <c r="AA301" s="9" t="s">
        <v>3262</v>
      </c>
    </row>
    <row r="302" spans="1:27" x14ac:dyDescent="0.35">
      <c r="A302" s="4" t="str">
        <f>IF(Table5[[#This Row],[SM_Amount__c]]="25.0","FEE",IF(IF(Table5[[#This Row],[SM_Original_Type__c]]="",Table5[[#This Row],[SM_Type__c]],Table5[[#This Row],[SM_Original_Type__c]])="AC","AC","SUBS"))</f>
        <v>SUBS</v>
      </c>
      <c r="B302" s="27">
        <f>IF(INDEX(Contract[SM_AC_start_date__c],MATCH(Table5[[#This Row],[SM_Contract__c]],Contract[Id],0))=0,"",INDEX(Contract[SM_AC_start_date__c],MATCH(Table5[[#This Row],[SM_Contract__c]],Contract[Id],0)))</f>
        <v>46031</v>
      </c>
      <c r="C302" s="27" t="str">
        <f>IF(INDEX(Contract[SM_AC_Split_Date__c],MATCH(Table5[[#This Row],[SM_Contract__c]],Contract[Id],0))=0,"",INDEX(Contract[SM_AC_Split_Date__c],MATCH(Table5[[#This Row],[SM_Contract__c]],Contract[Id],0)))</f>
        <v/>
      </c>
      <c r="D302" s="27">
        <f>IF(INDEX(Contract[SM_Start_date__c],MATCH(Table5[[#This Row],[SM_Contract__c]],Contract[Id],0))=0,"",INDEX(Contract[SM_Start_date__c],MATCH(Table5[[#This Row],[SM_Contract__c]],Contract[Id],0)))</f>
        <v>46068</v>
      </c>
      <c r="E302" s="4">
        <f ca="1">(YEAR(TODAY())-YEAR(Table5[[#This Row],[RC DATE]]))*12 + MONTH(TODAY())-MONTH(Table5[[#This Row],[RC DATE]])</f>
        <v>5</v>
      </c>
      <c r="F30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46157</v>
      </c>
      <c r="G302" s="19">
        <f>IF(Table5[[#This Row],[Payment_Status__c]]="ACCEPTED",1,"")</f>
        <v>1</v>
      </c>
      <c r="H30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02" s="19">
        <f ca="1">Table5[[#This Row],['# months]]-COUNTIFS(Table5[SM_Contract__c],Table5[[#This Row],[SM_Contract__c]],Table5[TYPE],"SUBS",Table5[ACCEPTED],1)</f>
        <v>2</v>
      </c>
      <c r="J302" s="19" t="b">
        <f>ISNUMBER(MATCH(Table5[[#This Row],[SM_Contract__c]],Contract[Id],0))</f>
        <v>1</v>
      </c>
      <c r="K302" s="9" t="s">
        <v>3263</v>
      </c>
      <c r="L302" s="9" t="s">
        <v>3264</v>
      </c>
      <c r="M302" s="9" t="s">
        <v>717</v>
      </c>
      <c r="N302" s="9" t="s">
        <v>3731</v>
      </c>
      <c r="O302" s="9" t="s">
        <v>1563</v>
      </c>
      <c r="P302" s="9" t="s">
        <v>2363</v>
      </c>
      <c r="Q302" s="9" t="s">
        <v>83</v>
      </c>
      <c r="R302" s="9" t="s">
        <v>76</v>
      </c>
      <c r="S302" s="9" t="s">
        <v>167</v>
      </c>
      <c r="T302" s="9" t="s">
        <v>167</v>
      </c>
      <c r="U302" s="9" t="s">
        <v>167</v>
      </c>
      <c r="V302" s="9" t="s">
        <v>93</v>
      </c>
      <c r="W302" s="9" t="s">
        <v>3622</v>
      </c>
      <c r="X302" s="9" t="s">
        <v>3265</v>
      </c>
      <c r="Y302" s="9"/>
      <c r="Z302" s="9"/>
      <c r="AA302" s="9" t="s">
        <v>3265</v>
      </c>
    </row>
    <row r="303" spans="1:27" x14ac:dyDescent="0.35">
      <c r="A303" s="4" t="str">
        <f>IF(Table5[[#This Row],[SM_Amount__c]]="25.0","FEE",IF(IF(Table5[[#This Row],[SM_Original_Type__c]]="",Table5[[#This Row],[SM_Type__c]],Table5[[#This Row],[SM_Original_Type__c]])="AC","AC","SUBS"))</f>
        <v>AC</v>
      </c>
      <c r="B303" s="27">
        <f>IF(INDEX(Contract[SM_AC_start_date__c],MATCH(Table5[[#This Row],[SM_Contract__c]],Contract[Id],0))=0,"",INDEX(Contract[SM_AC_start_date__c],MATCH(Table5[[#This Row],[SM_Contract__c]],Contract[Id],0)))</f>
        <v>46038</v>
      </c>
      <c r="C303" s="27">
        <f>IF(INDEX(Contract[SM_AC_Split_Date__c],MATCH(Table5[[#This Row],[SM_Contract__c]],Contract[Id],0))=0,"",INDEX(Contract[SM_AC_Split_Date__c],MATCH(Table5[[#This Row],[SM_Contract__c]],Contract[Id],0)))</f>
        <v>46052</v>
      </c>
      <c r="D303" s="27">
        <f>IF(INDEX(Contract[SM_Start_date__c],MATCH(Table5[[#This Row],[SM_Contract__c]],Contract[Id],0))=0,"",INDEX(Contract[SM_Start_date__c],MATCH(Table5[[#This Row],[SM_Contract__c]],Contract[Id],0)))</f>
        <v>46080</v>
      </c>
      <c r="E303" s="4">
        <f ca="1">(YEAR(TODAY())-YEAR(Table5[[#This Row],[RC DATE]]))*12 + MONTH(TODAY())-MONTH(Table5[[#This Row],[RC DATE]])</f>
        <v>5</v>
      </c>
      <c r="F30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3" s="19">
        <f>IF(Table5[[#This Row],[Payment_Status__c]]="ACCEPTED",1,"")</f>
        <v>1</v>
      </c>
      <c r="H303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3" s="19">
        <f ca="1">Table5[[#This Row],['# months]]-COUNTIFS(Table5[SM_Contract__c],Table5[[#This Row],[SM_Contract__c]],Table5[TYPE],"SUBS",Table5[ACCEPTED],1)</f>
        <v>5</v>
      </c>
      <c r="J303" s="19" t="b">
        <f>ISNUMBER(MATCH(Table5[[#This Row],[SM_Contract__c]],Contract[Id],0))</f>
        <v>1</v>
      </c>
      <c r="K303" s="9" t="s">
        <v>3266</v>
      </c>
      <c r="L303" s="9" t="s">
        <v>3267</v>
      </c>
      <c r="M303" s="9" t="s">
        <v>732</v>
      </c>
      <c r="N303" s="9" t="s">
        <v>3732</v>
      </c>
      <c r="O303" s="9" t="s">
        <v>1563</v>
      </c>
      <c r="P303" s="9" t="s">
        <v>2363</v>
      </c>
      <c r="Q303" s="9" t="s">
        <v>77</v>
      </c>
      <c r="R303" s="9" t="s">
        <v>77</v>
      </c>
      <c r="S303" s="9" t="s">
        <v>2189</v>
      </c>
      <c r="T303" s="9" t="s">
        <v>2189</v>
      </c>
      <c r="U303" s="9" t="s">
        <v>2189</v>
      </c>
      <c r="V303" s="9" t="s">
        <v>93</v>
      </c>
      <c r="W303" s="9" t="s">
        <v>3615</v>
      </c>
      <c r="X303" s="9" t="s">
        <v>3268</v>
      </c>
      <c r="Y303" s="9"/>
      <c r="Z303" s="9"/>
      <c r="AA303" s="9" t="s">
        <v>3268</v>
      </c>
    </row>
    <row r="304" spans="1:27" x14ac:dyDescent="0.35">
      <c r="A304" s="4" t="str">
        <f>IF(Table5[[#This Row],[SM_Amount__c]]="25.0","FEE",IF(IF(Table5[[#This Row],[SM_Original_Type__c]]="",Table5[[#This Row],[SM_Type__c]],Table5[[#This Row],[SM_Original_Type__c]])="AC","AC","SUBS"))</f>
        <v>AC</v>
      </c>
      <c r="B304" s="27">
        <f>IF(INDEX(Contract[SM_AC_start_date__c],MATCH(Table5[[#This Row],[SM_Contract__c]],Contract[Id],0))=0,"",INDEX(Contract[SM_AC_start_date__c],MATCH(Table5[[#This Row],[SM_Contract__c]],Contract[Id],0)))</f>
        <v>46038</v>
      </c>
      <c r="C304" s="27">
        <f>IF(INDEX(Contract[SM_AC_Split_Date__c],MATCH(Table5[[#This Row],[SM_Contract__c]],Contract[Id],0))=0,"",INDEX(Contract[SM_AC_Split_Date__c],MATCH(Table5[[#This Row],[SM_Contract__c]],Contract[Id],0)))</f>
        <v>46052</v>
      </c>
      <c r="D304" s="27">
        <f>IF(INDEX(Contract[SM_Start_date__c],MATCH(Table5[[#This Row],[SM_Contract__c]],Contract[Id],0))=0,"",INDEX(Contract[SM_Start_date__c],MATCH(Table5[[#This Row],[SM_Contract__c]],Contract[Id],0)))</f>
        <v>46080</v>
      </c>
      <c r="E304" s="4">
        <f ca="1">(YEAR(TODAY())-YEAR(Table5[[#This Row],[RC DATE]]))*12 + MONTH(TODAY())-MONTH(Table5[[#This Row],[RC DATE]])</f>
        <v>5</v>
      </c>
      <c r="F30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4" s="19">
        <f>IF(Table5[[#This Row],[Payment_Status__c]]="ACCEPTED",1,"")</f>
        <v>1</v>
      </c>
      <c r="H304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4" s="19">
        <f ca="1">Table5[[#This Row],['# months]]-COUNTIFS(Table5[SM_Contract__c],Table5[[#This Row],[SM_Contract__c]],Table5[TYPE],"SUBS",Table5[ACCEPTED],1)</f>
        <v>5</v>
      </c>
      <c r="J304" s="19" t="b">
        <f>ISNUMBER(MATCH(Table5[[#This Row],[SM_Contract__c]],Contract[Id],0))</f>
        <v>1</v>
      </c>
      <c r="K304" s="9" t="s">
        <v>3269</v>
      </c>
      <c r="L304" s="9" t="s">
        <v>3270</v>
      </c>
      <c r="M304" s="9" t="s">
        <v>732</v>
      </c>
      <c r="N304" s="9" t="s">
        <v>3732</v>
      </c>
      <c r="O304" s="9" t="s">
        <v>1563</v>
      </c>
      <c r="P304" s="9" t="s">
        <v>2363</v>
      </c>
      <c r="Q304" s="9" t="s">
        <v>77</v>
      </c>
      <c r="R304" s="9" t="s">
        <v>77</v>
      </c>
      <c r="S304" s="9" t="s">
        <v>2189</v>
      </c>
      <c r="T304" s="9" t="s">
        <v>2189</v>
      </c>
      <c r="U304" s="9" t="s">
        <v>2189</v>
      </c>
      <c r="V304" s="9" t="s">
        <v>93</v>
      </c>
      <c r="W304" s="9" t="s">
        <v>3615</v>
      </c>
      <c r="X304" s="9" t="s">
        <v>3271</v>
      </c>
      <c r="Y304" s="9"/>
      <c r="Z304" s="9"/>
      <c r="AA304" s="9" t="s">
        <v>3271</v>
      </c>
    </row>
    <row r="305" spans="1:27" x14ac:dyDescent="0.35">
      <c r="A305" s="4" t="str">
        <f>IF(Table5[[#This Row],[SM_Amount__c]]="25.0","FEE",IF(IF(Table5[[#This Row],[SM_Original_Type__c]]="",Table5[[#This Row],[SM_Type__c]],Table5[[#This Row],[SM_Original_Type__c]])="AC","AC","SUBS"))</f>
        <v>AC</v>
      </c>
      <c r="B305" s="27">
        <f>IF(INDEX(Contract[SM_AC_start_date__c],MATCH(Table5[[#This Row],[SM_Contract__c]],Contract[Id],0))=0,"",INDEX(Contract[SM_AC_start_date__c],MATCH(Table5[[#This Row],[SM_Contract__c]],Contract[Id],0)))</f>
        <v>46038</v>
      </c>
      <c r="C305" s="27">
        <f>IF(INDEX(Contract[SM_AC_Split_Date__c],MATCH(Table5[[#This Row],[SM_Contract__c]],Contract[Id],0))=0,"",INDEX(Contract[SM_AC_Split_Date__c],MATCH(Table5[[#This Row],[SM_Contract__c]],Contract[Id],0)))</f>
        <v>46052</v>
      </c>
      <c r="D305" s="27">
        <f>IF(INDEX(Contract[SM_Start_date__c],MATCH(Table5[[#This Row],[SM_Contract__c]],Contract[Id],0))=0,"",INDEX(Contract[SM_Start_date__c],MATCH(Table5[[#This Row],[SM_Contract__c]],Contract[Id],0)))</f>
        <v>46080</v>
      </c>
      <c r="E305" s="4">
        <f ca="1">(YEAR(TODAY())-YEAR(Table5[[#This Row],[RC DATE]]))*12 + MONTH(TODAY())-MONTH(Table5[[#This Row],[RC DATE]])</f>
        <v>5</v>
      </c>
      <c r="F30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5" s="19">
        <f>IF(Table5[[#This Row],[Payment_Status__c]]="ACCEPTED",1,"")</f>
        <v>1</v>
      </c>
      <c r="H305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5" s="19">
        <f ca="1">Table5[[#This Row],['# months]]-COUNTIFS(Table5[SM_Contract__c],Table5[[#This Row],[SM_Contract__c]],Table5[TYPE],"SUBS",Table5[ACCEPTED],1)</f>
        <v>5</v>
      </c>
      <c r="J305" s="19" t="b">
        <f>ISNUMBER(MATCH(Table5[[#This Row],[SM_Contract__c]],Contract[Id],0))</f>
        <v>1</v>
      </c>
      <c r="K305" s="9" t="s">
        <v>3272</v>
      </c>
      <c r="L305" s="9" t="s">
        <v>3273</v>
      </c>
      <c r="M305" s="9" t="s">
        <v>732</v>
      </c>
      <c r="N305" s="9" t="s">
        <v>3732</v>
      </c>
      <c r="O305" s="9" t="s">
        <v>1563</v>
      </c>
      <c r="P305" s="9" t="s">
        <v>2363</v>
      </c>
      <c r="Q305" s="9" t="s">
        <v>77</v>
      </c>
      <c r="R305" s="9" t="s">
        <v>77</v>
      </c>
      <c r="S305" s="9" t="s">
        <v>2189</v>
      </c>
      <c r="T305" s="9" t="s">
        <v>2189</v>
      </c>
      <c r="U305" s="9" t="s">
        <v>2189</v>
      </c>
      <c r="V305" s="9" t="s">
        <v>93</v>
      </c>
      <c r="W305" s="9" t="s">
        <v>3635</v>
      </c>
      <c r="X305" s="9" t="s">
        <v>3274</v>
      </c>
      <c r="Y305" s="9"/>
      <c r="Z305" s="9"/>
      <c r="AA305" s="9" t="s">
        <v>3274</v>
      </c>
    </row>
    <row r="306" spans="1:27" x14ac:dyDescent="0.35">
      <c r="A306" s="4" t="str">
        <f>IF(Table5[[#This Row],[SM_Amount__c]]="25.0","FEE",IF(IF(Table5[[#This Row],[SM_Original_Type__c]]="",Table5[[#This Row],[SM_Type__c]],Table5[[#This Row],[SM_Original_Type__c]])="AC","AC","SUBS"))</f>
        <v>AC</v>
      </c>
      <c r="B306" s="27">
        <f>IF(INDEX(Contract[SM_AC_start_date__c],MATCH(Table5[[#This Row],[SM_Contract__c]],Contract[Id],0))=0,"",INDEX(Contract[SM_AC_start_date__c],MATCH(Table5[[#This Row],[SM_Contract__c]],Contract[Id],0)))</f>
        <v>46038</v>
      </c>
      <c r="C306" s="27">
        <f>IF(INDEX(Contract[SM_AC_Split_Date__c],MATCH(Table5[[#This Row],[SM_Contract__c]],Contract[Id],0))=0,"",INDEX(Contract[SM_AC_Split_Date__c],MATCH(Table5[[#This Row],[SM_Contract__c]],Contract[Id],0)))</f>
        <v>46052</v>
      </c>
      <c r="D306" s="27">
        <f>IF(INDEX(Contract[SM_Start_date__c],MATCH(Table5[[#This Row],[SM_Contract__c]],Contract[Id],0))=0,"",INDEX(Contract[SM_Start_date__c],MATCH(Table5[[#This Row],[SM_Contract__c]],Contract[Id],0)))</f>
        <v>46080</v>
      </c>
      <c r="E306" s="4">
        <f ca="1">(YEAR(TODAY())-YEAR(Table5[[#This Row],[RC DATE]]))*12 + MONTH(TODAY())-MONTH(Table5[[#This Row],[RC DATE]])</f>
        <v>5</v>
      </c>
      <c r="F30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6" s="19">
        <f>IF(Table5[[#This Row],[Payment_Status__c]]="ACCEPTED",1,"")</f>
        <v>1</v>
      </c>
      <c r="H306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6" s="19">
        <f ca="1">Table5[[#This Row],['# months]]-COUNTIFS(Table5[SM_Contract__c],Table5[[#This Row],[SM_Contract__c]],Table5[TYPE],"SUBS",Table5[ACCEPTED],1)</f>
        <v>5</v>
      </c>
      <c r="J306" s="19" t="b">
        <f>ISNUMBER(MATCH(Table5[[#This Row],[SM_Contract__c]],Contract[Id],0))</f>
        <v>1</v>
      </c>
      <c r="K306" s="9" t="s">
        <v>3275</v>
      </c>
      <c r="L306" s="9" t="s">
        <v>3276</v>
      </c>
      <c r="M306" s="9" t="s">
        <v>732</v>
      </c>
      <c r="N306" s="9" t="s">
        <v>3732</v>
      </c>
      <c r="O306" s="9" t="s">
        <v>1563</v>
      </c>
      <c r="P306" s="9" t="s">
        <v>2363</v>
      </c>
      <c r="Q306" s="9" t="s">
        <v>71</v>
      </c>
      <c r="R306" s="9" t="s">
        <v>77</v>
      </c>
      <c r="S306" s="9" t="s">
        <v>2218</v>
      </c>
      <c r="T306" s="9" t="s">
        <v>2218</v>
      </c>
      <c r="U306" s="9" t="s">
        <v>2189</v>
      </c>
      <c r="V306" s="9" t="s">
        <v>148</v>
      </c>
      <c r="W306" s="9" t="s">
        <v>3626</v>
      </c>
      <c r="X306" s="9" t="s">
        <v>3277</v>
      </c>
      <c r="Y306" s="9"/>
      <c r="Z306" s="9" t="s">
        <v>790</v>
      </c>
      <c r="AA306" s="9" t="s">
        <v>3277</v>
      </c>
    </row>
    <row r="307" spans="1:27" x14ac:dyDescent="0.35">
      <c r="A307" s="4" t="str">
        <f>IF(Table5[[#This Row],[SM_Amount__c]]="25.0","FEE",IF(IF(Table5[[#This Row],[SM_Original_Type__c]]="",Table5[[#This Row],[SM_Type__c]],Table5[[#This Row],[SM_Original_Type__c]])="AC","AC","SUBS"))</f>
        <v>AC</v>
      </c>
      <c r="B307" s="27">
        <f>IF(INDEX(Contract[SM_AC_start_date__c],MATCH(Table5[[#This Row],[SM_Contract__c]],Contract[Id],0))=0,"",INDEX(Contract[SM_AC_start_date__c],MATCH(Table5[[#This Row],[SM_Contract__c]],Contract[Id],0)))</f>
        <v>46038</v>
      </c>
      <c r="C307" s="27">
        <f>IF(INDEX(Contract[SM_AC_Split_Date__c],MATCH(Table5[[#This Row],[SM_Contract__c]],Contract[Id],0))=0,"",INDEX(Contract[SM_AC_Split_Date__c],MATCH(Table5[[#This Row],[SM_Contract__c]],Contract[Id],0)))</f>
        <v>46052</v>
      </c>
      <c r="D307" s="27">
        <f>IF(INDEX(Contract[SM_Start_date__c],MATCH(Table5[[#This Row],[SM_Contract__c]],Contract[Id],0))=0,"",INDEX(Contract[SM_Start_date__c],MATCH(Table5[[#This Row],[SM_Contract__c]],Contract[Id],0)))</f>
        <v>46080</v>
      </c>
      <c r="E307" s="4">
        <f ca="1">(YEAR(TODAY())-YEAR(Table5[[#This Row],[RC DATE]]))*12 + MONTH(TODAY())-MONTH(Table5[[#This Row],[RC DATE]])</f>
        <v>5</v>
      </c>
      <c r="F30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7" s="19">
        <f>IF(Table5[[#This Row],[Payment_Status__c]]="ACCEPTED",1,"")</f>
        <v>1</v>
      </c>
      <c r="H307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7" s="19">
        <f ca="1">Table5[[#This Row],['# months]]-COUNTIFS(Table5[SM_Contract__c],Table5[[#This Row],[SM_Contract__c]],Table5[TYPE],"SUBS",Table5[ACCEPTED],1)</f>
        <v>5</v>
      </c>
      <c r="J307" s="19" t="b">
        <f>ISNUMBER(MATCH(Table5[[#This Row],[SM_Contract__c]],Contract[Id],0))</f>
        <v>1</v>
      </c>
      <c r="K307" s="9" t="s">
        <v>3278</v>
      </c>
      <c r="L307" s="9" t="s">
        <v>3279</v>
      </c>
      <c r="M307" s="9" t="s">
        <v>732</v>
      </c>
      <c r="N307" s="9" t="s">
        <v>3732</v>
      </c>
      <c r="O307" s="9" t="s">
        <v>1563</v>
      </c>
      <c r="P307" s="9" t="s">
        <v>2363</v>
      </c>
      <c r="Q307" s="9" t="s">
        <v>71</v>
      </c>
      <c r="R307" s="9" t="s">
        <v>77</v>
      </c>
      <c r="S307" s="9" t="s">
        <v>2218</v>
      </c>
      <c r="T307" s="9" t="s">
        <v>2218</v>
      </c>
      <c r="U307" s="9" t="s">
        <v>2189</v>
      </c>
      <c r="V307" s="9" t="s">
        <v>148</v>
      </c>
      <c r="W307" s="9" t="s">
        <v>3626</v>
      </c>
      <c r="X307" s="9" t="s">
        <v>3280</v>
      </c>
      <c r="Y307" s="9"/>
      <c r="Z307" s="9" t="s">
        <v>793</v>
      </c>
      <c r="AA307" s="9" t="s">
        <v>3280</v>
      </c>
    </row>
    <row r="308" spans="1:27" x14ac:dyDescent="0.35">
      <c r="A308" s="4" t="str">
        <f>IF(Table5[[#This Row],[SM_Amount__c]]="25.0","FEE",IF(IF(Table5[[#This Row],[SM_Original_Type__c]]="",Table5[[#This Row],[SM_Type__c]],Table5[[#This Row],[SM_Original_Type__c]])="AC","AC","SUBS"))</f>
        <v>AC</v>
      </c>
      <c r="B308" s="27">
        <f>IF(INDEX(Contract[SM_AC_start_date__c],MATCH(Table5[[#This Row],[SM_Contract__c]],Contract[Id],0))=0,"",INDEX(Contract[SM_AC_start_date__c],MATCH(Table5[[#This Row],[SM_Contract__c]],Contract[Id],0)))</f>
        <v>46038</v>
      </c>
      <c r="C308" s="27">
        <f>IF(INDEX(Contract[SM_AC_Split_Date__c],MATCH(Table5[[#This Row],[SM_Contract__c]],Contract[Id],0))=0,"",INDEX(Contract[SM_AC_Split_Date__c],MATCH(Table5[[#This Row],[SM_Contract__c]],Contract[Id],0)))</f>
        <v>46052</v>
      </c>
      <c r="D308" s="27">
        <f>IF(INDEX(Contract[SM_Start_date__c],MATCH(Table5[[#This Row],[SM_Contract__c]],Contract[Id],0))=0,"",INDEX(Contract[SM_Start_date__c],MATCH(Table5[[#This Row],[SM_Contract__c]],Contract[Id],0)))</f>
        <v>46080</v>
      </c>
      <c r="E308" s="4">
        <f ca="1">(YEAR(TODAY())-YEAR(Table5[[#This Row],[RC DATE]]))*12 + MONTH(TODAY())-MONTH(Table5[[#This Row],[RC DATE]])</f>
        <v>5</v>
      </c>
      <c r="F30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8" s="19">
        <f>IF(Table5[[#This Row],[Payment_Status__c]]="ACCEPTED",1,"")</f>
        <v>1</v>
      </c>
      <c r="H308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8" s="19">
        <f ca="1">Table5[[#This Row],['# months]]-COUNTIFS(Table5[SM_Contract__c],Table5[[#This Row],[SM_Contract__c]],Table5[TYPE],"SUBS",Table5[ACCEPTED],1)</f>
        <v>5</v>
      </c>
      <c r="J308" s="19" t="b">
        <f>ISNUMBER(MATCH(Table5[[#This Row],[SM_Contract__c]],Contract[Id],0))</f>
        <v>1</v>
      </c>
      <c r="K308" s="9" t="s">
        <v>3281</v>
      </c>
      <c r="L308" s="9" t="s">
        <v>3282</v>
      </c>
      <c r="M308" s="9" t="s">
        <v>732</v>
      </c>
      <c r="N308" s="9" t="s">
        <v>3732</v>
      </c>
      <c r="O308" s="9" t="s">
        <v>1563</v>
      </c>
      <c r="P308" s="9" t="s">
        <v>2363</v>
      </c>
      <c r="Q308" s="9" t="s">
        <v>71</v>
      </c>
      <c r="R308" s="9" t="s">
        <v>77</v>
      </c>
      <c r="S308" s="9" t="s">
        <v>2218</v>
      </c>
      <c r="T308" s="9" t="s">
        <v>2218</v>
      </c>
      <c r="U308" s="9" t="s">
        <v>2189</v>
      </c>
      <c r="V308" s="9" t="s">
        <v>148</v>
      </c>
      <c r="W308" s="9" t="s">
        <v>3626</v>
      </c>
      <c r="X308" s="9" t="s">
        <v>2990</v>
      </c>
      <c r="Y308" s="9"/>
      <c r="Z308" s="9" t="s">
        <v>808</v>
      </c>
      <c r="AA308" s="9" t="s">
        <v>2990</v>
      </c>
    </row>
    <row r="309" spans="1:27" x14ac:dyDescent="0.35">
      <c r="A309" s="17" t="str">
        <f>IF(Table5[[#This Row],[SM_Amount__c]]="25.0","FEE",IF(IF(Table5[[#This Row],[SM_Original_Type__c]]="",Table5[[#This Row],[SM_Type__c]],Table5[[#This Row],[SM_Original_Type__c]])="AC","AC","SUBS"))</f>
        <v>AC</v>
      </c>
      <c r="B309" s="32">
        <f>IF(INDEX(Contract[SM_AC_start_date__c],MATCH(Table5[[#This Row],[SM_Contract__c]],Contract[Id],0))=0,"",INDEX(Contract[SM_AC_start_date__c],MATCH(Table5[[#This Row],[SM_Contract__c]],Contract[Id],0)))</f>
        <v>46038</v>
      </c>
      <c r="C309" s="32">
        <f>IF(INDEX(Contract[SM_AC_Split_Date__c],MATCH(Table5[[#This Row],[SM_Contract__c]],Contract[Id],0))=0,"",INDEX(Contract[SM_AC_Split_Date__c],MATCH(Table5[[#This Row],[SM_Contract__c]],Contract[Id],0)))</f>
        <v>46052</v>
      </c>
      <c r="D309" s="32">
        <f>IF(INDEX(Contract[SM_Start_date__c],MATCH(Table5[[#This Row],[SM_Contract__c]],Contract[Id],0))=0,"",INDEX(Contract[SM_Start_date__c],MATCH(Table5[[#This Row],[SM_Contract__c]],Contract[Id],0)))</f>
        <v>46080</v>
      </c>
      <c r="E309" s="17">
        <f ca="1">(YEAR(TODAY())-YEAR(Table5[[#This Row],[RC DATE]]))*12 + MONTH(TODAY())-MONTH(Table5[[#This Row],[RC DATE]])</f>
        <v>5</v>
      </c>
      <c r="F309" s="32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09" s="34">
        <f>IF(Table5[[#This Row],[Payment_Status__c]]="ACCEPTED",1,"")</f>
        <v>1</v>
      </c>
      <c r="H309" s="32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09" s="34">
        <f ca="1">Table5[[#This Row],['# months]]-COUNTIFS(Table5[SM_Contract__c],Table5[[#This Row],[SM_Contract__c]],Table5[TYPE],"SUBS",Table5[ACCEPTED],1)</f>
        <v>5</v>
      </c>
      <c r="J309" s="34" t="b">
        <f>ISNUMBER(MATCH(Table5[[#This Row],[SM_Contract__c]],Contract[Id],0))</f>
        <v>1</v>
      </c>
      <c r="K309" s="33" t="s">
        <v>3283</v>
      </c>
      <c r="L309" s="33" t="s">
        <v>3284</v>
      </c>
      <c r="M309" s="33" t="s">
        <v>732</v>
      </c>
      <c r="N309" s="33" t="s">
        <v>3732</v>
      </c>
      <c r="O309" s="33" t="s">
        <v>1563</v>
      </c>
      <c r="P309" s="33" t="s">
        <v>2363</v>
      </c>
      <c r="Q309" s="33" t="s">
        <v>77</v>
      </c>
      <c r="R309" s="33" t="s">
        <v>77</v>
      </c>
      <c r="S309" s="33" t="s">
        <v>2189</v>
      </c>
      <c r="T309" s="33" t="s">
        <v>2189</v>
      </c>
      <c r="U309" s="33" t="s">
        <v>2189</v>
      </c>
      <c r="V309" s="33" t="s">
        <v>93</v>
      </c>
      <c r="W309" s="33" t="s">
        <v>3635</v>
      </c>
      <c r="X309" s="33" t="s">
        <v>3285</v>
      </c>
      <c r="Y309" s="33"/>
      <c r="Z309" s="33"/>
      <c r="AA309" s="33" t="s">
        <v>3285</v>
      </c>
    </row>
    <row r="310" spans="1:27" x14ac:dyDescent="0.35">
      <c r="A310" s="4" t="str">
        <f>IF(Table5[[#This Row],[SM_Amount__c]]="25.0","FEE",IF(IF(Table5[[#This Row],[SM_Original_Type__c]]="",Table5[[#This Row],[SM_Type__c]],Table5[[#This Row],[SM_Original_Type__c]])="AC","AC","SUBS"))</f>
        <v>AC</v>
      </c>
      <c r="B310" s="27">
        <f>IF(INDEX(Contract[SM_AC_start_date__c],MATCH(Table5[[#This Row],[SM_Contract__c]],Contract[Id],0))=0,"",INDEX(Contract[SM_AC_start_date__c],MATCH(Table5[[#This Row],[SM_Contract__c]],Contract[Id],0)))</f>
        <v>46038</v>
      </c>
      <c r="C310" s="27">
        <f>IF(INDEX(Contract[SM_AC_Split_Date__c],MATCH(Table5[[#This Row],[SM_Contract__c]],Contract[Id],0))=0,"",INDEX(Contract[SM_AC_Split_Date__c],MATCH(Table5[[#This Row],[SM_Contract__c]],Contract[Id],0)))</f>
        <v>46052</v>
      </c>
      <c r="D310" s="27">
        <f>IF(INDEX(Contract[SM_Start_date__c],MATCH(Table5[[#This Row],[SM_Contract__c]],Contract[Id],0))=0,"",INDEX(Contract[SM_Start_date__c],MATCH(Table5[[#This Row],[SM_Contract__c]],Contract[Id],0)))</f>
        <v>46080</v>
      </c>
      <c r="E310" s="4">
        <f ca="1">(YEAR(TODAY())-YEAR(Table5[[#This Row],[RC DATE]]))*12 + MONTH(TODAY())-MONTH(Table5[[#This Row],[RC DATE]])</f>
        <v>5</v>
      </c>
      <c r="F31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0" s="19">
        <f>IF(Table5[[#This Row],[Payment_Status__c]]="ACCEPTED",1,"")</f>
        <v>1</v>
      </c>
      <c r="H310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0" s="19">
        <f ca="1">Table5[[#This Row],['# months]]-COUNTIFS(Table5[SM_Contract__c],Table5[[#This Row],[SM_Contract__c]],Table5[TYPE],"SUBS",Table5[ACCEPTED],1)</f>
        <v>5</v>
      </c>
      <c r="J310" s="19" t="b">
        <f>ISNUMBER(MATCH(Table5[[#This Row],[SM_Contract__c]],Contract[Id],0))</f>
        <v>1</v>
      </c>
      <c r="K310" s="9" t="s">
        <v>3286</v>
      </c>
      <c r="L310" s="9" t="s">
        <v>3287</v>
      </c>
      <c r="M310" s="9" t="s">
        <v>732</v>
      </c>
      <c r="N310" s="9" t="s">
        <v>3732</v>
      </c>
      <c r="O310" s="9" t="s">
        <v>1563</v>
      </c>
      <c r="P310" s="9" t="s">
        <v>2363</v>
      </c>
      <c r="Q310" s="9" t="s">
        <v>71</v>
      </c>
      <c r="R310" s="9" t="s">
        <v>77</v>
      </c>
      <c r="S310" s="9" t="s">
        <v>2218</v>
      </c>
      <c r="T310" s="9" t="s">
        <v>2218</v>
      </c>
      <c r="U310" s="9" t="s">
        <v>2189</v>
      </c>
      <c r="V310" s="9" t="s">
        <v>148</v>
      </c>
      <c r="W310" s="9" t="s">
        <v>3626</v>
      </c>
      <c r="X310" s="9" t="s">
        <v>3086</v>
      </c>
      <c r="Y310" s="9"/>
      <c r="Z310" s="9" t="s">
        <v>784</v>
      </c>
      <c r="AA310" s="9" t="s">
        <v>3086</v>
      </c>
    </row>
    <row r="311" spans="1:27" x14ac:dyDescent="0.35">
      <c r="A311" s="17" t="str">
        <f>IF(Table5[[#This Row],[SM_Amount__c]]="25.0","FEE",IF(IF(Table5[[#This Row],[SM_Original_Type__c]]="",Table5[[#This Row],[SM_Type__c]],Table5[[#This Row],[SM_Original_Type__c]])="AC","AC","SUBS"))</f>
        <v>AC</v>
      </c>
      <c r="B311" s="32">
        <f>IF(INDEX(Contract[SM_AC_start_date__c],MATCH(Table5[[#This Row],[SM_Contract__c]],Contract[Id],0))=0,"",INDEX(Contract[SM_AC_start_date__c],MATCH(Table5[[#This Row],[SM_Contract__c]],Contract[Id],0)))</f>
        <v>46038</v>
      </c>
      <c r="C311" s="32">
        <f>IF(INDEX(Contract[SM_AC_Split_Date__c],MATCH(Table5[[#This Row],[SM_Contract__c]],Contract[Id],0))=0,"",INDEX(Contract[SM_AC_Split_Date__c],MATCH(Table5[[#This Row],[SM_Contract__c]],Contract[Id],0)))</f>
        <v>46052</v>
      </c>
      <c r="D311" s="32">
        <f>IF(INDEX(Contract[SM_Start_date__c],MATCH(Table5[[#This Row],[SM_Contract__c]],Contract[Id],0))=0,"",INDEX(Contract[SM_Start_date__c],MATCH(Table5[[#This Row],[SM_Contract__c]],Contract[Id],0)))</f>
        <v>46080</v>
      </c>
      <c r="E311" s="17">
        <f ca="1">(YEAR(TODAY())-YEAR(Table5[[#This Row],[RC DATE]]))*12 + MONTH(TODAY())-MONTH(Table5[[#This Row],[RC DATE]])</f>
        <v>5</v>
      </c>
      <c r="F311" s="32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1" s="34">
        <f>IF(Table5[[#This Row],[Payment_Status__c]]="ACCEPTED",1,"")</f>
        <v>1</v>
      </c>
      <c r="H311" s="32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1" s="34">
        <f ca="1">Table5[[#This Row],['# months]]-COUNTIFS(Table5[SM_Contract__c],Table5[[#This Row],[SM_Contract__c]],Table5[TYPE],"SUBS",Table5[ACCEPTED],1)</f>
        <v>5</v>
      </c>
      <c r="J311" s="34" t="b">
        <f>ISNUMBER(MATCH(Table5[[#This Row],[SM_Contract__c]],Contract[Id],0))</f>
        <v>1</v>
      </c>
      <c r="K311" s="33" t="s">
        <v>3288</v>
      </c>
      <c r="L311" s="33" t="s">
        <v>3289</v>
      </c>
      <c r="M311" s="33" t="s">
        <v>732</v>
      </c>
      <c r="N311" s="33" t="s">
        <v>3732</v>
      </c>
      <c r="O311" s="33" t="s">
        <v>1563</v>
      </c>
      <c r="P311" s="33" t="s">
        <v>2363</v>
      </c>
      <c r="Q311" s="33" t="s">
        <v>77</v>
      </c>
      <c r="R311" s="33" t="s">
        <v>77</v>
      </c>
      <c r="S311" s="33" t="s">
        <v>2189</v>
      </c>
      <c r="T311" s="33" t="s">
        <v>2189</v>
      </c>
      <c r="U311" s="33" t="s">
        <v>2189</v>
      </c>
      <c r="V311" s="33" t="s">
        <v>93</v>
      </c>
      <c r="W311" s="33" t="s">
        <v>3626</v>
      </c>
      <c r="X311" s="33" t="s">
        <v>3290</v>
      </c>
      <c r="Y311" s="33"/>
      <c r="Z311" s="33"/>
      <c r="AA311" s="33" t="s">
        <v>3290</v>
      </c>
    </row>
    <row r="312" spans="1:27" x14ac:dyDescent="0.35">
      <c r="A312" s="4" t="str">
        <f>IF(Table5[[#This Row],[SM_Amount__c]]="25.0","FEE",IF(IF(Table5[[#This Row],[SM_Original_Type__c]]="",Table5[[#This Row],[SM_Type__c]],Table5[[#This Row],[SM_Original_Type__c]])="AC","AC","SUBS"))</f>
        <v>AC</v>
      </c>
      <c r="B312" s="27">
        <f>IF(INDEX(Contract[SM_AC_start_date__c],MATCH(Table5[[#This Row],[SM_Contract__c]],Contract[Id],0))=0,"",INDEX(Contract[SM_AC_start_date__c],MATCH(Table5[[#This Row],[SM_Contract__c]],Contract[Id],0)))</f>
        <v>46038</v>
      </c>
      <c r="C312" s="27">
        <f>IF(INDEX(Contract[SM_AC_Split_Date__c],MATCH(Table5[[#This Row],[SM_Contract__c]],Contract[Id],0))=0,"",INDEX(Contract[SM_AC_Split_Date__c],MATCH(Table5[[#This Row],[SM_Contract__c]],Contract[Id],0)))</f>
        <v>46052</v>
      </c>
      <c r="D312" s="27">
        <f>IF(INDEX(Contract[SM_Start_date__c],MATCH(Table5[[#This Row],[SM_Contract__c]],Contract[Id],0))=0,"",INDEX(Contract[SM_Start_date__c],MATCH(Table5[[#This Row],[SM_Contract__c]],Contract[Id],0)))</f>
        <v>46080</v>
      </c>
      <c r="E312" s="4">
        <f ca="1">(YEAR(TODAY())-YEAR(Table5[[#This Row],[RC DATE]]))*12 + MONTH(TODAY())-MONTH(Table5[[#This Row],[RC DATE]])</f>
        <v>5</v>
      </c>
      <c r="F31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2" s="19">
        <f>IF(Table5[[#This Row],[Payment_Status__c]]="ACCEPTED",1,"")</f>
        <v>1</v>
      </c>
      <c r="H312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2" s="19">
        <f ca="1">Table5[[#This Row],['# months]]-COUNTIFS(Table5[SM_Contract__c],Table5[[#This Row],[SM_Contract__c]],Table5[TYPE],"SUBS",Table5[ACCEPTED],1)</f>
        <v>5</v>
      </c>
      <c r="J312" s="19" t="b">
        <f>ISNUMBER(MATCH(Table5[[#This Row],[SM_Contract__c]],Contract[Id],0))</f>
        <v>1</v>
      </c>
      <c r="K312" s="9" t="s">
        <v>3291</v>
      </c>
      <c r="L312" s="9" t="s">
        <v>3292</v>
      </c>
      <c r="M312" s="9" t="s">
        <v>732</v>
      </c>
      <c r="N312" s="9" t="s">
        <v>3732</v>
      </c>
      <c r="O312" s="9" t="s">
        <v>1563</v>
      </c>
      <c r="P312" s="9" t="s">
        <v>2363</v>
      </c>
      <c r="Q312" s="9" t="s">
        <v>71</v>
      </c>
      <c r="R312" s="9" t="s">
        <v>77</v>
      </c>
      <c r="S312" s="9" t="s">
        <v>2218</v>
      </c>
      <c r="T312" s="9" t="s">
        <v>2218</v>
      </c>
      <c r="U312" s="9" t="s">
        <v>2189</v>
      </c>
      <c r="V312" s="9" t="s">
        <v>148</v>
      </c>
      <c r="W312" s="9" t="s">
        <v>3688</v>
      </c>
      <c r="X312" s="9" t="s">
        <v>3293</v>
      </c>
      <c r="Y312" s="9"/>
      <c r="Z312" s="9" t="s">
        <v>799</v>
      </c>
      <c r="AA312" s="9" t="s">
        <v>3293</v>
      </c>
    </row>
    <row r="313" spans="1:27" x14ac:dyDescent="0.35">
      <c r="A313" s="4" t="str">
        <f>IF(Table5[[#This Row],[SM_Amount__c]]="25.0","FEE",IF(IF(Table5[[#This Row],[SM_Original_Type__c]]="",Table5[[#This Row],[SM_Type__c]],Table5[[#This Row],[SM_Original_Type__c]])="AC","AC","SUBS"))</f>
        <v>AC</v>
      </c>
      <c r="B313" s="27">
        <f>IF(INDEX(Contract[SM_AC_start_date__c],MATCH(Table5[[#This Row],[SM_Contract__c]],Contract[Id],0))=0,"",INDEX(Contract[SM_AC_start_date__c],MATCH(Table5[[#This Row],[SM_Contract__c]],Contract[Id],0)))</f>
        <v>46038</v>
      </c>
      <c r="C313" s="27">
        <f>IF(INDEX(Contract[SM_AC_Split_Date__c],MATCH(Table5[[#This Row],[SM_Contract__c]],Contract[Id],0))=0,"",INDEX(Contract[SM_AC_Split_Date__c],MATCH(Table5[[#This Row],[SM_Contract__c]],Contract[Id],0)))</f>
        <v>46052</v>
      </c>
      <c r="D313" s="27">
        <f>IF(INDEX(Contract[SM_Start_date__c],MATCH(Table5[[#This Row],[SM_Contract__c]],Contract[Id],0))=0,"",INDEX(Contract[SM_Start_date__c],MATCH(Table5[[#This Row],[SM_Contract__c]],Contract[Id],0)))</f>
        <v>46080</v>
      </c>
      <c r="E313" s="4">
        <f ca="1">(YEAR(TODAY())-YEAR(Table5[[#This Row],[RC DATE]]))*12 + MONTH(TODAY())-MONTH(Table5[[#This Row],[RC DATE]])</f>
        <v>5</v>
      </c>
      <c r="F31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3" s="19" t="str">
        <f>IF(Table5[[#This Row],[Payment_Status__c]]="ACCEPTED",1,"")</f>
        <v/>
      </c>
      <c r="H313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3" s="19">
        <f ca="1">Table5[[#This Row],['# months]]-COUNTIFS(Table5[SM_Contract__c],Table5[[#This Row],[SM_Contract__c]],Table5[TYPE],"SUBS",Table5[ACCEPTED],1)</f>
        <v>5</v>
      </c>
      <c r="J313" s="19" t="b">
        <f>ISNUMBER(MATCH(Table5[[#This Row],[SM_Contract__c]],Contract[Id],0))</f>
        <v>1</v>
      </c>
      <c r="K313" s="9" t="s">
        <v>3294</v>
      </c>
      <c r="L313" s="9" t="s">
        <v>3295</v>
      </c>
      <c r="M313" s="9" t="s">
        <v>732</v>
      </c>
      <c r="N313" s="9" t="s">
        <v>3732</v>
      </c>
      <c r="O313" s="9" t="s">
        <v>1563</v>
      </c>
      <c r="P313" s="9" t="s">
        <v>2364</v>
      </c>
      <c r="Q313" s="9" t="s">
        <v>71</v>
      </c>
      <c r="R313" s="9" t="s">
        <v>77</v>
      </c>
      <c r="S313" s="9" t="s">
        <v>3296</v>
      </c>
      <c r="T313" s="9" t="s">
        <v>3296</v>
      </c>
      <c r="U313" s="9" t="s">
        <v>3297</v>
      </c>
      <c r="V313" s="9" t="s">
        <v>2366</v>
      </c>
      <c r="W313" s="9" t="s">
        <v>3688</v>
      </c>
      <c r="X313" s="9" t="s">
        <v>3298</v>
      </c>
      <c r="Y313" s="9" t="s">
        <v>3291</v>
      </c>
      <c r="Z313" s="9" t="s">
        <v>799</v>
      </c>
      <c r="AA313" s="9" t="s">
        <v>3299</v>
      </c>
    </row>
    <row r="314" spans="1:27" x14ac:dyDescent="0.35">
      <c r="A314" s="4" t="str">
        <f>IF(Table5[[#This Row],[SM_Amount__c]]="25.0","FEE",IF(IF(Table5[[#This Row],[SM_Original_Type__c]]="",Table5[[#This Row],[SM_Type__c]],Table5[[#This Row],[SM_Original_Type__c]])="AC","AC","SUBS"))</f>
        <v>AC</v>
      </c>
      <c r="B314" s="27">
        <f>IF(INDEX(Contract[SM_AC_start_date__c],MATCH(Table5[[#This Row],[SM_Contract__c]],Contract[Id],0))=0,"",INDEX(Contract[SM_AC_start_date__c],MATCH(Table5[[#This Row],[SM_Contract__c]],Contract[Id],0)))</f>
        <v>46038</v>
      </c>
      <c r="C314" s="27">
        <f>IF(INDEX(Contract[SM_AC_Split_Date__c],MATCH(Table5[[#This Row],[SM_Contract__c]],Contract[Id],0))=0,"",INDEX(Contract[SM_AC_Split_Date__c],MATCH(Table5[[#This Row],[SM_Contract__c]],Contract[Id],0)))</f>
        <v>46052</v>
      </c>
      <c r="D314" s="27">
        <f>IF(INDEX(Contract[SM_Start_date__c],MATCH(Table5[[#This Row],[SM_Contract__c]],Contract[Id],0))=0,"",INDEX(Contract[SM_Start_date__c],MATCH(Table5[[#This Row],[SM_Contract__c]],Contract[Id],0)))</f>
        <v>46080</v>
      </c>
      <c r="E314" s="4">
        <f ca="1">(YEAR(TODAY())-YEAR(Table5[[#This Row],[RC DATE]]))*12 + MONTH(TODAY())-MONTH(Table5[[#This Row],[RC DATE]])</f>
        <v>5</v>
      </c>
      <c r="F31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4" s="19" t="str">
        <f>IF(Table5[[#This Row],[Payment_Status__c]]="ACCEPTED",1,"")</f>
        <v/>
      </c>
      <c r="H314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4" s="19">
        <f ca="1">Table5[[#This Row],['# months]]-COUNTIFS(Table5[SM_Contract__c],Table5[[#This Row],[SM_Contract__c]],Table5[TYPE],"SUBS",Table5[ACCEPTED],1)</f>
        <v>5</v>
      </c>
      <c r="J314" s="19" t="b">
        <f>ISNUMBER(MATCH(Table5[[#This Row],[SM_Contract__c]],Contract[Id],0))</f>
        <v>1</v>
      </c>
      <c r="K314" s="9" t="s">
        <v>3300</v>
      </c>
      <c r="L314" s="9" t="s">
        <v>3301</v>
      </c>
      <c r="M314" s="9" t="s">
        <v>732</v>
      </c>
      <c r="N314" s="9" t="s">
        <v>3732</v>
      </c>
      <c r="O314" s="9" t="s">
        <v>1563</v>
      </c>
      <c r="P314" s="9" t="s">
        <v>2364</v>
      </c>
      <c r="Q314" s="9" t="s">
        <v>71</v>
      </c>
      <c r="R314" s="9" t="s">
        <v>77</v>
      </c>
      <c r="S314" s="9" t="s">
        <v>3296</v>
      </c>
      <c r="T314" s="9" t="s">
        <v>3296</v>
      </c>
      <c r="U314" s="9" t="s">
        <v>3297</v>
      </c>
      <c r="V314" s="9" t="s">
        <v>2366</v>
      </c>
      <c r="W314" s="9" t="s">
        <v>3626</v>
      </c>
      <c r="X314" s="9" t="s">
        <v>3302</v>
      </c>
      <c r="Y314" s="9" t="s">
        <v>3281</v>
      </c>
      <c r="Z314" s="9" t="s">
        <v>808</v>
      </c>
      <c r="AA314" s="9" t="s">
        <v>3303</v>
      </c>
    </row>
    <row r="315" spans="1:27" x14ac:dyDescent="0.35">
      <c r="A315" s="4" t="str">
        <f>IF(Table5[[#This Row],[SM_Amount__c]]="25.0","FEE",IF(IF(Table5[[#This Row],[SM_Original_Type__c]]="",Table5[[#This Row],[SM_Type__c]],Table5[[#This Row],[SM_Original_Type__c]])="AC","AC","SUBS"))</f>
        <v>AC</v>
      </c>
      <c r="B315" s="27">
        <f>IF(INDEX(Contract[SM_AC_start_date__c],MATCH(Table5[[#This Row],[SM_Contract__c]],Contract[Id],0))=0,"",INDEX(Contract[SM_AC_start_date__c],MATCH(Table5[[#This Row],[SM_Contract__c]],Contract[Id],0)))</f>
        <v>46038</v>
      </c>
      <c r="C315" s="27">
        <f>IF(INDEX(Contract[SM_AC_Split_Date__c],MATCH(Table5[[#This Row],[SM_Contract__c]],Contract[Id],0))=0,"",INDEX(Contract[SM_AC_Split_Date__c],MATCH(Table5[[#This Row],[SM_Contract__c]],Contract[Id],0)))</f>
        <v>46052</v>
      </c>
      <c r="D315" s="27">
        <f>IF(INDEX(Contract[SM_Start_date__c],MATCH(Table5[[#This Row],[SM_Contract__c]],Contract[Id],0))=0,"",INDEX(Contract[SM_Start_date__c],MATCH(Table5[[#This Row],[SM_Contract__c]],Contract[Id],0)))</f>
        <v>46080</v>
      </c>
      <c r="E315" s="4">
        <f ca="1">(YEAR(TODAY())-YEAR(Table5[[#This Row],[RC DATE]]))*12 + MONTH(TODAY())-MONTH(Table5[[#This Row],[RC DATE]])</f>
        <v>5</v>
      </c>
      <c r="F31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5" s="19" t="str">
        <f>IF(Table5[[#This Row],[Payment_Status__c]]="ACCEPTED",1,"")</f>
        <v/>
      </c>
      <c r="H315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5" s="19">
        <f ca="1">Table5[[#This Row],['# months]]-COUNTIFS(Table5[SM_Contract__c],Table5[[#This Row],[SM_Contract__c]],Table5[TYPE],"SUBS",Table5[ACCEPTED],1)</f>
        <v>5</v>
      </c>
      <c r="J315" s="19" t="b">
        <f>ISNUMBER(MATCH(Table5[[#This Row],[SM_Contract__c]],Contract[Id],0))</f>
        <v>1</v>
      </c>
      <c r="K315" s="9" t="s">
        <v>3304</v>
      </c>
      <c r="L315" s="9" t="s">
        <v>3305</v>
      </c>
      <c r="M315" s="9" t="s">
        <v>732</v>
      </c>
      <c r="N315" s="9" t="s">
        <v>3732</v>
      </c>
      <c r="O315" s="9" t="s">
        <v>1563</v>
      </c>
      <c r="P315" s="9" t="s">
        <v>2364</v>
      </c>
      <c r="Q315" s="9" t="s">
        <v>71</v>
      </c>
      <c r="R315" s="9" t="s">
        <v>77</v>
      </c>
      <c r="S315" s="9" t="s">
        <v>3296</v>
      </c>
      <c r="T315" s="9" t="s">
        <v>3296</v>
      </c>
      <c r="U315" s="9" t="s">
        <v>3297</v>
      </c>
      <c r="V315" s="9" t="s">
        <v>2366</v>
      </c>
      <c r="W315" s="9" t="s">
        <v>3626</v>
      </c>
      <c r="X315" s="9" t="s">
        <v>3302</v>
      </c>
      <c r="Y315" s="9" t="s">
        <v>3278</v>
      </c>
      <c r="Z315" s="9" t="s">
        <v>793</v>
      </c>
      <c r="AA315" s="9" t="s">
        <v>3306</v>
      </c>
    </row>
    <row r="316" spans="1:27" x14ac:dyDescent="0.35">
      <c r="A316" s="4" t="str">
        <f>IF(Table5[[#This Row],[SM_Amount__c]]="25.0","FEE",IF(IF(Table5[[#This Row],[SM_Original_Type__c]]="",Table5[[#This Row],[SM_Type__c]],Table5[[#This Row],[SM_Original_Type__c]])="AC","AC","SUBS"))</f>
        <v>AC</v>
      </c>
      <c r="B316" s="27">
        <f>IF(INDEX(Contract[SM_AC_start_date__c],MATCH(Table5[[#This Row],[SM_Contract__c]],Contract[Id],0))=0,"",INDEX(Contract[SM_AC_start_date__c],MATCH(Table5[[#This Row],[SM_Contract__c]],Contract[Id],0)))</f>
        <v>46038</v>
      </c>
      <c r="C316" s="27">
        <f>IF(INDEX(Contract[SM_AC_Split_Date__c],MATCH(Table5[[#This Row],[SM_Contract__c]],Contract[Id],0))=0,"",INDEX(Contract[SM_AC_Split_Date__c],MATCH(Table5[[#This Row],[SM_Contract__c]],Contract[Id],0)))</f>
        <v>46052</v>
      </c>
      <c r="D316" s="27">
        <f>IF(INDEX(Contract[SM_Start_date__c],MATCH(Table5[[#This Row],[SM_Contract__c]],Contract[Id],0))=0,"",INDEX(Contract[SM_Start_date__c],MATCH(Table5[[#This Row],[SM_Contract__c]],Contract[Id],0)))</f>
        <v>46080</v>
      </c>
      <c r="E316" s="4">
        <f ca="1">(YEAR(TODAY())-YEAR(Table5[[#This Row],[RC DATE]]))*12 + MONTH(TODAY())-MONTH(Table5[[#This Row],[RC DATE]])</f>
        <v>5</v>
      </c>
      <c r="F31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6" s="19" t="str">
        <f>IF(Table5[[#This Row],[Payment_Status__c]]="ACCEPTED",1,"")</f>
        <v/>
      </c>
      <c r="H316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6" s="19">
        <f ca="1">Table5[[#This Row],['# months]]-COUNTIFS(Table5[SM_Contract__c],Table5[[#This Row],[SM_Contract__c]],Table5[TYPE],"SUBS",Table5[ACCEPTED],1)</f>
        <v>5</v>
      </c>
      <c r="J316" s="19" t="b">
        <f>ISNUMBER(MATCH(Table5[[#This Row],[SM_Contract__c]],Contract[Id],0))</f>
        <v>1</v>
      </c>
      <c r="K316" s="9" t="s">
        <v>3307</v>
      </c>
      <c r="L316" s="9" t="s">
        <v>3308</v>
      </c>
      <c r="M316" s="9" t="s">
        <v>732</v>
      </c>
      <c r="N316" s="9" t="s">
        <v>3732</v>
      </c>
      <c r="O316" s="9" t="s">
        <v>1563</v>
      </c>
      <c r="P316" s="9" t="s">
        <v>2364</v>
      </c>
      <c r="Q316" s="9" t="s">
        <v>71</v>
      </c>
      <c r="R316" s="9" t="s">
        <v>77</v>
      </c>
      <c r="S316" s="9" t="s">
        <v>3296</v>
      </c>
      <c r="T316" s="9" t="s">
        <v>3296</v>
      </c>
      <c r="U316" s="9" t="s">
        <v>3297</v>
      </c>
      <c r="V316" s="9" t="s">
        <v>2366</v>
      </c>
      <c r="W316" s="9" t="s">
        <v>3626</v>
      </c>
      <c r="X316" s="9" t="s">
        <v>3302</v>
      </c>
      <c r="Y316" s="9" t="s">
        <v>3275</v>
      </c>
      <c r="Z316" s="9" t="s">
        <v>790</v>
      </c>
      <c r="AA316" s="9" t="s">
        <v>3309</v>
      </c>
    </row>
    <row r="317" spans="1:27" x14ac:dyDescent="0.35">
      <c r="A317" s="4" t="str">
        <f>IF(Table5[[#This Row],[SM_Amount__c]]="25.0","FEE",IF(IF(Table5[[#This Row],[SM_Original_Type__c]]="",Table5[[#This Row],[SM_Type__c]],Table5[[#This Row],[SM_Original_Type__c]])="AC","AC","SUBS"))</f>
        <v>AC</v>
      </c>
      <c r="B317" s="27">
        <f>IF(INDEX(Contract[SM_AC_start_date__c],MATCH(Table5[[#This Row],[SM_Contract__c]],Contract[Id],0))=0,"",INDEX(Contract[SM_AC_start_date__c],MATCH(Table5[[#This Row],[SM_Contract__c]],Contract[Id],0)))</f>
        <v>46038</v>
      </c>
      <c r="C317" s="27">
        <f>IF(INDEX(Contract[SM_AC_Split_Date__c],MATCH(Table5[[#This Row],[SM_Contract__c]],Contract[Id],0))=0,"",INDEX(Contract[SM_AC_Split_Date__c],MATCH(Table5[[#This Row],[SM_Contract__c]],Contract[Id],0)))</f>
        <v>46052</v>
      </c>
      <c r="D317" s="27">
        <f>IF(INDEX(Contract[SM_Start_date__c],MATCH(Table5[[#This Row],[SM_Contract__c]],Contract[Id],0))=0,"",INDEX(Contract[SM_Start_date__c],MATCH(Table5[[#This Row],[SM_Contract__c]],Contract[Id],0)))</f>
        <v>46080</v>
      </c>
      <c r="E317" s="4">
        <f ca="1">(YEAR(TODAY())-YEAR(Table5[[#This Row],[RC DATE]]))*12 + MONTH(TODAY())-MONTH(Table5[[#This Row],[RC DATE]])</f>
        <v>5</v>
      </c>
      <c r="F31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7" s="19" t="str">
        <f>IF(Table5[[#This Row],[Payment_Status__c]]="ACCEPTED",1,"")</f>
        <v/>
      </c>
      <c r="H317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7" s="19">
        <f ca="1">Table5[[#This Row],['# months]]-COUNTIFS(Table5[SM_Contract__c],Table5[[#This Row],[SM_Contract__c]],Table5[TYPE],"SUBS",Table5[ACCEPTED],1)</f>
        <v>5</v>
      </c>
      <c r="J317" s="19" t="b">
        <f>ISNUMBER(MATCH(Table5[[#This Row],[SM_Contract__c]],Contract[Id],0))</f>
        <v>1</v>
      </c>
      <c r="K317" s="9" t="s">
        <v>3310</v>
      </c>
      <c r="L317" s="9" t="s">
        <v>3311</v>
      </c>
      <c r="M317" s="9" t="s">
        <v>732</v>
      </c>
      <c r="N317" s="9" t="s">
        <v>3732</v>
      </c>
      <c r="O317" s="9" t="s">
        <v>1563</v>
      </c>
      <c r="P317" s="9" t="s">
        <v>2364</v>
      </c>
      <c r="Q317" s="9" t="s">
        <v>71</v>
      </c>
      <c r="R317" s="9" t="s">
        <v>77</v>
      </c>
      <c r="S317" s="9" t="s">
        <v>3296</v>
      </c>
      <c r="T317" s="9" t="s">
        <v>3296</v>
      </c>
      <c r="U317" s="9" t="s">
        <v>3297</v>
      </c>
      <c r="V317" s="9" t="s">
        <v>2366</v>
      </c>
      <c r="W317" s="9" t="s">
        <v>3626</v>
      </c>
      <c r="X317" s="9" t="s">
        <v>3302</v>
      </c>
      <c r="Y317" s="9" t="s">
        <v>3286</v>
      </c>
      <c r="Z317" s="9" t="s">
        <v>784</v>
      </c>
      <c r="AA317" s="9" t="s">
        <v>3312</v>
      </c>
    </row>
    <row r="318" spans="1:27" x14ac:dyDescent="0.35">
      <c r="A318" s="4" t="str">
        <f>IF(Table5[[#This Row],[SM_Amount__c]]="25.0","FEE",IF(IF(Table5[[#This Row],[SM_Original_Type__c]]="",Table5[[#This Row],[SM_Type__c]],Table5[[#This Row],[SM_Original_Type__c]])="AC","AC","SUBS"))</f>
        <v>AC</v>
      </c>
      <c r="B318" s="27">
        <f>IF(INDEX(Contract[SM_AC_start_date__c],MATCH(Table5[[#This Row],[SM_Contract__c]],Contract[Id],0))=0,"",INDEX(Contract[SM_AC_start_date__c],MATCH(Table5[[#This Row],[SM_Contract__c]],Contract[Id],0)))</f>
        <v>46038</v>
      </c>
      <c r="C318" s="27">
        <f>IF(INDEX(Contract[SM_AC_Split_Date__c],MATCH(Table5[[#This Row],[SM_Contract__c]],Contract[Id],0))=0,"",INDEX(Contract[SM_AC_Split_Date__c],MATCH(Table5[[#This Row],[SM_Contract__c]],Contract[Id],0)))</f>
        <v>46052</v>
      </c>
      <c r="D318" s="27">
        <f>IF(INDEX(Contract[SM_Start_date__c],MATCH(Table5[[#This Row],[SM_Contract__c]],Contract[Id],0))=0,"",INDEX(Contract[SM_Start_date__c],MATCH(Table5[[#This Row],[SM_Contract__c]],Contract[Id],0)))</f>
        <v>46080</v>
      </c>
      <c r="E318" s="4">
        <f ca="1">(YEAR(TODAY())-YEAR(Table5[[#This Row],[RC DATE]]))*12 + MONTH(TODAY())-MONTH(Table5[[#This Row],[RC DATE]])</f>
        <v>5</v>
      </c>
      <c r="F31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8" s="19">
        <f>IF(Table5[[#This Row],[Payment_Status__c]]="ACCEPTED",1,"")</f>
        <v>1</v>
      </c>
      <c r="H318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8" s="19">
        <f ca="1">Table5[[#This Row],['# months]]-COUNTIFS(Table5[SM_Contract__c],Table5[[#This Row],[SM_Contract__c]],Table5[TYPE],"SUBS",Table5[ACCEPTED],1)</f>
        <v>5</v>
      </c>
      <c r="J318" s="19" t="b">
        <f>ISNUMBER(MATCH(Table5[[#This Row],[SM_Contract__c]],Contract[Id],0))</f>
        <v>1</v>
      </c>
      <c r="K318" s="9" t="s">
        <v>3313</v>
      </c>
      <c r="L318" s="9" t="s">
        <v>3314</v>
      </c>
      <c r="M318" s="9" t="s">
        <v>732</v>
      </c>
      <c r="N318" s="9" t="s">
        <v>3732</v>
      </c>
      <c r="O318" s="9" t="s">
        <v>1563</v>
      </c>
      <c r="P318" s="9" t="s">
        <v>2363</v>
      </c>
      <c r="Q318" s="9" t="s">
        <v>77</v>
      </c>
      <c r="R318" s="9" t="s">
        <v>77</v>
      </c>
      <c r="S318" s="9" t="s">
        <v>3297</v>
      </c>
      <c r="T318" s="9" t="s">
        <v>3297</v>
      </c>
      <c r="U318" s="9" t="s">
        <v>3297</v>
      </c>
      <c r="V318" s="9" t="s">
        <v>93</v>
      </c>
      <c r="W318" s="9" t="s">
        <v>3635</v>
      </c>
      <c r="X318" s="9" t="s">
        <v>3315</v>
      </c>
      <c r="Y318" s="9" t="s">
        <v>3283</v>
      </c>
      <c r="Z318" s="9"/>
      <c r="AA318" s="9" t="s">
        <v>3315</v>
      </c>
    </row>
    <row r="319" spans="1:27" x14ac:dyDescent="0.35">
      <c r="A319" s="4" t="str">
        <f>IF(Table5[[#This Row],[SM_Amount__c]]="25.0","FEE",IF(IF(Table5[[#This Row],[SM_Original_Type__c]]="",Table5[[#This Row],[SM_Type__c]],Table5[[#This Row],[SM_Original_Type__c]])="AC","AC","SUBS"))</f>
        <v>AC</v>
      </c>
      <c r="B319" s="27">
        <f>IF(INDEX(Contract[SM_AC_start_date__c],MATCH(Table5[[#This Row],[SM_Contract__c]],Contract[Id],0))=0,"",INDEX(Contract[SM_AC_start_date__c],MATCH(Table5[[#This Row],[SM_Contract__c]],Contract[Id],0)))</f>
        <v>46038</v>
      </c>
      <c r="C319" s="27">
        <f>IF(INDEX(Contract[SM_AC_Split_Date__c],MATCH(Table5[[#This Row],[SM_Contract__c]],Contract[Id],0))=0,"",INDEX(Contract[SM_AC_Split_Date__c],MATCH(Table5[[#This Row],[SM_Contract__c]],Contract[Id],0)))</f>
        <v>46052</v>
      </c>
      <c r="D319" s="27">
        <f>IF(INDEX(Contract[SM_Start_date__c],MATCH(Table5[[#This Row],[SM_Contract__c]],Contract[Id],0))=0,"",INDEX(Contract[SM_Start_date__c],MATCH(Table5[[#This Row],[SM_Contract__c]],Contract[Id],0)))</f>
        <v>46080</v>
      </c>
      <c r="E319" s="4">
        <f ca="1">(YEAR(TODAY())-YEAR(Table5[[#This Row],[RC DATE]]))*12 + MONTH(TODAY())-MONTH(Table5[[#This Row],[RC DATE]])</f>
        <v>5</v>
      </c>
      <c r="F31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19" s="19" t="str">
        <f>IF(Table5[[#This Row],[Payment_Status__c]]="ACCEPTED",1,"")</f>
        <v/>
      </c>
      <c r="H319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19" s="19">
        <f ca="1">Table5[[#This Row],['# months]]-COUNTIFS(Table5[SM_Contract__c],Table5[[#This Row],[SM_Contract__c]],Table5[TYPE],"SUBS",Table5[ACCEPTED],1)</f>
        <v>5</v>
      </c>
      <c r="J319" s="19" t="b">
        <f>ISNUMBER(MATCH(Table5[[#This Row],[SM_Contract__c]],Contract[Id],0))</f>
        <v>1</v>
      </c>
      <c r="K319" s="9" t="s">
        <v>3316</v>
      </c>
      <c r="L319" s="9" t="s">
        <v>3317</v>
      </c>
      <c r="M319" s="9" t="s">
        <v>732</v>
      </c>
      <c r="N319" s="9" t="s">
        <v>3732</v>
      </c>
      <c r="O319" s="9" t="s">
        <v>1563</v>
      </c>
      <c r="P319" s="9" t="s">
        <v>2364</v>
      </c>
      <c r="Q319" s="9" t="s">
        <v>77</v>
      </c>
      <c r="R319" s="9" t="s">
        <v>77</v>
      </c>
      <c r="S319" s="9" t="s">
        <v>3297</v>
      </c>
      <c r="T319" s="9" t="s">
        <v>3297</v>
      </c>
      <c r="U319" s="9" t="s">
        <v>3297</v>
      </c>
      <c r="V319" s="9" t="s">
        <v>93</v>
      </c>
      <c r="W319" s="9" t="s">
        <v>3635</v>
      </c>
      <c r="X319" s="9" t="s">
        <v>3318</v>
      </c>
      <c r="Y319" s="9" t="s">
        <v>3272</v>
      </c>
      <c r="Z319" s="9"/>
      <c r="AA319" s="9" t="s">
        <v>3319</v>
      </c>
    </row>
    <row r="320" spans="1:27" x14ac:dyDescent="0.35">
      <c r="A320" s="4" t="str">
        <f>IF(Table5[[#This Row],[SM_Amount__c]]="25.0","FEE",IF(IF(Table5[[#This Row],[SM_Original_Type__c]]="",Table5[[#This Row],[SM_Type__c]],Table5[[#This Row],[SM_Original_Type__c]])="AC","AC","SUBS"))</f>
        <v>AC</v>
      </c>
      <c r="B320" s="27">
        <f>IF(INDEX(Contract[SM_AC_start_date__c],MATCH(Table5[[#This Row],[SM_Contract__c]],Contract[Id],0))=0,"",INDEX(Contract[SM_AC_start_date__c],MATCH(Table5[[#This Row],[SM_Contract__c]],Contract[Id],0)))</f>
        <v>46038</v>
      </c>
      <c r="C320" s="27">
        <f>IF(INDEX(Contract[SM_AC_Split_Date__c],MATCH(Table5[[#This Row],[SM_Contract__c]],Contract[Id],0))=0,"",INDEX(Contract[SM_AC_Split_Date__c],MATCH(Table5[[#This Row],[SM_Contract__c]],Contract[Id],0)))</f>
        <v>46052</v>
      </c>
      <c r="D320" s="27">
        <f>IF(INDEX(Contract[SM_Start_date__c],MATCH(Table5[[#This Row],[SM_Contract__c]],Contract[Id],0))=0,"",INDEX(Contract[SM_Start_date__c],MATCH(Table5[[#This Row],[SM_Contract__c]],Contract[Id],0)))</f>
        <v>46080</v>
      </c>
      <c r="E320" s="4">
        <f ca="1">(YEAR(TODAY())-YEAR(Table5[[#This Row],[RC DATE]]))*12 + MONTH(TODAY())-MONTH(Table5[[#This Row],[RC DATE]])</f>
        <v>5</v>
      </c>
      <c r="F32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20" s="19" t="str">
        <f>IF(Table5[[#This Row],[Payment_Status__c]]="ACCEPTED",1,"")</f>
        <v/>
      </c>
      <c r="H320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20" s="19">
        <f ca="1">Table5[[#This Row],['# months]]-COUNTIFS(Table5[SM_Contract__c],Table5[[#This Row],[SM_Contract__c]],Table5[TYPE],"SUBS",Table5[ACCEPTED],1)</f>
        <v>5</v>
      </c>
      <c r="J320" s="19" t="b">
        <f>ISNUMBER(MATCH(Table5[[#This Row],[SM_Contract__c]],Contract[Id],0))</f>
        <v>1</v>
      </c>
      <c r="K320" s="9" t="s">
        <v>3320</v>
      </c>
      <c r="L320" s="9" t="s">
        <v>3321</v>
      </c>
      <c r="M320" s="9" t="s">
        <v>732</v>
      </c>
      <c r="N320" s="9" t="s">
        <v>3732</v>
      </c>
      <c r="O320" s="9" t="s">
        <v>1563</v>
      </c>
      <c r="P320" s="9" t="s">
        <v>2364</v>
      </c>
      <c r="Q320" s="9" t="s">
        <v>77</v>
      </c>
      <c r="R320" s="9" t="s">
        <v>77</v>
      </c>
      <c r="S320" s="9" t="s">
        <v>3297</v>
      </c>
      <c r="T320" s="9" t="s">
        <v>3297</v>
      </c>
      <c r="U320" s="9" t="s">
        <v>3297</v>
      </c>
      <c r="V320" s="9" t="s">
        <v>93</v>
      </c>
      <c r="W320" s="9" t="s">
        <v>3615</v>
      </c>
      <c r="X320" s="9" t="s">
        <v>3322</v>
      </c>
      <c r="Y320" s="9" t="s">
        <v>3269</v>
      </c>
      <c r="Z320" s="9"/>
      <c r="AA320" s="9" t="s">
        <v>3323</v>
      </c>
    </row>
    <row r="321" spans="1:27" x14ac:dyDescent="0.35">
      <c r="A321" s="4" t="str">
        <f>IF(Table5[[#This Row],[SM_Amount__c]]="25.0","FEE",IF(IF(Table5[[#This Row],[SM_Original_Type__c]]="",Table5[[#This Row],[SM_Type__c]],Table5[[#This Row],[SM_Original_Type__c]])="AC","AC","SUBS"))</f>
        <v>AC</v>
      </c>
      <c r="B321" s="27">
        <f>IF(INDEX(Contract[SM_AC_start_date__c],MATCH(Table5[[#This Row],[SM_Contract__c]],Contract[Id],0))=0,"",INDEX(Contract[SM_AC_start_date__c],MATCH(Table5[[#This Row],[SM_Contract__c]],Contract[Id],0)))</f>
        <v>46038</v>
      </c>
      <c r="C321" s="27">
        <f>IF(INDEX(Contract[SM_AC_Split_Date__c],MATCH(Table5[[#This Row],[SM_Contract__c]],Contract[Id],0))=0,"",INDEX(Contract[SM_AC_Split_Date__c],MATCH(Table5[[#This Row],[SM_Contract__c]],Contract[Id],0)))</f>
        <v>46052</v>
      </c>
      <c r="D321" s="27">
        <f>IF(INDEX(Contract[SM_Start_date__c],MATCH(Table5[[#This Row],[SM_Contract__c]],Contract[Id],0))=0,"",INDEX(Contract[SM_Start_date__c],MATCH(Table5[[#This Row],[SM_Contract__c]],Contract[Id],0)))</f>
        <v>46080</v>
      </c>
      <c r="E321" s="4">
        <f ca="1">(YEAR(TODAY())-YEAR(Table5[[#This Row],[RC DATE]]))*12 + MONTH(TODAY())-MONTH(Table5[[#This Row],[RC DATE]])</f>
        <v>5</v>
      </c>
      <c r="F32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21" s="19" t="str">
        <f>IF(Table5[[#This Row],[Payment_Status__c]]="ACCEPTED",1,"")</f>
        <v/>
      </c>
      <c r="H321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21" s="19">
        <f ca="1">Table5[[#This Row],['# months]]-COUNTIFS(Table5[SM_Contract__c],Table5[[#This Row],[SM_Contract__c]],Table5[TYPE],"SUBS",Table5[ACCEPTED],1)</f>
        <v>5</v>
      </c>
      <c r="J321" s="19" t="b">
        <f>ISNUMBER(MATCH(Table5[[#This Row],[SM_Contract__c]],Contract[Id],0))</f>
        <v>1</v>
      </c>
      <c r="K321" s="9" t="s">
        <v>3324</v>
      </c>
      <c r="L321" s="9" t="s">
        <v>3325</v>
      </c>
      <c r="M321" s="9" t="s">
        <v>732</v>
      </c>
      <c r="N321" s="9" t="s">
        <v>3732</v>
      </c>
      <c r="O321" s="9" t="s">
        <v>1563</v>
      </c>
      <c r="P321" s="9" t="s">
        <v>2364</v>
      </c>
      <c r="Q321" s="9" t="s">
        <v>77</v>
      </c>
      <c r="R321" s="9" t="s">
        <v>77</v>
      </c>
      <c r="S321" s="9" t="s">
        <v>3297</v>
      </c>
      <c r="T321" s="9" t="s">
        <v>3297</v>
      </c>
      <c r="U321" s="9" t="s">
        <v>3297</v>
      </c>
      <c r="V321" s="9" t="s">
        <v>93</v>
      </c>
      <c r="W321" s="9" t="s">
        <v>3626</v>
      </c>
      <c r="X321" s="9" t="s">
        <v>3302</v>
      </c>
      <c r="Y321" s="9" t="s">
        <v>3283</v>
      </c>
      <c r="Z321" s="9"/>
      <c r="AA321" s="9" t="s">
        <v>3326</v>
      </c>
    </row>
    <row r="322" spans="1:27" x14ac:dyDescent="0.35">
      <c r="A322" s="4" t="str">
        <f>IF(Table5[[#This Row],[SM_Amount__c]]="25.0","FEE",IF(IF(Table5[[#This Row],[SM_Original_Type__c]]="",Table5[[#This Row],[SM_Type__c]],Table5[[#This Row],[SM_Original_Type__c]])="AC","AC","SUBS"))</f>
        <v>AC</v>
      </c>
      <c r="B322" s="27">
        <f>IF(INDEX(Contract[SM_AC_start_date__c],MATCH(Table5[[#This Row],[SM_Contract__c]],Contract[Id],0))=0,"",INDEX(Contract[SM_AC_start_date__c],MATCH(Table5[[#This Row],[SM_Contract__c]],Contract[Id],0)))</f>
        <v>46038</v>
      </c>
      <c r="C322" s="27">
        <f>IF(INDEX(Contract[SM_AC_Split_Date__c],MATCH(Table5[[#This Row],[SM_Contract__c]],Contract[Id],0))=0,"",INDEX(Contract[SM_AC_Split_Date__c],MATCH(Table5[[#This Row],[SM_Contract__c]],Contract[Id],0)))</f>
        <v>46052</v>
      </c>
      <c r="D322" s="27">
        <f>IF(INDEX(Contract[SM_Start_date__c],MATCH(Table5[[#This Row],[SM_Contract__c]],Contract[Id],0))=0,"",INDEX(Contract[SM_Start_date__c],MATCH(Table5[[#This Row],[SM_Contract__c]],Contract[Id],0)))</f>
        <v>46080</v>
      </c>
      <c r="E322" s="4">
        <f ca="1">(YEAR(TODAY())-YEAR(Table5[[#This Row],[RC DATE]]))*12 + MONTH(TODAY())-MONTH(Table5[[#This Row],[RC DATE]])</f>
        <v>5</v>
      </c>
      <c r="F32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46080</v>
      </c>
      <c r="G322" s="19" t="str">
        <f>IF(Table5[[#This Row],[Payment_Status__c]]="ACCEPTED",1,"")</f>
        <v/>
      </c>
      <c r="H322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22" s="19">
        <f ca="1">Table5[[#This Row],['# months]]-COUNTIFS(Table5[SM_Contract__c],Table5[[#This Row],[SM_Contract__c]],Table5[TYPE],"SUBS",Table5[ACCEPTED],1)</f>
        <v>5</v>
      </c>
      <c r="J322" s="19" t="b">
        <f>ISNUMBER(MATCH(Table5[[#This Row],[SM_Contract__c]],Contract[Id],0))</f>
        <v>1</v>
      </c>
      <c r="K322" s="9" t="s">
        <v>3327</v>
      </c>
      <c r="L322" s="9" t="s">
        <v>3328</v>
      </c>
      <c r="M322" s="9" t="s">
        <v>732</v>
      </c>
      <c r="N322" s="9" t="s">
        <v>3732</v>
      </c>
      <c r="O322" s="9" t="s">
        <v>1563</v>
      </c>
      <c r="P322" s="9" t="s">
        <v>2364</v>
      </c>
      <c r="Q322" s="9" t="s">
        <v>77</v>
      </c>
      <c r="R322" s="9" t="s">
        <v>77</v>
      </c>
      <c r="S322" s="9" t="s">
        <v>3297</v>
      </c>
      <c r="T322" s="9" t="s">
        <v>3297</v>
      </c>
      <c r="U322" s="9" t="s">
        <v>3297</v>
      </c>
      <c r="V322" s="9" t="s">
        <v>93</v>
      </c>
      <c r="W322" s="9" t="s">
        <v>3615</v>
      </c>
      <c r="X322" s="9" t="s">
        <v>3322</v>
      </c>
      <c r="Y322" s="9" t="s">
        <v>3266</v>
      </c>
      <c r="Z322" s="9"/>
      <c r="AA322" s="9" t="s">
        <v>3329</v>
      </c>
    </row>
    <row r="323" spans="1:27" x14ac:dyDescent="0.35">
      <c r="A323" s="4" t="str">
        <f>IF(Table5[[#This Row],[SM_Amount__c]]="25.0","FEE",IF(IF(Table5[[#This Row],[SM_Original_Type__c]]="",Table5[[#This Row],[SM_Type__c]],Table5[[#This Row],[SM_Original_Type__c]])="AC","AC","SUBS"))</f>
        <v>AC</v>
      </c>
      <c r="B323" s="27">
        <f>IF(INDEX(Contract[SM_AC_start_date__c],MATCH(Table5[[#This Row],[SM_Contract__c]],Contract[Id],0))=0,"",INDEX(Contract[SM_AC_start_date__c],MATCH(Table5[[#This Row],[SM_Contract__c]],Contract[Id],0)))</f>
        <v>46036</v>
      </c>
      <c r="C323" s="27">
        <f>IF(INDEX(Contract[SM_AC_Split_Date__c],MATCH(Table5[[#This Row],[SM_Contract__c]],Contract[Id],0))=0,"",INDEX(Contract[SM_AC_Split_Date__c],MATCH(Table5[[#This Row],[SM_Contract__c]],Contract[Id],0)))</f>
        <v>46045</v>
      </c>
      <c r="D323" s="27">
        <f>IF(INDEX(Contract[SM_Start_date__c],MATCH(Table5[[#This Row],[SM_Contract__c]],Contract[Id],0))=0,"",INDEX(Contract[SM_Start_date__c],MATCH(Table5[[#This Row],[SM_Contract__c]],Contract[Id],0)))</f>
        <v>46080</v>
      </c>
      <c r="E323" s="4">
        <f ca="1">(YEAR(TODAY())-YEAR(Table5[[#This Row],[RC DATE]]))*12 + MONTH(TODAY())-MONTH(Table5[[#This Row],[RC DATE]])</f>
        <v>5</v>
      </c>
      <c r="F32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23" s="19">
        <f>IF(Table5[[#This Row],[Payment_Status__c]]="ACCEPTED",1,"")</f>
        <v>1</v>
      </c>
      <c r="H32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23" s="19">
        <f ca="1">Table5[[#This Row],['# months]]-COUNTIFS(Table5[SM_Contract__c],Table5[[#This Row],[SM_Contract__c]],Table5[TYPE],"SUBS",Table5[ACCEPTED],1)</f>
        <v>2</v>
      </c>
      <c r="J323" s="19" t="b">
        <f>ISNUMBER(MATCH(Table5[[#This Row],[SM_Contract__c]],Contract[Id],0))</f>
        <v>1</v>
      </c>
      <c r="K323" s="9" t="s">
        <v>3331</v>
      </c>
      <c r="L323" s="9" t="s">
        <v>3332</v>
      </c>
      <c r="M323" s="9" t="s">
        <v>745</v>
      </c>
      <c r="N323" s="9" t="s">
        <v>3733</v>
      </c>
      <c r="O323" s="9" t="s">
        <v>1563</v>
      </c>
      <c r="P323" s="9" t="s">
        <v>2363</v>
      </c>
      <c r="Q323" s="9" t="s">
        <v>77</v>
      </c>
      <c r="R323" s="9" t="s">
        <v>77</v>
      </c>
      <c r="S323" s="9" t="s">
        <v>1936</v>
      </c>
      <c r="T323" s="9" t="s">
        <v>1936</v>
      </c>
      <c r="U323" s="9" t="s">
        <v>1936</v>
      </c>
      <c r="V323" s="9" t="s">
        <v>93</v>
      </c>
      <c r="W323" s="9" t="s">
        <v>3685</v>
      </c>
      <c r="X323" s="9" t="s">
        <v>3333</v>
      </c>
      <c r="Y323" s="9"/>
      <c r="Z323" s="9"/>
      <c r="AA323" s="9" t="s">
        <v>3333</v>
      </c>
    </row>
    <row r="324" spans="1:27" x14ac:dyDescent="0.35">
      <c r="A324" s="4" t="str">
        <f>IF(Table5[[#This Row],[SM_Amount__c]]="25.0","FEE",IF(IF(Table5[[#This Row],[SM_Original_Type__c]]="",Table5[[#This Row],[SM_Type__c]],Table5[[#This Row],[SM_Original_Type__c]])="AC","AC","SUBS"))</f>
        <v>AC</v>
      </c>
      <c r="B324" s="27">
        <f>IF(INDEX(Contract[SM_AC_start_date__c],MATCH(Table5[[#This Row],[SM_Contract__c]],Contract[Id],0))=0,"",INDEX(Contract[SM_AC_start_date__c],MATCH(Table5[[#This Row],[SM_Contract__c]],Contract[Id],0)))</f>
        <v>46036</v>
      </c>
      <c r="C324" s="27">
        <f>IF(INDEX(Contract[SM_AC_Split_Date__c],MATCH(Table5[[#This Row],[SM_Contract__c]],Contract[Id],0))=0,"",INDEX(Contract[SM_AC_Split_Date__c],MATCH(Table5[[#This Row],[SM_Contract__c]],Contract[Id],0)))</f>
        <v>46045</v>
      </c>
      <c r="D324" s="27">
        <f>IF(INDEX(Contract[SM_Start_date__c],MATCH(Table5[[#This Row],[SM_Contract__c]],Contract[Id],0))=0,"",INDEX(Contract[SM_Start_date__c],MATCH(Table5[[#This Row],[SM_Contract__c]],Contract[Id],0)))</f>
        <v>46080</v>
      </c>
      <c r="E324" s="4">
        <f ca="1">(YEAR(TODAY())-YEAR(Table5[[#This Row],[RC DATE]]))*12 + MONTH(TODAY())-MONTH(Table5[[#This Row],[RC DATE]])</f>
        <v>5</v>
      </c>
      <c r="F32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24" s="19">
        <f>IF(Table5[[#This Row],[Payment_Status__c]]="ACCEPTED",1,"")</f>
        <v>1</v>
      </c>
      <c r="H32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24" s="19">
        <f ca="1">Table5[[#This Row],['# months]]-COUNTIFS(Table5[SM_Contract__c],Table5[[#This Row],[SM_Contract__c]],Table5[TYPE],"SUBS",Table5[ACCEPTED],1)</f>
        <v>2</v>
      </c>
      <c r="J324" s="19" t="b">
        <f>ISNUMBER(MATCH(Table5[[#This Row],[SM_Contract__c]],Contract[Id],0))</f>
        <v>1</v>
      </c>
      <c r="K324" s="9" t="s">
        <v>3334</v>
      </c>
      <c r="L324" s="9" t="s">
        <v>3335</v>
      </c>
      <c r="M324" s="9" t="s">
        <v>745</v>
      </c>
      <c r="N324" s="9" t="s">
        <v>3733</v>
      </c>
      <c r="O324" s="9" t="s">
        <v>1563</v>
      </c>
      <c r="P324" s="9" t="s">
        <v>2363</v>
      </c>
      <c r="Q324" s="9" t="s">
        <v>77</v>
      </c>
      <c r="R324" s="9" t="s">
        <v>77</v>
      </c>
      <c r="S324" s="9" t="s">
        <v>1936</v>
      </c>
      <c r="T324" s="9" t="s">
        <v>1936</v>
      </c>
      <c r="U324" s="9" t="s">
        <v>1936</v>
      </c>
      <c r="V324" s="9" t="s">
        <v>93</v>
      </c>
      <c r="W324" s="9" t="s">
        <v>3626</v>
      </c>
      <c r="X324" s="9" t="s">
        <v>3336</v>
      </c>
      <c r="Y324" s="9"/>
      <c r="Z324" s="9"/>
      <c r="AA324" s="9" t="s">
        <v>3336</v>
      </c>
    </row>
    <row r="325" spans="1:27" x14ac:dyDescent="0.35">
      <c r="A325" s="4" t="str">
        <f>IF(Table5[[#This Row],[SM_Amount__c]]="25.0","FEE",IF(IF(Table5[[#This Row],[SM_Original_Type__c]]="",Table5[[#This Row],[SM_Type__c]],Table5[[#This Row],[SM_Original_Type__c]])="AC","AC","SUBS"))</f>
        <v>SUBS</v>
      </c>
      <c r="B325" s="27">
        <f>IF(INDEX(Contract[SM_AC_start_date__c],MATCH(Table5[[#This Row],[SM_Contract__c]],Contract[Id],0))=0,"",INDEX(Contract[SM_AC_start_date__c],MATCH(Table5[[#This Row],[SM_Contract__c]],Contract[Id],0)))</f>
        <v>46036</v>
      </c>
      <c r="C325" s="27">
        <f>IF(INDEX(Contract[SM_AC_Split_Date__c],MATCH(Table5[[#This Row],[SM_Contract__c]],Contract[Id],0))=0,"",INDEX(Contract[SM_AC_Split_Date__c],MATCH(Table5[[#This Row],[SM_Contract__c]],Contract[Id],0)))</f>
        <v>46045</v>
      </c>
      <c r="D325" s="27">
        <f>IF(INDEX(Contract[SM_Start_date__c],MATCH(Table5[[#This Row],[SM_Contract__c]],Contract[Id],0))=0,"",INDEX(Contract[SM_Start_date__c],MATCH(Table5[[#This Row],[SM_Contract__c]],Contract[Id],0)))</f>
        <v>46080</v>
      </c>
      <c r="E325" s="4">
        <f ca="1">(YEAR(TODAY())-YEAR(Table5[[#This Row],[RC DATE]]))*12 + MONTH(TODAY())-MONTH(Table5[[#This Row],[RC DATE]])</f>
        <v>5</v>
      </c>
      <c r="F32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25" s="19">
        <f>IF(Table5[[#This Row],[Payment_Status__c]]="ACCEPTED",1,"")</f>
        <v>1</v>
      </c>
      <c r="H32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25" s="19">
        <f ca="1">Table5[[#This Row],['# months]]-COUNTIFS(Table5[SM_Contract__c],Table5[[#This Row],[SM_Contract__c]],Table5[TYPE],"SUBS",Table5[ACCEPTED],1)</f>
        <v>2</v>
      </c>
      <c r="J325" s="19" t="b">
        <f>ISNUMBER(MATCH(Table5[[#This Row],[SM_Contract__c]],Contract[Id],0))</f>
        <v>1</v>
      </c>
      <c r="K325" s="9" t="s">
        <v>3337</v>
      </c>
      <c r="L325" s="9" t="s">
        <v>3338</v>
      </c>
      <c r="M325" s="9" t="s">
        <v>745</v>
      </c>
      <c r="N325" s="9" t="s">
        <v>3733</v>
      </c>
      <c r="O325" s="9" t="s">
        <v>1563</v>
      </c>
      <c r="P325" s="9" t="s">
        <v>2363</v>
      </c>
      <c r="Q325" s="9" t="s">
        <v>83</v>
      </c>
      <c r="R325" s="9" t="s">
        <v>76</v>
      </c>
      <c r="S325" s="9" t="s">
        <v>167</v>
      </c>
      <c r="T325" s="9" t="s">
        <v>167</v>
      </c>
      <c r="U325" s="9" t="s">
        <v>167</v>
      </c>
      <c r="V325" s="9" t="s">
        <v>93</v>
      </c>
      <c r="W325" s="9" t="s">
        <v>3564</v>
      </c>
      <c r="X325" s="9" t="s">
        <v>3339</v>
      </c>
      <c r="Y325" s="9"/>
      <c r="Z325" s="9"/>
      <c r="AA325" s="9" t="s">
        <v>3339</v>
      </c>
    </row>
    <row r="326" spans="1:27" x14ac:dyDescent="0.35">
      <c r="A326" s="4" t="str">
        <f>IF(Table5[[#This Row],[SM_Amount__c]]="25.0","FEE",IF(IF(Table5[[#This Row],[SM_Original_Type__c]]="",Table5[[#This Row],[SM_Type__c]],Table5[[#This Row],[SM_Original_Type__c]])="AC","AC","SUBS"))</f>
        <v>SUBS</v>
      </c>
      <c r="B326" s="27">
        <f>IF(INDEX(Contract[SM_AC_start_date__c],MATCH(Table5[[#This Row],[SM_Contract__c]],Contract[Id],0))=0,"",INDEX(Contract[SM_AC_start_date__c],MATCH(Table5[[#This Row],[SM_Contract__c]],Contract[Id],0)))</f>
        <v>46036</v>
      </c>
      <c r="C326" s="27">
        <f>IF(INDEX(Contract[SM_AC_Split_Date__c],MATCH(Table5[[#This Row],[SM_Contract__c]],Contract[Id],0))=0,"",INDEX(Contract[SM_AC_Split_Date__c],MATCH(Table5[[#This Row],[SM_Contract__c]],Contract[Id],0)))</f>
        <v>46045</v>
      </c>
      <c r="D326" s="27">
        <f>IF(INDEX(Contract[SM_Start_date__c],MATCH(Table5[[#This Row],[SM_Contract__c]],Contract[Id],0))=0,"",INDEX(Contract[SM_Start_date__c],MATCH(Table5[[#This Row],[SM_Contract__c]],Contract[Id],0)))</f>
        <v>46080</v>
      </c>
      <c r="E326" s="4">
        <f ca="1">(YEAR(TODAY())-YEAR(Table5[[#This Row],[RC DATE]]))*12 + MONTH(TODAY())-MONTH(Table5[[#This Row],[RC DATE]])</f>
        <v>5</v>
      </c>
      <c r="F32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26" s="19">
        <f>IF(Table5[[#This Row],[Payment_Status__c]]="ACCEPTED",1,"")</f>
        <v>1</v>
      </c>
      <c r="H32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26" s="19">
        <f ca="1">Table5[[#This Row],['# months]]-COUNTIFS(Table5[SM_Contract__c],Table5[[#This Row],[SM_Contract__c]],Table5[TYPE],"SUBS",Table5[ACCEPTED],1)</f>
        <v>2</v>
      </c>
      <c r="J326" s="19" t="b">
        <f>ISNUMBER(MATCH(Table5[[#This Row],[SM_Contract__c]],Contract[Id],0))</f>
        <v>1</v>
      </c>
      <c r="K326" s="9" t="s">
        <v>3340</v>
      </c>
      <c r="L326" s="9" t="s">
        <v>3341</v>
      </c>
      <c r="M326" s="9" t="s">
        <v>745</v>
      </c>
      <c r="N326" s="9" t="s">
        <v>3733</v>
      </c>
      <c r="O326" s="9" t="s">
        <v>1563</v>
      </c>
      <c r="P326" s="9" t="s">
        <v>2363</v>
      </c>
      <c r="Q326" s="9" t="s">
        <v>83</v>
      </c>
      <c r="R326" s="9" t="s">
        <v>76</v>
      </c>
      <c r="S326" s="9" t="s">
        <v>167</v>
      </c>
      <c r="T326" s="9" t="s">
        <v>167</v>
      </c>
      <c r="U326" s="9" t="s">
        <v>167</v>
      </c>
      <c r="V326" s="9" t="s">
        <v>93</v>
      </c>
      <c r="W326" s="9" t="s">
        <v>3565</v>
      </c>
      <c r="X326" s="9" t="s">
        <v>3342</v>
      </c>
      <c r="Y326" s="9"/>
      <c r="Z326" s="9"/>
      <c r="AA326" s="9" t="s">
        <v>3342</v>
      </c>
    </row>
    <row r="327" spans="1:27" x14ac:dyDescent="0.35">
      <c r="A327" s="4" t="str">
        <f>IF(Table5[[#This Row],[SM_Amount__c]]="25.0","FEE",IF(IF(Table5[[#This Row],[SM_Original_Type__c]]="",Table5[[#This Row],[SM_Type__c]],Table5[[#This Row],[SM_Original_Type__c]])="AC","AC","SUBS"))</f>
        <v>SUBS</v>
      </c>
      <c r="B327" s="27">
        <f>IF(INDEX(Contract[SM_AC_start_date__c],MATCH(Table5[[#This Row],[SM_Contract__c]],Contract[Id],0))=0,"",INDEX(Contract[SM_AC_start_date__c],MATCH(Table5[[#This Row],[SM_Contract__c]],Contract[Id],0)))</f>
        <v>46036</v>
      </c>
      <c r="C327" s="27">
        <f>IF(INDEX(Contract[SM_AC_Split_Date__c],MATCH(Table5[[#This Row],[SM_Contract__c]],Contract[Id],0))=0,"",INDEX(Contract[SM_AC_Split_Date__c],MATCH(Table5[[#This Row],[SM_Contract__c]],Contract[Id],0)))</f>
        <v>46045</v>
      </c>
      <c r="D327" s="27">
        <f>IF(INDEX(Contract[SM_Start_date__c],MATCH(Table5[[#This Row],[SM_Contract__c]],Contract[Id],0))=0,"",INDEX(Contract[SM_Start_date__c],MATCH(Table5[[#This Row],[SM_Contract__c]],Contract[Id],0)))</f>
        <v>46080</v>
      </c>
      <c r="E327" s="4">
        <f ca="1">(YEAR(TODAY())-YEAR(Table5[[#This Row],[RC DATE]]))*12 + MONTH(TODAY())-MONTH(Table5[[#This Row],[RC DATE]])</f>
        <v>5</v>
      </c>
      <c r="F32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27" s="19">
        <f>IF(Table5[[#This Row],[Payment_Status__c]]="ACCEPTED",1,"")</f>
        <v>1</v>
      </c>
      <c r="H32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27" s="19">
        <f ca="1">Table5[[#This Row],['# months]]-COUNTIFS(Table5[SM_Contract__c],Table5[[#This Row],[SM_Contract__c]],Table5[TYPE],"SUBS",Table5[ACCEPTED],1)</f>
        <v>2</v>
      </c>
      <c r="J327" s="19" t="b">
        <f>ISNUMBER(MATCH(Table5[[#This Row],[SM_Contract__c]],Contract[Id],0))</f>
        <v>1</v>
      </c>
      <c r="K327" s="9" t="s">
        <v>3343</v>
      </c>
      <c r="L327" s="9" t="s">
        <v>3344</v>
      </c>
      <c r="M327" s="9" t="s">
        <v>745</v>
      </c>
      <c r="N327" s="9" t="s">
        <v>3733</v>
      </c>
      <c r="O327" s="9" t="s">
        <v>1563</v>
      </c>
      <c r="P327" s="9" t="s">
        <v>2363</v>
      </c>
      <c r="Q327" s="9" t="s">
        <v>71</v>
      </c>
      <c r="R327" s="9" t="s">
        <v>83</v>
      </c>
      <c r="S327" s="9" t="s">
        <v>2220</v>
      </c>
      <c r="T327" s="9" t="s">
        <v>2220</v>
      </c>
      <c r="U327" s="9" t="s">
        <v>167</v>
      </c>
      <c r="V327" s="9" t="s">
        <v>148</v>
      </c>
      <c r="W327" s="9" t="s">
        <v>3633</v>
      </c>
      <c r="X327" s="9" t="s">
        <v>3345</v>
      </c>
      <c r="Y327" s="9"/>
      <c r="Z327" s="9" t="s">
        <v>1160</v>
      </c>
      <c r="AA327" s="9" t="s">
        <v>3345</v>
      </c>
    </row>
    <row r="328" spans="1:27" x14ac:dyDescent="0.35">
      <c r="A328" s="4" t="str">
        <f>IF(Table5[[#This Row],[SM_Amount__c]]="25.0","FEE",IF(IF(Table5[[#This Row],[SM_Original_Type__c]]="",Table5[[#This Row],[SM_Type__c]],Table5[[#This Row],[SM_Original_Type__c]])="AC","AC","SUBS"))</f>
        <v>AC</v>
      </c>
      <c r="B328" s="27">
        <f>IF(INDEX(Contract[SM_AC_start_date__c],MATCH(Table5[[#This Row],[SM_Contract__c]],Contract[Id],0))=0,"",INDEX(Contract[SM_AC_start_date__c],MATCH(Table5[[#This Row],[SM_Contract__c]],Contract[Id],0)))</f>
        <v>46043</v>
      </c>
      <c r="C328" s="27" t="str">
        <f>IF(INDEX(Contract[SM_AC_Split_Date__c],MATCH(Table5[[#This Row],[SM_Contract__c]],Contract[Id],0))=0,"",INDEX(Contract[SM_AC_Split_Date__c],MATCH(Table5[[#This Row],[SM_Contract__c]],Contract[Id],0)))</f>
        <v/>
      </c>
      <c r="D328" s="27">
        <f>IF(INDEX(Contract[SM_Start_date__c],MATCH(Table5[[#This Row],[SM_Contract__c]],Contract[Id],0))=0,"",INDEX(Contract[SM_Start_date__c],MATCH(Table5[[#This Row],[SM_Contract__c]],Contract[Id],0)))</f>
        <v>46078</v>
      </c>
      <c r="E328" s="4">
        <f ca="1">(YEAR(TODAY())-YEAR(Table5[[#This Row],[RC DATE]]))*12 + MONTH(TODAY())-MONTH(Table5[[#This Row],[RC DATE]])</f>
        <v>5</v>
      </c>
      <c r="F32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46106</v>
      </c>
      <c r="G328" s="19">
        <f>IF(Table5[[#This Row],[Payment_Status__c]]="ACCEPTED",1,"")</f>
        <v>1</v>
      </c>
      <c r="H32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328" s="19">
        <f ca="1">Table5[[#This Row],['# months]]-COUNTIFS(Table5[SM_Contract__c],Table5[[#This Row],[SM_Contract__c]],Table5[TYPE],"SUBS",Table5[ACCEPTED],1)</f>
        <v>4</v>
      </c>
      <c r="J328" s="19" t="b">
        <f>ISNUMBER(MATCH(Table5[[#This Row],[SM_Contract__c]],Contract[Id],0))</f>
        <v>1</v>
      </c>
      <c r="K328" s="9" t="s">
        <v>3346</v>
      </c>
      <c r="L328" s="9" t="s">
        <v>3347</v>
      </c>
      <c r="M328" s="9" t="s">
        <v>752</v>
      </c>
      <c r="N328" s="9" t="s">
        <v>3734</v>
      </c>
      <c r="O328" s="9" t="s">
        <v>1563</v>
      </c>
      <c r="P328" s="9" t="s">
        <v>2363</v>
      </c>
      <c r="Q328" s="9" t="s">
        <v>71</v>
      </c>
      <c r="R328" s="9" t="s">
        <v>77</v>
      </c>
      <c r="S328" s="9" t="s">
        <v>2220</v>
      </c>
      <c r="T328" s="9" t="s">
        <v>2220</v>
      </c>
      <c r="U328" s="9" t="s">
        <v>167</v>
      </c>
      <c r="V328" s="9" t="s">
        <v>148</v>
      </c>
      <c r="W328" s="9" t="s">
        <v>3639</v>
      </c>
      <c r="X328" s="9" t="s">
        <v>3348</v>
      </c>
      <c r="Y328" s="9"/>
      <c r="Z328" s="9" t="s">
        <v>796</v>
      </c>
      <c r="AA328" s="9" t="s">
        <v>3348</v>
      </c>
    </row>
    <row r="329" spans="1:27" x14ac:dyDescent="0.35">
      <c r="A329" s="4" t="str">
        <f>IF(Table5[[#This Row],[SM_Amount__c]]="25.0","FEE",IF(IF(Table5[[#This Row],[SM_Original_Type__c]]="",Table5[[#This Row],[SM_Type__c]],Table5[[#This Row],[SM_Original_Type__c]])="AC","AC","SUBS"))</f>
        <v>SUBS</v>
      </c>
      <c r="B329" s="27">
        <f>IF(INDEX(Contract[SM_AC_start_date__c],MATCH(Table5[[#This Row],[SM_Contract__c]],Contract[Id],0))=0,"",INDEX(Contract[SM_AC_start_date__c],MATCH(Table5[[#This Row],[SM_Contract__c]],Contract[Id],0)))</f>
        <v>46043</v>
      </c>
      <c r="C329" s="27" t="str">
        <f>IF(INDEX(Contract[SM_AC_Split_Date__c],MATCH(Table5[[#This Row],[SM_Contract__c]],Contract[Id],0))=0,"",INDEX(Contract[SM_AC_Split_Date__c],MATCH(Table5[[#This Row],[SM_Contract__c]],Contract[Id],0)))</f>
        <v/>
      </c>
      <c r="D329" s="27">
        <f>IF(INDEX(Contract[SM_Start_date__c],MATCH(Table5[[#This Row],[SM_Contract__c]],Contract[Id],0))=0,"",INDEX(Contract[SM_Start_date__c],MATCH(Table5[[#This Row],[SM_Contract__c]],Contract[Id],0)))</f>
        <v>46078</v>
      </c>
      <c r="E329" s="4">
        <f ca="1">(YEAR(TODAY())-YEAR(Table5[[#This Row],[RC DATE]]))*12 + MONTH(TODAY())-MONTH(Table5[[#This Row],[RC DATE]])</f>
        <v>5</v>
      </c>
      <c r="F32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46106</v>
      </c>
      <c r="G329" s="19">
        <f>IF(Table5[[#This Row],[Payment_Status__c]]="ACCEPTED",1,"")</f>
        <v>1</v>
      </c>
      <c r="H32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4</v>
      </c>
      <c r="I329" s="19">
        <f ca="1">Table5[[#This Row],['# months]]-COUNTIFS(Table5[SM_Contract__c],Table5[[#This Row],[SM_Contract__c]],Table5[TYPE],"SUBS",Table5[ACCEPTED],1)</f>
        <v>4</v>
      </c>
      <c r="J329" s="19" t="b">
        <f>ISNUMBER(MATCH(Table5[[#This Row],[SM_Contract__c]],Contract[Id],0))</f>
        <v>1</v>
      </c>
      <c r="K329" s="9" t="s">
        <v>3349</v>
      </c>
      <c r="L329" s="9" t="s">
        <v>3350</v>
      </c>
      <c r="M329" s="9" t="s">
        <v>752</v>
      </c>
      <c r="N329" s="9" t="s">
        <v>3734</v>
      </c>
      <c r="O329" s="9" t="s">
        <v>1563</v>
      </c>
      <c r="P329" s="9" t="s">
        <v>2363</v>
      </c>
      <c r="Q329" s="9" t="s">
        <v>83</v>
      </c>
      <c r="R329" s="9" t="s">
        <v>76</v>
      </c>
      <c r="S329" s="9" t="s">
        <v>167</v>
      </c>
      <c r="T329" s="9" t="s">
        <v>167</v>
      </c>
      <c r="U329" s="9" t="s">
        <v>167</v>
      </c>
      <c r="V329" s="9" t="s">
        <v>93</v>
      </c>
      <c r="W329" s="9" t="s">
        <v>3665</v>
      </c>
      <c r="X329" s="9" t="s">
        <v>3351</v>
      </c>
      <c r="Y329" s="9"/>
      <c r="Z329" s="9"/>
      <c r="AA329" s="9" t="s">
        <v>3351</v>
      </c>
    </row>
    <row r="330" spans="1:27" x14ac:dyDescent="0.35">
      <c r="A330" s="4" t="str">
        <f>IF(Table5[[#This Row],[SM_Amount__c]]="25.0","FEE",IF(IF(Table5[[#This Row],[SM_Original_Type__c]]="",Table5[[#This Row],[SM_Type__c]],Table5[[#This Row],[SM_Original_Type__c]])="AC","AC","SUBS"))</f>
        <v>AC</v>
      </c>
      <c r="B330" s="27">
        <f>IF(INDEX(Contract[SM_AC_start_date__c],MATCH(Table5[[#This Row],[SM_Contract__c]],Contract[Id],0))=0,"",INDEX(Contract[SM_AC_start_date__c],MATCH(Table5[[#This Row],[SM_Contract__c]],Contract[Id],0)))</f>
        <v>46037</v>
      </c>
      <c r="C330" s="27">
        <f>IF(INDEX(Contract[SM_AC_Split_Date__c],MATCH(Table5[[#This Row],[SM_Contract__c]],Contract[Id],0))=0,"",INDEX(Contract[SM_AC_Split_Date__c],MATCH(Table5[[#This Row],[SM_Contract__c]],Contract[Id],0)))</f>
        <v>46048</v>
      </c>
      <c r="D330" s="27">
        <f>IF(INDEX(Contract[SM_Start_date__c],MATCH(Table5[[#This Row],[SM_Contract__c]],Contract[Id],0))=0,"",INDEX(Contract[SM_Start_date__c],MATCH(Table5[[#This Row],[SM_Contract__c]],Contract[Id],0)))</f>
        <v>46081</v>
      </c>
      <c r="E330" s="4">
        <f ca="1">(YEAR(TODAY())-YEAR(Table5[[#This Row],[RC DATE]]))*12 + MONTH(TODAY())-MONTH(Table5[[#This Row],[RC DATE]])</f>
        <v>5</v>
      </c>
      <c r="F33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0" s="19">
        <f>IF(Table5[[#This Row],[Payment_Status__c]]="ACCEPTED",1,"")</f>
        <v>1</v>
      </c>
      <c r="H33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0" s="19">
        <f ca="1">Table5[[#This Row],['# months]]-COUNTIFS(Table5[SM_Contract__c],Table5[[#This Row],[SM_Contract__c]],Table5[TYPE],"SUBS",Table5[ACCEPTED],1)</f>
        <v>1</v>
      </c>
      <c r="J330" s="19" t="b">
        <f>ISNUMBER(MATCH(Table5[[#This Row],[SM_Contract__c]],Contract[Id],0))</f>
        <v>1</v>
      </c>
      <c r="K330" s="9" t="s">
        <v>3352</v>
      </c>
      <c r="L330" s="9" t="s">
        <v>3353</v>
      </c>
      <c r="M330" s="9" t="s">
        <v>761</v>
      </c>
      <c r="N330" s="9" t="s">
        <v>3735</v>
      </c>
      <c r="O330" s="9" t="s">
        <v>1563</v>
      </c>
      <c r="P330" s="9" t="s">
        <v>2363</v>
      </c>
      <c r="Q330" s="9" t="s">
        <v>77</v>
      </c>
      <c r="R330" s="9" t="s">
        <v>77</v>
      </c>
      <c r="S330" s="9" t="s">
        <v>1936</v>
      </c>
      <c r="T330" s="9" t="s">
        <v>1936</v>
      </c>
      <c r="U330" s="9" t="s">
        <v>1936</v>
      </c>
      <c r="V330" s="9" t="s">
        <v>93</v>
      </c>
      <c r="W330" s="9" t="s">
        <v>3581</v>
      </c>
      <c r="X330" s="9" t="s">
        <v>3354</v>
      </c>
      <c r="Y330" s="9"/>
      <c r="Z330" s="9"/>
      <c r="AA330" s="9" t="s">
        <v>3354</v>
      </c>
    </row>
    <row r="331" spans="1:27" x14ac:dyDescent="0.35">
      <c r="A331" s="4" t="str">
        <f>IF(Table5[[#This Row],[SM_Amount__c]]="25.0","FEE",IF(IF(Table5[[#This Row],[SM_Original_Type__c]]="",Table5[[#This Row],[SM_Type__c]],Table5[[#This Row],[SM_Original_Type__c]])="AC","AC","SUBS"))</f>
        <v>AC</v>
      </c>
      <c r="B331" s="27">
        <f>IF(INDEX(Contract[SM_AC_start_date__c],MATCH(Table5[[#This Row],[SM_Contract__c]],Contract[Id],0))=0,"",INDEX(Contract[SM_AC_start_date__c],MATCH(Table5[[#This Row],[SM_Contract__c]],Contract[Id],0)))</f>
        <v>46037</v>
      </c>
      <c r="C331" s="27">
        <f>IF(INDEX(Contract[SM_AC_Split_Date__c],MATCH(Table5[[#This Row],[SM_Contract__c]],Contract[Id],0))=0,"",INDEX(Contract[SM_AC_Split_Date__c],MATCH(Table5[[#This Row],[SM_Contract__c]],Contract[Id],0)))</f>
        <v>46048</v>
      </c>
      <c r="D331" s="27">
        <f>IF(INDEX(Contract[SM_Start_date__c],MATCH(Table5[[#This Row],[SM_Contract__c]],Contract[Id],0))=0,"",INDEX(Contract[SM_Start_date__c],MATCH(Table5[[#This Row],[SM_Contract__c]],Contract[Id],0)))</f>
        <v>46081</v>
      </c>
      <c r="E331" s="4">
        <f ca="1">(YEAR(TODAY())-YEAR(Table5[[#This Row],[RC DATE]]))*12 + MONTH(TODAY())-MONTH(Table5[[#This Row],[RC DATE]])</f>
        <v>5</v>
      </c>
      <c r="F33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1" s="19">
        <f>IF(Table5[[#This Row],[Payment_Status__c]]="ACCEPTED",1,"")</f>
        <v>1</v>
      </c>
      <c r="H33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1" s="19">
        <f ca="1">Table5[[#This Row],['# months]]-COUNTIFS(Table5[SM_Contract__c],Table5[[#This Row],[SM_Contract__c]],Table5[TYPE],"SUBS",Table5[ACCEPTED],1)</f>
        <v>1</v>
      </c>
      <c r="J331" s="19" t="b">
        <f>ISNUMBER(MATCH(Table5[[#This Row],[SM_Contract__c]],Contract[Id],0))</f>
        <v>1</v>
      </c>
      <c r="K331" s="9" t="s">
        <v>3355</v>
      </c>
      <c r="L331" s="9" t="s">
        <v>3356</v>
      </c>
      <c r="M331" s="9" t="s">
        <v>761</v>
      </c>
      <c r="N331" s="9" t="s">
        <v>3735</v>
      </c>
      <c r="O331" s="9" t="s">
        <v>1563</v>
      </c>
      <c r="P331" s="9" t="s">
        <v>2363</v>
      </c>
      <c r="Q331" s="9" t="s">
        <v>77</v>
      </c>
      <c r="R331" s="9" t="s">
        <v>77</v>
      </c>
      <c r="S331" s="9" t="s">
        <v>1936</v>
      </c>
      <c r="T331" s="9" t="s">
        <v>1936</v>
      </c>
      <c r="U331" s="9" t="s">
        <v>1936</v>
      </c>
      <c r="V331" s="9" t="s">
        <v>93</v>
      </c>
      <c r="W331" s="9" t="s">
        <v>3597</v>
      </c>
      <c r="X331" s="9" t="s">
        <v>2604</v>
      </c>
      <c r="Y331" s="9"/>
      <c r="Z331" s="9"/>
      <c r="AA331" s="9" t="s">
        <v>2604</v>
      </c>
    </row>
    <row r="332" spans="1:27" x14ac:dyDescent="0.35">
      <c r="A332" s="4" t="str">
        <f>IF(Table5[[#This Row],[SM_Amount__c]]="25.0","FEE",IF(IF(Table5[[#This Row],[SM_Original_Type__c]]="",Table5[[#This Row],[SM_Type__c]],Table5[[#This Row],[SM_Original_Type__c]])="AC","AC","SUBS"))</f>
        <v>SUBS</v>
      </c>
      <c r="B332" s="27">
        <f>IF(INDEX(Contract[SM_AC_start_date__c],MATCH(Table5[[#This Row],[SM_Contract__c]],Contract[Id],0))=0,"",INDEX(Contract[SM_AC_start_date__c],MATCH(Table5[[#This Row],[SM_Contract__c]],Contract[Id],0)))</f>
        <v>46037</v>
      </c>
      <c r="C332" s="27">
        <f>IF(INDEX(Contract[SM_AC_Split_Date__c],MATCH(Table5[[#This Row],[SM_Contract__c]],Contract[Id],0))=0,"",INDEX(Contract[SM_AC_Split_Date__c],MATCH(Table5[[#This Row],[SM_Contract__c]],Contract[Id],0)))</f>
        <v>46048</v>
      </c>
      <c r="D332" s="27">
        <f>IF(INDEX(Contract[SM_Start_date__c],MATCH(Table5[[#This Row],[SM_Contract__c]],Contract[Id],0))=0,"",INDEX(Contract[SM_Start_date__c],MATCH(Table5[[#This Row],[SM_Contract__c]],Contract[Id],0)))</f>
        <v>46081</v>
      </c>
      <c r="E332" s="4">
        <f ca="1">(YEAR(TODAY())-YEAR(Table5[[#This Row],[RC DATE]]))*12 + MONTH(TODAY())-MONTH(Table5[[#This Row],[RC DATE]])</f>
        <v>5</v>
      </c>
      <c r="F33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2" s="19">
        <f>IF(Table5[[#This Row],[Payment_Status__c]]="ACCEPTED",1,"")</f>
        <v>1</v>
      </c>
      <c r="H33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2" s="19">
        <f ca="1">Table5[[#This Row],['# months]]-COUNTIFS(Table5[SM_Contract__c],Table5[[#This Row],[SM_Contract__c]],Table5[TYPE],"SUBS",Table5[ACCEPTED],1)</f>
        <v>1</v>
      </c>
      <c r="J332" s="19" t="b">
        <f>ISNUMBER(MATCH(Table5[[#This Row],[SM_Contract__c]],Contract[Id],0))</f>
        <v>1</v>
      </c>
      <c r="K332" s="9" t="s">
        <v>3357</v>
      </c>
      <c r="L332" s="9" t="s">
        <v>3358</v>
      </c>
      <c r="M332" s="9" t="s">
        <v>761</v>
      </c>
      <c r="N332" s="9" t="s">
        <v>3735</v>
      </c>
      <c r="O332" s="9" t="s">
        <v>1563</v>
      </c>
      <c r="P332" s="9" t="s">
        <v>2363</v>
      </c>
      <c r="Q332" s="9" t="s">
        <v>83</v>
      </c>
      <c r="R332" s="9" t="s">
        <v>76</v>
      </c>
      <c r="S332" s="9" t="s">
        <v>167</v>
      </c>
      <c r="T332" s="9" t="s">
        <v>167</v>
      </c>
      <c r="U332" s="9" t="s">
        <v>167</v>
      </c>
      <c r="V332" s="9" t="s">
        <v>93</v>
      </c>
      <c r="W332" s="9" t="s">
        <v>3564</v>
      </c>
      <c r="X332" s="9" t="s">
        <v>3359</v>
      </c>
      <c r="Y332" s="9"/>
      <c r="Z332" s="9"/>
      <c r="AA332" s="9" t="s">
        <v>3359</v>
      </c>
    </row>
    <row r="333" spans="1:27" x14ac:dyDescent="0.35">
      <c r="A333" s="4" t="str">
        <f>IF(Table5[[#This Row],[SM_Amount__c]]="25.0","FEE",IF(IF(Table5[[#This Row],[SM_Original_Type__c]]="",Table5[[#This Row],[SM_Type__c]],Table5[[#This Row],[SM_Original_Type__c]])="AC","AC","SUBS"))</f>
        <v>SUBS</v>
      </c>
      <c r="B333" s="27">
        <f>IF(INDEX(Contract[SM_AC_start_date__c],MATCH(Table5[[#This Row],[SM_Contract__c]],Contract[Id],0))=0,"",INDEX(Contract[SM_AC_start_date__c],MATCH(Table5[[#This Row],[SM_Contract__c]],Contract[Id],0)))</f>
        <v>46037</v>
      </c>
      <c r="C333" s="27">
        <f>IF(INDEX(Contract[SM_AC_Split_Date__c],MATCH(Table5[[#This Row],[SM_Contract__c]],Contract[Id],0))=0,"",INDEX(Contract[SM_AC_Split_Date__c],MATCH(Table5[[#This Row],[SM_Contract__c]],Contract[Id],0)))</f>
        <v>46048</v>
      </c>
      <c r="D333" s="27">
        <f>IF(INDEX(Contract[SM_Start_date__c],MATCH(Table5[[#This Row],[SM_Contract__c]],Contract[Id],0))=0,"",INDEX(Contract[SM_Start_date__c],MATCH(Table5[[#This Row],[SM_Contract__c]],Contract[Id],0)))</f>
        <v>46081</v>
      </c>
      <c r="E333" s="4">
        <f ca="1">(YEAR(TODAY())-YEAR(Table5[[#This Row],[RC DATE]]))*12 + MONTH(TODAY())-MONTH(Table5[[#This Row],[RC DATE]])</f>
        <v>5</v>
      </c>
      <c r="F33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3" s="19">
        <f>IF(Table5[[#This Row],[Payment_Status__c]]="ACCEPTED",1,"")</f>
        <v>1</v>
      </c>
      <c r="H33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3" s="19">
        <f ca="1">Table5[[#This Row],['# months]]-COUNTIFS(Table5[SM_Contract__c],Table5[[#This Row],[SM_Contract__c]],Table5[TYPE],"SUBS",Table5[ACCEPTED],1)</f>
        <v>1</v>
      </c>
      <c r="J333" s="19" t="b">
        <f>ISNUMBER(MATCH(Table5[[#This Row],[SM_Contract__c]],Contract[Id],0))</f>
        <v>1</v>
      </c>
      <c r="K333" s="9" t="s">
        <v>3360</v>
      </c>
      <c r="L333" s="9" t="s">
        <v>3361</v>
      </c>
      <c r="M333" s="9" t="s">
        <v>761</v>
      </c>
      <c r="N333" s="9" t="s">
        <v>3735</v>
      </c>
      <c r="O333" s="9" t="s">
        <v>1563</v>
      </c>
      <c r="P333" s="9" t="s">
        <v>2363</v>
      </c>
      <c r="Q333" s="9" t="s">
        <v>83</v>
      </c>
      <c r="R333" s="9" t="s">
        <v>76</v>
      </c>
      <c r="S333" s="9" t="s">
        <v>167</v>
      </c>
      <c r="T333" s="9" t="s">
        <v>167</v>
      </c>
      <c r="U333" s="9" t="s">
        <v>167</v>
      </c>
      <c r="V333" s="9" t="s">
        <v>93</v>
      </c>
      <c r="W333" s="9" t="s">
        <v>3565</v>
      </c>
      <c r="X333" s="9" t="s">
        <v>3362</v>
      </c>
      <c r="Y333" s="9"/>
      <c r="Z333" s="9"/>
      <c r="AA333" s="9" t="s">
        <v>3362</v>
      </c>
    </row>
    <row r="334" spans="1:27" x14ac:dyDescent="0.35">
      <c r="A334" s="4" t="str">
        <f>IF(Table5[[#This Row],[SM_Amount__c]]="25.0","FEE",IF(IF(Table5[[#This Row],[SM_Original_Type__c]]="",Table5[[#This Row],[SM_Type__c]],Table5[[#This Row],[SM_Original_Type__c]])="AC","AC","SUBS"))</f>
        <v>SUBS</v>
      </c>
      <c r="B334" s="27">
        <f>IF(INDEX(Contract[SM_AC_start_date__c],MATCH(Table5[[#This Row],[SM_Contract__c]],Contract[Id],0))=0,"",INDEX(Contract[SM_AC_start_date__c],MATCH(Table5[[#This Row],[SM_Contract__c]],Contract[Id],0)))</f>
        <v>46037</v>
      </c>
      <c r="C334" s="27">
        <f>IF(INDEX(Contract[SM_AC_Split_Date__c],MATCH(Table5[[#This Row],[SM_Contract__c]],Contract[Id],0))=0,"",INDEX(Contract[SM_AC_Split_Date__c],MATCH(Table5[[#This Row],[SM_Contract__c]],Contract[Id],0)))</f>
        <v>46048</v>
      </c>
      <c r="D334" s="27">
        <f>IF(INDEX(Contract[SM_Start_date__c],MATCH(Table5[[#This Row],[SM_Contract__c]],Contract[Id],0))=0,"",INDEX(Contract[SM_Start_date__c],MATCH(Table5[[#This Row],[SM_Contract__c]],Contract[Id],0)))</f>
        <v>46081</v>
      </c>
      <c r="E334" s="4">
        <f ca="1">(YEAR(TODAY())-YEAR(Table5[[#This Row],[RC DATE]]))*12 + MONTH(TODAY())-MONTH(Table5[[#This Row],[RC DATE]])</f>
        <v>5</v>
      </c>
      <c r="F33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4" s="19">
        <f>IF(Table5[[#This Row],[Payment_Status__c]]="ACCEPTED",1,"")</f>
        <v>1</v>
      </c>
      <c r="H33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4" s="19">
        <f ca="1">Table5[[#This Row],['# months]]-COUNTIFS(Table5[SM_Contract__c],Table5[[#This Row],[SM_Contract__c]],Table5[TYPE],"SUBS",Table5[ACCEPTED],1)</f>
        <v>1</v>
      </c>
      <c r="J334" s="19" t="b">
        <f>ISNUMBER(MATCH(Table5[[#This Row],[SM_Contract__c]],Contract[Id],0))</f>
        <v>1</v>
      </c>
      <c r="K334" s="9" t="s">
        <v>3363</v>
      </c>
      <c r="L334" s="9" t="s">
        <v>3364</v>
      </c>
      <c r="M334" s="9" t="s">
        <v>761</v>
      </c>
      <c r="N334" s="9" t="s">
        <v>3735</v>
      </c>
      <c r="O334" s="9" t="s">
        <v>1563</v>
      </c>
      <c r="P334" s="9" t="s">
        <v>2363</v>
      </c>
      <c r="Q334" s="9" t="s">
        <v>83</v>
      </c>
      <c r="R334" s="9" t="s">
        <v>76</v>
      </c>
      <c r="S334" s="9" t="s">
        <v>167</v>
      </c>
      <c r="T334" s="9" t="s">
        <v>167</v>
      </c>
      <c r="U334" s="9" t="s">
        <v>167</v>
      </c>
      <c r="V334" s="9" t="s">
        <v>93</v>
      </c>
      <c r="W334" s="9" t="s">
        <v>3566</v>
      </c>
      <c r="X334" s="9" t="s">
        <v>3365</v>
      </c>
      <c r="Y334" s="9"/>
      <c r="Z334" s="9"/>
      <c r="AA334" s="9" t="s">
        <v>3365</v>
      </c>
    </row>
    <row r="335" spans="1:27" x14ac:dyDescent="0.35">
      <c r="A335" s="4" t="str">
        <f>IF(Table5[[#This Row],[SM_Amount__c]]="25.0","FEE",IF(IF(Table5[[#This Row],[SM_Original_Type__c]]="",Table5[[#This Row],[SM_Type__c]],Table5[[#This Row],[SM_Original_Type__c]])="AC","AC","SUBS"))</f>
        <v>SUBS</v>
      </c>
      <c r="B335" s="27">
        <f>IF(INDEX(Contract[SM_AC_start_date__c],MATCH(Table5[[#This Row],[SM_Contract__c]],Contract[Id],0))=0,"",INDEX(Contract[SM_AC_start_date__c],MATCH(Table5[[#This Row],[SM_Contract__c]],Contract[Id],0)))</f>
        <v>46037</v>
      </c>
      <c r="C335" s="27">
        <f>IF(INDEX(Contract[SM_AC_Split_Date__c],MATCH(Table5[[#This Row],[SM_Contract__c]],Contract[Id],0))=0,"",INDEX(Contract[SM_AC_Split_Date__c],MATCH(Table5[[#This Row],[SM_Contract__c]],Contract[Id],0)))</f>
        <v>46048</v>
      </c>
      <c r="D335" s="27">
        <f>IF(INDEX(Contract[SM_Start_date__c],MATCH(Table5[[#This Row],[SM_Contract__c]],Contract[Id],0))=0,"",INDEX(Contract[SM_Start_date__c],MATCH(Table5[[#This Row],[SM_Contract__c]],Contract[Id],0)))</f>
        <v>46081</v>
      </c>
      <c r="E335" s="4">
        <f ca="1">(YEAR(TODAY())-YEAR(Table5[[#This Row],[RC DATE]]))*12 + MONTH(TODAY())-MONTH(Table5[[#This Row],[RC DATE]])</f>
        <v>5</v>
      </c>
      <c r="F33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35" s="19">
        <f>IF(Table5[[#This Row],[Payment_Status__c]]="ACCEPTED",1,"")</f>
        <v>1</v>
      </c>
      <c r="H33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35" s="19">
        <f ca="1">Table5[[#This Row],['# months]]-COUNTIFS(Table5[SM_Contract__c],Table5[[#This Row],[SM_Contract__c]],Table5[TYPE],"SUBS",Table5[ACCEPTED],1)</f>
        <v>1</v>
      </c>
      <c r="J335" s="19" t="b">
        <f>ISNUMBER(MATCH(Table5[[#This Row],[SM_Contract__c]],Contract[Id],0))</f>
        <v>1</v>
      </c>
      <c r="K335" s="9" t="s">
        <v>3366</v>
      </c>
      <c r="L335" s="9" t="s">
        <v>3367</v>
      </c>
      <c r="M335" s="9" t="s">
        <v>761</v>
      </c>
      <c r="N335" s="9" t="s">
        <v>3735</v>
      </c>
      <c r="O335" s="9" t="s">
        <v>1563</v>
      </c>
      <c r="P335" s="9" t="s">
        <v>2363</v>
      </c>
      <c r="Q335" s="9" t="s">
        <v>83</v>
      </c>
      <c r="R335" s="9" t="s">
        <v>76</v>
      </c>
      <c r="S335" s="9" t="s">
        <v>167</v>
      </c>
      <c r="T335" s="9" t="s">
        <v>167</v>
      </c>
      <c r="U335" s="9" t="s">
        <v>167</v>
      </c>
      <c r="V335" s="9" t="s">
        <v>93</v>
      </c>
      <c r="W335" s="9" t="s">
        <v>3588</v>
      </c>
      <c r="X335" s="9" t="s">
        <v>3208</v>
      </c>
      <c r="Y335" s="9"/>
      <c r="Z335" s="9"/>
      <c r="AA335" s="9" t="s">
        <v>3208</v>
      </c>
    </row>
    <row r="336" spans="1:27" x14ac:dyDescent="0.35">
      <c r="A336" s="4" t="str">
        <f>IF(Table5[[#This Row],[SM_Amount__c]]="25.0","FEE",IF(IF(Table5[[#This Row],[SM_Original_Type__c]]="",Table5[[#This Row],[SM_Type__c]],Table5[[#This Row],[SM_Original_Type__c]])="AC","AC","SUBS"))</f>
        <v>AC</v>
      </c>
      <c r="B336" s="27">
        <f>IF(INDEX(Contract[SM_AC_start_date__c],MATCH(Table5[[#This Row],[SM_Contract__c]],Contract[Id],0))=0,"",INDEX(Contract[SM_AC_start_date__c],MATCH(Table5[[#This Row],[SM_Contract__c]],Contract[Id],0)))</f>
        <v>46052</v>
      </c>
      <c r="C336" s="27">
        <f>IF(INDEX(Contract[SM_AC_Split_Date__c],MATCH(Table5[[#This Row],[SM_Contract__c]],Contract[Id],0))=0,"",INDEX(Contract[SM_AC_Split_Date__c],MATCH(Table5[[#This Row],[SM_Contract__c]],Contract[Id],0)))</f>
        <v>46066</v>
      </c>
      <c r="D336" s="27">
        <f>IF(INDEX(Contract[SM_Start_date__c],MATCH(Table5[[#This Row],[SM_Contract__c]],Contract[Id],0))=0,"",INDEX(Contract[SM_Start_date__c],MATCH(Table5[[#This Row],[SM_Contract__c]],Contract[Id],0)))</f>
        <v>46111</v>
      </c>
      <c r="E336" s="4">
        <f ca="1">(YEAR(TODAY())-YEAR(Table5[[#This Row],[RC DATE]]))*12 + MONTH(TODAY())-MONTH(Table5[[#This Row],[RC DATE]])</f>
        <v>4</v>
      </c>
      <c r="F33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36" s="19">
        <f>IF(Table5[[#This Row],[Payment_Status__c]]="ACCEPTED",1,"")</f>
        <v>1</v>
      </c>
      <c r="H33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36" s="19">
        <f ca="1">Table5[[#This Row],['# months]]-COUNTIFS(Table5[SM_Contract__c],Table5[[#This Row],[SM_Contract__c]],Table5[TYPE],"SUBS",Table5[ACCEPTED],1)</f>
        <v>2</v>
      </c>
      <c r="J336" s="19" t="b">
        <f>ISNUMBER(MATCH(Table5[[#This Row],[SM_Contract__c]],Contract[Id],0))</f>
        <v>1</v>
      </c>
      <c r="K336" s="9" t="s">
        <v>3368</v>
      </c>
      <c r="L336" s="9" t="s">
        <v>3369</v>
      </c>
      <c r="M336" s="9" t="s">
        <v>769</v>
      </c>
      <c r="N336" s="9" t="s">
        <v>3736</v>
      </c>
      <c r="O336" s="9" t="s">
        <v>1563</v>
      </c>
      <c r="P336" s="9" t="s">
        <v>2363</v>
      </c>
      <c r="Q336" s="9" t="s">
        <v>77</v>
      </c>
      <c r="R336" s="9" t="s">
        <v>77</v>
      </c>
      <c r="S336" s="9" t="s">
        <v>1936</v>
      </c>
      <c r="T336" s="9" t="s">
        <v>1936</v>
      </c>
      <c r="U336" s="9" t="s">
        <v>1936</v>
      </c>
      <c r="V336" s="9" t="s">
        <v>93</v>
      </c>
      <c r="W336" s="9" t="s">
        <v>3563</v>
      </c>
      <c r="X336" s="9" t="s">
        <v>3370</v>
      </c>
      <c r="Y336" s="9"/>
      <c r="Z336" s="9"/>
      <c r="AA336" s="9" t="s">
        <v>3370</v>
      </c>
    </row>
    <row r="337" spans="1:27" x14ac:dyDescent="0.35">
      <c r="A337" s="4" t="str">
        <f>IF(Table5[[#This Row],[SM_Amount__c]]="25.0","FEE",IF(IF(Table5[[#This Row],[SM_Original_Type__c]]="",Table5[[#This Row],[SM_Type__c]],Table5[[#This Row],[SM_Original_Type__c]])="AC","AC","SUBS"))</f>
        <v>AC</v>
      </c>
      <c r="B337" s="27">
        <f>IF(INDEX(Contract[SM_AC_start_date__c],MATCH(Table5[[#This Row],[SM_Contract__c]],Contract[Id],0))=0,"",INDEX(Contract[SM_AC_start_date__c],MATCH(Table5[[#This Row],[SM_Contract__c]],Contract[Id],0)))</f>
        <v>46052</v>
      </c>
      <c r="C337" s="27">
        <f>IF(INDEX(Contract[SM_AC_Split_Date__c],MATCH(Table5[[#This Row],[SM_Contract__c]],Contract[Id],0))=0,"",INDEX(Contract[SM_AC_Split_Date__c],MATCH(Table5[[#This Row],[SM_Contract__c]],Contract[Id],0)))</f>
        <v>46066</v>
      </c>
      <c r="D337" s="27">
        <f>IF(INDEX(Contract[SM_Start_date__c],MATCH(Table5[[#This Row],[SM_Contract__c]],Contract[Id],0))=0,"",INDEX(Contract[SM_Start_date__c],MATCH(Table5[[#This Row],[SM_Contract__c]],Contract[Id],0)))</f>
        <v>46111</v>
      </c>
      <c r="E337" s="4">
        <f ca="1">(YEAR(TODAY())-YEAR(Table5[[#This Row],[RC DATE]]))*12 + MONTH(TODAY())-MONTH(Table5[[#This Row],[RC DATE]])</f>
        <v>4</v>
      </c>
      <c r="F33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37" s="19">
        <f>IF(Table5[[#This Row],[Payment_Status__c]]="ACCEPTED",1,"")</f>
        <v>1</v>
      </c>
      <c r="H33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37" s="19">
        <f ca="1">Table5[[#This Row],['# months]]-COUNTIFS(Table5[SM_Contract__c],Table5[[#This Row],[SM_Contract__c]],Table5[TYPE],"SUBS",Table5[ACCEPTED],1)</f>
        <v>2</v>
      </c>
      <c r="J337" s="19" t="b">
        <f>ISNUMBER(MATCH(Table5[[#This Row],[SM_Contract__c]],Contract[Id],0))</f>
        <v>1</v>
      </c>
      <c r="K337" s="9" t="s">
        <v>3371</v>
      </c>
      <c r="L337" s="9" t="s">
        <v>3372</v>
      </c>
      <c r="M337" s="9" t="s">
        <v>769</v>
      </c>
      <c r="N337" s="9" t="s">
        <v>3736</v>
      </c>
      <c r="O337" s="9" t="s">
        <v>1563</v>
      </c>
      <c r="P337" s="9" t="s">
        <v>2363</v>
      </c>
      <c r="Q337" s="9" t="s">
        <v>77</v>
      </c>
      <c r="R337" s="9" t="s">
        <v>77</v>
      </c>
      <c r="S337" s="9" t="s">
        <v>1936</v>
      </c>
      <c r="T337" s="9" t="s">
        <v>1936</v>
      </c>
      <c r="U337" s="9" t="s">
        <v>1936</v>
      </c>
      <c r="V337" s="9" t="s">
        <v>93</v>
      </c>
      <c r="W337" s="9" t="s">
        <v>3582</v>
      </c>
      <c r="X337" s="9" t="s">
        <v>3373</v>
      </c>
      <c r="Y337" s="9"/>
      <c r="Z337" s="9"/>
      <c r="AA337" s="9" t="s">
        <v>3373</v>
      </c>
    </row>
    <row r="338" spans="1:27" x14ac:dyDescent="0.35">
      <c r="A338" s="4" t="str">
        <f>IF(Table5[[#This Row],[SM_Amount__c]]="25.0","FEE",IF(IF(Table5[[#This Row],[SM_Original_Type__c]]="",Table5[[#This Row],[SM_Type__c]],Table5[[#This Row],[SM_Original_Type__c]])="AC","AC","SUBS"))</f>
        <v>SUBS</v>
      </c>
      <c r="B338" s="27">
        <f>IF(INDEX(Contract[SM_AC_start_date__c],MATCH(Table5[[#This Row],[SM_Contract__c]],Contract[Id],0))=0,"",INDEX(Contract[SM_AC_start_date__c],MATCH(Table5[[#This Row],[SM_Contract__c]],Contract[Id],0)))</f>
        <v>46052</v>
      </c>
      <c r="C338" s="27">
        <f>IF(INDEX(Contract[SM_AC_Split_Date__c],MATCH(Table5[[#This Row],[SM_Contract__c]],Contract[Id],0))=0,"",INDEX(Contract[SM_AC_Split_Date__c],MATCH(Table5[[#This Row],[SM_Contract__c]],Contract[Id],0)))</f>
        <v>46066</v>
      </c>
      <c r="D338" s="27">
        <f>IF(INDEX(Contract[SM_Start_date__c],MATCH(Table5[[#This Row],[SM_Contract__c]],Contract[Id],0))=0,"",INDEX(Contract[SM_Start_date__c],MATCH(Table5[[#This Row],[SM_Contract__c]],Contract[Id],0)))</f>
        <v>46111</v>
      </c>
      <c r="E338" s="4">
        <f ca="1">(YEAR(TODAY())-YEAR(Table5[[#This Row],[RC DATE]]))*12 + MONTH(TODAY())-MONTH(Table5[[#This Row],[RC DATE]])</f>
        <v>4</v>
      </c>
      <c r="F33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38" s="19">
        <f>IF(Table5[[#This Row],[Payment_Status__c]]="ACCEPTED",1,"")</f>
        <v>1</v>
      </c>
      <c r="H33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38" s="19">
        <f ca="1">Table5[[#This Row],['# months]]-COUNTIFS(Table5[SM_Contract__c],Table5[[#This Row],[SM_Contract__c]],Table5[TYPE],"SUBS",Table5[ACCEPTED],1)</f>
        <v>2</v>
      </c>
      <c r="J338" s="19" t="b">
        <f>ISNUMBER(MATCH(Table5[[#This Row],[SM_Contract__c]],Contract[Id],0))</f>
        <v>1</v>
      </c>
      <c r="K338" s="9" t="s">
        <v>3374</v>
      </c>
      <c r="L338" s="9" t="s">
        <v>3375</v>
      </c>
      <c r="M338" s="9" t="s">
        <v>769</v>
      </c>
      <c r="N338" s="9" t="s">
        <v>3736</v>
      </c>
      <c r="O338" s="9" t="s">
        <v>1563</v>
      </c>
      <c r="P338" s="9" t="s">
        <v>2363</v>
      </c>
      <c r="Q338" s="9" t="s">
        <v>71</v>
      </c>
      <c r="R338" s="9" t="s">
        <v>83</v>
      </c>
      <c r="S338" s="9" t="s">
        <v>2220</v>
      </c>
      <c r="T338" s="9" t="s">
        <v>2220</v>
      </c>
      <c r="U338" s="9" t="s">
        <v>167</v>
      </c>
      <c r="V338" s="9" t="s">
        <v>148</v>
      </c>
      <c r="W338" s="9" t="s">
        <v>3644</v>
      </c>
      <c r="X338" s="9" t="s">
        <v>3376</v>
      </c>
      <c r="Y338" s="9"/>
      <c r="Z338" s="9" t="s">
        <v>1066</v>
      </c>
      <c r="AA338" s="9" t="s">
        <v>3376</v>
      </c>
    </row>
    <row r="339" spans="1:27" x14ac:dyDescent="0.35">
      <c r="A339" s="4" t="str">
        <f>IF(Table5[[#This Row],[SM_Amount__c]]="25.0","FEE",IF(IF(Table5[[#This Row],[SM_Original_Type__c]]="",Table5[[#This Row],[SM_Type__c]],Table5[[#This Row],[SM_Original_Type__c]])="AC","AC","SUBS"))</f>
        <v>SUBS</v>
      </c>
      <c r="B339" s="27">
        <f>IF(INDEX(Contract[SM_AC_start_date__c],MATCH(Table5[[#This Row],[SM_Contract__c]],Contract[Id],0))=0,"",INDEX(Contract[SM_AC_start_date__c],MATCH(Table5[[#This Row],[SM_Contract__c]],Contract[Id],0)))</f>
        <v>46052</v>
      </c>
      <c r="C339" s="27">
        <f>IF(INDEX(Contract[SM_AC_Split_Date__c],MATCH(Table5[[#This Row],[SM_Contract__c]],Contract[Id],0))=0,"",INDEX(Contract[SM_AC_Split_Date__c],MATCH(Table5[[#This Row],[SM_Contract__c]],Contract[Id],0)))</f>
        <v>46066</v>
      </c>
      <c r="D339" s="27">
        <f>IF(INDEX(Contract[SM_Start_date__c],MATCH(Table5[[#This Row],[SM_Contract__c]],Contract[Id],0))=0,"",INDEX(Contract[SM_Start_date__c],MATCH(Table5[[#This Row],[SM_Contract__c]],Contract[Id],0)))</f>
        <v>46111</v>
      </c>
      <c r="E339" s="4">
        <f ca="1">(YEAR(TODAY())-YEAR(Table5[[#This Row],[RC DATE]]))*12 + MONTH(TODAY())-MONTH(Table5[[#This Row],[RC DATE]])</f>
        <v>4</v>
      </c>
      <c r="F33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39" s="19">
        <f>IF(Table5[[#This Row],[Payment_Status__c]]="ACCEPTED",1,"")</f>
        <v>1</v>
      </c>
      <c r="H33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39" s="19">
        <f ca="1">Table5[[#This Row],['# months]]-COUNTIFS(Table5[SM_Contract__c],Table5[[#This Row],[SM_Contract__c]],Table5[TYPE],"SUBS",Table5[ACCEPTED],1)</f>
        <v>2</v>
      </c>
      <c r="J339" s="19" t="b">
        <f>ISNUMBER(MATCH(Table5[[#This Row],[SM_Contract__c]],Contract[Id],0))</f>
        <v>1</v>
      </c>
      <c r="K339" s="9" t="s">
        <v>3377</v>
      </c>
      <c r="L339" s="9" t="s">
        <v>3378</v>
      </c>
      <c r="M339" s="9" t="s">
        <v>769</v>
      </c>
      <c r="N339" s="9" t="s">
        <v>3736</v>
      </c>
      <c r="O339" s="9" t="s">
        <v>1563</v>
      </c>
      <c r="P339" s="9" t="s">
        <v>2363</v>
      </c>
      <c r="Q339" s="9" t="s">
        <v>83</v>
      </c>
      <c r="R339" s="9" t="s">
        <v>76</v>
      </c>
      <c r="S339" s="9" t="s">
        <v>167</v>
      </c>
      <c r="T339" s="9" t="s">
        <v>167</v>
      </c>
      <c r="U339" s="9" t="s">
        <v>167</v>
      </c>
      <c r="V339" s="9" t="s">
        <v>93</v>
      </c>
      <c r="W339" s="9" t="s">
        <v>3566</v>
      </c>
      <c r="X339" s="9" t="s">
        <v>3379</v>
      </c>
      <c r="Y339" s="9"/>
      <c r="Z339" s="9"/>
      <c r="AA339" s="9" t="s">
        <v>3379</v>
      </c>
    </row>
    <row r="340" spans="1:27" x14ac:dyDescent="0.35">
      <c r="A340" s="4" t="str">
        <f>IF(Table5[[#This Row],[SM_Amount__c]]="25.0","FEE",IF(IF(Table5[[#This Row],[SM_Original_Type__c]]="",Table5[[#This Row],[SM_Type__c]],Table5[[#This Row],[SM_Original_Type__c]])="AC","AC","SUBS"))</f>
        <v>AC</v>
      </c>
      <c r="B340" s="27">
        <f>IF(INDEX(Contract[SM_AC_start_date__c],MATCH(Table5[[#This Row],[SM_Contract__c]],Contract[Id],0))=0,"",INDEX(Contract[SM_AC_start_date__c],MATCH(Table5[[#This Row],[SM_Contract__c]],Contract[Id],0)))</f>
        <v>46042</v>
      </c>
      <c r="C340" s="27" t="str">
        <f>IF(INDEX(Contract[SM_AC_Split_Date__c],MATCH(Table5[[#This Row],[SM_Contract__c]],Contract[Id],0))=0,"",INDEX(Contract[SM_AC_Split_Date__c],MATCH(Table5[[#This Row],[SM_Contract__c]],Contract[Id],0)))</f>
        <v/>
      </c>
      <c r="D340" s="27">
        <f>IF(INDEX(Contract[SM_Start_date__c],MATCH(Table5[[#This Row],[SM_Contract__c]],Contract[Id],0))=0,"",INDEX(Contract[SM_Start_date__c],MATCH(Table5[[#This Row],[SM_Contract__c]],Contract[Id],0)))</f>
        <v>46081</v>
      </c>
      <c r="E340" s="4">
        <f ca="1">(YEAR(TODAY())-YEAR(Table5[[#This Row],[RC DATE]]))*12 + MONTH(TODAY())-MONTH(Table5[[#This Row],[RC DATE]])</f>
        <v>5</v>
      </c>
      <c r="F34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40" s="19">
        <f>IF(Table5[[#This Row],[Payment_Status__c]]="ACCEPTED",1,"")</f>
        <v>1</v>
      </c>
      <c r="H34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0" s="19">
        <f ca="1">Table5[[#This Row],['# months]]-COUNTIFS(Table5[SM_Contract__c],Table5[[#This Row],[SM_Contract__c]],Table5[TYPE],"SUBS",Table5[ACCEPTED],1)</f>
        <v>2</v>
      </c>
      <c r="J340" s="19" t="b">
        <f>ISNUMBER(MATCH(Table5[[#This Row],[SM_Contract__c]],Contract[Id],0))</f>
        <v>1</v>
      </c>
      <c r="K340" s="9" t="s">
        <v>3384</v>
      </c>
      <c r="L340" s="9" t="s">
        <v>3385</v>
      </c>
      <c r="M340" s="9" t="s">
        <v>779</v>
      </c>
      <c r="N340" s="9" t="s">
        <v>3737</v>
      </c>
      <c r="O340" s="9" t="s">
        <v>1563</v>
      </c>
      <c r="P340" s="9" t="s">
        <v>2363</v>
      </c>
      <c r="Q340" s="9" t="s">
        <v>71</v>
      </c>
      <c r="R340" s="9" t="s">
        <v>77</v>
      </c>
      <c r="S340" s="9" t="s">
        <v>2220</v>
      </c>
      <c r="T340" s="9" t="s">
        <v>2220</v>
      </c>
      <c r="U340" s="9" t="s">
        <v>167</v>
      </c>
      <c r="V340" s="9" t="s">
        <v>148</v>
      </c>
      <c r="W340" s="9" t="s">
        <v>3636</v>
      </c>
      <c r="X340" s="9" t="s">
        <v>3386</v>
      </c>
      <c r="Y340" s="9"/>
      <c r="Z340" s="9" t="s">
        <v>787</v>
      </c>
      <c r="AA340" s="9" t="s">
        <v>3386</v>
      </c>
    </row>
    <row r="341" spans="1:27" x14ac:dyDescent="0.35">
      <c r="A341" s="4" t="str">
        <f>IF(Table5[[#This Row],[SM_Amount__c]]="25.0","FEE",IF(IF(Table5[[#This Row],[SM_Original_Type__c]]="",Table5[[#This Row],[SM_Type__c]],Table5[[#This Row],[SM_Original_Type__c]])="AC","AC","SUBS"))</f>
        <v>SUBS</v>
      </c>
      <c r="B341" s="27">
        <f>IF(INDEX(Contract[SM_AC_start_date__c],MATCH(Table5[[#This Row],[SM_Contract__c]],Contract[Id],0))=0,"",INDEX(Contract[SM_AC_start_date__c],MATCH(Table5[[#This Row],[SM_Contract__c]],Contract[Id],0)))</f>
        <v>46042</v>
      </c>
      <c r="C341" s="27" t="str">
        <f>IF(INDEX(Contract[SM_AC_Split_Date__c],MATCH(Table5[[#This Row],[SM_Contract__c]],Contract[Id],0))=0,"",INDEX(Contract[SM_AC_Split_Date__c],MATCH(Table5[[#This Row],[SM_Contract__c]],Contract[Id],0)))</f>
        <v/>
      </c>
      <c r="D341" s="27">
        <f>IF(INDEX(Contract[SM_Start_date__c],MATCH(Table5[[#This Row],[SM_Contract__c]],Contract[Id],0))=0,"",INDEX(Contract[SM_Start_date__c],MATCH(Table5[[#This Row],[SM_Contract__c]],Contract[Id],0)))</f>
        <v>46081</v>
      </c>
      <c r="E341" s="4">
        <f ca="1">(YEAR(TODAY())-YEAR(Table5[[#This Row],[RC DATE]]))*12 + MONTH(TODAY())-MONTH(Table5[[#This Row],[RC DATE]])</f>
        <v>5</v>
      </c>
      <c r="F34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41" s="19">
        <f>IF(Table5[[#This Row],[Payment_Status__c]]="ACCEPTED",1,"")</f>
        <v>1</v>
      </c>
      <c r="H34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1" s="19">
        <f ca="1">Table5[[#This Row],['# months]]-COUNTIFS(Table5[SM_Contract__c],Table5[[#This Row],[SM_Contract__c]],Table5[TYPE],"SUBS",Table5[ACCEPTED],1)</f>
        <v>2</v>
      </c>
      <c r="J341" s="19" t="b">
        <f>ISNUMBER(MATCH(Table5[[#This Row],[SM_Contract__c]],Contract[Id],0))</f>
        <v>1</v>
      </c>
      <c r="K341" s="9" t="s">
        <v>3387</v>
      </c>
      <c r="L341" s="9" t="s">
        <v>3388</v>
      </c>
      <c r="M341" s="9" t="s">
        <v>779</v>
      </c>
      <c r="N341" s="9" t="s">
        <v>3737</v>
      </c>
      <c r="O341" s="9" t="s">
        <v>1563</v>
      </c>
      <c r="P341" s="9" t="s">
        <v>2363</v>
      </c>
      <c r="Q341" s="9" t="s">
        <v>71</v>
      </c>
      <c r="R341" s="9" t="s">
        <v>83</v>
      </c>
      <c r="S341" s="9" t="s">
        <v>2220</v>
      </c>
      <c r="T341" s="9" t="s">
        <v>2220</v>
      </c>
      <c r="U341" s="9" t="s">
        <v>167</v>
      </c>
      <c r="V341" s="9" t="s">
        <v>148</v>
      </c>
      <c r="W341" s="9" t="s">
        <v>3652</v>
      </c>
      <c r="X341" s="9" t="s">
        <v>3389</v>
      </c>
      <c r="Y341" s="9"/>
      <c r="Z341" s="9" t="s">
        <v>981</v>
      </c>
      <c r="AA341" s="9" t="s">
        <v>3389</v>
      </c>
    </row>
    <row r="342" spans="1:27" x14ac:dyDescent="0.35">
      <c r="A342" s="4" t="str">
        <f>IF(Table5[[#This Row],[SM_Amount__c]]="25.0","FEE",IF(IF(Table5[[#This Row],[SM_Original_Type__c]]="",Table5[[#This Row],[SM_Type__c]],Table5[[#This Row],[SM_Original_Type__c]])="AC","AC","SUBS"))</f>
        <v>SUBS</v>
      </c>
      <c r="B342" s="27">
        <f>IF(INDEX(Contract[SM_AC_start_date__c],MATCH(Table5[[#This Row],[SM_Contract__c]],Contract[Id],0))=0,"",INDEX(Contract[SM_AC_start_date__c],MATCH(Table5[[#This Row],[SM_Contract__c]],Contract[Id],0)))</f>
        <v>46042</v>
      </c>
      <c r="C342" s="27" t="str">
        <f>IF(INDEX(Contract[SM_AC_Split_Date__c],MATCH(Table5[[#This Row],[SM_Contract__c]],Contract[Id],0))=0,"",INDEX(Contract[SM_AC_Split_Date__c],MATCH(Table5[[#This Row],[SM_Contract__c]],Contract[Id],0)))</f>
        <v/>
      </c>
      <c r="D342" s="27">
        <f>IF(INDEX(Contract[SM_Start_date__c],MATCH(Table5[[#This Row],[SM_Contract__c]],Contract[Id],0))=0,"",INDEX(Contract[SM_Start_date__c],MATCH(Table5[[#This Row],[SM_Contract__c]],Contract[Id],0)))</f>
        <v>46081</v>
      </c>
      <c r="E342" s="4">
        <f ca="1">(YEAR(TODAY())-YEAR(Table5[[#This Row],[RC DATE]]))*12 + MONTH(TODAY())-MONTH(Table5[[#This Row],[RC DATE]])</f>
        <v>5</v>
      </c>
      <c r="F34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42" s="19">
        <f>IF(Table5[[#This Row],[Payment_Status__c]]="ACCEPTED",1,"")</f>
        <v>1</v>
      </c>
      <c r="H34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2" s="19">
        <f ca="1">Table5[[#This Row],['# months]]-COUNTIFS(Table5[SM_Contract__c],Table5[[#This Row],[SM_Contract__c]],Table5[TYPE],"SUBS",Table5[ACCEPTED],1)</f>
        <v>2</v>
      </c>
      <c r="J342" s="19" t="b">
        <f>ISNUMBER(MATCH(Table5[[#This Row],[SM_Contract__c]],Contract[Id],0))</f>
        <v>1</v>
      </c>
      <c r="K342" s="9" t="s">
        <v>3390</v>
      </c>
      <c r="L342" s="9" t="s">
        <v>3391</v>
      </c>
      <c r="M342" s="9" t="s">
        <v>779</v>
      </c>
      <c r="N342" s="9" t="s">
        <v>3737</v>
      </c>
      <c r="O342" s="9" t="s">
        <v>1563</v>
      </c>
      <c r="P342" s="9" t="s">
        <v>2363</v>
      </c>
      <c r="Q342" s="9" t="s">
        <v>71</v>
      </c>
      <c r="R342" s="9" t="s">
        <v>83</v>
      </c>
      <c r="S342" s="9" t="s">
        <v>2220</v>
      </c>
      <c r="T342" s="9" t="s">
        <v>2220</v>
      </c>
      <c r="U342" s="9" t="s">
        <v>167</v>
      </c>
      <c r="V342" s="9" t="s">
        <v>148</v>
      </c>
      <c r="W342" s="9" t="s">
        <v>3644</v>
      </c>
      <c r="X342" s="9" t="s">
        <v>3392</v>
      </c>
      <c r="Y342" s="9"/>
      <c r="Z342" s="9" t="s">
        <v>1063</v>
      </c>
      <c r="AA342" s="9" t="s">
        <v>3392</v>
      </c>
    </row>
    <row r="343" spans="1:27" x14ac:dyDescent="0.35">
      <c r="A343" s="4" t="str">
        <f>IF(Table5[[#This Row],[SM_Amount__c]]="25.0","FEE",IF(IF(Table5[[#This Row],[SM_Original_Type__c]]="",Table5[[#This Row],[SM_Type__c]],Table5[[#This Row],[SM_Original_Type__c]])="AC","AC","SUBS"))</f>
        <v>SUBS</v>
      </c>
      <c r="B343" s="27">
        <f>IF(INDEX(Contract[SM_AC_start_date__c],MATCH(Table5[[#This Row],[SM_Contract__c]],Contract[Id],0))=0,"",INDEX(Contract[SM_AC_start_date__c],MATCH(Table5[[#This Row],[SM_Contract__c]],Contract[Id],0)))</f>
        <v>46042</v>
      </c>
      <c r="C343" s="27" t="str">
        <f>IF(INDEX(Contract[SM_AC_Split_Date__c],MATCH(Table5[[#This Row],[SM_Contract__c]],Contract[Id],0))=0,"",INDEX(Contract[SM_AC_Split_Date__c],MATCH(Table5[[#This Row],[SM_Contract__c]],Contract[Id],0)))</f>
        <v/>
      </c>
      <c r="D343" s="27">
        <f>IF(INDEX(Contract[SM_Start_date__c],MATCH(Table5[[#This Row],[SM_Contract__c]],Contract[Id],0))=0,"",INDEX(Contract[SM_Start_date__c],MATCH(Table5[[#This Row],[SM_Contract__c]],Contract[Id],0)))</f>
        <v>46081</v>
      </c>
      <c r="E343" s="4">
        <f ca="1">(YEAR(TODAY())-YEAR(Table5[[#This Row],[RC DATE]]))*12 + MONTH(TODAY())-MONTH(Table5[[#This Row],[RC DATE]])</f>
        <v>5</v>
      </c>
      <c r="F34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43" s="19">
        <f>IF(Table5[[#This Row],[Payment_Status__c]]="ACCEPTED",1,"")</f>
        <v>1</v>
      </c>
      <c r="H34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3" s="19">
        <f ca="1">Table5[[#This Row],['# months]]-COUNTIFS(Table5[SM_Contract__c],Table5[[#This Row],[SM_Contract__c]],Table5[TYPE],"SUBS",Table5[ACCEPTED],1)</f>
        <v>2</v>
      </c>
      <c r="J343" s="19" t="b">
        <f>ISNUMBER(MATCH(Table5[[#This Row],[SM_Contract__c]],Contract[Id],0))</f>
        <v>1</v>
      </c>
      <c r="K343" s="9" t="s">
        <v>3393</v>
      </c>
      <c r="L343" s="9" t="s">
        <v>3394</v>
      </c>
      <c r="M343" s="9" t="s">
        <v>779</v>
      </c>
      <c r="N343" s="9" t="s">
        <v>3737</v>
      </c>
      <c r="O343" s="9" t="s">
        <v>1563</v>
      </c>
      <c r="P343" s="9" t="s">
        <v>2363</v>
      </c>
      <c r="Q343" s="9" t="s">
        <v>71</v>
      </c>
      <c r="R343" s="9" t="s">
        <v>83</v>
      </c>
      <c r="S343" s="9" t="s">
        <v>2220</v>
      </c>
      <c r="T343" s="9" t="s">
        <v>2220</v>
      </c>
      <c r="U343" s="9" t="s">
        <v>167</v>
      </c>
      <c r="V343" s="9" t="s">
        <v>148</v>
      </c>
      <c r="W343" s="9" t="s">
        <v>3607</v>
      </c>
      <c r="X343" s="9" t="s">
        <v>3395</v>
      </c>
      <c r="Y343" s="9"/>
      <c r="Z343" s="9" t="s">
        <v>1163</v>
      </c>
      <c r="AA343" s="9" t="s">
        <v>3395</v>
      </c>
    </row>
    <row r="344" spans="1:27" x14ac:dyDescent="0.35">
      <c r="A344" s="4" t="str">
        <f>IF(Table5[[#This Row],[SM_Amount__c]]="25.0","FEE",IF(IF(Table5[[#This Row],[SM_Original_Type__c]]="",Table5[[#This Row],[SM_Type__c]],Table5[[#This Row],[SM_Original_Type__c]])="AC","AC","SUBS"))</f>
        <v>AC</v>
      </c>
      <c r="B344" s="27">
        <f>IF(INDEX(Contract[SM_AC_start_date__c],MATCH(Table5[[#This Row],[SM_Contract__c]],Contract[Id],0))=0,"",INDEX(Contract[SM_AC_start_date__c],MATCH(Table5[[#This Row],[SM_Contract__c]],Contract[Id],0)))</f>
        <v>46050</v>
      </c>
      <c r="C344" s="27" t="str">
        <f>IF(INDEX(Contract[SM_AC_Split_Date__c],MATCH(Table5[[#This Row],[SM_Contract__c]],Contract[Id],0))=0,"",INDEX(Contract[SM_AC_Split_Date__c],MATCH(Table5[[#This Row],[SM_Contract__c]],Contract[Id],0)))</f>
        <v/>
      </c>
      <c r="D344" s="27">
        <f>IF(INDEX(Contract[SM_Start_date__c],MATCH(Table5[[#This Row],[SM_Contract__c]],Contract[Id],0))=0,"",INDEX(Contract[SM_Start_date__c],MATCH(Table5[[#This Row],[SM_Contract__c]],Contract[Id],0)))</f>
        <v>46078</v>
      </c>
      <c r="E344" s="4">
        <f ca="1">(YEAR(TODAY())-YEAR(Table5[[#This Row],[RC DATE]]))*12 + MONTH(TODAY())-MONTH(Table5[[#This Row],[RC DATE]])</f>
        <v>5</v>
      </c>
      <c r="F34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46137</v>
      </c>
      <c r="G344" s="19">
        <f>IF(Table5[[#This Row],[Payment_Status__c]]="ACCEPTED",1,"")</f>
        <v>1</v>
      </c>
      <c r="H34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344" s="19">
        <f ca="1">Table5[[#This Row],['# months]]-COUNTIFS(Table5[SM_Contract__c],Table5[[#This Row],[SM_Contract__c]],Table5[TYPE],"SUBS",Table5[ACCEPTED],1)</f>
        <v>3</v>
      </c>
      <c r="J344" s="19" t="b">
        <f>ISNUMBER(MATCH(Table5[[#This Row],[SM_Contract__c]],Contract[Id],0))</f>
        <v>1</v>
      </c>
      <c r="K344" s="9" t="s">
        <v>3396</v>
      </c>
      <c r="L344" s="9" t="s">
        <v>3397</v>
      </c>
      <c r="M344" s="9" t="s">
        <v>803</v>
      </c>
      <c r="N344" s="9" t="s">
        <v>3738</v>
      </c>
      <c r="O344" s="9" t="s">
        <v>1563</v>
      </c>
      <c r="P344" s="9" t="s">
        <v>2363</v>
      </c>
      <c r="Q344" s="9" t="s">
        <v>77</v>
      </c>
      <c r="R344" s="9" t="s">
        <v>77</v>
      </c>
      <c r="S344" s="9" t="s">
        <v>150</v>
      </c>
      <c r="T344" s="9" t="s">
        <v>150</v>
      </c>
      <c r="U344" s="9" t="s">
        <v>150</v>
      </c>
      <c r="V344" s="9" t="s">
        <v>93</v>
      </c>
      <c r="W344" s="9" t="s">
        <v>3645</v>
      </c>
      <c r="X344" s="9" t="s">
        <v>3398</v>
      </c>
      <c r="Y344" s="9"/>
      <c r="Z344" s="9"/>
      <c r="AA344" s="9" t="s">
        <v>3398</v>
      </c>
    </row>
    <row r="345" spans="1:27" x14ac:dyDescent="0.35">
      <c r="A345" s="4" t="str">
        <f>IF(Table5[[#This Row],[SM_Amount__c]]="25.0","FEE",IF(IF(Table5[[#This Row],[SM_Original_Type__c]]="",Table5[[#This Row],[SM_Type__c]],Table5[[#This Row],[SM_Original_Type__c]])="AC","AC","SUBS"))</f>
        <v>SUBS</v>
      </c>
      <c r="B345" s="27">
        <f>IF(INDEX(Contract[SM_AC_start_date__c],MATCH(Table5[[#This Row],[SM_Contract__c]],Contract[Id],0))=0,"",INDEX(Contract[SM_AC_start_date__c],MATCH(Table5[[#This Row],[SM_Contract__c]],Contract[Id],0)))</f>
        <v>46050</v>
      </c>
      <c r="C345" s="27" t="str">
        <f>IF(INDEX(Contract[SM_AC_Split_Date__c],MATCH(Table5[[#This Row],[SM_Contract__c]],Contract[Id],0))=0,"",INDEX(Contract[SM_AC_Split_Date__c],MATCH(Table5[[#This Row],[SM_Contract__c]],Contract[Id],0)))</f>
        <v/>
      </c>
      <c r="D345" s="27">
        <f>IF(INDEX(Contract[SM_Start_date__c],MATCH(Table5[[#This Row],[SM_Contract__c]],Contract[Id],0))=0,"",INDEX(Contract[SM_Start_date__c],MATCH(Table5[[#This Row],[SM_Contract__c]],Contract[Id],0)))</f>
        <v>46078</v>
      </c>
      <c r="E345" s="4">
        <f ca="1">(YEAR(TODAY())-YEAR(Table5[[#This Row],[RC DATE]]))*12 + MONTH(TODAY())-MONTH(Table5[[#This Row],[RC DATE]])</f>
        <v>5</v>
      </c>
      <c r="F34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46137</v>
      </c>
      <c r="G345" s="19">
        <f>IF(Table5[[#This Row],[Payment_Status__c]]="ACCEPTED",1,"")</f>
        <v>1</v>
      </c>
      <c r="H34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345" s="19">
        <f ca="1">Table5[[#This Row],['# months]]-COUNTIFS(Table5[SM_Contract__c],Table5[[#This Row],[SM_Contract__c]],Table5[TYPE],"SUBS",Table5[ACCEPTED],1)</f>
        <v>3</v>
      </c>
      <c r="J345" s="19" t="b">
        <f>ISNUMBER(MATCH(Table5[[#This Row],[SM_Contract__c]],Contract[Id],0))</f>
        <v>1</v>
      </c>
      <c r="K345" s="9" t="s">
        <v>3399</v>
      </c>
      <c r="L345" s="9" t="s">
        <v>3400</v>
      </c>
      <c r="M345" s="9" t="s">
        <v>803</v>
      </c>
      <c r="N345" s="9" t="s">
        <v>3738</v>
      </c>
      <c r="O345" s="9" t="s">
        <v>1563</v>
      </c>
      <c r="P345" s="9" t="s">
        <v>2363</v>
      </c>
      <c r="Q345" s="9" t="s">
        <v>83</v>
      </c>
      <c r="R345" s="9" t="s">
        <v>76</v>
      </c>
      <c r="S345" s="9" t="s">
        <v>150</v>
      </c>
      <c r="T345" s="9" t="s">
        <v>150</v>
      </c>
      <c r="U345" s="9" t="s">
        <v>150</v>
      </c>
      <c r="V345" s="9" t="s">
        <v>93</v>
      </c>
      <c r="W345" s="9" t="s">
        <v>3664</v>
      </c>
      <c r="X345" s="9" t="s">
        <v>3401</v>
      </c>
      <c r="Y345" s="9"/>
      <c r="Z345" s="9"/>
      <c r="AA345" s="9" t="s">
        <v>3401</v>
      </c>
    </row>
    <row r="346" spans="1:27" x14ac:dyDescent="0.35">
      <c r="A346" s="4" t="str">
        <f>IF(Table5[[#This Row],[SM_Amount__c]]="25.0","FEE",IF(IF(Table5[[#This Row],[SM_Original_Type__c]]="",Table5[[#This Row],[SM_Type__c]],Table5[[#This Row],[SM_Original_Type__c]])="AC","AC","SUBS"))</f>
        <v>SUBS</v>
      </c>
      <c r="B346" s="27">
        <f>IF(INDEX(Contract[SM_AC_start_date__c],MATCH(Table5[[#This Row],[SM_Contract__c]],Contract[Id],0))=0,"",INDEX(Contract[SM_AC_start_date__c],MATCH(Table5[[#This Row],[SM_Contract__c]],Contract[Id],0)))</f>
        <v>46050</v>
      </c>
      <c r="C346" s="27" t="str">
        <f>IF(INDEX(Contract[SM_AC_Split_Date__c],MATCH(Table5[[#This Row],[SM_Contract__c]],Contract[Id],0))=0,"",INDEX(Contract[SM_AC_Split_Date__c],MATCH(Table5[[#This Row],[SM_Contract__c]],Contract[Id],0)))</f>
        <v/>
      </c>
      <c r="D346" s="27">
        <f>IF(INDEX(Contract[SM_Start_date__c],MATCH(Table5[[#This Row],[SM_Contract__c]],Contract[Id],0))=0,"",INDEX(Contract[SM_Start_date__c],MATCH(Table5[[#This Row],[SM_Contract__c]],Contract[Id],0)))</f>
        <v>46078</v>
      </c>
      <c r="E346" s="4">
        <f ca="1">(YEAR(TODAY())-YEAR(Table5[[#This Row],[RC DATE]]))*12 + MONTH(TODAY())-MONTH(Table5[[#This Row],[RC DATE]])</f>
        <v>5</v>
      </c>
      <c r="F34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46137</v>
      </c>
      <c r="G346" s="19">
        <f>IF(Table5[[#This Row],[Payment_Status__c]]="ACCEPTED",1,"")</f>
        <v>1</v>
      </c>
      <c r="H34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3</v>
      </c>
      <c r="I346" s="19">
        <f ca="1">Table5[[#This Row],['# months]]-COUNTIFS(Table5[SM_Contract__c],Table5[[#This Row],[SM_Contract__c]],Table5[TYPE],"SUBS",Table5[ACCEPTED],1)</f>
        <v>3</v>
      </c>
      <c r="J346" s="19" t="b">
        <f>ISNUMBER(MATCH(Table5[[#This Row],[SM_Contract__c]],Contract[Id],0))</f>
        <v>1</v>
      </c>
      <c r="K346" s="9" t="s">
        <v>3402</v>
      </c>
      <c r="L346" s="9" t="s">
        <v>3403</v>
      </c>
      <c r="M346" s="9" t="s">
        <v>803</v>
      </c>
      <c r="N346" s="9" t="s">
        <v>3738</v>
      </c>
      <c r="O346" s="9" t="s">
        <v>1563</v>
      </c>
      <c r="P346" s="9" t="s">
        <v>2363</v>
      </c>
      <c r="Q346" s="9" t="s">
        <v>83</v>
      </c>
      <c r="R346" s="9" t="s">
        <v>76</v>
      </c>
      <c r="S346" s="9" t="s">
        <v>150</v>
      </c>
      <c r="T346" s="9" t="s">
        <v>150</v>
      </c>
      <c r="U346" s="9" t="s">
        <v>150</v>
      </c>
      <c r="V346" s="9" t="s">
        <v>93</v>
      </c>
      <c r="W346" s="9" t="s">
        <v>3665</v>
      </c>
      <c r="X346" s="9" t="s">
        <v>3383</v>
      </c>
      <c r="Y346" s="9"/>
      <c r="Z346" s="9"/>
      <c r="AA346" s="9" t="s">
        <v>3383</v>
      </c>
    </row>
    <row r="347" spans="1:27" x14ac:dyDescent="0.35">
      <c r="A347" s="4" t="str">
        <f>IF(Table5[[#This Row],[SM_Amount__c]]="25.0","FEE",IF(IF(Table5[[#This Row],[SM_Original_Type__c]]="",Table5[[#This Row],[SM_Type__c]],Table5[[#This Row],[SM_Original_Type__c]])="AC","AC","SUBS"))</f>
        <v>AC</v>
      </c>
      <c r="B347" s="27">
        <f>IF(INDEX(Contract[SM_AC_start_date__c],MATCH(Table5[[#This Row],[SM_Contract__c]],Contract[Id],0))=0,"",INDEX(Contract[SM_AC_start_date__c],MATCH(Table5[[#This Row],[SM_Contract__c]],Contract[Id],0)))</f>
        <v>46049</v>
      </c>
      <c r="C347" s="27" t="str">
        <f>IF(INDEX(Contract[SM_AC_Split_Date__c],MATCH(Table5[[#This Row],[SM_Contract__c]],Contract[Id],0))=0,"",INDEX(Contract[SM_AC_Split_Date__c],MATCH(Table5[[#This Row],[SM_Contract__c]],Contract[Id],0)))</f>
        <v/>
      </c>
      <c r="D347" s="27">
        <f>IF(INDEX(Contract[SM_Start_date__c],MATCH(Table5[[#This Row],[SM_Contract__c]],Contract[Id],0))=0,"",INDEX(Contract[SM_Start_date__c],MATCH(Table5[[#This Row],[SM_Contract__c]],Contract[Id],0)))</f>
        <v>46080</v>
      </c>
      <c r="E347" s="4">
        <f ca="1">(YEAR(TODAY())-YEAR(Table5[[#This Row],[RC DATE]]))*12 + MONTH(TODAY())-MONTH(Table5[[#This Row],[RC DATE]])</f>
        <v>5</v>
      </c>
      <c r="F34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47" s="19">
        <f>IF(Table5[[#This Row],[Payment_Status__c]]="ACCEPTED",1,"")</f>
        <v>1</v>
      </c>
      <c r="H34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7" s="19">
        <f ca="1">Table5[[#This Row],['# months]]-COUNTIFS(Table5[SM_Contract__c],Table5[[#This Row],[SM_Contract__c]],Table5[TYPE],"SUBS",Table5[ACCEPTED],1)</f>
        <v>2</v>
      </c>
      <c r="J347" s="19" t="b">
        <f>ISNUMBER(MATCH(Table5[[#This Row],[SM_Contract__c]],Contract[Id],0))</f>
        <v>1</v>
      </c>
      <c r="K347" s="9" t="s">
        <v>3405</v>
      </c>
      <c r="L347" s="9" t="s">
        <v>3406</v>
      </c>
      <c r="M347" s="9" t="s">
        <v>812</v>
      </c>
      <c r="N347" s="9" t="s">
        <v>3739</v>
      </c>
      <c r="O347" s="9" t="s">
        <v>1563</v>
      </c>
      <c r="P347" s="9" t="s">
        <v>2363</v>
      </c>
      <c r="Q347" s="9" t="s">
        <v>77</v>
      </c>
      <c r="R347" s="9" t="s">
        <v>77</v>
      </c>
      <c r="S347" s="9" t="s">
        <v>167</v>
      </c>
      <c r="T347" s="9" t="s">
        <v>167</v>
      </c>
      <c r="U347" s="9" t="s">
        <v>167</v>
      </c>
      <c r="V347" s="9" t="s">
        <v>93</v>
      </c>
      <c r="W347" s="9" t="s">
        <v>3711</v>
      </c>
      <c r="X347" s="9" t="s">
        <v>3380</v>
      </c>
      <c r="Y347" s="9"/>
      <c r="Z347" s="9"/>
      <c r="AA347" s="9" t="s">
        <v>3380</v>
      </c>
    </row>
    <row r="348" spans="1:27" x14ac:dyDescent="0.35">
      <c r="A348" s="4" t="str">
        <f>IF(Table5[[#This Row],[SM_Amount__c]]="25.0","FEE",IF(IF(Table5[[#This Row],[SM_Original_Type__c]]="",Table5[[#This Row],[SM_Type__c]],Table5[[#This Row],[SM_Original_Type__c]])="AC","AC","SUBS"))</f>
        <v>SUBS</v>
      </c>
      <c r="B348" s="27">
        <f>IF(INDEX(Contract[SM_AC_start_date__c],MATCH(Table5[[#This Row],[SM_Contract__c]],Contract[Id],0))=0,"",INDEX(Contract[SM_AC_start_date__c],MATCH(Table5[[#This Row],[SM_Contract__c]],Contract[Id],0)))</f>
        <v>46049</v>
      </c>
      <c r="C348" s="27" t="str">
        <f>IF(INDEX(Contract[SM_AC_Split_Date__c],MATCH(Table5[[#This Row],[SM_Contract__c]],Contract[Id],0))=0,"",INDEX(Contract[SM_AC_Split_Date__c],MATCH(Table5[[#This Row],[SM_Contract__c]],Contract[Id],0)))</f>
        <v/>
      </c>
      <c r="D348" s="27">
        <f>IF(INDEX(Contract[SM_Start_date__c],MATCH(Table5[[#This Row],[SM_Contract__c]],Contract[Id],0))=0,"",INDEX(Contract[SM_Start_date__c],MATCH(Table5[[#This Row],[SM_Contract__c]],Contract[Id],0)))</f>
        <v>46080</v>
      </c>
      <c r="E348" s="4">
        <f ca="1">(YEAR(TODAY())-YEAR(Table5[[#This Row],[RC DATE]]))*12 + MONTH(TODAY())-MONTH(Table5[[#This Row],[RC DATE]])</f>
        <v>5</v>
      </c>
      <c r="F34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48" s="19">
        <f>IF(Table5[[#This Row],[Payment_Status__c]]="ACCEPTED",1,"")</f>
        <v>1</v>
      </c>
      <c r="H34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8" s="19">
        <f ca="1">Table5[[#This Row],['# months]]-COUNTIFS(Table5[SM_Contract__c],Table5[[#This Row],[SM_Contract__c]],Table5[TYPE],"SUBS",Table5[ACCEPTED],1)</f>
        <v>2</v>
      </c>
      <c r="J348" s="19" t="b">
        <f>ISNUMBER(MATCH(Table5[[#This Row],[SM_Contract__c]],Contract[Id],0))</f>
        <v>1</v>
      </c>
      <c r="K348" s="9" t="s">
        <v>3407</v>
      </c>
      <c r="L348" s="9" t="s">
        <v>3408</v>
      </c>
      <c r="M348" s="9" t="s">
        <v>812</v>
      </c>
      <c r="N348" s="9" t="s">
        <v>3739</v>
      </c>
      <c r="O348" s="9" t="s">
        <v>1563</v>
      </c>
      <c r="P348" s="9" t="s">
        <v>2363</v>
      </c>
      <c r="Q348" s="9" t="s">
        <v>71</v>
      </c>
      <c r="R348" s="9" t="s">
        <v>83</v>
      </c>
      <c r="S348" s="9" t="s">
        <v>2220</v>
      </c>
      <c r="T348" s="9" t="s">
        <v>2220</v>
      </c>
      <c r="U348" s="9" t="s">
        <v>167</v>
      </c>
      <c r="V348" s="9" t="s">
        <v>148</v>
      </c>
      <c r="W348" s="9" t="s">
        <v>3583</v>
      </c>
      <c r="X348" s="9" t="s">
        <v>3409</v>
      </c>
      <c r="Y348" s="9"/>
      <c r="Z348" s="9" t="s">
        <v>984</v>
      </c>
      <c r="AA348" s="9" t="s">
        <v>3409</v>
      </c>
    </row>
    <row r="349" spans="1:27" x14ac:dyDescent="0.35">
      <c r="A349" s="4" t="str">
        <f>IF(Table5[[#This Row],[SM_Amount__c]]="25.0","FEE",IF(IF(Table5[[#This Row],[SM_Original_Type__c]]="",Table5[[#This Row],[SM_Type__c]],Table5[[#This Row],[SM_Original_Type__c]])="AC","AC","SUBS"))</f>
        <v>SUBS</v>
      </c>
      <c r="B349" s="27">
        <f>IF(INDEX(Contract[SM_AC_start_date__c],MATCH(Table5[[#This Row],[SM_Contract__c]],Contract[Id],0))=0,"",INDEX(Contract[SM_AC_start_date__c],MATCH(Table5[[#This Row],[SM_Contract__c]],Contract[Id],0)))</f>
        <v>46049</v>
      </c>
      <c r="C349" s="27" t="str">
        <f>IF(INDEX(Contract[SM_AC_Split_Date__c],MATCH(Table5[[#This Row],[SM_Contract__c]],Contract[Id],0))=0,"",INDEX(Contract[SM_AC_Split_Date__c],MATCH(Table5[[#This Row],[SM_Contract__c]],Contract[Id],0)))</f>
        <v/>
      </c>
      <c r="D349" s="27">
        <f>IF(INDEX(Contract[SM_Start_date__c],MATCH(Table5[[#This Row],[SM_Contract__c]],Contract[Id],0))=0,"",INDEX(Contract[SM_Start_date__c],MATCH(Table5[[#This Row],[SM_Contract__c]],Contract[Id],0)))</f>
        <v>46080</v>
      </c>
      <c r="E349" s="4">
        <f ca="1">(YEAR(TODAY())-YEAR(Table5[[#This Row],[RC DATE]]))*12 + MONTH(TODAY())-MONTH(Table5[[#This Row],[RC DATE]])</f>
        <v>5</v>
      </c>
      <c r="F34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49" s="19">
        <f>IF(Table5[[#This Row],[Payment_Status__c]]="ACCEPTED",1,"")</f>
        <v>1</v>
      </c>
      <c r="H34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49" s="19">
        <f ca="1">Table5[[#This Row],['# months]]-COUNTIFS(Table5[SM_Contract__c],Table5[[#This Row],[SM_Contract__c]],Table5[TYPE],"SUBS",Table5[ACCEPTED],1)</f>
        <v>2</v>
      </c>
      <c r="J349" s="19" t="b">
        <f>ISNUMBER(MATCH(Table5[[#This Row],[SM_Contract__c]],Contract[Id],0))</f>
        <v>1</v>
      </c>
      <c r="K349" s="9" t="s">
        <v>3410</v>
      </c>
      <c r="L349" s="9" t="s">
        <v>3411</v>
      </c>
      <c r="M349" s="9" t="s">
        <v>812</v>
      </c>
      <c r="N349" s="9" t="s">
        <v>3739</v>
      </c>
      <c r="O349" s="9" t="s">
        <v>1563</v>
      </c>
      <c r="P349" s="9" t="s">
        <v>2363</v>
      </c>
      <c r="Q349" s="9" t="s">
        <v>71</v>
      </c>
      <c r="R349" s="9" t="s">
        <v>83</v>
      </c>
      <c r="S349" s="9" t="s">
        <v>2220</v>
      </c>
      <c r="T349" s="9" t="s">
        <v>2220</v>
      </c>
      <c r="U349" s="9" t="s">
        <v>167</v>
      </c>
      <c r="V349" s="9" t="s">
        <v>148</v>
      </c>
      <c r="W349" s="9" t="s">
        <v>3680</v>
      </c>
      <c r="X349" s="9" t="s">
        <v>3412</v>
      </c>
      <c r="Y349" s="9"/>
      <c r="Z349" s="9" t="s">
        <v>1015</v>
      </c>
      <c r="AA349" s="9" t="s">
        <v>3412</v>
      </c>
    </row>
    <row r="350" spans="1:27" x14ac:dyDescent="0.35">
      <c r="A350" s="4" t="str">
        <f>IF(Table5[[#This Row],[SM_Amount__c]]="25.0","FEE",IF(IF(Table5[[#This Row],[SM_Original_Type__c]]="",Table5[[#This Row],[SM_Type__c]],Table5[[#This Row],[SM_Original_Type__c]])="AC","AC","SUBS"))</f>
        <v>SUBS</v>
      </c>
      <c r="B350" s="27">
        <f>IF(INDEX(Contract[SM_AC_start_date__c],MATCH(Table5[[#This Row],[SM_Contract__c]],Contract[Id],0))=0,"",INDEX(Contract[SM_AC_start_date__c],MATCH(Table5[[#This Row],[SM_Contract__c]],Contract[Id],0)))</f>
        <v>46049</v>
      </c>
      <c r="C350" s="27" t="str">
        <f>IF(INDEX(Contract[SM_AC_Split_Date__c],MATCH(Table5[[#This Row],[SM_Contract__c]],Contract[Id],0))=0,"",INDEX(Contract[SM_AC_Split_Date__c],MATCH(Table5[[#This Row],[SM_Contract__c]],Contract[Id],0)))</f>
        <v/>
      </c>
      <c r="D350" s="27">
        <f>IF(INDEX(Contract[SM_Start_date__c],MATCH(Table5[[#This Row],[SM_Contract__c]],Contract[Id],0))=0,"",INDEX(Contract[SM_Start_date__c],MATCH(Table5[[#This Row],[SM_Contract__c]],Contract[Id],0)))</f>
        <v>46080</v>
      </c>
      <c r="E350" s="4">
        <f ca="1">(YEAR(TODAY())-YEAR(Table5[[#This Row],[RC DATE]]))*12 + MONTH(TODAY())-MONTH(Table5[[#This Row],[RC DATE]])</f>
        <v>5</v>
      </c>
      <c r="F35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46169</v>
      </c>
      <c r="G350" s="19">
        <f>IF(Table5[[#This Row],[Payment_Status__c]]="ACCEPTED",1,"")</f>
        <v>1</v>
      </c>
      <c r="H35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50" s="19">
        <f ca="1">Table5[[#This Row],['# months]]-COUNTIFS(Table5[SM_Contract__c],Table5[[#This Row],[SM_Contract__c]],Table5[TYPE],"SUBS",Table5[ACCEPTED],1)</f>
        <v>2</v>
      </c>
      <c r="J350" s="19" t="b">
        <f>ISNUMBER(MATCH(Table5[[#This Row],[SM_Contract__c]],Contract[Id],0))</f>
        <v>1</v>
      </c>
      <c r="K350" s="9" t="s">
        <v>3413</v>
      </c>
      <c r="L350" s="9" t="s">
        <v>3414</v>
      </c>
      <c r="M350" s="9" t="s">
        <v>812</v>
      </c>
      <c r="N350" s="9" t="s">
        <v>3739</v>
      </c>
      <c r="O350" s="9" t="s">
        <v>1563</v>
      </c>
      <c r="P350" s="9" t="s">
        <v>2363</v>
      </c>
      <c r="Q350" s="9" t="s">
        <v>71</v>
      </c>
      <c r="R350" s="9" t="s">
        <v>83</v>
      </c>
      <c r="S350" s="9" t="s">
        <v>2220</v>
      </c>
      <c r="T350" s="9" t="s">
        <v>2220</v>
      </c>
      <c r="U350" s="9" t="s">
        <v>167</v>
      </c>
      <c r="V350" s="9" t="s">
        <v>148</v>
      </c>
      <c r="W350" s="9" t="s">
        <v>3633</v>
      </c>
      <c r="X350" s="9" t="s">
        <v>3415</v>
      </c>
      <c r="Y350" s="9"/>
      <c r="Z350" s="9" t="s">
        <v>1100</v>
      </c>
      <c r="AA350" s="9" t="s">
        <v>3415</v>
      </c>
    </row>
    <row r="351" spans="1:27" x14ac:dyDescent="0.35">
      <c r="A351" s="4" t="str">
        <f>IF(Table5[[#This Row],[SM_Amount__c]]="25.0","FEE",IF(IF(Table5[[#This Row],[SM_Original_Type__c]]="",Table5[[#This Row],[SM_Type__c]],Table5[[#This Row],[SM_Original_Type__c]])="AC","AC","SUBS"))</f>
        <v>AC</v>
      </c>
      <c r="B351" s="27">
        <f>IF(INDEX(Contract[SM_AC_start_date__c],MATCH(Table5[[#This Row],[SM_Contract__c]],Contract[Id],0))=0,"",INDEX(Contract[SM_AC_start_date__c],MATCH(Table5[[#This Row],[SM_Contract__c]],Contract[Id],0)))</f>
        <v>46052</v>
      </c>
      <c r="C351" s="27" t="str">
        <f>IF(INDEX(Contract[SM_AC_Split_Date__c],MATCH(Table5[[#This Row],[SM_Contract__c]],Contract[Id],0))=0,"",INDEX(Contract[SM_AC_Split_Date__c],MATCH(Table5[[#This Row],[SM_Contract__c]],Contract[Id],0)))</f>
        <v/>
      </c>
      <c r="D351" s="27">
        <f>IF(INDEX(Contract[SM_Start_date__c],MATCH(Table5[[#This Row],[SM_Contract__c]],Contract[Id],0))=0,"",INDEX(Contract[SM_Start_date__c],MATCH(Table5[[#This Row],[SM_Contract__c]],Contract[Id],0)))</f>
        <v>46081</v>
      </c>
      <c r="E351" s="4">
        <f ca="1">(YEAR(TODAY())-YEAR(Table5[[#This Row],[RC DATE]]))*12 + MONTH(TODAY())-MONTH(Table5[[#This Row],[RC DATE]])</f>
        <v>5</v>
      </c>
      <c r="F35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51" s="19">
        <f>IF(Table5[[#This Row],[Payment_Status__c]]="ACCEPTED",1,"")</f>
        <v>1</v>
      </c>
      <c r="H35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51" s="19">
        <f ca="1">Table5[[#This Row],['# months]]-COUNTIFS(Table5[SM_Contract__c],Table5[[#This Row],[SM_Contract__c]],Table5[TYPE],"SUBS",Table5[ACCEPTED],1)</f>
        <v>2</v>
      </c>
      <c r="J351" s="19" t="b">
        <f>ISNUMBER(MATCH(Table5[[#This Row],[SM_Contract__c]],Contract[Id],0))</f>
        <v>1</v>
      </c>
      <c r="K351" s="9" t="s">
        <v>3416</v>
      </c>
      <c r="L351" s="9" t="s">
        <v>3417</v>
      </c>
      <c r="M351" s="9" t="s">
        <v>821</v>
      </c>
      <c r="N351" s="9" t="s">
        <v>3740</v>
      </c>
      <c r="O351" s="9" t="s">
        <v>1563</v>
      </c>
      <c r="P351" s="9" t="s">
        <v>2363</v>
      </c>
      <c r="Q351" s="9" t="s">
        <v>77</v>
      </c>
      <c r="R351" s="9" t="s">
        <v>77</v>
      </c>
      <c r="S351" s="9" t="s">
        <v>167</v>
      </c>
      <c r="T351" s="9" t="s">
        <v>167</v>
      </c>
      <c r="U351" s="9" t="s">
        <v>167</v>
      </c>
      <c r="V351" s="9" t="s">
        <v>93</v>
      </c>
      <c r="W351" s="9" t="s">
        <v>3563</v>
      </c>
      <c r="X351" s="9" t="s">
        <v>3418</v>
      </c>
      <c r="Y351" s="9"/>
      <c r="Z351" s="9"/>
      <c r="AA351" s="9" t="s">
        <v>3418</v>
      </c>
    </row>
    <row r="352" spans="1:27" x14ac:dyDescent="0.35">
      <c r="A352" s="4" t="str">
        <f>IF(Table5[[#This Row],[SM_Amount__c]]="25.0","FEE",IF(IF(Table5[[#This Row],[SM_Original_Type__c]]="",Table5[[#This Row],[SM_Type__c]],Table5[[#This Row],[SM_Original_Type__c]])="AC","AC","SUBS"))</f>
        <v>SUBS</v>
      </c>
      <c r="B352" s="27">
        <f>IF(INDEX(Contract[SM_AC_start_date__c],MATCH(Table5[[#This Row],[SM_Contract__c]],Contract[Id],0))=0,"",INDEX(Contract[SM_AC_start_date__c],MATCH(Table5[[#This Row],[SM_Contract__c]],Contract[Id],0)))</f>
        <v>46052</v>
      </c>
      <c r="C352" s="27" t="str">
        <f>IF(INDEX(Contract[SM_AC_Split_Date__c],MATCH(Table5[[#This Row],[SM_Contract__c]],Contract[Id],0))=0,"",INDEX(Contract[SM_AC_Split_Date__c],MATCH(Table5[[#This Row],[SM_Contract__c]],Contract[Id],0)))</f>
        <v/>
      </c>
      <c r="D352" s="27">
        <f>IF(INDEX(Contract[SM_Start_date__c],MATCH(Table5[[#This Row],[SM_Contract__c]],Contract[Id],0))=0,"",INDEX(Contract[SM_Start_date__c],MATCH(Table5[[#This Row],[SM_Contract__c]],Contract[Id],0)))</f>
        <v>46081</v>
      </c>
      <c r="E352" s="4">
        <f ca="1">(YEAR(TODAY())-YEAR(Table5[[#This Row],[RC DATE]]))*12 + MONTH(TODAY())-MONTH(Table5[[#This Row],[RC DATE]])</f>
        <v>5</v>
      </c>
      <c r="F35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52" s="19">
        <f>IF(Table5[[#This Row],[Payment_Status__c]]="ACCEPTED",1,"")</f>
        <v>1</v>
      </c>
      <c r="H35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52" s="19">
        <f ca="1">Table5[[#This Row],['# months]]-COUNTIFS(Table5[SM_Contract__c],Table5[[#This Row],[SM_Contract__c]],Table5[TYPE],"SUBS",Table5[ACCEPTED],1)</f>
        <v>2</v>
      </c>
      <c r="J352" s="19" t="b">
        <f>ISNUMBER(MATCH(Table5[[#This Row],[SM_Contract__c]],Contract[Id],0))</f>
        <v>1</v>
      </c>
      <c r="K352" s="9" t="s">
        <v>3419</v>
      </c>
      <c r="L352" s="9" t="s">
        <v>3420</v>
      </c>
      <c r="M352" s="9" t="s">
        <v>821</v>
      </c>
      <c r="N352" s="9" t="s">
        <v>3740</v>
      </c>
      <c r="O352" s="9" t="s">
        <v>1563</v>
      </c>
      <c r="P352" s="9" t="s">
        <v>2363</v>
      </c>
      <c r="Q352" s="9" t="s">
        <v>83</v>
      </c>
      <c r="R352" s="9" t="s">
        <v>76</v>
      </c>
      <c r="S352" s="9" t="s">
        <v>167</v>
      </c>
      <c r="T352" s="9" t="s">
        <v>167</v>
      </c>
      <c r="U352" s="9" t="s">
        <v>167</v>
      </c>
      <c r="V352" s="9" t="s">
        <v>93</v>
      </c>
      <c r="W352" s="9" t="s">
        <v>3564</v>
      </c>
      <c r="X352" s="9" t="s">
        <v>3421</v>
      </c>
      <c r="Y352" s="9"/>
      <c r="Z352" s="9"/>
      <c r="AA352" s="9" t="s">
        <v>3421</v>
      </c>
    </row>
    <row r="353" spans="1:27" x14ac:dyDescent="0.35">
      <c r="A353" s="4" t="str">
        <f>IF(Table5[[#This Row],[SM_Amount__c]]="25.0","FEE",IF(IF(Table5[[#This Row],[SM_Original_Type__c]]="",Table5[[#This Row],[SM_Type__c]],Table5[[#This Row],[SM_Original_Type__c]])="AC","AC","SUBS"))</f>
        <v>SUBS</v>
      </c>
      <c r="B353" s="27">
        <f>IF(INDEX(Contract[SM_AC_start_date__c],MATCH(Table5[[#This Row],[SM_Contract__c]],Contract[Id],0))=0,"",INDEX(Contract[SM_AC_start_date__c],MATCH(Table5[[#This Row],[SM_Contract__c]],Contract[Id],0)))</f>
        <v>46052</v>
      </c>
      <c r="C353" s="27" t="str">
        <f>IF(INDEX(Contract[SM_AC_Split_Date__c],MATCH(Table5[[#This Row],[SM_Contract__c]],Contract[Id],0))=0,"",INDEX(Contract[SM_AC_Split_Date__c],MATCH(Table5[[#This Row],[SM_Contract__c]],Contract[Id],0)))</f>
        <v/>
      </c>
      <c r="D353" s="27">
        <f>IF(INDEX(Contract[SM_Start_date__c],MATCH(Table5[[#This Row],[SM_Contract__c]],Contract[Id],0))=0,"",INDEX(Contract[SM_Start_date__c],MATCH(Table5[[#This Row],[SM_Contract__c]],Contract[Id],0)))</f>
        <v>46081</v>
      </c>
      <c r="E353" s="4">
        <f ca="1">(YEAR(TODAY())-YEAR(Table5[[#This Row],[RC DATE]]))*12 + MONTH(TODAY())-MONTH(Table5[[#This Row],[RC DATE]])</f>
        <v>5</v>
      </c>
      <c r="F35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53" s="19">
        <f>IF(Table5[[#This Row],[Payment_Status__c]]="ACCEPTED",1,"")</f>
        <v>1</v>
      </c>
      <c r="H35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53" s="19">
        <f ca="1">Table5[[#This Row],['# months]]-COUNTIFS(Table5[SM_Contract__c],Table5[[#This Row],[SM_Contract__c]],Table5[TYPE],"SUBS",Table5[ACCEPTED],1)</f>
        <v>2</v>
      </c>
      <c r="J353" s="19" t="b">
        <f>ISNUMBER(MATCH(Table5[[#This Row],[SM_Contract__c]],Contract[Id],0))</f>
        <v>1</v>
      </c>
      <c r="K353" s="9" t="s">
        <v>3422</v>
      </c>
      <c r="L353" s="9" t="s">
        <v>3423</v>
      </c>
      <c r="M353" s="9" t="s">
        <v>821</v>
      </c>
      <c r="N353" s="9" t="s">
        <v>3740</v>
      </c>
      <c r="O353" s="9" t="s">
        <v>1563</v>
      </c>
      <c r="P353" s="9" t="s">
        <v>2363</v>
      </c>
      <c r="Q353" s="9" t="s">
        <v>83</v>
      </c>
      <c r="R353" s="9" t="s">
        <v>76</v>
      </c>
      <c r="S353" s="9" t="s">
        <v>167</v>
      </c>
      <c r="T353" s="9" t="s">
        <v>167</v>
      </c>
      <c r="U353" s="9" t="s">
        <v>167</v>
      </c>
      <c r="V353" s="9" t="s">
        <v>93</v>
      </c>
      <c r="W353" s="9" t="s">
        <v>3598</v>
      </c>
      <c r="X353" s="9" t="s">
        <v>3424</v>
      </c>
      <c r="Y353" s="9"/>
      <c r="Z353" s="9"/>
      <c r="AA353" s="9" t="s">
        <v>3424</v>
      </c>
    </row>
    <row r="354" spans="1:27" x14ac:dyDescent="0.35">
      <c r="A354" s="4" t="str">
        <f>IF(Table5[[#This Row],[SM_Amount__c]]="25.0","FEE",IF(IF(Table5[[#This Row],[SM_Original_Type__c]]="",Table5[[#This Row],[SM_Type__c]],Table5[[#This Row],[SM_Original_Type__c]])="AC","AC","SUBS"))</f>
        <v>SUBS</v>
      </c>
      <c r="B354" s="27">
        <f>IF(INDEX(Contract[SM_AC_start_date__c],MATCH(Table5[[#This Row],[SM_Contract__c]],Contract[Id],0))=0,"",INDEX(Contract[SM_AC_start_date__c],MATCH(Table5[[#This Row],[SM_Contract__c]],Contract[Id],0)))</f>
        <v>46052</v>
      </c>
      <c r="C354" s="27" t="str">
        <f>IF(INDEX(Contract[SM_AC_Split_Date__c],MATCH(Table5[[#This Row],[SM_Contract__c]],Contract[Id],0))=0,"",INDEX(Contract[SM_AC_Split_Date__c],MATCH(Table5[[#This Row],[SM_Contract__c]],Contract[Id],0)))</f>
        <v/>
      </c>
      <c r="D354" s="27">
        <f>IF(INDEX(Contract[SM_Start_date__c],MATCH(Table5[[#This Row],[SM_Contract__c]],Contract[Id],0))=0,"",INDEX(Contract[SM_Start_date__c],MATCH(Table5[[#This Row],[SM_Contract__c]],Contract[Id],0)))</f>
        <v>46081</v>
      </c>
      <c r="E354" s="4">
        <f ca="1">(YEAR(TODAY())-YEAR(Table5[[#This Row],[RC DATE]]))*12 + MONTH(TODAY())-MONTH(Table5[[#This Row],[RC DATE]])</f>
        <v>5</v>
      </c>
      <c r="F35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46170</v>
      </c>
      <c r="G354" s="19">
        <f>IF(Table5[[#This Row],[Payment_Status__c]]="ACCEPTED",1,"")</f>
        <v>1</v>
      </c>
      <c r="H35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54" s="19">
        <f ca="1">Table5[[#This Row],['# months]]-COUNTIFS(Table5[SM_Contract__c],Table5[[#This Row],[SM_Contract__c]],Table5[TYPE],"SUBS",Table5[ACCEPTED],1)</f>
        <v>2</v>
      </c>
      <c r="J354" s="19" t="b">
        <f>ISNUMBER(MATCH(Table5[[#This Row],[SM_Contract__c]],Contract[Id],0))</f>
        <v>1</v>
      </c>
      <c r="K354" s="9" t="s">
        <v>3425</v>
      </c>
      <c r="L354" s="9" t="s">
        <v>3426</v>
      </c>
      <c r="M354" s="9" t="s">
        <v>821</v>
      </c>
      <c r="N354" s="9" t="s">
        <v>3740</v>
      </c>
      <c r="O354" s="9" t="s">
        <v>1563</v>
      </c>
      <c r="P354" s="9" t="s">
        <v>2363</v>
      </c>
      <c r="Q354" s="9" t="s">
        <v>83</v>
      </c>
      <c r="R354" s="9" t="s">
        <v>76</v>
      </c>
      <c r="S354" s="9" t="s">
        <v>167</v>
      </c>
      <c r="T354" s="9" t="s">
        <v>167</v>
      </c>
      <c r="U354" s="9" t="s">
        <v>167</v>
      </c>
      <c r="V354" s="9" t="s">
        <v>93</v>
      </c>
      <c r="W354" s="9" t="s">
        <v>3610</v>
      </c>
      <c r="X354" s="9" t="s">
        <v>3427</v>
      </c>
      <c r="Y354" s="9"/>
      <c r="Z354" s="9"/>
      <c r="AA354" s="9" t="s">
        <v>3427</v>
      </c>
    </row>
    <row r="355" spans="1:27" x14ac:dyDescent="0.35">
      <c r="A355" s="4" t="str">
        <f>IF(Table5[[#This Row],[SM_Amount__c]]="25.0","FEE",IF(IF(Table5[[#This Row],[SM_Original_Type__c]]="",Table5[[#This Row],[SM_Type__c]],Table5[[#This Row],[SM_Original_Type__c]])="AC","AC","SUBS"))</f>
        <v>AC</v>
      </c>
      <c r="B355" s="27">
        <f>IF(INDEX(Contract[SM_AC_start_date__c],MATCH(Table5[[#This Row],[SM_Contract__c]],Contract[Id],0))=0,"",INDEX(Contract[SM_AC_start_date__c],MATCH(Table5[[#This Row],[SM_Contract__c]],Contract[Id],0)))</f>
        <v>46048</v>
      </c>
      <c r="C355" s="27">
        <f>IF(INDEX(Contract[SM_AC_Split_Date__c],MATCH(Table5[[#This Row],[SM_Contract__c]],Contract[Id],0))=0,"",INDEX(Contract[SM_AC_Split_Date__c],MATCH(Table5[[#This Row],[SM_Contract__c]],Contract[Id],0)))</f>
        <v>46068</v>
      </c>
      <c r="D355" s="27">
        <f>IF(INDEX(Contract[SM_Start_date__c],MATCH(Table5[[#This Row],[SM_Contract__c]],Contract[Id],0))=0,"",INDEX(Contract[SM_Start_date__c],MATCH(Table5[[#This Row],[SM_Contract__c]],Contract[Id],0)))</f>
        <v>46096</v>
      </c>
      <c r="E355" s="4">
        <f ca="1">(YEAR(TODAY())-YEAR(Table5[[#This Row],[RC DATE]]))*12 + MONTH(TODAY())-MONTH(Table5[[#This Row],[RC DATE]])</f>
        <v>4</v>
      </c>
      <c r="F35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355" s="19">
        <f>IF(Table5[[#This Row],[Payment_Status__c]]="ACCEPTED",1,"")</f>
        <v>1</v>
      </c>
      <c r="H35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55" s="19">
        <f ca="1">Table5[[#This Row],['# months]]-COUNTIFS(Table5[SM_Contract__c],Table5[[#This Row],[SM_Contract__c]],Table5[TYPE],"SUBS",Table5[ACCEPTED],1)</f>
        <v>1</v>
      </c>
      <c r="J355" s="19" t="b">
        <f>ISNUMBER(MATCH(Table5[[#This Row],[SM_Contract__c]],Contract[Id],0))</f>
        <v>1</v>
      </c>
      <c r="K355" s="9" t="s">
        <v>3428</v>
      </c>
      <c r="L355" s="9" t="s">
        <v>3429</v>
      </c>
      <c r="M355" s="9" t="s">
        <v>837</v>
      </c>
      <c r="N355" s="9" t="s">
        <v>3741</v>
      </c>
      <c r="O355" s="9" t="s">
        <v>1563</v>
      </c>
      <c r="P355" s="9" t="s">
        <v>2363</v>
      </c>
      <c r="Q355" s="9" t="s">
        <v>77</v>
      </c>
      <c r="R355" s="9" t="s">
        <v>77</v>
      </c>
      <c r="S355" s="9" t="s">
        <v>1936</v>
      </c>
      <c r="T355" s="9" t="s">
        <v>1936</v>
      </c>
      <c r="U355" s="9" t="s">
        <v>1936</v>
      </c>
      <c r="V355" s="9" t="s">
        <v>93</v>
      </c>
      <c r="W355" s="9" t="s">
        <v>3597</v>
      </c>
      <c r="X355" s="9" t="s">
        <v>3430</v>
      </c>
      <c r="Y355" s="9"/>
      <c r="Z355" s="9"/>
      <c r="AA355" s="9" t="s">
        <v>3430</v>
      </c>
    </row>
    <row r="356" spans="1:27" x14ac:dyDescent="0.35">
      <c r="A356" s="4" t="str">
        <f>IF(Table5[[#This Row],[SM_Amount__c]]="25.0","FEE",IF(IF(Table5[[#This Row],[SM_Original_Type__c]]="",Table5[[#This Row],[SM_Type__c]],Table5[[#This Row],[SM_Original_Type__c]])="AC","AC","SUBS"))</f>
        <v>AC</v>
      </c>
      <c r="B356" s="27">
        <f>IF(INDEX(Contract[SM_AC_start_date__c],MATCH(Table5[[#This Row],[SM_Contract__c]],Contract[Id],0))=0,"",INDEX(Contract[SM_AC_start_date__c],MATCH(Table5[[#This Row],[SM_Contract__c]],Contract[Id],0)))</f>
        <v>46048</v>
      </c>
      <c r="C356" s="27">
        <f>IF(INDEX(Contract[SM_AC_Split_Date__c],MATCH(Table5[[#This Row],[SM_Contract__c]],Contract[Id],0))=0,"",INDEX(Contract[SM_AC_Split_Date__c],MATCH(Table5[[#This Row],[SM_Contract__c]],Contract[Id],0)))</f>
        <v>46068</v>
      </c>
      <c r="D356" s="27">
        <f>IF(INDEX(Contract[SM_Start_date__c],MATCH(Table5[[#This Row],[SM_Contract__c]],Contract[Id],0))=0,"",INDEX(Contract[SM_Start_date__c],MATCH(Table5[[#This Row],[SM_Contract__c]],Contract[Id],0)))</f>
        <v>46096</v>
      </c>
      <c r="E356" s="4">
        <f ca="1">(YEAR(TODAY())-YEAR(Table5[[#This Row],[RC DATE]]))*12 + MONTH(TODAY())-MONTH(Table5[[#This Row],[RC DATE]])</f>
        <v>4</v>
      </c>
      <c r="F35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356" s="19">
        <f>IF(Table5[[#This Row],[Payment_Status__c]]="ACCEPTED",1,"")</f>
        <v>1</v>
      </c>
      <c r="H35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56" s="19">
        <f ca="1">Table5[[#This Row],['# months]]-COUNTIFS(Table5[SM_Contract__c],Table5[[#This Row],[SM_Contract__c]],Table5[TYPE],"SUBS",Table5[ACCEPTED],1)</f>
        <v>1</v>
      </c>
      <c r="J356" s="19" t="b">
        <f>ISNUMBER(MATCH(Table5[[#This Row],[SM_Contract__c]],Contract[Id],0))</f>
        <v>1</v>
      </c>
      <c r="K356" s="9" t="s">
        <v>3431</v>
      </c>
      <c r="L356" s="9" t="s">
        <v>3432</v>
      </c>
      <c r="M356" s="9" t="s">
        <v>837</v>
      </c>
      <c r="N356" s="9" t="s">
        <v>3741</v>
      </c>
      <c r="O356" s="9" t="s">
        <v>1563</v>
      </c>
      <c r="P356" s="9" t="s">
        <v>2363</v>
      </c>
      <c r="Q356" s="9" t="s">
        <v>77</v>
      </c>
      <c r="R356" s="9" t="s">
        <v>77</v>
      </c>
      <c r="S356" s="9" t="s">
        <v>1936</v>
      </c>
      <c r="T356" s="9" t="s">
        <v>1936</v>
      </c>
      <c r="U356" s="9" t="s">
        <v>1936</v>
      </c>
      <c r="V356" s="9" t="s">
        <v>93</v>
      </c>
      <c r="W356" s="9" t="s">
        <v>3582</v>
      </c>
      <c r="X356" s="9" t="s">
        <v>3433</v>
      </c>
      <c r="Y356" s="9"/>
      <c r="Z356" s="9"/>
      <c r="AA356" s="9" t="s">
        <v>3433</v>
      </c>
    </row>
    <row r="357" spans="1:27" x14ac:dyDescent="0.35">
      <c r="A357" s="4" t="str">
        <f>IF(Table5[[#This Row],[SM_Amount__c]]="25.0","FEE",IF(IF(Table5[[#This Row],[SM_Original_Type__c]]="",Table5[[#This Row],[SM_Type__c]],Table5[[#This Row],[SM_Original_Type__c]])="AC","AC","SUBS"))</f>
        <v>SUBS</v>
      </c>
      <c r="B357" s="27">
        <f>IF(INDEX(Contract[SM_AC_start_date__c],MATCH(Table5[[#This Row],[SM_Contract__c]],Contract[Id],0))=0,"",INDEX(Contract[SM_AC_start_date__c],MATCH(Table5[[#This Row],[SM_Contract__c]],Contract[Id],0)))</f>
        <v>46048</v>
      </c>
      <c r="C357" s="27">
        <f>IF(INDEX(Contract[SM_AC_Split_Date__c],MATCH(Table5[[#This Row],[SM_Contract__c]],Contract[Id],0))=0,"",INDEX(Contract[SM_AC_Split_Date__c],MATCH(Table5[[#This Row],[SM_Contract__c]],Contract[Id],0)))</f>
        <v>46068</v>
      </c>
      <c r="D357" s="27">
        <f>IF(INDEX(Contract[SM_Start_date__c],MATCH(Table5[[#This Row],[SM_Contract__c]],Contract[Id],0))=0,"",INDEX(Contract[SM_Start_date__c],MATCH(Table5[[#This Row],[SM_Contract__c]],Contract[Id],0)))</f>
        <v>46096</v>
      </c>
      <c r="E357" s="4">
        <f ca="1">(YEAR(TODAY())-YEAR(Table5[[#This Row],[RC DATE]]))*12 + MONTH(TODAY())-MONTH(Table5[[#This Row],[RC DATE]])</f>
        <v>4</v>
      </c>
      <c r="F35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357" s="19">
        <f>IF(Table5[[#This Row],[Payment_Status__c]]="ACCEPTED",1,"")</f>
        <v>1</v>
      </c>
      <c r="H35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57" s="19">
        <f ca="1">Table5[[#This Row],['# months]]-COUNTIFS(Table5[SM_Contract__c],Table5[[#This Row],[SM_Contract__c]],Table5[TYPE],"SUBS",Table5[ACCEPTED],1)</f>
        <v>1</v>
      </c>
      <c r="J357" s="19" t="b">
        <f>ISNUMBER(MATCH(Table5[[#This Row],[SM_Contract__c]],Contract[Id],0))</f>
        <v>1</v>
      </c>
      <c r="K357" s="9" t="s">
        <v>3434</v>
      </c>
      <c r="L357" s="9" t="s">
        <v>3435</v>
      </c>
      <c r="M357" s="9" t="s">
        <v>837</v>
      </c>
      <c r="N357" s="9" t="s">
        <v>3741</v>
      </c>
      <c r="O357" s="9" t="s">
        <v>1563</v>
      </c>
      <c r="P357" s="9" t="s">
        <v>2363</v>
      </c>
      <c r="Q357" s="9" t="s">
        <v>83</v>
      </c>
      <c r="R357" s="9" t="s">
        <v>76</v>
      </c>
      <c r="S357" s="9" t="s">
        <v>167</v>
      </c>
      <c r="T357" s="9" t="s">
        <v>167</v>
      </c>
      <c r="U357" s="9" t="s">
        <v>167</v>
      </c>
      <c r="V357" s="9" t="s">
        <v>93</v>
      </c>
      <c r="W357" s="9" t="s">
        <v>3583</v>
      </c>
      <c r="X357" s="9" t="s">
        <v>3381</v>
      </c>
      <c r="Y357" s="9"/>
      <c r="Z357" s="9"/>
      <c r="AA357" s="9" t="s">
        <v>3381</v>
      </c>
    </row>
    <row r="358" spans="1:27" x14ac:dyDescent="0.35">
      <c r="A358" s="4" t="str">
        <f>IF(Table5[[#This Row],[SM_Amount__c]]="25.0","FEE",IF(IF(Table5[[#This Row],[SM_Original_Type__c]]="",Table5[[#This Row],[SM_Type__c]],Table5[[#This Row],[SM_Original_Type__c]])="AC","AC","SUBS"))</f>
        <v>SUBS</v>
      </c>
      <c r="B358" s="27">
        <f>IF(INDEX(Contract[SM_AC_start_date__c],MATCH(Table5[[#This Row],[SM_Contract__c]],Contract[Id],0))=0,"",INDEX(Contract[SM_AC_start_date__c],MATCH(Table5[[#This Row],[SM_Contract__c]],Contract[Id],0)))</f>
        <v>46048</v>
      </c>
      <c r="C358" s="27">
        <f>IF(INDEX(Contract[SM_AC_Split_Date__c],MATCH(Table5[[#This Row],[SM_Contract__c]],Contract[Id],0))=0,"",INDEX(Contract[SM_AC_Split_Date__c],MATCH(Table5[[#This Row],[SM_Contract__c]],Contract[Id],0)))</f>
        <v>46068</v>
      </c>
      <c r="D358" s="27">
        <f>IF(INDEX(Contract[SM_Start_date__c],MATCH(Table5[[#This Row],[SM_Contract__c]],Contract[Id],0))=0,"",INDEX(Contract[SM_Start_date__c],MATCH(Table5[[#This Row],[SM_Contract__c]],Contract[Id],0)))</f>
        <v>46096</v>
      </c>
      <c r="E358" s="4">
        <f ca="1">(YEAR(TODAY())-YEAR(Table5[[#This Row],[RC DATE]]))*12 + MONTH(TODAY())-MONTH(Table5[[#This Row],[RC DATE]])</f>
        <v>4</v>
      </c>
      <c r="F35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358" s="19">
        <f>IF(Table5[[#This Row],[Payment_Status__c]]="ACCEPTED",1,"")</f>
        <v>1</v>
      </c>
      <c r="H35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58" s="19">
        <f ca="1">Table5[[#This Row],['# months]]-COUNTIFS(Table5[SM_Contract__c],Table5[[#This Row],[SM_Contract__c]],Table5[TYPE],"SUBS",Table5[ACCEPTED],1)</f>
        <v>1</v>
      </c>
      <c r="J358" s="19" t="b">
        <f>ISNUMBER(MATCH(Table5[[#This Row],[SM_Contract__c]],Contract[Id],0))</f>
        <v>1</v>
      </c>
      <c r="K358" s="9" t="s">
        <v>3436</v>
      </c>
      <c r="L358" s="9" t="s">
        <v>3437</v>
      </c>
      <c r="M358" s="9" t="s">
        <v>837</v>
      </c>
      <c r="N358" s="9" t="s">
        <v>3741</v>
      </c>
      <c r="O358" s="9" t="s">
        <v>1563</v>
      </c>
      <c r="P358" s="9" t="s">
        <v>2363</v>
      </c>
      <c r="Q358" s="9" t="s">
        <v>83</v>
      </c>
      <c r="R358" s="9" t="s">
        <v>76</v>
      </c>
      <c r="S358" s="9" t="s">
        <v>167</v>
      </c>
      <c r="T358" s="9" t="s">
        <v>167</v>
      </c>
      <c r="U358" s="9" t="s">
        <v>167</v>
      </c>
      <c r="V358" s="9" t="s">
        <v>93</v>
      </c>
      <c r="W358" s="9" t="s">
        <v>3584</v>
      </c>
      <c r="X358" s="9" t="s">
        <v>3382</v>
      </c>
      <c r="Y358" s="9"/>
      <c r="Z358" s="9"/>
      <c r="AA358" s="9" t="s">
        <v>3382</v>
      </c>
    </row>
    <row r="359" spans="1:27" x14ac:dyDescent="0.35">
      <c r="A359" s="4" t="str">
        <f>IF(Table5[[#This Row],[SM_Amount__c]]="25.0","FEE",IF(IF(Table5[[#This Row],[SM_Original_Type__c]]="",Table5[[#This Row],[SM_Type__c]],Table5[[#This Row],[SM_Original_Type__c]])="AC","AC","SUBS"))</f>
        <v>SUBS</v>
      </c>
      <c r="B359" s="27">
        <f>IF(INDEX(Contract[SM_AC_start_date__c],MATCH(Table5[[#This Row],[SM_Contract__c]],Contract[Id],0))=0,"",INDEX(Contract[SM_AC_start_date__c],MATCH(Table5[[#This Row],[SM_Contract__c]],Contract[Id],0)))</f>
        <v>46048</v>
      </c>
      <c r="C359" s="27">
        <f>IF(INDEX(Contract[SM_AC_Split_Date__c],MATCH(Table5[[#This Row],[SM_Contract__c]],Contract[Id],0))=0,"",INDEX(Contract[SM_AC_Split_Date__c],MATCH(Table5[[#This Row],[SM_Contract__c]],Contract[Id],0)))</f>
        <v>46068</v>
      </c>
      <c r="D359" s="27">
        <f>IF(INDEX(Contract[SM_Start_date__c],MATCH(Table5[[#This Row],[SM_Contract__c]],Contract[Id],0))=0,"",INDEX(Contract[SM_Start_date__c],MATCH(Table5[[#This Row],[SM_Contract__c]],Contract[Id],0)))</f>
        <v>46096</v>
      </c>
      <c r="E359" s="4">
        <f ca="1">(YEAR(TODAY())-YEAR(Table5[[#This Row],[RC DATE]]))*12 + MONTH(TODAY())-MONTH(Table5[[#This Row],[RC DATE]])</f>
        <v>4</v>
      </c>
      <c r="F35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46188</v>
      </c>
      <c r="G359" s="19">
        <f>IF(Table5[[#This Row],[Payment_Status__c]]="ACCEPTED",1,"")</f>
        <v>1</v>
      </c>
      <c r="H35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59" s="19">
        <f ca="1">Table5[[#This Row],['# months]]-COUNTIFS(Table5[SM_Contract__c],Table5[[#This Row],[SM_Contract__c]],Table5[TYPE],"SUBS",Table5[ACCEPTED],1)</f>
        <v>1</v>
      </c>
      <c r="J359" s="19" t="b">
        <f>ISNUMBER(MATCH(Table5[[#This Row],[SM_Contract__c]],Contract[Id],0))</f>
        <v>1</v>
      </c>
      <c r="K359" s="9" t="s">
        <v>3438</v>
      </c>
      <c r="L359" s="9" t="s">
        <v>3439</v>
      </c>
      <c r="M359" s="9" t="s">
        <v>837</v>
      </c>
      <c r="N359" s="9" t="s">
        <v>3741</v>
      </c>
      <c r="O359" s="9" t="s">
        <v>1563</v>
      </c>
      <c r="P359" s="9" t="s">
        <v>2363</v>
      </c>
      <c r="Q359" s="9" t="s">
        <v>83</v>
      </c>
      <c r="R359" s="9" t="s">
        <v>76</v>
      </c>
      <c r="S359" s="9" t="s">
        <v>167</v>
      </c>
      <c r="T359" s="9" t="s">
        <v>167</v>
      </c>
      <c r="U359" s="9" t="s">
        <v>167</v>
      </c>
      <c r="V359" s="9" t="s">
        <v>93</v>
      </c>
      <c r="W359" s="9" t="s">
        <v>3585</v>
      </c>
      <c r="X359" s="9" t="s">
        <v>3440</v>
      </c>
      <c r="Y359" s="9"/>
      <c r="Z359" s="9"/>
      <c r="AA359" s="9" t="s">
        <v>3440</v>
      </c>
    </row>
    <row r="360" spans="1:27" x14ac:dyDescent="0.35">
      <c r="A360" s="4" t="str">
        <f>IF(Table5[[#This Row],[SM_Amount__c]]="25.0","FEE",IF(IF(Table5[[#This Row],[SM_Original_Type__c]]="",Table5[[#This Row],[SM_Type__c]],Table5[[#This Row],[SM_Original_Type__c]])="AC","AC","SUBS"))</f>
        <v>AC</v>
      </c>
      <c r="B360" s="27">
        <f>IF(INDEX(Contract[SM_AC_start_date__c],MATCH(Table5[[#This Row],[SM_Contract__c]],Contract[Id],0))=0,"",INDEX(Contract[SM_AC_start_date__c],MATCH(Table5[[#This Row],[SM_Contract__c]],Contract[Id],0)))</f>
        <v>46052</v>
      </c>
      <c r="C360" s="27" t="str">
        <f>IF(INDEX(Contract[SM_AC_Split_Date__c],MATCH(Table5[[#This Row],[SM_Contract__c]],Contract[Id],0))=0,"",INDEX(Contract[SM_AC_Split_Date__c],MATCH(Table5[[#This Row],[SM_Contract__c]],Contract[Id],0)))</f>
        <v/>
      </c>
      <c r="D360" s="27">
        <f>IF(INDEX(Contract[SM_Start_date__c],MATCH(Table5[[#This Row],[SM_Contract__c]],Contract[Id],0))=0,"",INDEX(Contract[SM_Start_date__c],MATCH(Table5[[#This Row],[SM_Contract__c]],Contract[Id],0)))</f>
        <v>46081</v>
      </c>
      <c r="E360" s="4">
        <f ca="1">(YEAR(TODAY())-YEAR(Table5[[#This Row],[RC DATE]]))*12 + MONTH(TODAY())-MONTH(Table5[[#This Row],[RC DATE]])</f>
        <v>5</v>
      </c>
      <c r="F36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60" s="19">
        <f>IF(Table5[[#This Row],[Payment_Status__c]]="ACCEPTED",1,"")</f>
        <v>1</v>
      </c>
      <c r="H36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60" s="19">
        <f ca="1">Table5[[#This Row],['# months]]-COUNTIFS(Table5[SM_Contract__c],Table5[[#This Row],[SM_Contract__c]],Table5[TYPE],"SUBS",Table5[ACCEPTED],1)</f>
        <v>1</v>
      </c>
      <c r="J360" s="19" t="b">
        <f>ISNUMBER(MATCH(Table5[[#This Row],[SM_Contract__c]],Contract[Id],0))</f>
        <v>1</v>
      </c>
      <c r="K360" s="9" t="s">
        <v>3441</v>
      </c>
      <c r="L360" s="9" t="s">
        <v>3442</v>
      </c>
      <c r="M360" s="9" t="s">
        <v>846</v>
      </c>
      <c r="N360" s="9" t="s">
        <v>3742</v>
      </c>
      <c r="O360" s="9" t="s">
        <v>1563</v>
      </c>
      <c r="P360" s="9" t="s">
        <v>2363</v>
      </c>
      <c r="Q360" s="9" t="s">
        <v>71</v>
      </c>
      <c r="R360" s="9" t="s">
        <v>77</v>
      </c>
      <c r="S360" s="9" t="s">
        <v>2220</v>
      </c>
      <c r="T360" s="9" t="s">
        <v>2220</v>
      </c>
      <c r="U360" s="9" t="s">
        <v>167</v>
      </c>
      <c r="V360" s="9" t="s">
        <v>148</v>
      </c>
      <c r="W360" s="9" t="s">
        <v>3616</v>
      </c>
      <c r="X360" s="9" t="s">
        <v>3443</v>
      </c>
      <c r="Y360" s="9"/>
      <c r="Z360" s="9" t="s">
        <v>913</v>
      </c>
      <c r="AA360" s="9" t="s">
        <v>3443</v>
      </c>
    </row>
    <row r="361" spans="1:27" x14ac:dyDescent="0.35">
      <c r="A361" s="4" t="str">
        <f>IF(Table5[[#This Row],[SM_Amount__c]]="25.0","FEE",IF(IF(Table5[[#This Row],[SM_Original_Type__c]]="",Table5[[#This Row],[SM_Type__c]],Table5[[#This Row],[SM_Original_Type__c]])="AC","AC","SUBS"))</f>
        <v>SUBS</v>
      </c>
      <c r="B361" s="27">
        <f>IF(INDEX(Contract[SM_AC_start_date__c],MATCH(Table5[[#This Row],[SM_Contract__c]],Contract[Id],0))=0,"",INDEX(Contract[SM_AC_start_date__c],MATCH(Table5[[#This Row],[SM_Contract__c]],Contract[Id],0)))</f>
        <v>46052</v>
      </c>
      <c r="C361" s="27" t="str">
        <f>IF(INDEX(Contract[SM_AC_Split_Date__c],MATCH(Table5[[#This Row],[SM_Contract__c]],Contract[Id],0))=0,"",INDEX(Contract[SM_AC_Split_Date__c],MATCH(Table5[[#This Row],[SM_Contract__c]],Contract[Id],0)))</f>
        <v/>
      </c>
      <c r="D361" s="27">
        <f>IF(INDEX(Contract[SM_Start_date__c],MATCH(Table5[[#This Row],[SM_Contract__c]],Contract[Id],0))=0,"",INDEX(Contract[SM_Start_date__c],MATCH(Table5[[#This Row],[SM_Contract__c]],Contract[Id],0)))</f>
        <v>46081</v>
      </c>
      <c r="E361" s="4">
        <f ca="1">(YEAR(TODAY())-YEAR(Table5[[#This Row],[RC DATE]]))*12 + MONTH(TODAY())-MONTH(Table5[[#This Row],[RC DATE]])</f>
        <v>5</v>
      </c>
      <c r="F36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61" s="19">
        <f>IF(Table5[[#This Row],[Payment_Status__c]]="ACCEPTED",1,"")</f>
        <v>1</v>
      </c>
      <c r="H36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61" s="19">
        <f ca="1">Table5[[#This Row],['# months]]-COUNTIFS(Table5[SM_Contract__c],Table5[[#This Row],[SM_Contract__c]],Table5[TYPE],"SUBS",Table5[ACCEPTED],1)</f>
        <v>1</v>
      </c>
      <c r="J361" s="19" t="b">
        <f>ISNUMBER(MATCH(Table5[[#This Row],[SM_Contract__c]],Contract[Id],0))</f>
        <v>1</v>
      </c>
      <c r="K361" s="9" t="s">
        <v>3444</v>
      </c>
      <c r="L361" s="9" t="s">
        <v>3445</v>
      </c>
      <c r="M361" s="9" t="s">
        <v>846</v>
      </c>
      <c r="N361" s="9" t="s">
        <v>3742</v>
      </c>
      <c r="O361" s="9" t="s">
        <v>1563</v>
      </c>
      <c r="P361" s="9" t="s">
        <v>2363</v>
      </c>
      <c r="Q361" s="9" t="s">
        <v>71</v>
      </c>
      <c r="R361" s="9" t="s">
        <v>83</v>
      </c>
      <c r="S361" s="9" t="s">
        <v>167</v>
      </c>
      <c r="T361" s="9" t="s">
        <v>167</v>
      </c>
      <c r="U361" s="9" t="s">
        <v>167</v>
      </c>
      <c r="V361" s="9" t="s">
        <v>93</v>
      </c>
      <c r="W361" s="9" t="s">
        <v>3691</v>
      </c>
      <c r="X361" s="9" t="s">
        <v>3446</v>
      </c>
      <c r="Y361" s="9"/>
      <c r="Z361" s="9" t="s">
        <v>987</v>
      </c>
      <c r="AA361" s="9" t="s">
        <v>3446</v>
      </c>
    </row>
    <row r="362" spans="1:27" x14ac:dyDescent="0.35">
      <c r="A362" s="4" t="str">
        <f>IF(Table5[[#This Row],[SM_Amount__c]]="25.0","FEE",IF(IF(Table5[[#This Row],[SM_Original_Type__c]]="",Table5[[#This Row],[SM_Type__c]],Table5[[#This Row],[SM_Original_Type__c]])="AC","AC","SUBS"))</f>
        <v>SUBS</v>
      </c>
      <c r="B362" s="27">
        <f>IF(INDEX(Contract[SM_AC_start_date__c],MATCH(Table5[[#This Row],[SM_Contract__c]],Contract[Id],0))=0,"",INDEX(Contract[SM_AC_start_date__c],MATCH(Table5[[#This Row],[SM_Contract__c]],Contract[Id],0)))</f>
        <v>46052</v>
      </c>
      <c r="C362" s="27" t="str">
        <f>IF(INDEX(Contract[SM_AC_Split_Date__c],MATCH(Table5[[#This Row],[SM_Contract__c]],Contract[Id],0))=0,"",INDEX(Contract[SM_AC_Split_Date__c],MATCH(Table5[[#This Row],[SM_Contract__c]],Contract[Id],0)))</f>
        <v/>
      </c>
      <c r="D362" s="27">
        <f>IF(INDEX(Contract[SM_Start_date__c],MATCH(Table5[[#This Row],[SM_Contract__c]],Contract[Id],0))=0,"",INDEX(Contract[SM_Start_date__c],MATCH(Table5[[#This Row],[SM_Contract__c]],Contract[Id],0)))</f>
        <v>46081</v>
      </c>
      <c r="E362" s="4">
        <f ca="1">(YEAR(TODAY())-YEAR(Table5[[#This Row],[RC DATE]]))*12 + MONTH(TODAY())-MONTH(Table5[[#This Row],[RC DATE]])</f>
        <v>5</v>
      </c>
      <c r="F36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62" s="19">
        <f>IF(Table5[[#This Row],[Payment_Status__c]]="ACCEPTED",1,"")</f>
        <v>1</v>
      </c>
      <c r="H36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62" s="19">
        <f ca="1">Table5[[#This Row],['# months]]-COUNTIFS(Table5[SM_Contract__c],Table5[[#This Row],[SM_Contract__c]],Table5[TYPE],"SUBS",Table5[ACCEPTED],1)</f>
        <v>1</v>
      </c>
      <c r="J362" s="19" t="b">
        <f>ISNUMBER(MATCH(Table5[[#This Row],[SM_Contract__c]],Contract[Id],0))</f>
        <v>1</v>
      </c>
      <c r="K362" s="9" t="s">
        <v>3447</v>
      </c>
      <c r="L362" s="9" t="s">
        <v>3448</v>
      </c>
      <c r="M362" s="9" t="s">
        <v>846</v>
      </c>
      <c r="N362" s="9" t="s">
        <v>3742</v>
      </c>
      <c r="O362" s="9" t="s">
        <v>1563</v>
      </c>
      <c r="P362" s="9" t="s">
        <v>2363</v>
      </c>
      <c r="Q362" s="9" t="s">
        <v>71</v>
      </c>
      <c r="R362" s="9" t="s">
        <v>83</v>
      </c>
      <c r="S362" s="9" t="s">
        <v>2220</v>
      </c>
      <c r="T362" s="9" t="s">
        <v>2220</v>
      </c>
      <c r="U362" s="9" t="s">
        <v>167</v>
      </c>
      <c r="V362" s="9" t="s">
        <v>148</v>
      </c>
      <c r="W362" s="9" t="s">
        <v>3611</v>
      </c>
      <c r="X362" s="9" t="s">
        <v>3449</v>
      </c>
      <c r="Y362" s="9"/>
      <c r="Z362" s="9" t="s">
        <v>1109</v>
      </c>
      <c r="AA362" s="9" t="s">
        <v>3449</v>
      </c>
    </row>
    <row r="363" spans="1:27" x14ac:dyDescent="0.35">
      <c r="A363" s="4" t="str">
        <f>IF(Table5[[#This Row],[SM_Amount__c]]="25.0","FEE",IF(IF(Table5[[#This Row],[SM_Original_Type__c]]="",Table5[[#This Row],[SM_Type__c]],Table5[[#This Row],[SM_Original_Type__c]])="AC","AC","SUBS"))</f>
        <v>SUBS</v>
      </c>
      <c r="B363" s="27">
        <f>IF(INDEX(Contract[SM_AC_start_date__c],MATCH(Table5[[#This Row],[SM_Contract__c]],Contract[Id],0))=0,"",INDEX(Contract[SM_AC_start_date__c],MATCH(Table5[[#This Row],[SM_Contract__c]],Contract[Id],0)))</f>
        <v>46052</v>
      </c>
      <c r="C363" s="27" t="str">
        <f>IF(INDEX(Contract[SM_AC_Split_Date__c],MATCH(Table5[[#This Row],[SM_Contract__c]],Contract[Id],0))=0,"",INDEX(Contract[SM_AC_Split_Date__c],MATCH(Table5[[#This Row],[SM_Contract__c]],Contract[Id],0)))</f>
        <v/>
      </c>
      <c r="D363" s="27">
        <f>IF(INDEX(Contract[SM_Start_date__c],MATCH(Table5[[#This Row],[SM_Contract__c]],Contract[Id],0))=0,"",INDEX(Contract[SM_Start_date__c],MATCH(Table5[[#This Row],[SM_Contract__c]],Contract[Id],0)))</f>
        <v>46081</v>
      </c>
      <c r="E363" s="4">
        <f ca="1">(YEAR(TODAY())-YEAR(Table5[[#This Row],[RC DATE]]))*12 + MONTH(TODAY())-MONTH(Table5[[#This Row],[RC DATE]])</f>
        <v>5</v>
      </c>
      <c r="F36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63" s="19">
        <f>IF(Table5[[#This Row],[Payment_Status__c]]="ACCEPTED",1,"")</f>
        <v>1</v>
      </c>
      <c r="H36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63" s="19">
        <f ca="1">Table5[[#This Row],['# months]]-COUNTIFS(Table5[SM_Contract__c],Table5[[#This Row],[SM_Contract__c]],Table5[TYPE],"SUBS",Table5[ACCEPTED],1)</f>
        <v>1</v>
      </c>
      <c r="J363" s="19" t="b">
        <f>ISNUMBER(MATCH(Table5[[#This Row],[SM_Contract__c]],Contract[Id],0))</f>
        <v>1</v>
      </c>
      <c r="K363" s="9" t="s">
        <v>3450</v>
      </c>
      <c r="L363" s="9" t="s">
        <v>3451</v>
      </c>
      <c r="M363" s="9" t="s">
        <v>846</v>
      </c>
      <c r="N363" s="9" t="s">
        <v>3742</v>
      </c>
      <c r="O363" s="9" t="s">
        <v>1563</v>
      </c>
      <c r="P363" s="9" t="s">
        <v>2363</v>
      </c>
      <c r="Q363" s="9" t="s">
        <v>71</v>
      </c>
      <c r="R363" s="9" t="s">
        <v>83</v>
      </c>
      <c r="S363" s="9" t="s">
        <v>2220</v>
      </c>
      <c r="T363" s="9" t="s">
        <v>2220</v>
      </c>
      <c r="U363" s="9" t="s">
        <v>167</v>
      </c>
      <c r="V363" s="9" t="s">
        <v>148</v>
      </c>
      <c r="W363" s="9" t="s">
        <v>3686</v>
      </c>
      <c r="X363" s="9" t="s">
        <v>3452</v>
      </c>
      <c r="Y363" s="9"/>
      <c r="Z363" s="9" t="s">
        <v>1276</v>
      </c>
      <c r="AA363" s="9" t="s">
        <v>3452</v>
      </c>
    </row>
    <row r="364" spans="1:27" x14ac:dyDescent="0.35">
      <c r="A364" s="4" t="str">
        <f>IF(Table5[[#This Row],[SM_Amount__c]]="25.0","FEE",IF(IF(Table5[[#This Row],[SM_Original_Type__c]]="",Table5[[#This Row],[SM_Type__c]],Table5[[#This Row],[SM_Original_Type__c]])="AC","AC","SUBS"))</f>
        <v>SUBS</v>
      </c>
      <c r="B364" s="27">
        <f>IF(INDEX(Contract[SM_AC_start_date__c],MATCH(Table5[[#This Row],[SM_Contract__c]],Contract[Id],0))=0,"",INDEX(Contract[SM_AC_start_date__c],MATCH(Table5[[#This Row],[SM_Contract__c]],Contract[Id],0)))</f>
        <v>46052</v>
      </c>
      <c r="C364" s="27" t="str">
        <f>IF(INDEX(Contract[SM_AC_Split_Date__c],MATCH(Table5[[#This Row],[SM_Contract__c]],Contract[Id],0))=0,"",INDEX(Contract[SM_AC_Split_Date__c],MATCH(Table5[[#This Row],[SM_Contract__c]],Contract[Id],0)))</f>
        <v/>
      </c>
      <c r="D364" s="27">
        <f>IF(INDEX(Contract[SM_Start_date__c],MATCH(Table5[[#This Row],[SM_Contract__c]],Contract[Id],0))=0,"",INDEX(Contract[SM_Start_date__c],MATCH(Table5[[#This Row],[SM_Contract__c]],Contract[Id],0)))</f>
        <v>46081</v>
      </c>
      <c r="E364" s="4">
        <f ca="1">(YEAR(TODAY())-YEAR(Table5[[#This Row],[RC DATE]]))*12 + MONTH(TODAY())-MONTH(Table5[[#This Row],[RC DATE]])</f>
        <v>5</v>
      </c>
      <c r="F36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46201</v>
      </c>
      <c r="G364" s="19">
        <f>IF(Table5[[#This Row],[Payment_Status__c]]="ACCEPTED",1,"")</f>
        <v>1</v>
      </c>
      <c r="H36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64" s="19">
        <f ca="1">Table5[[#This Row],['# months]]-COUNTIFS(Table5[SM_Contract__c],Table5[[#This Row],[SM_Contract__c]],Table5[TYPE],"SUBS",Table5[ACCEPTED],1)</f>
        <v>1</v>
      </c>
      <c r="J364" s="19" t="b">
        <f>ISNUMBER(MATCH(Table5[[#This Row],[SM_Contract__c]],Contract[Id],0))</f>
        <v>1</v>
      </c>
      <c r="K364" s="9" t="s">
        <v>3453</v>
      </c>
      <c r="L364" s="9" t="s">
        <v>3454</v>
      </c>
      <c r="M364" s="9" t="s">
        <v>846</v>
      </c>
      <c r="N364" s="9" t="s">
        <v>3742</v>
      </c>
      <c r="O364" s="9" t="s">
        <v>1563</v>
      </c>
      <c r="P364" s="9" t="s">
        <v>2363</v>
      </c>
      <c r="Q364" s="9" t="s">
        <v>83</v>
      </c>
      <c r="R364" s="9" t="s">
        <v>76</v>
      </c>
      <c r="S364" s="9" t="s">
        <v>167</v>
      </c>
      <c r="T364" s="9" t="s">
        <v>167</v>
      </c>
      <c r="U364" s="9" t="s">
        <v>167</v>
      </c>
      <c r="V364" s="9" t="s">
        <v>93</v>
      </c>
      <c r="W364" s="9" t="s">
        <v>3588</v>
      </c>
      <c r="X364" s="9" t="s">
        <v>3455</v>
      </c>
      <c r="Y364" s="9"/>
      <c r="Z364" s="9"/>
      <c r="AA364" s="9" t="s">
        <v>3455</v>
      </c>
    </row>
    <row r="365" spans="1:27" x14ac:dyDescent="0.35">
      <c r="A365" s="4" t="str">
        <f>IF(Table5[[#This Row],[SM_Amount__c]]="25.0","FEE",IF(IF(Table5[[#This Row],[SM_Original_Type__c]]="",Table5[[#This Row],[SM_Type__c]],Table5[[#This Row],[SM_Original_Type__c]])="AC","AC","SUBS"))</f>
        <v>AC</v>
      </c>
      <c r="B365" s="27">
        <f>IF(INDEX(Contract[SM_AC_start_date__c],MATCH(Table5[[#This Row],[SM_Contract__c]],Contract[Id],0))=0,"",INDEX(Contract[SM_AC_start_date__c],MATCH(Table5[[#This Row],[SM_Contract__c]],Contract[Id],0)))</f>
        <v>46050</v>
      </c>
      <c r="C365" s="27">
        <f>IF(INDEX(Contract[SM_AC_Split_Date__c],MATCH(Table5[[#This Row],[SM_Contract__c]],Contract[Id],0))=0,"",INDEX(Contract[SM_AC_Split_Date__c],MATCH(Table5[[#This Row],[SM_Contract__c]],Contract[Id],0)))</f>
        <v>46081</v>
      </c>
      <c r="D365" s="27">
        <f>IF(INDEX(Contract[SM_Start_date__c],MATCH(Table5[[#This Row],[SM_Contract__c]],Contract[Id],0))=0,"",INDEX(Contract[SM_Start_date__c],MATCH(Table5[[#This Row],[SM_Contract__c]],Contract[Id],0)))</f>
        <v>46111</v>
      </c>
      <c r="E365" s="4">
        <f ca="1">(YEAR(TODAY())-YEAR(Table5[[#This Row],[RC DATE]]))*12 + MONTH(TODAY())-MONTH(Table5[[#This Row],[RC DATE]])</f>
        <v>4</v>
      </c>
      <c r="F36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5" s="19">
        <f>IF(Table5[[#This Row],[Payment_Status__c]]="ACCEPTED",1,"")</f>
        <v>1</v>
      </c>
      <c r="H36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5" s="19">
        <f ca="1">Table5[[#This Row],['# months]]-COUNTIFS(Table5[SM_Contract__c],Table5[[#This Row],[SM_Contract__c]],Table5[TYPE],"SUBS",Table5[ACCEPTED],1)</f>
        <v>2</v>
      </c>
      <c r="J365" s="19" t="b">
        <f>ISNUMBER(MATCH(Table5[[#This Row],[SM_Contract__c]],Contract[Id],0))</f>
        <v>1</v>
      </c>
      <c r="K365" s="9" t="s">
        <v>3456</v>
      </c>
      <c r="L365" s="9" t="s">
        <v>3457</v>
      </c>
      <c r="M365" s="9" t="s">
        <v>857</v>
      </c>
      <c r="N365" s="9" t="s">
        <v>3743</v>
      </c>
      <c r="O365" s="9" t="s">
        <v>1563</v>
      </c>
      <c r="P365" s="9" t="s">
        <v>2363</v>
      </c>
      <c r="Q365" s="9" t="s">
        <v>77</v>
      </c>
      <c r="R365" s="9" t="s">
        <v>77</v>
      </c>
      <c r="S365" s="9" t="s">
        <v>1936</v>
      </c>
      <c r="T365" s="9" t="s">
        <v>1936</v>
      </c>
      <c r="U365" s="9" t="s">
        <v>1936</v>
      </c>
      <c r="V365" s="9" t="s">
        <v>93</v>
      </c>
      <c r="W365" s="9" t="s">
        <v>3645</v>
      </c>
      <c r="X365" s="9" t="s">
        <v>3458</v>
      </c>
      <c r="Y365" s="9"/>
      <c r="Z365" s="9"/>
      <c r="AA365" s="9" t="s">
        <v>3458</v>
      </c>
    </row>
    <row r="366" spans="1:27" x14ac:dyDescent="0.35">
      <c r="A366" s="4" t="str">
        <f>IF(Table5[[#This Row],[SM_Amount__c]]="25.0","FEE",IF(IF(Table5[[#This Row],[SM_Original_Type__c]]="",Table5[[#This Row],[SM_Type__c]],Table5[[#This Row],[SM_Original_Type__c]])="AC","AC","SUBS"))</f>
        <v>AC</v>
      </c>
      <c r="B366" s="27">
        <f>IF(INDEX(Contract[SM_AC_start_date__c],MATCH(Table5[[#This Row],[SM_Contract__c]],Contract[Id],0))=0,"",INDEX(Contract[SM_AC_start_date__c],MATCH(Table5[[#This Row],[SM_Contract__c]],Contract[Id],0)))</f>
        <v>46050</v>
      </c>
      <c r="C366" s="27">
        <f>IF(INDEX(Contract[SM_AC_Split_Date__c],MATCH(Table5[[#This Row],[SM_Contract__c]],Contract[Id],0))=0,"",INDEX(Contract[SM_AC_Split_Date__c],MATCH(Table5[[#This Row],[SM_Contract__c]],Contract[Id],0)))</f>
        <v>46081</v>
      </c>
      <c r="D366" s="27">
        <f>IF(INDEX(Contract[SM_Start_date__c],MATCH(Table5[[#This Row],[SM_Contract__c]],Contract[Id],0))=0,"",INDEX(Contract[SM_Start_date__c],MATCH(Table5[[#This Row],[SM_Contract__c]],Contract[Id],0)))</f>
        <v>46111</v>
      </c>
      <c r="E366" s="4">
        <f ca="1">(YEAR(TODAY())-YEAR(Table5[[#This Row],[RC DATE]]))*12 + MONTH(TODAY())-MONTH(Table5[[#This Row],[RC DATE]])</f>
        <v>4</v>
      </c>
      <c r="F36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6" s="19">
        <f>IF(Table5[[#This Row],[Payment_Status__c]]="ACCEPTED",1,"")</f>
        <v>1</v>
      </c>
      <c r="H366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6" s="19">
        <f ca="1">Table5[[#This Row],['# months]]-COUNTIFS(Table5[SM_Contract__c],Table5[[#This Row],[SM_Contract__c]],Table5[TYPE],"SUBS",Table5[ACCEPTED],1)</f>
        <v>2</v>
      </c>
      <c r="J366" s="19" t="b">
        <f>ISNUMBER(MATCH(Table5[[#This Row],[SM_Contract__c]],Contract[Id],0))</f>
        <v>1</v>
      </c>
      <c r="K366" s="9" t="s">
        <v>3459</v>
      </c>
      <c r="L366" s="9" t="s">
        <v>3460</v>
      </c>
      <c r="M366" s="9" t="s">
        <v>857</v>
      </c>
      <c r="N366" s="9" t="s">
        <v>3743</v>
      </c>
      <c r="O366" s="9" t="s">
        <v>1563</v>
      </c>
      <c r="P366" s="9" t="s">
        <v>2363</v>
      </c>
      <c r="Q366" s="9" t="s">
        <v>77</v>
      </c>
      <c r="R366" s="9" t="s">
        <v>77</v>
      </c>
      <c r="S366" s="9" t="s">
        <v>1936</v>
      </c>
      <c r="T366" s="9" t="s">
        <v>1936</v>
      </c>
      <c r="U366" s="9" t="s">
        <v>1936</v>
      </c>
      <c r="V366" s="9" t="s">
        <v>93</v>
      </c>
      <c r="W366" s="9" t="s">
        <v>3564</v>
      </c>
      <c r="X366" s="9" t="s">
        <v>3253</v>
      </c>
      <c r="Y366" s="9"/>
      <c r="Z366" s="9"/>
      <c r="AA366" s="9" t="s">
        <v>3253</v>
      </c>
    </row>
    <row r="367" spans="1:27" x14ac:dyDescent="0.35">
      <c r="A367" s="4" t="str">
        <f>IF(Table5[[#This Row],[SM_Amount__c]]="25.0","FEE",IF(IF(Table5[[#This Row],[SM_Original_Type__c]]="",Table5[[#This Row],[SM_Type__c]],Table5[[#This Row],[SM_Original_Type__c]])="AC","AC","SUBS"))</f>
        <v>SUBS</v>
      </c>
      <c r="B367" s="27">
        <f>IF(INDEX(Contract[SM_AC_start_date__c],MATCH(Table5[[#This Row],[SM_Contract__c]],Contract[Id],0))=0,"",INDEX(Contract[SM_AC_start_date__c],MATCH(Table5[[#This Row],[SM_Contract__c]],Contract[Id],0)))</f>
        <v>46050</v>
      </c>
      <c r="C367" s="27">
        <f>IF(INDEX(Contract[SM_AC_Split_Date__c],MATCH(Table5[[#This Row],[SM_Contract__c]],Contract[Id],0))=0,"",INDEX(Contract[SM_AC_Split_Date__c],MATCH(Table5[[#This Row],[SM_Contract__c]],Contract[Id],0)))</f>
        <v>46081</v>
      </c>
      <c r="D367" s="27">
        <f>IF(INDEX(Contract[SM_Start_date__c],MATCH(Table5[[#This Row],[SM_Contract__c]],Contract[Id],0))=0,"",INDEX(Contract[SM_Start_date__c],MATCH(Table5[[#This Row],[SM_Contract__c]],Contract[Id],0)))</f>
        <v>46111</v>
      </c>
      <c r="E367" s="4">
        <f ca="1">(YEAR(TODAY())-YEAR(Table5[[#This Row],[RC DATE]]))*12 + MONTH(TODAY())-MONTH(Table5[[#This Row],[RC DATE]])</f>
        <v>4</v>
      </c>
      <c r="F36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7" s="19">
        <f>IF(Table5[[#This Row],[Payment_Status__c]]="ACCEPTED",1,"")</f>
        <v>1</v>
      </c>
      <c r="H367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7" s="19">
        <f ca="1">Table5[[#This Row],['# months]]-COUNTIFS(Table5[SM_Contract__c],Table5[[#This Row],[SM_Contract__c]],Table5[TYPE],"SUBS",Table5[ACCEPTED],1)</f>
        <v>2</v>
      </c>
      <c r="J367" s="19" t="b">
        <f>ISNUMBER(MATCH(Table5[[#This Row],[SM_Contract__c]],Contract[Id],0))</f>
        <v>1</v>
      </c>
      <c r="K367" s="9" t="s">
        <v>3461</v>
      </c>
      <c r="L367" s="9" t="s">
        <v>3462</v>
      </c>
      <c r="M367" s="9" t="s">
        <v>857</v>
      </c>
      <c r="N367" s="9" t="s">
        <v>3743</v>
      </c>
      <c r="O367" s="9" t="s">
        <v>1563</v>
      </c>
      <c r="P367" s="9" t="s">
        <v>2363</v>
      </c>
      <c r="Q367" s="9" t="s">
        <v>83</v>
      </c>
      <c r="R367" s="9" t="s">
        <v>76</v>
      </c>
      <c r="S367" s="9" t="s">
        <v>167</v>
      </c>
      <c r="T367" s="9" t="s">
        <v>167</v>
      </c>
      <c r="U367" s="9" t="s">
        <v>167</v>
      </c>
      <c r="V367" s="9" t="s">
        <v>93</v>
      </c>
      <c r="W367" s="9" t="s">
        <v>3565</v>
      </c>
      <c r="X367" s="9" t="s">
        <v>3463</v>
      </c>
      <c r="Y367" s="9"/>
      <c r="Z367" s="9"/>
      <c r="AA367" s="9" t="s">
        <v>3463</v>
      </c>
    </row>
    <row r="368" spans="1:27" x14ac:dyDescent="0.35">
      <c r="A368" s="4" t="str">
        <f>IF(Table5[[#This Row],[SM_Amount__c]]="25.0","FEE",IF(IF(Table5[[#This Row],[SM_Original_Type__c]]="",Table5[[#This Row],[SM_Type__c]],Table5[[#This Row],[SM_Original_Type__c]])="AC","AC","SUBS"))</f>
        <v>SUBS</v>
      </c>
      <c r="B368" s="27">
        <f>IF(INDEX(Contract[SM_AC_start_date__c],MATCH(Table5[[#This Row],[SM_Contract__c]],Contract[Id],0))=0,"",INDEX(Contract[SM_AC_start_date__c],MATCH(Table5[[#This Row],[SM_Contract__c]],Contract[Id],0)))</f>
        <v>46050</v>
      </c>
      <c r="C368" s="27">
        <f>IF(INDEX(Contract[SM_AC_Split_Date__c],MATCH(Table5[[#This Row],[SM_Contract__c]],Contract[Id],0))=0,"",INDEX(Contract[SM_AC_Split_Date__c],MATCH(Table5[[#This Row],[SM_Contract__c]],Contract[Id],0)))</f>
        <v>46081</v>
      </c>
      <c r="D368" s="27">
        <f>IF(INDEX(Contract[SM_Start_date__c],MATCH(Table5[[#This Row],[SM_Contract__c]],Contract[Id],0))=0,"",INDEX(Contract[SM_Start_date__c],MATCH(Table5[[#This Row],[SM_Contract__c]],Contract[Id],0)))</f>
        <v>46111</v>
      </c>
      <c r="E368" s="4">
        <f ca="1">(YEAR(TODAY())-YEAR(Table5[[#This Row],[RC DATE]]))*12 + MONTH(TODAY())-MONTH(Table5[[#This Row],[RC DATE]])</f>
        <v>4</v>
      </c>
      <c r="F36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8" s="19">
        <f>IF(Table5[[#This Row],[Payment_Status__c]]="ACCEPTED",1,"")</f>
        <v>1</v>
      </c>
      <c r="H368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8" s="19">
        <f ca="1">Table5[[#This Row],['# months]]-COUNTIFS(Table5[SM_Contract__c],Table5[[#This Row],[SM_Contract__c]],Table5[TYPE],"SUBS",Table5[ACCEPTED],1)</f>
        <v>2</v>
      </c>
      <c r="J368" s="19" t="b">
        <f>ISNUMBER(MATCH(Table5[[#This Row],[SM_Contract__c]],Contract[Id],0))</f>
        <v>1</v>
      </c>
      <c r="K368" s="9" t="s">
        <v>3464</v>
      </c>
      <c r="L368" s="9" t="s">
        <v>3465</v>
      </c>
      <c r="M368" s="9" t="s">
        <v>857</v>
      </c>
      <c r="N368" s="9" t="s">
        <v>3743</v>
      </c>
      <c r="O368" s="9" t="s">
        <v>1563</v>
      </c>
      <c r="P368" s="9" t="s">
        <v>2363</v>
      </c>
      <c r="Q368" s="9" t="s">
        <v>83</v>
      </c>
      <c r="R368" s="9" t="s">
        <v>76</v>
      </c>
      <c r="S368" s="9" t="s">
        <v>167</v>
      </c>
      <c r="T368" s="9" t="s">
        <v>167</v>
      </c>
      <c r="U368" s="9" t="s">
        <v>167</v>
      </c>
      <c r="V368" s="9" t="s">
        <v>93</v>
      </c>
      <c r="W368" s="9" t="s">
        <v>3566</v>
      </c>
      <c r="X368" s="9" t="s">
        <v>3466</v>
      </c>
      <c r="Y368" s="9"/>
      <c r="Z368" s="9"/>
      <c r="AA368" s="9" t="s">
        <v>3466</v>
      </c>
    </row>
    <row r="369" spans="1:27" x14ac:dyDescent="0.35">
      <c r="A369" s="4" t="str">
        <f>IF(Table5[[#This Row],[SM_Amount__c]]="25.0","FEE",IF(IF(Table5[[#This Row],[SM_Original_Type__c]]="",Table5[[#This Row],[SM_Type__c]],Table5[[#This Row],[SM_Original_Type__c]])="AC","AC","SUBS"))</f>
        <v>AC</v>
      </c>
      <c r="B369" s="27">
        <f>IF(INDEX(Contract[SM_AC_start_date__c],MATCH(Table5[[#This Row],[SM_Contract__c]],Contract[Id],0))=0,"",INDEX(Contract[SM_AC_start_date__c],MATCH(Table5[[#This Row],[SM_Contract__c]],Contract[Id],0)))</f>
        <v>46059</v>
      </c>
      <c r="C369" s="27" t="str">
        <f>IF(INDEX(Contract[SM_AC_Split_Date__c],MATCH(Table5[[#This Row],[SM_Contract__c]],Contract[Id],0))=0,"",INDEX(Contract[SM_AC_Split_Date__c],MATCH(Table5[[#This Row],[SM_Contract__c]],Contract[Id],0)))</f>
        <v/>
      </c>
      <c r="D369" s="27">
        <f>IF(INDEX(Contract[SM_Start_date__c],MATCH(Table5[[#This Row],[SM_Contract__c]],Contract[Id],0))=0,"",INDEX(Contract[SM_Start_date__c],MATCH(Table5[[#This Row],[SM_Contract__c]],Contract[Id],0)))</f>
        <v>46111</v>
      </c>
      <c r="E369" s="4">
        <f ca="1">(YEAR(TODAY())-YEAR(Table5[[#This Row],[RC DATE]]))*12 + MONTH(TODAY())-MONTH(Table5[[#This Row],[RC DATE]])</f>
        <v>4</v>
      </c>
      <c r="F36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69" s="19">
        <f>IF(Table5[[#This Row],[Payment_Status__c]]="ACCEPTED",1,"")</f>
        <v>1</v>
      </c>
      <c r="H36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69" s="19">
        <f ca="1">Table5[[#This Row],['# months]]-COUNTIFS(Table5[SM_Contract__c],Table5[[#This Row],[SM_Contract__c]],Table5[TYPE],"SUBS",Table5[ACCEPTED],1)</f>
        <v>2</v>
      </c>
      <c r="J369" s="19" t="b">
        <f>ISNUMBER(MATCH(Table5[[#This Row],[SM_Contract__c]],Contract[Id],0))</f>
        <v>1</v>
      </c>
      <c r="K369" s="9" t="s">
        <v>3468</v>
      </c>
      <c r="L369" s="9" t="s">
        <v>3469</v>
      </c>
      <c r="M369" s="9" t="s">
        <v>919</v>
      </c>
      <c r="N369" s="9" t="s">
        <v>3744</v>
      </c>
      <c r="O369" s="9" t="s">
        <v>1563</v>
      </c>
      <c r="P369" s="9" t="s">
        <v>2363</v>
      </c>
      <c r="Q369" s="9" t="s">
        <v>77</v>
      </c>
      <c r="R369" s="9" t="s">
        <v>77</v>
      </c>
      <c r="S369" s="9" t="s">
        <v>167</v>
      </c>
      <c r="T369" s="9" t="s">
        <v>167</v>
      </c>
      <c r="U369" s="9" t="s">
        <v>167</v>
      </c>
      <c r="V369" s="9" t="s">
        <v>93</v>
      </c>
      <c r="W369" s="9" t="s">
        <v>3632</v>
      </c>
      <c r="X369" s="9" t="s">
        <v>3467</v>
      </c>
      <c r="Y369" s="9"/>
      <c r="Z369" s="9"/>
      <c r="AA369" s="9" t="s">
        <v>3467</v>
      </c>
    </row>
    <row r="370" spans="1:27" x14ac:dyDescent="0.35">
      <c r="A370" s="4" t="str">
        <f>IF(Table5[[#This Row],[SM_Amount__c]]="25.0","FEE",IF(IF(Table5[[#This Row],[SM_Original_Type__c]]="",Table5[[#This Row],[SM_Type__c]],Table5[[#This Row],[SM_Original_Type__c]])="AC","AC","SUBS"))</f>
        <v>SUBS</v>
      </c>
      <c r="B370" s="27">
        <f>IF(INDEX(Contract[SM_AC_start_date__c],MATCH(Table5[[#This Row],[SM_Contract__c]],Contract[Id],0))=0,"",INDEX(Contract[SM_AC_start_date__c],MATCH(Table5[[#This Row],[SM_Contract__c]],Contract[Id],0)))</f>
        <v>46059</v>
      </c>
      <c r="C370" s="27" t="str">
        <f>IF(INDEX(Contract[SM_AC_Split_Date__c],MATCH(Table5[[#This Row],[SM_Contract__c]],Contract[Id],0))=0,"",INDEX(Contract[SM_AC_Split_Date__c],MATCH(Table5[[#This Row],[SM_Contract__c]],Contract[Id],0)))</f>
        <v/>
      </c>
      <c r="D370" s="27">
        <f>IF(INDEX(Contract[SM_Start_date__c],MATCH(Table5[[#This Row],[SM_Contract__c]],Contract[Id],0))=0,"",INDEX(Contract[SM_Start_date__c],MATCH(Table5[[#This Row],[SM_Contract__c]],Contract[Id],0)))</f>
        <v>46111</v>
      </c>
      <c r="E370" s="4">
        <f ca="1">(YEAR(TODAY())-YEAR(Table5[[#This Row],[RC DATE]]))*12 + MONTH(TODAY())-MONTH(Table5[[#This Row],[RC DATE]])</f>
        <v>4</v>
      </c>
      <c r="F37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70" s="19">
        <f>IF(Table5[[#This Row],[Payment_Status__c]]="ACCEPTED",1,"")</f>
        <v>1</v>
      </c>
      <c r="H37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70" s="19">
        <f ca="1">Table5[[#This Row],['# months]]-COUNTIFS(Table5[SM_Contract__c],Table5[[#This Row],[SM_Contract__c]],Table5[TYPE],"SUBS",Table5[ACCEPTED],1)</f>
        <v>2</v>
      </c>
      <c r="J370" s="19" t="b">
        <f>ISNUMBER(MATCH(Table5[[#This Row],[SM_Contract__c]],Contract[Id],0))</f>
        <v>1</v>
      </c>
      <c r="K370" s="9" t="s">
        <v>3470</v>
      </c>
      <c r="L370" s="9" t="s">
        <v>3471</v>
      </c>
      <c r="M370" s="9" t="s">
        <v>919</v>
      </c>
      <c r="N370" s="9" t="s">
        <v>3744</v>
      </c>
      <c r="O370" s="9" t="s">
        <v>1563</v>
      </c>
      <c r="P370" s="9" t="s">
        <v>2363</v>
      </c>
      <c r="Q370" s="9" t="s">
        <v>71</v>
      </c>
      <c r="R370" s="9" t="s">
        <v>83</v>
      </c>
      <c r="S370" s="9" t="s">
        <v>2220</v>
      </c>
      <c r="T370" s="9" t="s">
        <v>2220</v>
      </c>
      <c r="U370" s="9" t="s">
        <v>167</v>
      </c>
      <c r="V370" s="9" t="s">
        <v>148</v>
      </c>
      <c r="W370" s="9" t="s">
        <v>3655</v>
      </c>
      <c r="X370" s="9" t="s">
        <v>3330</v>
      </c>
      <c r="Y370" s="9"/>
      <c r="Z370" s="9" t="s">
        <v>1018</v>
      </c>
      <c r="AA370" s="9" t="s">
        <v>3330</v>
      </c>
    </row>
    <row r="371" spans="1:27" x14ac:dyDescent="0.35">
      <c r="A371" s="4" t="str">
        <f>IF(Table5[[#This Row],[SM_Amount__c]]="25.0","FEE",IF(IF(Table5[[#This Row],[SM_Original_Type__c]]="",Table5[[#This Row],[SM_Type__c]],Table5[[#This Row],[SM_Original_Type__c]])="AC","AC","SUBS"))</f>
        <v>SUBS</v>
      </c>
      <c r="B371" s="27">
        <f>IF(INDEX(Contract[SM_AC_start_date__c],MATCH(Table5[[#This Row],[SM_Contract__c]],Contract[Id],0))=0,"",INDEX(Contract[SM_AC_start_date__c],MATCH(Table5[[#This Row],[SM_Contract__c]],Contract[Id],0)))</f>
        <v>46059</v>
      </c>
      <c r="C371" s="27" t="str">
        <f>IF(INDEX(Contract[SM_AC_Split_Date__c],MATCH(Table5[[#This Row],[SM_Contract__c]],Contract[Id],0))=0,"",INDEX(Contract[SM_AC_Split_Date__c],MATCH(Table5[[#This Row],[SM_Contract__c]],Contract[Id],0)))</f>
        <v/>
      </c>
      <c r="D371" s="27">
        <f>IF(INDEX(Contract[SM_Start_date__c],MATCH(Table5[[#This Row],[SM_Contract__c]],Contract[Id],0))=0,"",INDEX(Contract[SM_Start_date__c],MATCH(Table5[[#This Row],[SM_Contract__c]],Contract[Id],0)))</f>
        <v>46111</v>
      </c>
      <c r="E371" s="4">
        <f ca="1">(YEAR(TODAY())-YEAR(Table5[[#This Row],[RC DATE]]))*12 + MONTH(TODAY())-MONTH(Table5[[#This Row],[RC DATE]])</f>
        <v>4</v>
      </c>
      <c r="F37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46172</v>
      </c>
      <c r="G371" s="19">
        <f>IF(Table5[[#This Row],[Payment_Status__c]]="ACCEPTED",1,"")</f>
        <v>1</v>
      </c>
      <c r="H37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2</v>
      </c>
      <c r="I371" s="19">
        <f ca="1">Table5[[#This Row],['# months]]-COUNTIFS(Table5[SM_Contract__c],Table5[[#This Row],[SM_Contract__c]],Table5[TYPE],"SUBS",Table5[ACCEPTED],1)</f>
        <v>2</v>
      </c>
      <c r="J371" s="19" t="b">
        <f>ISNUMBER(MATCH(Table5[[#This Row],[SM_Contract__c]],Contract[Id],0))</f>
        <v>1</v>
      </c>
      <c r="K371" s="9" t="s">
        <v>3472</v>
      </c>
      <c r="L371" s="9" t="s">
        <v>3473</v>
      </c>
      <c r="M371" s="9" t="s">
        <v>919</v>
      </c>
      <c r="N371" s="9" t="s">
        <v>3744</v>
      </c>
      <c r="O371" s="9" t="s">
        <v>1563</v>
      </c>
      <c r="P371" s="9" t="s">
        <v>2363</v>
      </c>
      <c r="Q371" s="9" t="s">
        <v>71</v>
      </c>
      <c r="R371" s="9" t="s">
        <v>83</v>
      </c>
      <c r="S371" s="9" t="s">
        <v>2220</v>
      </c>
      <c r="T371" s="9" t="s">
        <v>2220</v>
      </c>
      <c r="U371" s="9" t="s">
        <v>167</v>
      </c>
      <c r="V371" s="9" t="s">
        <v>148</v>
      </c>
      <c r="W371" s="9" t="s">
        <v>3659</v>
      </c>
      <c r="X371" s="9" t="s">
        <v>3474</v>
      </c>
      <c r="Y371" s="9"/>
      <c r="Z371" s="9" t="s">
        <v>1323</v>
      </c>
      <c r="AA371" s="9" t="s">
        <v>3474</v>
      </c>
    </row>
    <row r="372" spans="1:27" x14ac:dyDescent="0.35">
      <c r="A372" s="4" t="str">
        <f>IF(Table5[[#This Row],[SM_Amount__c]]="25.0","FEE",IF(IF(Table5[[#This Row],[SM_Original_Type__c]]="",Table5[[#This Row],[SM_Type__c]],Table5[[#This Row],[SM_Original_Type__c]])="AC","AC","SUBS"))</f>
        <v>AC</v>
      </c>
      <c r="B372" s="27">
        <f>IF(INDEX(Contract[SM_AC_start_date__c],MATCH(Table5[[#This Row],[SM_Contract__c]],Contract[Id],0))=0,"",INDEX(Contract[SM_AC_start_date__c],MATCH(Table5[[#This Row],[SM_Contract__c]],Contract[Id],0)))</f>
        <v>46073</v>
      </c>
      <c r="C372" s="27" t="str">
        <f>IF(INDEX(Contract[SM_AC_Split_Date__c],MATCH(Table5[[#This Row],[SM_Contract__c]],Contract[Id],0))=0,"",INDEX(Contract[SM_AC_Split_Date__c],MATCH(Table5[[#This Row],[SM_Contract__c]],Contract[Id],0)))</f>
        <v/>
      </c>
      <c r="D372" s="27">
        <f>IF(INDEX(Contract[SM_Start_date__c],MATCH(Table5[[#This Row],[SM_Contract__c]],Contract[Id],0))=0,"",INDEX(Contract[SM_Start_date__c],MATCH(Table5[[#This Row],[SM_Contract__c]],Contract[Id],0)))</f>
        <v>46091</v>
      </c>
      <c r="E372" s="4">
        <f ca="1">(YEAR(TODAY())-YEAR(Table5[[#This Row],[RC DATE]]))*12 + MONTH(TODAY())-MONTH(Table5[[#This Row],[RC DATE]])</f>
        <v>4</v>
      </c>
      <c r="F37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46183</v>
      </c>
      <c r="G372" s="19">
        <f>IF(Table5[[#This Row],[Payment_Status__c]]="ACCEPTED",1,"")</f>
        <v>1</v>
      </c>
      <c r="H372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72" s="19">
        <f ca="1">Table5[[#This Row],['# months]]-COUNTIFS(Table5[SM_Contract__c],Table5[[#This Row],[SM_Contract__c]],Table5[TYPE],"SUBS",Table5[ACCEPTED],1)</f>
        <v>1</v>
      </c>
      <c r="J372" s="19" t="b">
        <f>ISNUMBER(MATCH(Table5[[#This Row],[SM_Contract__c]],Contract[Id],0))</f>
        <v>1</v>
      </c>
      <c r="K372" s="9" t="s">
        <v>3476</v>
      </c>
      <c r="L372" s="9" t="s">
        <v>3477</v>
      </c>
      <c r="M372" s="9" t="s">
        <v>951</v>
      </c>
      <c r="N372" s="9" t="s">
        <v>3745</v>
      </c>
      <c r="O372" s="9" t="s">
        <v>1563</v>
      </c>
      <c r="P372" s="9" t="s">
        <v>2363</v>
      </c>
      <c r="Q372" s="9" t="s">
        <v>71</v>
      </c>
      <c r="R372" s="9" t="s">
        <v>77</v>
      </c>
      <c r="S372" s="9" t="s">
        <v>2269</v>
      </c>
      <c r="T372" s="9" t="s">
        <v>2269</v>
      </c>
      <c r="U372" s="9" t="s">
        <v>2269</v>
      </c>
      <c r="V372" s="9" t="s">
        <v>93</v>
      </c>
      <c r="W372" s="9" t="s">
        <v>3642</v>
      </c>
      <c r="X372" s="9" t="s">
        <v>3478</v>
      </c>
      <c r="Y372" s="9"/>
      <c r="Z372" s="9" t="s">
        <v>956</v>
      </c>
      <c r="AA372" s="9" t="s">
        <v>3478</v>
      </c>
    </row>
    <row r="373" spans="1:27" x14ac:dyDescent="0.35">
      <c r="A373" s="4" t="str">
        <f>IF(Table5[[#This Row],[SM_Amount__c]]="25.0","FEE",IF(IF(Table5[[#This Row],[SM_Original_Type__c]]="",Table5[[#This Row],[SM_Type__c]],Table5[[#This Row],[SM_Original_Type__c]])="AC","AC","SUBS"))</f>
        <v>SUBS</v>
      </c>
      <c r="B373" s="27">
        <f>IF(INDEX(Contract[SM_AC_start_date__c],MATCH(Table5[[#This Row],[SM_Contract__c]],Contract[Id],0))=0,"",INDEX(Contract[SM_AC_start_date__c],MATCH(Table5[[#This Row],[SM_Contract__c]],Contract[Id],0)))</f>
        <v>46073</v>
      </c>
      <c r="C373" s="27" t="str">
        <f>IF(INDEX(Contract[SM_AC_Split_Date__c],MATCH(Table5[[#This Row],[SM_Contract__c]],Contract[Id],0))=0,"",INDEX(Contract[SM_AC_Split_Date__c],MATCH(Table5[[#This Row],[SM_Contract__c]],Contract[Id],0)))</f>
        <v/>
      </c>
      <c r="D373" s="27">
        <f>IF(INDEX(Contract[SM_Start_date__c],MATCH(Table5[[#This Row],[SM_Contract__c]],Contract[Id],0))=0,"",INDEX(Contract[SM_Start_date__c],MATCH(Table5[[#This Row],[SM_Contract__c]],Contract[Id],0)))</f>
        <v>46091</v>
      </c>
      <c r="E373" s="4">
        <f ca="1">(YEAR(TODAY())-YEAR(Table5[[#This Row],[RC DATE]]))*12 + MONTH(TODAY())-MONTH(Table5[[#This Row],[RC DATE]])</f>
        <v>4</v>
      </c>
      <c r="F37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46183</v>
      </c>
      <c r="G373" s="19">
        <f>IF(Table5[[#This Row],[Payment_Status__c]]="ACCEPTED",1,"")</f>
        <v>1</v>
      </c>
      <c r="H373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73" s="19">
        <f ca="1">Table5[[#This Row],['# months]]-COUNTIFS(Table5[SM_Contract__c],Table5[[#This Row],[SM_Contract__c]],Table5[TYPE],"SUBS",Table5[ACCEPTED],1)</f>
        <v>1</v>
      </c>
      <c r="J373" s="19" t="b">
        <f>ISNUMBER(MATCH(Table5[[#This Row],[SM_Contract__c]],Contract[Id],0))</f>
        <v>1</v>
      </c>
      <c r="K373" s="9" t="s">
        <v>3479</v>
      </c>
      <c r="L373" s="9" t="s">
        <v>3480</v>
      </c>
      <c r="M373" s="9" t="s">
        <v>951</v>
      </c>
      <c r="N373" s="9" t="s">
        <v>3745</v>
      </c>
      <c r="O373" s="9" t="s">
        <v>1563</v>
      </c>
      <c r="P373" s="9" t="s">
        <v>2363</v>
      </c>
      <c r="Q373" s="9" t="s">
        <v>83</v>
      </c>
      <c r="R373" s="9" t="s">
        <v>76</v>
      </c>
      <c r="S373" s="9" t="s">
        <v>91</v>
      </c>
      <c r="T373" s="9" t="s">
        <v>91</v>
      </c>
      <c r="U373" s="9" t="s">
        <v>91</v>
      </c>
      <c r="V373" s="9" t="s">
        <v>93</v>
      </c>
      <c r="W373" s="9" t="s">
        <v>3684</v>
      </c>
      <c r="X373" s="9" t="s">
        <v>3475</v>
      </c>
      <c r="Y373" s="9"/>
      <c r="Z373" s="9"/>
      <c r="AA373" s="9" t="s">
        <v>3475</v>
      </c>
    </row>
    <row r="374" spans="1:27" x14ac:dyDescent="0.35">
      <c r="A374" s="4" t="str">
        <f>IF(Table5[[#This Row],[SM_Amount__c]]="25.0","FEE",IF(IF(Table5[[#This Row],[SM_Original_Type__c]]="",Table5[[#This Row],[SM_Type__c]],Table5[[#This Row],[SM_Original_Type__c]])="AC","AC","SUBS"))</f>
        <v>SUBS</v>
      </c>
      <c r="B374" s="27">
        <f>IF(INDEX(Contract[SM_AC_start_date__c],MATCH(Table5[[#This Row],[SM_Contract__c]],Contract[Id],0))=0,"",INDEX(Contract[SM_AC_start_date__c],MATCH(Table5[[#This Row],[SM_Contract__c]],Contract[Id],0)))</f>
        <v>46073</v>
      </c>
      <c r="C374" s="27" t="str">
        <f>IF(INDEX(Contract[SM_AC_Split_Date__c],MATCH(Table5[[#This Row],[SM_Contract__c]],Contract[Id],0))=0,"",INDEX(Contract[SM_AC_Split_Date__c],MATCH(Table5[[#This Row],[SM_Contract__c]],Contract[Id],0)))</f>
        <v/>
      </c>
      <c r="D374" s="27">
        <f>IF(INDEX(Contract[SM_Start_date__c],MATCH(Table5[[#This Row],[SM_Contract__c]],Contract[Id],0))=0,"",INDEX(Contract[SM_Start_date__c],MATCH(Table5[[#This Row],[SM_Contract__c]],Contract[Id],0)))</f>
        <v>46091</v>
      </c>
      <c r="E374" s="4">
        <f ca="1">(YEAR(TODAY())-YEAR(Table5[[#This Row],[RC DATE]]))*12 + MONTH(TODAY())-MONTH(Table5[[#This Row],[RC DATE]])</f>
        <v>4</v>
      </c>
      <c r="F37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46183</v>
      </c>
      <c r="G374" s="19">
        <f>IF(Table5[[#This Row],[Payment_Status__c]]="ACCEPTED",1,"")</f>
        <v>1</v>
      </c>
      <c r="H374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74" s="19">
        <f ca="1">Table5[[#This Row],['# months]]-COUNTIFS(Table5[SM_Contract__c],Table5[[#This Row],[SM_Contract__c]],Table5[TYPE],"SUBS",Table5[ACCEPTED],1)</f>
        <v>1</v>
      </c>
      <c r="J374" s="19" t="b">
        <f>ISNUMBER(MATCH(Table5[[#This Row],[SM_Contract__c]],Contract[Id],0))</f>
        <v>1</v>
      </c>
      <c r="K374" s="9" t="s">
        <v>3481</v>
      </c>
      <c r="L374" s="9" t="s">
        <v>3482</v>
      </c>
      <c r="M374" s="9" t="s">
        <v>951</v>
      </c>
      <c r="N374" s="9" t="s">
        <v>3745</v>
      </c>
      <c r="O374" s="9" t="s">
        <v>1563</v>
      </c>
      <c r="P374" s="9" t="s">
        <v>2363</v>
      </c>
      <c r="Q374" s="9" t="s">
        <v>83</v>
      </c>
      <c r="R374" s="9" t="s">
        <v>76</v>
      </c>
      <c r="S374" s="9" t="s">
        <v>91</v>
      </c>
      <c r="T374" s="9" t="s">
        <v>91</v>
      </c>
      <c r="U374" s="9" t="s">
        <v>91</v>
      </c>
      <c r="V374" s="9" t="s">
        <v>93</v>
      </c>
      <c r="W374" s="9" t="s">
        <v>3663</v>
      </c>
      <c r="X374" s="9" t="s">
        <v>3483</v>
      </c>
      <c r="Y374" s="9"/>
      <c r="Z374" s="9"/>
      <c r="AA374" s="9" t="s">
        <v>3483</v>
      </c>
    </row>
    <row r="375" spans="1:27" x14ac:dyDescent="0.35">
      <c r="A375" s="4" t="str">
        <f>IF(Table5[[#This Row],[SM_Amount__c]]="25.0","FEE",IF(IF(Table5[[#This Row],[SM_Original_Type__c]]="",Table5[[#This Row],[SM_Type__c]],Table5[[#This Row],[SM_Original_Type__c]])="AC","AC","SUBS"))</f>
        <v>SUBS</v>
      </c>
      <c r="B375" s="27">
        <f>IF(INDEX(Contract[SM_AC_start_date__c],MATCH(Table5[[#This Row],[SM_Contract__c]],Contract[Id],0))=0,"",INDEX(Contract[SM_AC_start_date__c],MATCH(Table5[[#This Row],[SM_Contract__c]],Contract[Id],0)))</f>
        <v>46073</v>
      </c>
      <c r="C375" s="27" t="str">
        <f>IF(INDEX(Contract[SM_AC_Split_Date__c],MATCH(Table5[[#This Row],[SM_Contract__c]],Contract[Id],0))=0,"",INDEX(Contract[SM_AC_Split_Date__c],MATCH(Table5[[#This Row],[SM_Contract__c]],Contract[Id],0)))</f>
        <v/>
      </c>
      <c r="D375" s="27">
        <f>IF(INDEX(Contract[SM_Start_date__c],MATCH(Table5[[#This Row],[SM_Contract__c]],Contract[Id],0))=0,"",INDEX(Contract[SM_Start_date__c],MATCH(Table5[[#This Row],[SM_Contract__c]],Contract[Id],0)))</f>
        <v>46091</v>
      </c>
      <c r="E375" s="4">
        <f ca="1">(YEAR(TODAY())-YEAR(Table5[[#This Row],[RC DATE]]))*12 + MONTH(TODAY())-MONTH(Table5[[#This Row],[RC DATE]])</f>
        <v>4</v>
      </c>
      <c r="F37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46183</v>
      </c>
      <c r="G375" s="19">
        <f>IF(Table5[[#This Row],[Payment_Status__c]]="ACCEPTED",1,"")</f>
        <v>1</v>
      </c>
      <c r="H375" s="27" t="str">
        <f ca="1">IF(Table5[[#This Row],['#]]&lt;0,"DE MAS "&amp;Table5[[#This Row],['#]]*-1,IF(Table5[[#This Row],['#]]=0,"AL DIA",IF(Table5[[#This Row],['#]]&lt;Table5[[#This Row],['# months]],"DEBE "&amp;Table5[[#This Row],['#]],"AL DIA")))</f>
        <v>DEBE 1</v>
      </c>
      <c r="I375" s="19">
        <f ca="1">Table5[[#This Row],['# months]]-COUNTIFS(Table5[SM_Contract__c],Table5[[#This Row],[SM_Contract__c]],Table5[TYPE],"SUBS",Table5[ACCEPTED],1)</f>
        <v>1</v>
      </c>
      <c r="J375" s="19" t="b">
        <f>ISNUMBER(MATCH(Table5[[#This Row],[SM_Contract__c]],Contract[Id],0))</f>
        <v>1</v>
      </c>
      <c r="K375" s="9" t="s">
        <v>3484</v>
      </c>
      <c r="L375" s="9" t="s">
        <v>3485</v>
      </c>
      <c r="M375" s="9" t="s">
        <v>951</v>
      </c>
      <c r="N375" s="9" t="s">
        <v>3745</v>
      </c>
      <c r="O375" s="9" t="s">
        <v>1563</v>
      </c>
      <c r="P375" s="9" t="s">
        <v>2363</v>
      </c>
      <c r="Q375" s="9" t="s">
        <v>71</v>
      </c>
      <c r="R375" s="9" t="s">
        <v>83</v>
      </c>
      <c r="S375" s="9" t="s">
        <v>2087</v>
      </c>
      <c r="T375" s="9" t="s">
        <v>2087</v>
      </c>
      <c r="U375" s="9" t="s">
        <v>91</v>
      </c>
      <c r="V375" s="9" t="s">
        <v>148</v>
      </c>
      <c r="W375" s="9" t="s">
        <v>3666</v>
      </c>
      <c r="X375" s="9" t="s">
        <v>3404</v>
      </c>
      <c r="Y375" s="9"/>
      <c r="Z375" s="9" t="s">
        <v>1170</v>
      </c>
      <c r="AA375" s="9" t="s">
        <v>3404</v>
      </c>
    </row>
    <row r="376" spans="1:27" x14ac:dyDescent="0.35">
      <c r="A376" s="4" t="str">
        <f>IF(Table5[[#This Row],[SM_Amount__c]]="25.0","FEE",IF(IF(Table5[[#This Row],[SM_Original_Type__c]]="",Table5[[#This Row],[SM_Type__c]],Table5[[#This Row],[SM_Original_Type__c]])="AC","AC","SUBS"))</f>
        <v>AC</v>
      </c>
      <c r="B376" s="27">
        <f>IF(INDEX(Contract[SM_AC_start_date__c],MATCH(Table5[[#This Row],[SM_Contract__c]],Contract[Id],0))=0,"",INDEX(Contract[SM_AC_start_date__c],MATCH(Table5[[#This Row],[SM_Contract__c]],Contract[Id],0)))</f>
        <v>46160</v>
      </c>
      <c r="C376" s="27" t="str">
        <f>IF(INDEX(Contract[SM_AC_Split_Date__c],MATCH(Table5[[#This Row],[SM_Contract__c]],Contract[Id],0))=0,"",INDEX(Contract[SM_AC_Split_Date__c],MATCH(Table5[[#This Row],[SM_Contract__c]],Contract[Id],0)))</f>
        <v/>
      </c>
      <c r="D376" s="27">
        <f>IF(INDEX(Contract[SM_Start_date__c],MATCH(Table5[[#This Row],[SM_Contract__c]],Contract[Id],0))=0,"",INDEX(Contract[SM_Start_date__c],MATCH(Table5[[#This Row],[SM_Contract__c]],Contract[Id],0)))</f>
        <v>46188</v>
      </c>
      <c r="E376" s="4">
        <f ca="1">(YEAR(TODAY())-YEAR(Table5[[#This Row],[RC DATE]]))*12 + MONTH(TODAY())-MONTH(Table5[[#This Row],[RC DATE]])</f>
        <v>1</v>
      </c>
      <c r="F37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46218</v>
      </c>
      <c r="G376" s="19">
        <f>IF(Table5[[#This Row],[Payment_Status__c]]="ACCEPTED",1,"")</f>
        <v>1</v>
      </c>
      <c r="H376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76" s="19">
        <f ca="1">Table5[[#This Row],['# months]]-COUNTIFS(Table5[SM_Contract__c],Table5[[#This Row],[SM_Contract__c]],Table5[TYPE],"SUBS",Table5[ACCEPTED],1)</f>
        <v>0</v>
      </c>
      <c r="J376" s="19" t="b">
        <f>ISNUMBER(MATCH(Table5[[#This Row],[SM_Contract__c]],Contract[Id],0))</f>
        <v>1</v>
      </c>
      <c r="K376" s="9" t="s">
        <v>3486</v>
      </c>
      <c r="L376" s="9" t="s">
        <v>3487</v>
      </c>
      <c r="M376" s="9" t="s">
        <v>1315</v>
      </c>
      <c r="N376" s="9" t="s">
        <v>3746</v>
      </c>
      <c r="O376" s="9" t="s">
        <v>1563</v>
      </c>
      <c r="P376" s="9" t="s">
        <v>2363</v>
      </c>
      <c r="Q376" s="9" t="s">
        <v>77</v>
      </c>
      <c r="R376" s="9" t="s">
        <v>77</v>
      </c>
      <c r="S376" s="9" t="s">
        <v>167</v>
      </c>
      <c r="T376" s="9" t="s">
        <v>167</v>
      </c>
      <c r="U376" s="9" t="s">
        <v>167</v>
      </c>
      <c r="V376" s="9" t="s">
        <v>93</v>
      </c>
      <c r="W376" s="9" t="s">
        <v>3690</v>
      </c>
      <c r="X376" s="9" t="s">
        <v>3488</v>
      </c>
      <c r="Y376" s="9"/>
      <c r="Z376" s="9"/>
      <c r="AA376" s="9" t="s">
        <v>3489</v>
      </c>
    </row>
    <row r="377" spans="1:27" x14ac:dyDescent="0.35">
      <c r="A377" s="4" t="str">
        <f>IF(Table5[[#This Row],[SM_Amount__c]]="25.0","FEE",IF(IF(Table5[[#This Row],[SM_Original_Type__c]]="",Table5[[#This Row],[SM_Type__c]],Table5[[#This Row],[SM_Original_Type__c]])="AC","AC","SUBS"))</f>
        <v>SUBS</v>
      </c>
      <c r="B377" s="27">
        <f>IF(INDEX(Contract[SM_AC_start_date__c],MATCH(Table5[[#This Row],[SM_Contract__c]],Contract[Id],0))=0,"",INDEX(Contract[SM_AC_start_date__c],MATCH(Table5[[#This Row],[SM_Contract__c]],Contract[Id],0)))</f>
        <v>46160</v>
      </c>
      <c r="C377" s="27" t="str">
        <f>IF(INDEX(Contract[SM_AC_Split_Date__c],MATCH(Table5[[#This Row],[SM_Contract__c]],Contract[Id],0))=0,"",INDEX(Contract[SM_AC_Split_Date__c],MATCH(Table5[[#This Row],[SM_Contract__c]],Contract[Id],0)))</f>
        <v/>
      </c>
      <c r="D377" s="27">
        <f>IF(INDEX(Contract[SM_Start_date__c],MATCH(Table5[[#This Row],[SM_Contract__c]],Contract[Id],0))=0,"",INDEX(Contract[SM_Start_date__c],MATCH(Table5[[#This Row],[SM_Contract__c]],Contract[Id],0)))</f>
        <v>46188</v>
      </c>
      <c r="E377" s="4">
        <f ca="1">(YEAR(TODAY())-YEAR(Table5[[#This Row],[RC DATE]]))*12 + MONTH(TODAY())-MONTH(Table5[[#This Row],[RC DATE]])</f>
        <v>1</v>
      </c>
      <c r="F377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46218</v>
      </c>
      <c r="G377" s="19">
        <f>IF(Table5[[#This Row],[Payment_Status__c]]="ACCEPTED",1,"")</f>
        <v>1</v>
      </c>
      <c r="H377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77" s="19">
        <f ca="1">Table5[[#This Row],['# months]]-COUNTIFS(Table5[SM_Contract__c],Table5[[#This Row],[SM_Contract__c]],Table5[TYPE],"SUBS",Table5[ACCEPTED],1)</f>
        <v>0</v>
      </c>
      <c r="J377" s="19" t="b">
        <f>ISNUMBER(MATCH(Table5[[#This Row],[SM_Contract__c]],Contract[Id],0))</f>
        <v>1</v>
      </c>
      <c r="K377" s="9" t="s">
        <v>3490</v>
      </c>
      <c r="L377" s="9" t="s">
        <v>3491</v>
      </c>
      <c r="M377" s="9" t="s">
        <v>1315</v>
      </c>
      <c r="N377" s="9" t="s">
        <v>3746</v>
      </c>
      <c r="O377" s="9" t="s">
        <v>1563</v>
      </c>
      <c r="P377" s="9" t="s">
        <v>2363</v>
      </c>
      <c r="Q377" s="9" t="s">
        <v>83</v>
      </c>
      <c r="R377" s="9" t="s">
        <v>76</v>
      </c>
      <c r="S377" s="9" t="s">
        <v>167</v>
      </c>
      <c r="T377" s="9" t="s">
        <v>167</v>
      </c>
      <c r="U377" s="9" t="s">
        <v>167</v>
      </c>
      <c r="V377" s="9" t="s">
        <v>93</v>
      </c>
      <c r="W377" s="9" t="s">
        <v>3586</v>
      </c>
      <c r="X377" s="9" t="s">
        <v>3492</v>
      </c>
      <c r="Y377" s="9"/>
      <c r="Z377" s="9"/>
      <c r="AA377" s="9" t="s">
        <v>3492</v>
      </c>
    </row>
    <row r="378" spans="1:27" x14ac:dyDescent="0.35">
      <c r="A378" s="4" t="str">
        <f>IF(Table5[[#This Row],[SM_Amount__c]]="25.0","FEE",IF(IF(Table5[[#This Row],[SM_Original_Type__c]]="",Table5[[#This Row],[SM_Type__c]],Table5[[#This Row],[SM_Original_Type__c]])="AC","AC","SUBS"))</f>
        <v>AC</v>
      </c>
      <c r="B378" s="27">
        <f>IF(INDEX(Contract[SM_AC_start_date__c],MATCH(Table5[[#This Row],[SM_Contract__c]],Contract[Id],0))=0,"",INDEX(Contract[SM_AC_start_date__c],MATCH(Table5[[#This Row],[SM_Contract__c]],Contract[Id],0)))</f>
        <v>46171</v>
      </c>
      <c r="C378" s="27" t="str">
        <f>IF(INDEX(Contract[SM_AC_Split_Date__c],MATCH(Table5[[#This Row],[SM_Contract__c]],Contract[Id],0))=0,"",INDEX(Contract[SM_AC_Split_Date__c],MATCH(Table5[[#This Row],[SM_Contract__c]],Contract[Id],0)))</f>
        <v/>
      </c>
      <c r="D378" s="27">
        <f>IF(INDEX(Contract[SM_Start_date__c],MATCH(Table5[[#This Row],[SM_Contract__c]],Contract[Id],0))=0,"",INDEX(Contract[SM_Start_date__c],MATCH(Table5[[#This Row],[SM_Contract__c]],Contract[Id],0)))</f>
        <v>46202</v>
      </c>
      <c r="E378" s="4">
        <f ca="1">(YEAR(TODAY())-YEAR(Table5[[#This Row],[RC DATE]]))*12 + MONTH(TODAY())-MONTH(Table5[[#This Row],[RC DATE]])</f>
        <v>1</v>
      </c>
      <c r="F378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46202</v>
      </c>
      <c r="G378" s="19">
        <f>IF(Table5[[#This Row],[Payment_Status__c]]="ACCEPTED",1,"")</f>
        <v>1</v>
      </c>
      <c r="H378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78" s="19">
        <f ca="1">Table5[[#This Row],['# months]]-COUNTIFS(Table5[SM_Contract__c],Table5[[#This Row],[SM_Contract__c]],Table5[TYPE],"SUBS",Table5[ACCEPTED],1)</f>
        <v>1</v>
      </c>
      <c r="J378" s="19" t="b">
        <f>ISNUMBER(MATCH(Table5[[#This Row],[SM_Contract__c]],Contract[Id],0))</f>
        <v>1</v>
      </c>
      <c r="K378" s="9" t="s">
        <v>3493</v>
      </c>
      <c r="L378" s="9" t="s">
        <v>3494</v>
      </c>
      <c r="M378" s="9" t="s">
        <v>1177</v>
      </c>
      <c r="N378" s="9" t="s">
        <v>3747</v>
      </c>
      <c r="O378" s="9" t="s">
        <v>1563</v>
      </c>
      <c r="P378" s="9" t="s">
        <v>2363</v>
      </c>
      <c r="Q378" s="9" t="s">
        <v>77</v>
      </c>
      <c r="R378" s="9" t="s">
        <v>77</v>
      </c>
      <c r="S378" s="9" t="s">
        <v>167</v>
      </c>
      <c r="T378" s="9" t="s">
        <v>167</v>
      </c>
      <c r="U378" s="9" t="s">
        <v>167</v>
      </c>
      <c r="V378" s="9" t="s">
        <v>93</v>
      </c>
      <c r="W378" s="9" t="s">
        <v>3567</v>
      </c>
      <c r="X378" s="9" t="s">
        <v>3495</v>
      </c>
      <c r="Y378" s="9"/>
      <c r="Z378" s="9"/>
      <c r="AA378" s="9" t="s">
        <v>3495</v>
      </c>
    </row>
    <row r="379" spans="1:27" x14ac:dyDescent="0.35">
      <c r="A379" s="4" t="str">
        <f>IF(Table5[[#This Row],[SM_Amount__c]]="25.0","FEE",IF(IF(Table5[[#This Row],[SM_Original_Type__c]]="",Table5[[#This Row],[SM_Type__c]],Table5[[#This Row],[SM_Original_Type__c]])="AC","AC","SUBS"))</f>
        <v>AC</v>
      </c>
      <c r="B379" s="27">
        <f>IF(INDEX(Contract[SM_AC_start_date__c],MATCH(Table5[[#This Row],[SM_Contract__c]],Contract[Id],0))=0,"",INDEX(Contract[SM_AC_start_date__c],MATCH(Table5[[#This Row],[SM_Contract__c]],Contract[Id],0)))</f>
        <v>46171</v>
      </c>
      <c r="C379" s="27" t="str">
        <f>IF(INDEX(Contract[SM_AC_Split_Date__c],MATCH(Table5[[#This Row],[SM_Contract__c]],Contract[Id],0))=0,"",INDEX(Contract[SM_AC_Split_Date__c],MATCH(Table5[[#This Row],[SM_Contract__c]],Contract[Id],0)))</f>
        <v/>
      </c>
      <c r="D379" s="27">
        <f>IF(INDEX(Contract[SM_Start_date__c],MATCH(Table5[[#This Row],[SM_Contract__c]],Contract[Id],0))=0,"",INDEX(Contract[SM_Start_date__c],MATCH(Table5[[#This Row],[SM_Contract__c]],Contract[Id],0)))</f>
        <v>46178</v>
      </c>
      <c r="E379" s="4">
        <f ca="1">(YEAR(TODAY())-YEAR(Table5[[#This Row],[RC DATE]]))*12 + MONTH(TODAY())-MONTH(Table5[[#This Row],[RC DATE]])</f>
        <v>1</v>
      </c>
      <c r="F379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46239</v>
      </c>
      <c r="G379" s="19">
        <f>IF(Table5[[#This Row],[Payment_Status__c]]="ACCEPTED",1,"")</f>
        <v>1</v>
      </c>
      <c r="H379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379" s="19">
        <f ca="1">Table5[[#This Row],['# months]]-COUNTIFS(Table5[SM_Contract__c],Table5[[#This Row],[SM_Contract__c]],Table5[TYPE],"SUBS",Table5[ACCEPTED],1)</f>
        <v>-1</v>
      </c>
      <c r="J379" s="19" t="b">
        <f>ISNUMBER(MATCH(Table5[[#This Row],[SM_Contract__c]],Contract[Id],0))</f>
        <v>1</v>
      </c>
      <c r="K379" s="9" t="s">
        <v>3496</v>
      </c>
      <c r="L379" s="9" t="s">
        <v>3497</v>
      </c>
      <c r="M379" s="9" t="s">
        <v>1185</v>
      </c>
      <c r="N379" s="9" t="s">
        <v>3748</v>
      </c>
      <c r="O379" s="9" t="s">
        <v>1563</v>
      </c>
      <c r="P379" s="9" t="s">
        <v>2363</v>
      </c>
      <c r="Q379" s="9" t="s">
        <v>71</v>
      </c>
      <c r="R379" s="9" t="s">
        <v>77</v>
      </c>
      <c r="S379" s="9" t="s">
        <v>167</v>
      </c>
      <c r="T379" s="9" t="s">
        <v>167</v>
      </c>
      <c r="U379" s="9" t="s">
        <v>167</v>
      </c>
      <c r="V379" s="9" t="s">
        <v>93</v>
      </c>
      <c r="W379" s="9" t="s">
        <v>3608</v>
      </c>
      <c r="X379" s="9" t="s">
        <v>3498</v>
      </c>
      <c r="Y379" s="9"/>
      <c r="Z379" s="9" t="s">
        <v>1284</v>
      </c>
      <c r="AA379" s="9" t="s">
        <v>3498</v>
      </c>
    </row>
    <row r="380" spans="1:27" x14ac:dyDescent="0.35">
      <c r="A380" s="4" t="str">
        <f>IF(Table5[[#This Row],[SM_Amount__c]]="25.0","FEE",IF(IF(Table5[[#This Row],[SM_Original_Type__c]]="",Table5[[#This Row],[SM_Type__c]],Table5[[#This Row],[SM_Original_Type__c]])="AC","AC","SUBS"))</f>
        <v>SUBS</v>
      </c>
      <c r="B380" s="27">
        <f>IF(INDEX(Contract[SM_AC_start_date__c],MATCH(Table5[[#This Row],[SM_Contract__c]],Contract[Id],0))=0,"",INDEX(Contract[SM_AC_start_date__c],MATCH(Table5[[#This Row],[SM_Contract__c]],Contract[Id],0)))</f>
        <v>46171</v>
      </c>
      <c r="C380" s="27" t="str">
        <f>IF(INDEX(Contract[SM_AC_Split_Date__c],MATCH(Table5[[#This Row],[SM_Contract__c]],Contract[Id],0))=0,"",INDEX(Contract[SM_AC_Split_Date__c],MATCH(Table5[[#This Row],[SM_Contract__c]],Contract[Id],0)))</f>
        <v/>
      </c>
      <c r="D380" s="27">
        <f>IF(INDEX(Contract[SM_Start_date__c],MATCH(Table5[[#This Row],[SM_Contract__c]],Contract[Id],0))=0,"",INDEX(Contract[SM_Start_date__c],MATCH(Table5[[#This Row],[SM_Contract__c]],Contract[Id],0)))</f>
        <v>46178</v>
      </c>
      <c r="E380" s="4">
        <f ca="1">(YEAR(TODAY())-YEAR(Table5[[#This Row],[RC DATE]]))*12 + MONTH(TODAY())-MONTH(Table5[[#This Row],[RC DATE]])</f>
        <v>1</v>
      </c>
      <c r="F380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46239</v>
      </c>
      <c r="G380" s="19">
        <f>IF(Table5[[#This Row],[Payment_Status__c]]="ACCEPTED",1,"")</f>
        <v>1</v>
      </c>
      <c r="H380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380" s="19">
        <f ca="1">Table5[[#This Row],['# months]]-COUNTIFS(Table5[SM_Contract__c],Table5[[#This Row],[SM_Contract__c]],Table5[TYPE],"SUBS",Table5[ACCEPTED],1)</f>
        <v>-1</v>
      </c>
      <c r="J380" s="19" t="b">
        <f>ISNUMBER(MATCH(Table5[[#This Row],[SM_Contract__c]],Contract[Id],0))</f>
        <v>1</v>
      </c>
      <c r="K380" s="9" t="s">
        <v>3499</v>
      </c>
      <c r="L380" s="9" t="s">
        <v>3500</v>
      </c>
      <c r="M380" s="9" t="s">
        <v>1185</v>
      </c>
      <c r="N380" s="9" t="s">
        <v>3748</v>
      </c>
      <c r="O380" s="9" t="s">
        <v>1563</v>
      </c>
      <c r="P380" s="9" t="s">
        <v>2363</v>
      </c>
      <c r="Q380" s="9" t="s">
        <v>71</v>
      </c>
      <c r="R380" s="9" t="s">
        <v>83</v>
      </c>
      <c r="S380" s="9" t="s">
        <v>167</v>
      </c>
      <c r="T380" s="9" t="s">
        <v>167</v>
      </c>
      <c r="U380" s="9" t="s">
        <v>167</v>
      </c>
      <c r="V380" s="9" t="s">
        <v>93</v>
      </c>
      <c r="W380" s="9" t="s">
        <v>3634</v>
      </c>
      <c r="X380" s="9" t="s">
        <v>3501</v>
      </c>
      <c r="Y380" s="9"/>
      <c r="Z380" s="9" t="s">
        <v>1311</v>
      </c>
      <c r="AA380" s="9" t="s">
        <v>3501</v>
      </c>
    </row>
    <row r="381" spans="1:27" x14ac:dyDescent="0.35">
      <c r="A381" s="4" t="str">
        <f>IF(Table5[[#This Row],[SM_Amount__c]]="25.0","FEE",IF(IF(Table5[[#This Row],[SM_Original_Type__c]]="",Table5[[#This Row],[SM_Type__c]],Table5[[#This Row],[SM_Original_Type__c]])="AC","AC","SUBS"))</f>
        <v>SUBS</v>
      </c>
      <c r="B381" s="27">
        <f>IF(INDEX(Contract[SM_AC_start_date__c],MATCH(Table5[[#This Row],[SM_Contract__c]],Contract[Id],0))=0,"",INDEX(Contract[SM_AC_start_date__c],MATCH(Table5[[#This Row],[SM_Contract__c]],Contract[Id],0)))</f>
        <v>46171</v>
      </c>
      <c r="C381" s="27" t="str">
        <f>IF(INDEX(Contract[SM_AC_Split_Date__c],MATCH(Table5[[#This Row],[SM_Contract__c]],Contract[Id],0))=0,"",INDEX(Contract[SM_AC_Split_Date__c],MATCH(Table5[[#This Row],[SM_Contract__c]],Contract[Id],0)))</f>
        <v/>
      </c>
      <c r="D381" s="27">
        <f>IF(INDEX(Contract[SM_Start_date__c],MATCH(Table5[[#This Row],[SM_Contract__c]],Contract[Id],0))=0,"",INDEX(Contract[SM_Start_date__c],MATCH(Table5[[#This Row],[SM_Contract__c]],Contract[Id],0)))</f>
        <v>46178</v>
      </c>
      <c r="E381" s="4">
        <f ca="1">(YEAR(TODAY())-YEAR(Table5[[#This Row],[RC DATE]]))*12 + MONTH(TODAY())-MONTH(Table5[[#This Row],[RC DATE]])</f>
        <v>1</v>
      </c>
      <c r="F381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46239</v>
      </c>
      <c r="G381" s="19">
        <f>IF(Table5[[#This Row],[Payment_Status__c]]="ACCEPTED",1,"")</f>
        <v>1</v>
      </c>
      <c r="H381" s="27" t="str">
        <f ca="1">IF(Table5[[#This Row],['#]]&lt;0,"DE MAS "&amp;Table5[[#This Row],['#]]*-1,IF(Table5[[#This Row],['#]]=0,"AL DIA",IF(Table5[[#This Row],['#]]&lt;Table5[[#This Row],['# months]],"DEBE "&amp;Table5[[#This Row],['#]],"AL DIA")))</f>
        <v>DE MAS 1</v>
      </c>
      <c r="I381" s="19">
        <f ca="1">Table5[[#This Row],['# months]]-COUNTIFS(Table5[SM_Contract__c],Table5[[#This Row],[SM_Contract__c]],Table5[TYPE],"SUBS",Table5[ACCEPTED],1)</f>
        <v>-1</v>
      </c>
      <c r="J381" s="19" t="b">
        <f>ISNUMBER(MATCH(Table5[[#This Row],[SM_Contract__c]],Contract[Id],0))</f>
        <v>1</v>
      </c>
      <c r="K381" s="9" t="s">
        <v>3502</v>
      </c>
      <c r="L381" s="9" t="s">
        <v>3503</v>
      </c>
      <c r="M381" s="9" t="s">
        <v>1185</v>
      </c>
      <c r="N381" s="9" t="s">
        <v>3748</v>
      </c>
      <c r="O381" s="9" t="s">
        <v>1563</v>
      </c>
      <c r="P381" s="9" t="s">
        <v>2363</v>
      </c>
      <c r="Q381" s="9" t="s">
        <v>83</v>
      </c>
      <c r="R381" s="9" t="s">
        <v>76</v>
      </c>
      <c r="S381" s="9" t="s">
        <v>167</v>
      </c>
      <c r="T381" s="9" t="s">
        <v>167</v>
      </c>
      <c r="U381" s="9" t="s">
        <v>167</v>
      </c>
      <c r="V381" s="9" t="s">
        <v>93</v>
      </c>
      <c r="W381" s="9" t="s">
        <v>3670</v>
      </c>
      <c r="X381" s="9" t="s">
        <v>3504</v>
      </c>
      <c r="Y381" s="9"/>
      <c r="Z381" s="9"/>
      <c r="AA381" s="9" t="s">
        <v>3504</v>
      </c>
    </row>
    <row r="382" spans="1:27" x14ac:dyDescent="0.35">
      <c r="A382" s="4" t="str">
        <f>IF(Table5[[#This Row],[SM_Amount__c]]="25.0","FEE",IF(IF(Table5[[#This Row],[SM_Original_Type__c]]="",Table5[[#This Row],[SM_Type__c]],Table5[[#This Row],[SM_Original_Type__c]])="AC","AC","SUBS"))</f>
        <v>AC</v>
      </c>
      <c r="B382" s="27">
        <f>IF(INDEX(Contract[SM_AC_start_date__c],MATCH(Table5[[#This Row],[SM_Contract__c]],Contract[Id],0))=0,"",INDEX(Contract[SM_AC_start_date__c],MATCH(Table5[[#This Row],[SM_Contract__c]],Contract[Id],0)))</f>
        <v>46174</v>
      </c>
      <c r="C382" s="27" t="str">
        <f>IF(INDEX(Contract[SM_AC_Split_Date__c],MATCH(Table5[[#This Row],[SM_Contract__c]],Contract[Id],0))=0,"",INDEX(Contract[SM_AC_Split_Date__c],MATCH(Table5[[#This Row],[SM_Contract__c]],Contract[Id],0)))</f>
        <v/>
      </c>
      <c r="D382" s="27">
        <f>IF(INDEX(Contract[SM_Start_date__c],MATCH(Table5[[#This Row],[SM_Contract__c]],Contract[Id],0))=0,"",INDEX(Contract[SM_Start_date__c],MATCH(Table5[[#This Row],[SM_Contract__c]],Contract[Id],0)))</f>
        <v>46218</v>
      </c>
      <c r="E382" s="4">
        <f ca="1">(YEAR(TODAY())-YEAR(Table5[[#This Row],[RC DATE]]))*12 + MONTH(TODAY())-MONTH(Table5[[#This Row],[RC DATE]])</f>
        <v>0</v>
      </c>
      <c r="F382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46218</v>
      </c>
      <c r="G382" s="19">
        <f>IF(Table5[[#This Row],[Payment_Status__c]]="ACCEPTED",1,"")</f>
        <v>1</v>
      </c>
      <c r="H382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82" s="19">
        <f ca="1">Table5[[#This Row],['# months]]-COUNTIFS(Table5[SM_Contract__c],Table5[[#This Row],[SM_Contract__c]],Table5[TYPE],"SUBS",Table5[ACCEPTED],1)</f>
        <v>0</v>
      </c>
      <c r="J382" s="19" t="b">
        <f>ISNUMBER(MATCH(Table5[[#This Row],[SM_Contract__c]],Contract[Id],0))</f>
        <v>1</v>
      </c>
      <c r="K382" s="9" t="s">
        <v>3505</v>
      </c>
      <c r="L382" s="9" t="s">
        <v>3506</v>
      </c>
      <c r="M382" s="9" t="s">
        <v>1194</v>
      </c>
      <c r="N382" s="9" t="s">
        <v>3749</v>
      </c>
      <c r="O382" s="9" t="s">
        <v>1563</v>
      </c>
      <c r="P382" s="9" t="s">
        <v>2363</v>
      </c>
      <c r="Q382" s="9" t="s">
        <v>77</v>
      </c>
      <c r="R382" s="9" t="s">
        <v>77</v>
      </c>
      <c r="S382" s="9" t="s">
        <v>167</v>
      </c>
      <c r="T382" s="9" t="s">
        <v>167</v>
      </c>
      <c r="U382" s="9" t="s">
        <v>167</v>
      </c>
      <c r="V382" s="9" t="s">
        <v>93</v>
      </c>
      <c r="W382" s="9" t="s">
        <v>3608</v>
      </c>
      <c r="X382" s="9" t="s">
        <v>3507</v>
      </c>
      <c r="Y382" s="9"/>
      <c r="Z382" s="9"/>
      <c r="AA382" s="9" t="s">
        <v>3507</v>
      </c>
    </row>
    <row r="383" spans="1:27" x14ac:dyDescent="0.35">
      <c r="A383" s="4" t="str">
        <f>IF(Table5[[#This Row],[SM_Amount__c]]="25.0","FEE",IF(IF(Table5[[#This Row],[SM_Original_Type__c]]="",Table5[[#This Row],[SM_Type__c]],Table5[[#This Row],[SM_Original_Type__c]])="AC","AC","SUBS"))</f>
        <v>AC</v>
      </c>
      <c r="B383" s="27">
        <f>IF(INDEX(Contract[SM_AC_start_date__c],MATCH(Table5[[#This Row],[SM_Contract__c]],Contract[Id],0))=0,"",INDEX(Contract[SM_AC_start_date__c],MATCH(Table5[[#This Row],[SM_Contract__c]],Contract[Id],0)))</f>
        <v>46178</v>
      </c>
      <c r="C383" s="27" t="str">
        <f>IF(INDEX(Contract[SM_AC_Split_Date__c],MATCH(Table5[[#This Row],[SM_Contract__c]],Contract[Id],0))=0,"",INDEX(Contract[SM_AC_Split_Date__c],MATCH(Table5[[#This Row],[SM_Contract__c]],Contract[Id],0)))</f>
        <v/>
      </c>
      <c r="D383" s="27">
        <f>IF(INDEX(Contract[SM_Start_date__c],MATCH(Table5[[#This Row],[SM_Contract__c]],Contract[Id],0))=0,"",INDEX(Contract[SM_Start_date__c],MATCH(Table5[[#This Row],[SM_Contract__c]],Contract[Id],0)))</f>
        <v>46228</v>
      </c>
      <c r="E383" s="4">
        <f ca="1">(YEAR(TODAY())-YEAR(Table5[[#This Row],[RC DATE]]))*12 + MONTH(TODAY())-MONTH(Table5[[#This Row],[RC DATE]])</f>
        <v>0</v>
      </c>
      <c r="F383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46228</v>
      </c>
      <c r="G383" s="19">
        <f>IF(Table5[[#This Row],[Payment_Status__c]]="ACCEPTED",1,"")</f>
        <v>1</v>
      </c>
      <c r="H383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83" s="19">
        <f ca="1">Table5[[#This Row],['# months]]-COUNTIFS(Table5[SM_Contract__c],Table5[[#This Row],[SM_Contract__c]],Table5[TYPE],"SUBS",Table5[ACCEPTED],1)</f>
        <v>0</v>
      </c>
      <c r="J383" s="19" t="b">
        <f>ISNUMBER(MATCH(Table5[[#This Row],[SM_Contract__c]],Contract[Id],0))</f>
        <v>1</v>
      </c>
      <c r="K383" s="9" t="s">
        <v>3508</v>
      </c>
      <c r="L383" s="9" t="s">
        <v>3509</v>
      </c>
      <c r="M383" s="9" t="s">
        <v>1200</v>
      </c>
      <c r="N383" s="9" t="s">
        <v>3750</v>
      </c>
      <c r="O383" s="9" t="s">
        <v>1563</v>
      </c>
      <c r="P383" s="9" t="s">
        <v>2363</v>
      </c>
      <c r="Q383" s="9" t="s">
        <v>77</v>
      </c>
      <c r="R383" s="9" t="s">
        <v>77</v>
      </c>
      <c r="S383" s="9" t="s">
        <v>167</v>
      </c>
      <c r="T383" s="9" t="s">
        <v>167</v>
      </c>
      <c r="U383" s="9" t="s">
        <v>167</v>
      </c>
      <c r="V383" s="9" t="s">
        <v>93</v>
      </c>
      <c r="W383" s="9" t="s">
        <v>3673</v>
      </c>
      <c r="X383" s="9" t="s">
        <v>3510</v>
      </c>
      <c r="Y383" s="9"/>
      <c r="Z383" s="9"/>
      <c r="AA383" s="9" t="s">
        <v>3510</v>
      </c>
    </row>
    <row r="384" spans="1:27" x14ac:dyDescent="0.35">
      <c r="A384" s="4" t="str">
        <f>IF(Table5[[#This Row],[SM_Amount__c]]="25.0","FEE",IF(IF(Table5[[#This Row],[SM_Original_Type__c]]="",Table5[[#This Row],[SM_Type__c]],Table5[[#This Row],[SM_Original_Type__c]])="AC","AC","SUBS"))</f>
        <v>AC</v>
      </c>
      <c r="B384" s="27">
        <f>IF(INDEX(Contract[SM_AC_start_date__c],MATCH(Table5[[#This Row],[SM_Contract__c]],Contract[Id],0))=0,"",INDEX(Contract[SM_AC_start_date__c],MATCH(Table5[[#This Row],[SM_Contract__c]],Contract[Id],0)))</f>
        <v>46171</v>
      </c>
      <c r="C384" s="27" t="str">
        <f>IF(INDEX(Contract[SM_AC_Split_Date__c],MATCH(Table5[[#This Row],[SM_Contract__c]],Contract[Id],0))=0,"",INDEX(Contract[SM_AC_Split_Date__c],MATCH(Table5[[#This Row],[SM_Contract__c]],Contract[Id],0)))</f>
        <v/>
      </c>
      <c r="D384" s="27">
        <f>IF(INDEX(Contract[SM_Start_date__c],MATCH(Table5[[#This Row],[SM_Contract__c]],Contract[Id],0))=0,"",INDEX(Contract[SM_Start_date__c],MATCH(Table5[[#This Row],[SM_Contract__c]],Contract[Id],0)))</f>
        <v>46202</v>
      </c>
      <c r="E384" s="4">
        <f ca="1">(YEAR(TODAY())-YEAR(Table5[[#This Row],[RC DATE]]))*12 + MONTH(TODAY())-MONTH(Table5[[#This Row],[RC DATE]])</f>
        <v>1</v>
      </c>
      <c r="F384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46202</v>
      </c>
      <c r="G384" s="19">
        <f>IF(Table5[[#This Row],[Payment_Status__c]]="ACCEPTED",1,"")</f>
        <v>1</v>
      </c>
      <c r="H384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84" s="19">
        <f ca="1">Table5[[#This Row],['# months]]-COUNTIFS(Table5[SM_Contract__c],Table5[[#This Row],[SM_Contract__c]],Table5[TYPE],"SUBS",Table5[ACCEPTED],1)</f>
        <v>1</v>
      </c>
      <c r="J384" s="19" t="b">
        <f>ISNUMBER(MATCH(Table5[[#This Row],[SM_Contract__c]],Contract[Id],0))</f>
        <v>1</v>
      </c>
      <c r="K384" s="9" t="s">
        <v>3511</v>
      </c>
      <c r="L384" s="9" t="s">
        <v>3512</v>
      </c>
      <c r="M384" s="9" t="s">
        <v>1215</v>
      </c>
      <c r="N384" s="9" t="s">
        <v>3751</v>
      </c>
      <c r="O384" s="9" t="s">
        <v>1563</v>
      </c>
      <c r="P384" s="9" t="s">
        <v>2363</v>
      </c>
      <c r="Q384" s="9" t="s">
        <v>77</v>
      </c>
      <c r="R384" s="9" t="s">
        <v>77</v>
      </c>
      <c r="S384" s="9" t="s">
        <v>167</v>
      </c>
      <c r="T384" s="9" t="s">
        <v>167</v>
      </c>
      <c r="U384" s="9" t="s">
        <v>167</v>
      </c>
      <c r="V384" s="9" t="s">
        <v>93</v>
      </c>
      <c r="W384" s="9" t="s">
        <v>3567</v>
      </c>
      <c r="X384" s="9" t="s">
        <v>3513</v>
      </c>
      <c r="Y384" s="9"/>
      <c r="Z384" s="9"/>
      <c r="AA384" s="9" t="s">
        <v>3513</v>
      </c>
    </row>
    <row r="385" spans="1:27" x14ac:dyDescent="0.35">
      <c r="A385" s="4" t="str">
        <f>IF(Table5[[#This Row],[SM_Amount__c]]="25.0","FEE",IF(IF(Table5[[#This Row],[SM_Original_Type__c]]="",Table5[[#This Row],[SM_Type__c]],Table5[[#This Row],[SM_Original_Type__c]])="AC","AC","SUBS"))</f>
        <v>AC</v>
      </c>
      <c r="B385" s="27">
        <f>IF(INDEX(Contract[SM_AC_start_date__c],MATCH(Table5[[#This Row],[SM_Contract__c]],Contract[Id],0))=0,"",INDEX(Contract[SM_AC_start_date__c],MATCH(Table5[[#This Row],[SM_Contract__c]],Contract[Id],0)))</f>
        <v>46183</v>
      </c>
      <c r="C385" s="27" t="str">
        <f>IF(INDEX(Contract[SM_AC_Split_Date__c],MATCH(Table5[[#This Row],[SM_Contract__c]],Contract[Id],0))=0,"",INDEX(Contract[SM_AC_Split_Date__c],MATCH(Table5[[#This Row],[SM_Contract__c]],Contract[Id],0)))</f>
        <v/>
      </c>
      <c r="D385" s="27">
        <f>IF(INDEX(Contract[SM_Start_date__c],MATCH(Table5[[#This Row],[SM_Contract__c]],Contract[Id],0))=0,"",INDEX(Contract[SM_Start_date__c],MATCH(Table5[[#This Row],[SM_Contract__c]],Contract[Id],0)))</f>
        <v>46218</v>
      </c>
      <c r="E385" s="4">
        <f ca="1">(YEAR(TODAY())-YEAR(Table5[[#This Row],[RC DATE]]))*12 + MONTH(TODAY())-MONTH(Table5[[#This Row],[RC DATE]])</f>
        <v>0</v>
      </c>
      <c r="F385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46218</v>
      </c>
      <c r="G385" s="19">
        <f>IF(Table5[[#This Row],[Payment_Status__c]]="ACCEPTED",1,"")</f>
        <v>1</v>
      </c>
      <c r="H385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85" s="19">
        <f ca="1">Table5[[#This Row],['# months]]-COUNTIFS(Table5[SM_Contract__c],Table5[[#This Row],[SM_Contract__c]],Table5[TYPE],"SUBS",Table5[ACCEPTED],1)</f>
        <v>0</v>
      </c>
      <c r="J385" s="19" t="b">
        <f>ISNUMBER(MATCH(Table5[[#This Row],[SM_Contract__c]],Contract[Id],0))</f>
        <v>1</v>
      </c>
      <c r="K385" s="9" t="s">
        <v>3514</v>
      </c>
      <c r="L385" s="9" t="s">
        <v>3515</v>
      </c>
      <c r="M385" s="9" t="s">
        <v>1223</v>
      </c>
      <c r="N385" s="9" t="s">
        <v>3752</v>
      </c>
      <c r="O385" s="9" t="s">
        <v>1563</v>
      </c>
      <c r="P385" s="9" t="s">
        <v>2363</v>
      </c>
      <c r="Q385" s="9" t="s">
        <v>77</v>
      </c>
      <c r="R385" s="9" t="s">
        <v>77</v>
      </c>
      <c r="S385" s="9" t="s">
        <v>167</v>
      </c>
      <c r="T385" s="9" t="s">
        <v>167</v>
      </c>
      <c r="U385" s="9" t="s">
        <v>167</v>
      </c>
      <c r="V385" s="9" t="s">
        <v>93</v>
      </c>
      <c r="W385" s="9" t="s">
        <v>3627</v>
      </c>
      <c r="X385" s="9" t="s">
        <v>3516</v>
      </c>
      <c r="Y385" s="9"/>
      <c r="Z385" s="9"/>
      <c r="AA385" s="9" t="s">
        <v>3516</v>
      </c>
    </row>
    <row r="386" spans="1:27" x14ac:dyDescent="0.35">
      <c r="A386" s="4" t="str">
        <f>IF(Table5[[#This Row],[SM_Amount__c]]="25.0","FEE",IF(IF(Table5[[#This Row],[SM_Original_Type__c]]="",Table5[[#This Row],[SM_Type__c]],Table5[[#This Row],[SM_Original_Type__c]])="AC","AC","SUBS"))</f>
        <v>AC</v>
      </c>
      <c r="B386" s="27">
        <f>IF(INDEX(Contract[SM_AC_start_date__c],MATCH(Table5[[#This Row],[SM_Contract__c]],Contract[Id],0))=0,"",INDEX(Contract[SM_AC_start_date__c],MATCH(Table5[[#This Row],[SM_Contract__c]],Contract[Id],0)))</f>
        <v>46177</v>
      </c>
      <c r="C386" s="27" t="str">
        <f>IF(INDEX(Contract[SM_AC_Split_Date__c],MATCH(Table5[[#This Row],[SM_Contract__c]],Contract[Id],0))=0,"",INDEX(Contract[SM_AC_Split_Date__c],MATCH(Table5[[#This Row],[SM_Contract__c]],Contract[Id],0)))</f>
        <v/>
      </c>
      <c r="D386" s="27">
        <f>IF(INDEX(Contract[SM_Start_date__c],MATCH(Table5[[#This Row],[SM_Contract__c]],Contract[Id],0))=0,"",INDEX(Contract[SM_Start_date__c],MATCH(Table5[[#This Row],[SM_Contract__c]],Contract[Id],0)))</f>
        <v>46205</v>
      </c>
      <c r="E386" s="4">
        <f ca="1">(YEAR(TODAY())-YEAR(Table5[[#This Row],[RC DATE]]))*12 + MONTH(TODAY())-MONTH(Table5[[#This Row],[RC DATE]])</f>
        <v>0</v>
      </c>
      <c r="F386" s="27">
        <f>IF(COUNTIFS(Table5[SM_Contract__c],Table5[[#This Row],[SM_Contract__c]],Table5[TYPE],"SUBS")=0,Table5[[#This Row],[RC DATE]],EDATE(Table5[[#This Row],[RC DATE]],(COUNTIFS(Table5[SM_Contract__c],Table5[[#This Row],[SM_Contract__c]],Table5[TYPE],"SUBS"))-(COUNTIFS(Table5[SM_Contract__c],Table5[[#This Row],[SM_Contract__c]],Table5[Payment_Status__c],"REFUNDED")*2)))</f>
        <v>46205</v>
      </c>
      <c r="G386" s="19">
        <f>IF(Table5[[#This Row],[Payment_Status__c]]="ACCEPTED",1,"")</f>
        <v>1</v>
      </c>
      <c r="H386" s="27" t="str">
        <f ca="1">IF(Table5[[#This Row],['#]]&lt;0,"DE MAS "&amp;Table5[[#This Row],['#]]*-1,IF(Table5[[#This Row],['#]]=0,"AL DIA",IF(Table5[[#This Row],['#]]&lt;Table5[[#This Row],['# months]],"DEBE "&amp;Table5[[#This Row],['#]],"AL DIA")))</f>
        <v>AL DIA</v>
      </c>
      <c r="I386" s="19">
        <f ca="1">Table5[[#This Row],['# months]]-COUNTIFS(Table5[SM_Contract__c],Table5[[#This Row],[SM_Contract__c]],Table5[TYPE],"SUBS",Table5[ACCEPTED],1)</f>
        <v>0</v>
      </c>
      <c r="J386" s="19" t="b">
        <f>ISNUMBER(MATCH(Table5[[#This Row],[SM_Contract__c]],Contract[Id],0))</f>
        <v>1</v>
      </c>
      <c r="K386" s="9" t="s">
        <v>3517</v>
      </c>
      <c r="L386" s="9" t="s">
        <v>3518</v>
      </c>
      <c r="M386" s="9" t="s">
        <v>1287</v>
      </c>
      <c r="N386" s="9" t="s">
        <v>3753</v>
      </c>
      <c r="O386" s="9" t="s">
        <v>1563</v>
      </c>
      <c r="P386" s="9" t="s">
        <v>2363</v>
      </c>
      <c r="Q386" s="9" t="s">
        <v>71</v>
      </c>
      <c r="R386" s="9" t="s">
        <v>77</v>
      </c>
      <c r="S386" s="9" t="s">
        <v>167</v>
      </c>
      <c r="T386" s="9" t="s">
        <v>167</v>
      </c>
      <c r="U386" s="9" t="s">
        <v>167</v>
      </c>
      <c r="V386" s="9" t="s">
        <v>93</v>
      </c>
      <c r="W386" s="9" t="s">
        <v>3673</v>
      </c>
      <c r="X386" s="9" t="s">
        <v>3519</v>
      </c>
      <c r="Y386" s="9"/>
      <c r="Z386" s="9" t="s">
        <v>1299</v>
      </c>
      <c r="AA386" s="9" t="s">
        <v>3519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5B29-2935-4AB3-94C1-7EA4689B214D}">
  <dimension ref="A2:I74"/>
  <sheetViews>
    <sheetView zoomScale="115" zoomScaleNormal="115" workbookViewId="0">
      <selection activeCell="F8" sqref="F8"/>
    </sheetView>
  </sheetViews>
  <sheetFormatPr defaultRowHeight="14.5" x14ac:dyDescent="0.35"/>
  <cols>
    <col min="3" max="3" width="39.26953125" customWidth="1"/>
    <col min="4" max="6" width="46.7265625" customWidth="1"/>
    <col min="9" max="9" width="36.7265625" customWidth="1"/>
  </cols>
  <sheetData>
    <row r="2" spans="1:9" x14ac:dyDescent="0.35">
      <c r="A2" t="s">
        <v>3802</v>
      </c>
      <c r="B2" t="s">
        <v>0</v>
      </c>
      <c r="C2" t="s">
        <v>1559</v>
      </c>
      <c r="D2" t="s">
        <v>7232</v>
      </c>
      <c r="E2" t="s">
        <v>7170</v>
      </c>
      <c r="F2" t="s">
        <v>7171</v>
      </c>
      <c r="G2" t="s">
        <v>7172</v>
      </c>
      <c r="H2" t="s">
        <v>7173</v>
      </c>
      <c r="I2" t="s">
        <v>7315</v>
      </c>
    </row>
    <row r="3" spans="1:9" x14ac:dyDescent="0.35">
      <c r="A3" s="9" t="s">
        <v>7174</v>
      </c>
      <c r="B3" s="9" t="s">
        <v>112</v>
      </c>
      <c r="C3" s="9" t="s">
        <v>1570</v>
      </c>
      <c r="D3" s="9" t="s">
        <v>7233</v>
      </c>
      <c r="E3" s="9" t="s">
        <v>147</v>
      </c>
      <c r="F3" s="9" t="s">
        <v>7175</v>
      </c>
      <c r="G3" s="9" t="s">
        <v>7301</v>
      </c>
      <c r="H3" s="9" t="s">
        <v>7302</v>
      </c>
      <c r="I3" s="9"/>
    </row>
    <row r="4" spans="1:9" x14ac:dyDescent="0.35">
      <c r="A4" s="9" t="s">
        <v>7174</v>
      </c>
      <c r="B4" s="9" t="s">
        <v>159</v>
      </c>
      <c r="C4" s="9" t="s">
        <v>1576</v>
      </c>
      <c r="D4" s="9" t="s">
        <v>7234</v>
      </c>
      <c r="E4" s="9" t="s">
        <v>158</v>
      </c>
      <c r="F4" s="9" t="s">
        <v>7176</v>
      </c>
      <c r="G4" s="9" t="s">
        <v>7303</v>
      </c>
      <c r="H4" s="9" t="s">
        <v>7304</v>
      </c>
      <c r="I4" s="9"/>
    </row>
    <row r="5" spans="1:9" x14ac:dyDescent="0.35">
      <c r="A5" s="9" t="s">
        <v>7174</v>
      </c>
      <c r="B5" s="9" t="s">
        <v>179</v>
      </c>
      <c r="C5" s="9" t="s">
        <v>1581</v>
      </c>
      <c r="D5" s="9" t="s">
        <v>7235</v>
      </c>
      <c r="E5" s="9" t="s">
        <v>165</v>
      </c>
      <c r="F5" s="9" t="s">
        <v>7177</v>
      </c>
      <c r="G5" s="9" t="s">
        <v>7305</v>
      </c>
      <c r="H5" s="9" t="s">
        <v>1408</v>
      </c>
      <c r="I5" s="9"/>
    </row>
    <row r="6" spans="1:9" x14ac:dyDescent="0.35">
      <c r="A6" s="9" t="s">
        <v>7174</v>
      </c>
      <c r="B6" s="9" t="s">
        <v>197</v>
      </c>
      <c r="C6" s="9" t="s">
        <v>1586</v>
      </c>
      <c r="D6" s="9" t="s">
        <v>7236</v>
      </c>
      <c r="E6" s="9" t="s">
        <v>202</v>
      </c>
      <c r="F6" s="9" t="s">
        <v>7178</v>
      </c>
      <c r="G6" s="9" t="s">
        <v>7306</v>
      </c>
      <c r="H6" s="9" t="s">
        <v>7304</v>
      </c>
      <c r="I6" s="9"/>
    </row>
    <row r="7" spans="1:9" x14ac:dyDescent="0.35">
      <c r="A7" s="9" t="s">
        <v>7174</v>
      </c>
      <c r="B7" s="9" t="s">
        <v>220</v>
      </c>
      <c r="C7" s="9" t="s">
        <v>1988</v>
      </c>
      <c r="D7" s="9" t="s">
        <v>7237</v>
      </c>
      <c r="E7" s="9" t="s">
        <v>219</v>
      </c>
      <c r="F7" s="9" t="s">
        <v>7179</v>
      </c>
      <c r="G7" s="9" t="s">
        <v>7303</v>
      </c>
      <c r="H7" s="9" t="s">
        <v>7307</v>
      </c>
      <c r="I7" s="9"/>
    </row>
    <row r="8" spans="1:9" x14ac:dyDescent="0.35">
      <c r="A8" s="9" t="s">
        <v>7174</v>
      </c>
      <c r="B8" s="9" t="s">
        <v>235</v>
      </c>
      <c r="C8" s="9" t="s">
        <v>1591</v>
      </c>
      <c r="D8" s="9" t="s">
        <v>7238</v>
      </c>
      <c r="E8" s="9" t="s">
        <v>240</v>
      </c>
      <c r="F8" s="9" t="s">
        <v>7180</v>
      </c>
      <c r="G8" s="9" t="s">
        <v>7308</v>
      </c>
      <c r="H8" s="9" t="s">
        <v>7302</v>
      </c>
      <c r="I8" s="9"/>
    </row>
    <row r="9" spans="1:9" x14ac:dyDescent="0.35">
      <c r="A9" s="9" t="s">
        <v>7174</v>
      </c>
      <c r="B9" s="9" t="s">
        <v>253</v>
      </c>
      <c r="C9" s="9" t="s">
        <v>1596</v>
      </c>
      <c r="D9" s="9" t="s">
        <v>7239</v>
      </c>
      <c r="E9" s="9" t="s">
        <v>252</v>
      </c>
      <c r="F9" s="9" t="s">
        <v>7181</v>
      </c>
      <c r="G9" s="9" t="s">
        <v>7308</v>
      </c>
      <c r="H9" s="9" t="s">
        <v>3760</v>
      </c>
      <c r="I9" s="9"/>
    </row>
    <row r="10" spans="1:9" x14ac:dyDescent="0.35">
      <c r="A10" s="9" t="s">
        <v>7174</v>
      </c>
      <c r="B10" s="9" t="s">
        <v>265</v>
      </c>
      <c r="C10" s="9" t="s">
        <v>1601</v>
      </c>
      <c r="D10" s="9" t="s">
        <v>7240</v>
      </c>
      <c r="E10" s="9" t="s">
        <v>264</v>
      </c>
      <c r="F10" s="9" t="s">
        <v>7182</v>
      </c>
      <c r="G10" s="9" t="s">
        <v>7309</v>
      </c>
      <c r="H10" s="9" t="s">
        <v>7307</v>
      </c>
      <c r="I10" s="9"/>
    </row>
    <row r="11" spans="1:9" x14ac:dyDescent="0.35">
      <c r="A11" s="9" t="s">
        <v>7174</v>
      </c>
      <c r="B11" s="9" t="s">
        <v>1608</v>
      </c>
      <c r="C11" s="9" t="s">
        <v>1609</v>
      </c>
      <c r="D11" s="9" t="s">
        <v>7241</v>
      </c>
      <c r="E11" s="9" t="s">
        <v>328</v>
      </c>
      <c r="F11" s="9" t="s">
        <v>7183</v>
      </c>
      <c r="G11" s="9" t="s">
        <v>103</v>
      </c>
      <c r="H11" s="9" t="s">
        <v>7307</v>
      </c>
      <c r="I11" s="9"/>
    </row>
    <row r="12" spans="1:9" x14ac:dyDescent="0.35">
      <c r="A12" s="9" t="s">
        <v>7174</v>
      </c>
      <c r="B12" s="9" t="s">
        <v>1611</v>
      </c>
      <c r="C12" s="9" t="s">
        <v>1609</v>
      </c>
      <c r="D12" s="9" t="s">
        <v>7241</v>
      </c>
      <c r="E12" s="9" t="s">
        <v>328</v>
      </c>
      <c r="F12" s="9" t="s">
        <v>7183</v>
      </c>
      <c r="G12" s="9" t="s">
        <v>103</v>
      </c>
      <c r="H12" s="9" t="s">
        <v>7307</v>
      </c>
      <c r="I12" s="9"/>
    </row>
    <row r="13" spans="1:9" x14ac:dyDescent="0.35">
      <c r="A13" s="9" t="s">
        <v>7174</v>
      </c>
      <c r="B13" s="9" t="s">
        <v>1612</v>
      </c>
      <c r="C13" s="9" t="s">
        <v>1609</v>
      </c>
      <c r="D13" s="9" t="s">
        <v>7241</v>
      </c>
      <c r="E13" s="9" t="s">
        <v>328</v>
      </c>
      <c r="F13" s="9" t="s">
        <v>7183</v>
      </c>
      <c r="G13" s="9" t="s">
        <v>103</v>
      </c>
      <c r="H13" s="9" t="s">
        <v>7307</v>
      </c>
      <c r="I13" s="9"/>
    </row>
    <row r="14" spans="1:9" x14ac:dyDescent="0.35">
      <c r="A14" s="9" t="s">
        <v>7174</v>
      </c>
      <c r="B14" s="9" t="s">
        <v>1614</v>
      </c>
      <c r="C14" s="9" t="s">
        <v>1609</v>
      </c>
      <c r="D14" s="9" t="s">
        <v>7241</v>
      </c>
      <c r="E14" s="9" t="s">
        <v>328</v>
      </c>
      <c r="F14" s="9" t="s">
        <v>7183</v>
      </c>
      <c r="G14" s="9" t="s">
        <v>103</v>
      </c>
      <c r="H14" s="9" t="s">
        <v>7307</v>
      </c>
      <c r="I14" s="9"/>
    </row>
    <row r="15" spans="1:9" x14ac:dyDescent="0.35">
      <c r="A15" s="9" t="s">
        <v>7174</v>
      </c>
      <c r="B15" s="9" t="s">
        <v>1616</v>
      </c>
      <c r="C15" s="9" t="s">
        <v>1609</v>
      </c>
      <c r="D15" s="9" t="s">
        <v>7241</v>
      </c>
      <c r="E15" s="9" t="s">
        <v>328</v>
      </c>
      <c r="F15" s="9" t="s">
        <v>7183</v>
      </c>
      <c r="G15" s="9" t="s">
        <v>103</v>
      </c>
      <c r="H15" s="9" t="s">
        <v>7307</v>
      </c>
      <c r="I15" s="9"/>
    </row>
    <row r="16" spans="1:9" x14ac:dyDescent="0.35">
      <c r="A16" s="9" t="s">
        <v>7174</v>
      </c>
      <c r="B16" s="9" t="s">
        <v>332</v>
      </c>
      <c r="C16" s="9" t="s">
        <v>1624</v>
      </c>
      <c r="D16" s="9" t="s">
        <v>7242</v>
      </c>
      <c r="E16" s="9" t="s">
        <v>331</v>
      </c>
      <c r="F16" s="9" t="s">
        <v>7184</v>
      </c>
      <c r="G16" s="9" t="s">
        <v>7305</v>
      </c>
      <c r="H16" s="9" t="s">
        <v>3760</v>
      </c>
      <c r="I16" s="9"/>
    </row>
    <row r="17" spans="1:9" x14ac:dyDescent="0.35">
      <c r="A17" s="9" t="s">
        <v>7174</v>
      </c>
      <c r="B17" s="9" t="s">
        <v>356</v>
      </c>
      <c r="C17" s="9" t="s">
        <v>1629</v>
      </c>
      <c r="D17" s="9" t="s">
        <v>7243</v>
      </c>
      <c r="E17" s="9" t="s">
        <v>355</v>
      </c>
      <c r="F17" s="9" t="s">
        <v>7185</v>
      </c>
      <c r="G17" s="9" t="s">
        <v>7303</v>
      </c>
      <c r="H17" s="9" t="s">
        <v>7304</v>
      </c>
      <c r="I17" s="9"/>
    </row>
    <row r="18" spans="1:9" x14ac:dyDescent="0.35">
      <c r="A18" s="9" t="s">
        <v>7174</v>
      </c>
      <c r="B18" s="9" t="s">
        <v>369</v>
      </c>
      <c r="C18" s="9" t="s">
        <v>1634</v>
      </c>
      <c r="D18" s="9" t="s">
        <v>7244</v>
      </c>
      <c r="E18" s="9" t="s">
        <v>368</v>
      </c>
      <c r="F18" s="9" t="s">
        <v>7186</v>
      </c>
      <c r="G18" s="9" t="s">
        <v>7303</v>
      </c>
      <c r="H18" s="9" t="s">
        <v>1408</v>
      </c>
      <c r="I18" s="9"/>
    </row>
    <row r="19" spans="1:9" x14ac:dyDescent="0.35">
      <c r="A19" s="9" t="s">
        <v>7174</v>
      </c>
      <c r="B19" s="9" t="s">
        <v>378</v>
      </c>
      <c r="C19" s="9" t="s">
        <v>1639</v>
      </c>
      <c r="D19" s="9" t="s">
        <v>7245</v>
      </c>
      <c r="E19" s="9" t="s">
        <v>377</v>
      </c>
      <c r="F19" s="9" t="s">
        <v>7187</v>
      </c>
      <c r="G19" s="9" t="s">
        <v>7301</v>
      </c>
      <c r="H19" s="9" t="s">
        <v>7307</v>
      </c>
      <c r="I19" s="9"/>
    </row>
    <row r="20" spans="1:9" x14ac:dyDescent="0.35">
      <c r="A20" s="9" t="s">
        <v>7174</v>
      </c>
      <c r="B20" s="9" t="s">
        <v>407</v>
      </c>
      <c r="C20" s="9" t="s">
        <v>1644</v>
      </c>
      <c r="D20" s="9" t="s">
        <v>7246</v>
      </c>
      <c r="E20" s="9" t="s">
        <v>406</v>
      </c>
      <c r="F20" s="9" t="s">
        <v>7188</v>
      </c>
      <c r="G20" s="9" t="s">
        <v>7310</v>
      </c>
      <c r="H20" s="9" t="s">
        <v>1408</v>
      </c>
      <c r="I20" s="9"/>
    </row>
    <row r="21" spans="1:9" x14ac:dyDescent="0.35">
      <c r="A21" s="9" t="s">
        <v>7174</v>
      </c>
      <c r="B21" s="9" t="s">
        <v>415</v>
      </c>
      <c r="C21" s="9" t="s">
        <v>1649</v>
      </c>
      <c r="D21" s="9" t="s">
        <v>7247</v>
      </c>
      <c r="E21" s="9" t="s">
        <v>414</v>
      </c>
      <c r="F21" s="9" t="s">
        <v>7189</v>
      </c>
      <c r="G21" s="9" t="s">
        <v>103</v>
      </c>
      <c r="H21" s="9" t="s">
        <v>7304</v>
      </c>
      <c r="I21" s="9"/>
    </row>
    <row r="22" spans="1:9" x14ac:dyDescent="0.35">
      <c r="A22" s="9" t="s">
        <v>7174</v>
      </c>
      <c r="B22" s="9" t="s">
        <v>424</v>
      </c>
      <c r="C22" s="9" t="s">
        <v>1654</v>
      </c>
      <c r="D22" s="9" t="s">
        <v>7248</v>
      </c>
      <c r="E22" s="9" t="s">
        <v>429</v>
      </c>
      <c r="F22" s="9" t="s">
        <v>7190</v>
      </c>
      <c r="G22" s="9" t="s">
        <v>103</v>
      </c>
      <c r="H22" s="9" t="s">
        <v>7304</v>
      </c>
      <c r="I22" s="9"/>
    </row>
    <row r="23" spans="1:9" x14ac:dyDescent="0.35">
      <c r="A23" s="9" t="s">
        <v>7174</v>
      </c>
      <c r="B23" s="9" t="s">
        <v>480</v>
      </c>
      <c r="C23" s="9" t="s">
        <v>1659</v>
      </c>
      <c r="D23" s="9" t="s">
        <v>7249</v>
      </c>
      <c r="E23" s="9" t="s">
        <v>479</v>
      </c>
      <c r="F23" s="9" t="s">
        <v>7191</v>
      </c>
      <c r="G23" s="9" t="s">
        <v>7311</v>
      </c>
      <c r="H23" s="9" t="s">
        <v>7302</v>
      </c>
      <c r="I23" s="9"/>
    </row>
    <row r="24" spans="1:9" x14ac:dyDescent="0.35">
      <c r="A24" s="9" t="s">
        <v>7174</v>
      </c>
      <c r="B24" s="9" t="s">
        <v>490</v>
      </c>
      <c r="C24" s="9" t="s">
        <v>1664</v>
      </c>
      <c r="D24" s="9" t="s">
        <v>7250</v>
      </c>
      <c r="E24" s="9" t="s">
        <v>489</v>
      </c>
      <c r="F24" s="9" t="s">
        <v>7192</v>
      </c>
      <c r="G24" s="9" t="s">
        <v>103</v>
      </c>
      <c r="H24" s="9" t="s">
        <v>7302</v>
      </c>
      <c r="I24" s="9"/>
    </row>
    <row r="25" spans="1:9" x14ac:dyDescent="0.35">
      <c r="A25" s="9" t="s">
        <v>7174</v>
      </c>
      <c r="B25" s="9" t="s">
        <v>516</v>
      </c>
      <c r="C25" s="9" t="s">
        <v>1669</v>
      </c>
      <c r="D25" s="9" t="s">
        <v>7251</v>
      </c>
      <c r="E25" s="9" t="s">
        <v>515</v>
      </c>
      <c r="F25" s="9" t="s">
        <v>7193</v>
      </c>
      <c r="G25" s="9" t="s">
        <v>103</v>
      </c>
      <c r="H25" s="9" t="s">
        <v>7307</v>
      </c>
      <c r="I25" s="9"/>
    </row>
    <row r="26" spans="1:9" x14ac:dyDescent="0.35">
      <c r="A26" s="9" t="s">
        <v>7174</v>
      </c>
      <c r="B26" s="9" t="s">
        <v>563</v>
      </c>
      <c r="C26" s="9" t="s">
        <v>1678</v>
      </c>
      <c r="D26" s="9" t="s">
        <v>7252</v>
      </c>
      <c r="E26" s="9" t="s">
        <v>562</v>
      </c>
      <c r="F26" s="9" t="s">
        <v>7194</v>
      </c>
      <c r="G26" s="9" t="s">
        <v>103</v>
      </c>
      <c r="H26" s="9" t="s">
        <v>7304</v>
      </c>
      <c r="I26" s="9"/>
    </row>
    <row r="27" spans="1:9" x14ac:dyDescent="0.35">
      <c r="A27" s="9" t="s">
        <v>7174</v>
      </c>
      <c r="B27" s="9" t="s">
        <v>582</v>
      </c>
      <c r="C27" s="9" t="s">
        <v>1683</v>
      </c>
      <c r="D27" s="9" t="s">
        <v>7253</v>
      </c>
      <c r="E27" s="9" t="s">
        <v>581</v>
      </c>
      <c r="F27" s="9" t="s">
        <v>7195</v>
      </c>
      <c r="G27" s="9" t="s">
        <v>7308</v>
      </c>
      <c r="H27" s="9" t="s">
        <v>7302</v>
      </c>
      <c r="I27" s="9"/>
    </row>
    <row r="28" spans="1:9" x14ac:dyDescent="0.35">
      <c r="A28" s="9" t="s">
        <v>7174</v>
      </c>
      <c r="B28" s="9" t="s">
        <v>576</v>
      </c>
      <c r="C28" s="9" t="s">
        <v>1688</v>
      </c>
      <c r="D28" s="9" t="s">
        <v>7254</v>
      </c>
      <c r="E28" s="9" t="s">
        <v>575</v>
      </c>
      <c r="F28" s="9" t="s">
        <v>7195</v>
      </c>
      <c r="G28" s="9" t="s">
        <v>7308</v>
      </c>
      <c r="H28" s="9" t="s">
        <v>7302</v>
      </c>
      <c r="I28" s="9"/>
    </row>
    <row r="29" spans="1:9" x14ac:dyDescent="0.35">
      <c r="A29" s="9" t="s">
        <v>7174</v>
      </c>
      <c r="B29" s="9" t="s">
        <v>1399</v>
      </c>
      <c r="C29" s="9" t="s">
        <v>1693</v>
      </c>
      <c r="D29" s="9" t="s">
        <v>7255</v>
      </c>
      <c r="E29" s="9" t="s">
        <v>1398</v>
      </c>
      <c r="F29" s="9" t="s">
        <v>7196</v>
      </c>
      <c r="G29" s="9" t="s">
        <v>103</v>
      </c>
      <c r="H29" s="9" t="s">
        <v>7302</v>
      </c>
      <c r="I29" s="9"/>
    </row>
    <row r="30" spans="1:9" x14ac:dyDescent="0.35">
      <c r="A30" s="9" t="s">
        <v>7174</v>
      </c>
      <c r="B30" s="9" t="s">
        <v>588</v>
      </c>
      <c r="C30" s="9" t="s">
        <v>1698</v>
      </c>
      <c r="D30" s="9" t="s">
        <v>7256</v>
      </c>
      <c r="E30" s="9" t="s">
        <v>587</v>
      </c>
      <c r="F30" s="9" t="s">
        <v>7197</v>
      </c>
      <c r="G30" s="9" t="s">
        <v>7301</v>
      </c>
      <c r="H30" s="9" t="s">
        <v>1408</v>
      </c>
      <c r="I30" s="9"/>
    </row>
    <row r="31" spans="1:9" x14ac:dyDescent="0.35">
      <c r="A31" s="9" t="s">
        <v>7174</v>
      </c>
      <c r="B31" s="9" t="s">
        <v>597</v>
      </c>
      <c r="C31" s="9" t="s">
        <v>2124</v>
      </c>
      <c r="D31" s="9" t="s">
        <v>7257</v>
      </c>
      <c r="E31" s="9" t="s">
        <v>596</v>
      </c>
      <c r="F31" s="9" t="s">
        <v>7198</v>
      </c>
      <c r="G31" s="9" t="s">
        <v>7311</v>
      </c>
      <c r="H31" s="9" t="s">
        <v>1408</v>
      </c>
      <c r="I31" s="9"/>
    </row>
    <row r="32" spans="1:9" x14ac:dyDescent="0.35">
      <c r="A32" s="9" t="s">
        <v>7174</v>
      </c>
      <c r="B32" s="9" t="s">
        <v>605</v>
      </c>
      <c r="C32" s="9" t="s">
        <v>1703</v>
      </c>
      <c r="D32" s="9" t="s">
        <v>7258</v>
      </c>
      <c r="E32" s="9" t="s">
        <v>604</v>
      </c>
      <c r="F32" s="9" t="s">
        <v>7199</v>
      </c>
      <c r="G32" s="9" t="s">
        <v>7311</v>
      </c>
      <c r="H32" s="9" t="s">
        <v>7307</v>
      </c>
      <c r="I32" s="9"/>
    </row>
    <row r="33" spans="1:9" x14ac:dyDescent="0.35">
      <c r="A33" s="9" t="s">
        <v>7174</v>
      </c>
      <c r="B33" s="9" t="s">
        <v>617</v>
      </c>
      <c r="C33" s="9" t="s">
        <v>1708</v>
      </c>
      <c r="D33" s="9" t="s">
        <v>7259</v>
      </c>
      <c r="E33" s="9" t="s">
        <v>616</v>
      </c>
      <c r="F33" s="9" t="s">
        <v>7200</v>
      </c>
      <c r="G33" s="9" t="s">
        <v>103</v>
      </c>
      <c r="H33" s="9" t="s">
        <v>7302</v>
      </c>
      <c r="I33" s="9"/>
    </row>
    <row r="34" spans="1:9" x14ac:dyDescent="0.35">
      <c r="A34" s="9" t="s">
        <v>7174</v>
      </c>
      <c r="B34" s="9" t="s">
        <v>623</v>
      </c>
      <c r="C34" s="9" t="s">
        <v>1713</v>
      </c>
      <c r="D34" s="9" t="s">
        <v>7260</v>
      </c>
      <c r="E34" s="9" t="s">
        <v>622</v>
      </c>
      <c r="F34" s="9" t="s">
        <v>7201</v>
      </c>
      <c r="G34" s="9" t="s">
        <v>103</v>
      </c>
      <c r="H34" s="9" t="s">
        <v>7302</v>
      </c>
      <c r="I34" s="9"/>
    </row>
    <row r="35" spans="1:9" x14ac:dyDescent="0.35">
      <c r="A35" s="9" t="s">
        <v>7174</v>
      </c>
      <c r="B35" s="9" t="s">
        <v>635</v>
      </c>
      <c r="C35" s="9" t="s">
        <v>2153</v>
      </c>
      <c r="D35" s="9" t="s">
        <v>7261</v>
      </c>
      <c r="E35" s="9" t="s">
        <v>634</v>
      </c>
      <c r="F35" s="9" t="s">
        <v>7202</v>
      </c>
      <c r="G35" s="9" t="s">
        <v>7312</v>
      </c>
      <c r="H35" s="9" t="s">
        <v>7302</v>
      </c>
      <c r="I35" s="9"/>
    </row>
    <row r="36" spans="1:9" x14ac:dyDescent="0.35">
      <c r="A36" s="9" t="s">
        <v>7174</v>
      </c>
      <c r="B36" s="9" t="s">
        <v>631</v>
      </c>
      <c r="C36" s="9" t="s">
        <v>1718</v>
      </c>
      <c r="D36" s="9" t="s">
        <v>7262</v>
      </c>
      <c r="E36" s="9" t="s">
        <v>630</v>
      </c>
      <c r="F36" s="9" t="s">
        <v>7203</v>
      </c>
      <c r="G36" s="9" t="s">
        <v>7306</v>
      </c>
      <c r="H36" s="9" t="s">
        <v>7302</v>
      </c>
      <c r="I36" s="9"/>
    </row>
    <row r="37" spans="1:9" x14ac:dyDescent="0.35">
      <c r="A37" s="9" t="s">
        <v>7174</v>
      </c>
      <c r="B37" s="9" t="s">
        <v>645</v>
      </c>
      <c r="C37" s="9" t="s">
        <v>1723</v>
      </c>
      <c r="D37" s="9" t="s">
        <v>7263</v>
      </c>
      <c r="E37" s="9" t="s">
        <v>644</v>
      </c>
      <c r="F37" s="9" t="s">
        <v>7204</v>
      </c>
      <c r="G37" s="9" t="s">
        <v>7310</v>
      </c>
      <c r="H37" s="9" t="s">
        <v>7307</v>
      </c>
      <c r="I37" s="9"/>
    </row>
    <row r="38" spans="1:9" x14ac:dyDescent="0.35">
      <c r="A38" s="9" t="s">
        <v>7174</v>
      </c>
      <c r="B38" s="9" t="s">
        <v>651</v>
      </c>
      <c r="C38" s="9" t="s">
        <v>1728</v>
      </c>
      <c r="D38" s="9" t="s">
        <v>7264</v>
      </c>
      <c r="E38" s="9" t="s">
        <v>650</v>
      </c>
      <c r="F38" s="9" t="s">
        <v>7205</v>
      </c>
      <c r="G38" s="9" t="s">
        <v>7311</v>
      </c>
      <c r="H38" s="9" t="s">
        <v>1408</v>
      </c>
      <c r="I38" s="9"/>
    </row>
    <row r="39" spans="1:9" x14ac:dyDescent="0.35">
      <c r="A39" s="9" t="s">
        <v>7174</v>
      </c>
      <c r="B39" s="9" t="s">
        <v>695</v>
      </c>
      <c r="C39" s="9" t="s">
        <v>1733</v>
      </c>
      <c r="D39" s="9" t="s">
        <v>7265</v>
      </c>
      <c r="E39" s="9" t="s">
        <v>694</v>
      </c>
      <c r="F39" s="9" t="s">
        <v>7206</v>
      </c>
      <c r="G39" s="9" t="s">
        <v>7306</v>
      </c>
      <c r="H39" s="9" t="s">
        <v>7302</v>
      </c>
      <c r="I39" s="9"/>
    </row>
    <row r="40" spans="1:9" x14ac:dyDescent="0.35">
      <c r="A40" s="9" t="s">
        <v>7174</v>
      </c>
      <c r="B40" s="9" t="s">
        <v>703</v>
      </c>
      <c r="C40" s="9" t="s">
        <v>1738</v>
      </c>
      <c r="D40" s="9" t="s">
        <v>7266</v>
      </c>
      <c r="E40" s="9" t="s">
        <v>702</v>
      </c>
      <c r="F40" s="9" t="s">
        <v>7207</v>
      </c>
      <c r="G40" s="9" t="s">
        <v>7313</v>
      </c>
      <c r="H40" s="9" t="s">
        <v>7302</v>
      </c>
      <c r="I40" s="9"/>
    </row>
    <row r="41" spans="1:9" x14ac:dyDescent="0.35">
      <c r="A41" s="9" t="s">
        <v>7174</v>
      </c>
      <c r="B41" s="9" t="s">
        <v>711</v>
      </c>
      <c r="C41" s="9" t="s">
        <v>1743</v>
      </c>
      <c r="D41" s="9" t="s">
        <v>7267</v>
      </c>
      <c r="E41" s="9" t="s">
        <v>710</v>
      </c>
      <c r="F41" s="9" t="s">
        <v>7208</v>
      </c>
      <c r="G41" s="9" t="s">
        <v>103</v>
      </c>
      <c r="H41" s="9" t="s">
        <v>7302</v>
      </c>
      <c r="I41" s="9"/>
    </row>
    <row r="42" spans="1:9" x14ac:dyDescent="0.35">
      <c r="A42" s="9" t="s">
        <v>7174</v>
      </c>
      <c r="B42" s="9" t="s">
        <v>717</v>
      </c>
      <c r="C42" s="9" t="s">
        <v>1748</v>
      </c>
      <c r="D42" s="9" t="s">
        <v>7268</v>
      </c>
      <c r="E42" s="9" t="s">
        <v>1002</v>
      </c>
      <c r="F42" s="9" t="s">
        <v>7209</v>
      </c>
      <c r="G42" s="9" t="s">
        <v>7301</v>
      </c>
      <c r="H42" s="9" t="s">
        <v>7302</v>
      </c>
      <c r="I42" s="9"/>
    </row>
    <row r="43" spans="1:9" x14ac:dyDescent="0.35">
      <c r="A43" s="9" t="s">
        <v>7174</v>
      </c>
      <c r="B43" s="9" t="s">
        <v>732</v>
      </c>
      <c r="C43" s="9" t="s">
        <v>1753</v>
      </c>
      <c r="D43" s="9" t="s">
        <v>7269</v>
      </c>
      <c r="E43" s="9" t="s">
        <v>731</v>
      </c>
      <c r="F43" s="9" t="s">
        <v>7210</v>
      </c>
      <c r="G43" s="9" t="s">
        <v>7311</v>
      </c>
      <c r="H43" s="9" t="s">
        <v>7304</v>
      </c>
      <c r="I43" s="9"/>
    </row>
    <row r="44" spans="1:9" x14ac:dyDescent="0.35">
      <c r="A44" s="9" t="s">
        <v>7174</v>
      </c>
      <c r="B44" s="9" t="s">
        <v>745</v>
      </c>
      <c r="C44" s="9" t="s">
        <v>1758</v>
      </c>
      <c r="D44" s="9" t="s">
        <v>7270</v>
      </c>
      <c r="E44" s="9" t="s">
        <v>744</v>
      </c>
      <c r="F44" s="9" t="s">
        <v>7211</v>
      </c>
      <c r="G44" s="9" t="s">
        <v>7313</v>
      </c>
      <c r="H44" s="9" t="s">
        <v>7302</v>
      </c>
      <c r="I44" s="9"/>
    </row>
    <row r="45" spans="1:9" x14ac:dyDescent="0.35">
      <c r="A45" s="9" t="s">
        <v>7174</v>
      </c>
      <c r="B45" s="9" t="s">
        <v>752</v>
      </c>
      <c r="C45" s="9" t="s">
        <v>1763</v>
      </c>
      <c r="D45" s="9" t="s">
        <v>7271</v>
      </c>
      <c r="E45" s="9" t="s">
        <v>755</v>
      </c>
      <c r="F45" s="9" t="s">
        <v>7212</v>
      </c>
      <c r="G45" s="9" t="s">
        <v>7303</v>
      </c>
      <c r="H45" s="9" t="s">
        <v>7302</v>
      </c>
      <c r="I45" s="9"/>
    </row>
    <row r="46" spans="1:9" x14ac:dyDescent="0.35">
      <c r="A46" s="9" t="s">
        <v>7174</v>
      </c>
      <c r="B46" s="9" t="s">
        <v>761</v>
      </c>
      <c r="C46" s="9" t="s">
        <v>1768</v>
      </c>
      <c r="D46" s="9" t="s">
        <v>7272</v>
      </c>
      <c r="E46" s="9" t="s">
        <v>760</v>
      </c>
      <c r="F46" s="9" t="s">
        <v>7213</v>
      </c>
      <c r="G46" s="9" t="s">
        <v>7311</v>
      </c>
      <c r="H46" s="9" t="s">
        <v>7307</v>
      </c>
      <c r="I46" s="9"/>
    </row>
    <row r="47" spans="1:9" x14ac:dyDescent="0.35">
      <c r="A47" s="9" t="s">
        <v>7174</v>
      </c>
      <c r="B47" s="9" t="s">
        <v>769</v>
      </c>
      <c r="C47" s="9" t="s">
        <v>1773</v>
      </c>
      <c r="D47" s="9" t="s">
        <v>7273</v>
      </c>
      <c r="E47" s="9" t="s">
        <v>768</v>
      </c>
      <c r="F47" s="9" t="s">
        <v>7214</v>
      </c>
      <c r="G47" s="9" t="s">
        <v>7310</v>
      </c>
      <c r="H47" s="9" t="s">
        <v>1413</v>
      </c>
      <c r="I47" s="9"/>
    </row>
    <row r="48" spans="1:9" x14ac:dyDescent="0.35">
      <c r="A48" s="9" t="s">
        <v>7174</v>
      </c>
      <c r="B48" s="9" t="s">
        <v>779</v>
      </c>
      <c r="C48" s="9" t="s">
        <v>1778</v>
      </c>
      <c r="D48" s="9" t="s">
        <v>7274</v>
      </c>
      <c r="E48" s="9" t="s">
        <v>778</v>
      </c>
      <c r="F48" s="9" t="s">
        <v>7215</v>
      </c>
      <c r="G48" s="9" t="s">
        <v>7309</v>
      </c>
      <c r="H48" s="9" t="s">
        <v>7307</v>
      </c>
      <c r="I48" s="9"/>
    </row>
    <row r="49" spans="1:9" x14ac:dyDescent="0.35">
      <c r="A49" s="9" t="s">
        <v>7174</v>
      </c>
      <c r="B49" s="9" t="s">
        <v>803</v>
      </c>
      <c r="C49" s="9" t="s">
        <v>1783</v>
      </c>
      <c r="D49" s="9" t="s">
        <v>7275</v>
      </c>
      <c r="E49" s="9" t="s">
        <v>802</v>
      </c>
      <c r="F49" s="9" t="s">
        <v>7216</v>
      </c>
      <c r="G49" s="9" t="s">
        <v>7301</v>
      </c>
      <c r="H49" s="9" t="s">
        <v>7302</v>
      </c>
      <c r="I49" s="9"/>
    </row>
    <row r="50" spans="1:9" x14ac:dyDescent="0.35">
      <c r="A50" s="9" t="s">
        <v>7174</v>
      </c>
      <c r="B50" s="9" t="s">
        <v>812</v>
      </c>
      <c r="C50" s="9" t="s">
        <v>1788</v>
      </c>
      <c r="D50" s="9" t="s">
        <v>7276</v>
      </c>
      <c r="E50" s="9" t="s">
        <v>811</v>
      </c>
      <c r="F50" s="9" t="s">
        <v>7217</v>
      </c>
      <c r="G50" s="9" t="s">
        <v>7312</v>
      </c>
      <c r="H50" s="9" t="s">
        <v>7307</v>
      </c>
      <c r="I50" s="9"/>
    </row>
    <row r="51" spans="1:9" x14ac:dyDescent="0.35">
      <c r="A51" s="9" t="s">
        <v>7174</v>
      </c>
      <c r="B51" s="9" t="s">
        <v>821</v>
      </c>
      <c r="C51" s="9" t="s">
        <v>1793</v>
      </c>
      <c r="D51" s="9" t="s">
        <v>7277</v>
      </c>
      <c r="E51" s="9" t="s">
        <v>820</v>
      </c>
      <c r="F51" s="9" t="s">
        <v>7218</v>
      </c>
      <c r="G51" s="9" t="s">
        <v>7303</v>
      </c>
      <c r="H51" s="9" t="s">
        <v>7307</v>
      </c>
      <c r="I51" s="9"/>
    </row>
    <row r="52" spans="1:9" x14ac:dyDescent="0.35">
      <c r="A52" s="9" t="s">
        <v>7174</v>
      </c>
      <c r="B52" s="9" t="s">
        <v>837</v>
      </c>
      <c r="C52" s="9" t="s">
        <v>1798</v>
      </c>
      <c r="D52" s="9" t="s">
        <v>7278</v>
      </c>
      <c r="E52" s="9" t="s">
        <v>836</v>
      </c>
      <c r="F52" s="9" t="s">
        <v>7219</v>
      </c>
      <c r="G52" s="9" t="s">
        <v>7308</v>
      </c>
      <c r="H52" s="9" t="s">
        <v>7307</v>
      </c>
      <c r="I52" s="9"/>
    </row>
    <row r="53" spans="1:9" x14ac:dyDescent="0.35">
      <c r="A53" s="9" t="s">
        <v>7174</v>
      </c>
      <c r="B53" s="9" t="s">
        <v>846</v>
      </c>
      <c r="C53" s="9" t="s">
        <v>1803</v>
      </c>
      <c r="D53" s="9" t="s">
        <v>7279</v>
      </c>
      <c r="E53" s="9" t="s">
        <v>849</v>
      </c>
      <c r="F53" s="9" t="s">
        <v>7220</v>
      </c>
      <c r="G53" s="9" t="s">
        <v>7311</v>
      </c>
      <c r="H53" s="9" t="s">
        <v>7307</v>
      </c>
      <c r="I53" s="9"/>
    </row>
    <row r="54" spans="1:9" x14ac:dyDescent="0.35">
      <c r="A54" s="9" t="s">
        <v>7174</v>
      </c>
      <c r="B54" s="9" t="s">
        <v>857</v>
      </c>
      <c r="C54" s="9" t="s">
        <v>1808</v>
      </c>
      <c r="D54" s="9" t="s">
        <v>7280</v>
      </c>
      <c r="E54" s="9" t="s">
        <v>856</v>
      </c>
      <c r="F54" s="9" t="s">
        <v>7221</v>
      </c>
      <c r="G54" s="9" t="s">
        <v>7306</v>
      </c>
      <c r="H54" s="9" t="s">
        <v>7302</v>
      </c>
      <c r="I54" s="9"/>
    </row>
    <row r="55" spans="1:9" x14ac:dyDescent="0.35">
      <c r="A55" s="9" t="s">
        <v>7174</v>
      </c>
      <c r="B55" s="9" t="s">
        <v>919</v>
      </c>
      <c r="C55" s="9" t="s">
        <v>1813</v>
      </c>
      <c r="D55" s="9" t="s">
        <v>7281</v>
      </c>
      <c r="E55" s="9" t="s">
        <v>918</v>
      </c>
      <c r="F55" s="9" t="s">
        <v>7222</v>
      </c>
      <c r="G55" s="9" t="s">
        <v>7309</v>
      </c>
      <c r="H55" s="9" t="s">
        <v>7307</v>
      </c>
      <c r="I55" s="9"/>
    </row>
    <row r="56" spans="1:9" x14ac:dyDescent="0.35">
      <c r="A56" s="9" t="s">
        <v>7174</v>
      </c>
      <c r="B56" s="9" t="s">
        <v>951</v>
      </c>
      <c r="C56" s="9" t="s">
        <v>1818</v>
      </c>
      <c r="D56" s="9" t="s">
        <v>7282</v>
      </c>
      <c r="E56" s="9" t="s">
        <v>950</v>
      </c>
      <c r="F56" s="9" t="s">
        <v>7223</v>
      </c>
      <c r="G56" s="9" t="s">
        <v>7309</v>
      </c>
      <c r="H56" s="9" t="s">
        <v>7302</v>
      </c>
      <c r="I56" s="9"/>
    </row>
    <row r="57" spans="1:9" x14ac:dyDescent="0.35">
      <c r="A57" s="9" t="s">
        <v>7174</v>
      </c>
      <c r="B57" s="9" t="s">
        <v>1315</v>
      </c>
      <c r="C57" s="9" t="s">
        <v>1823</v>
      </c>
      <c r="D57" s="9" t="s">
        <v>7283</v>
      </c>
      <c r="E57" s="9" t="s">
        <v>1314</v>
      </c>
      <c r="F57" s="9" t="s">
        <v>7224</v>
      </c>
      <c r="G57" s="9" t="s">
        <v>7314</v>
      </c>
      <c r="H57" s="9" t="s">
        <v>1413</v>
      </c>
      <c r="I57" s="9"/>
    </row>
    <row r="58" spans="1:9" x14ac:dyDescent="0.35">
      <c r="A58" s="9" t="s">
        <v>7174</v>
      </c>
      <c r="B58" s="9" t="s">
        <v>1177</v>
      </c>
      <c r="C58" s="9" t="s">
        <v>1828</v>
      </c>
      <c r="D58" s="9" t="s">
        <v>7284</v>
      </c>
      <c r="E58" s="9" t="s">
        <v>1176</v>
      </c>
      <c r="F58" s="9" t="s">
        <v>7225</v>
      </c>
      <c r="G58" s="9" t="s">
        <v>7308</v>
      </c>
      <c r="H58" s="9" t="s">
        <v>7302</v>
      </c>
      <c r="I58" s="9"/>
    </row>
    <row r="59" spans="1:9" x14ac:dyDescent="0.35">
      <c r="A59" s="9" t="s">
        <v>7174</v>
      </c>
      <c r="B59" s="9" t="s">
        <v>1185</v>
      </c>
      <c r="C59" s="9" t="s">
        <v>1833</v>
      </c>
      <c r="D59" s="9" t="s">
        <v>7285</v>
      </c>
      <c r="E59" s="9" t="s">
        <v>1184</v>
      </c>
      <c r="F59" s="9" t="s">
        <v>7226</v>
      </c>
      <c r="G59" s="9" t="s">
        <v>103</v>
      </c>
      <c r="H59" s="9" t="s">
        <v>7302</v>
      </c>
      <c r="I59" s="9"/>
    </row>
    <row r="60" spans="1:9" x14ac:dyDescent="0.35">
      <c r="A60" s="9" t="s">
        <v>7174</v>
      </c>
      <c r="B60" s="9" t="s">
        <v>1194</v>
      </c>
      <c r="C60" s="9" t="s">
        <v>1838</v>
      </c>
      <c r="D60" s="9" t="s">
        <v>7286</v>
      </c>
      <c r="E60" s="9" t="s">
        <v>1193</v>
      </c>
      <c r="F60" s="9" t="s">
        <v>7227</v>
      </c>
      <c r="G60" s="9" t="s">
        <v>7312</v>
      </c>
      <c r="H60" s="9" t="s">
        <v>1413</v>
      </c>
      <c r="I60" s="9"/>
    </row>
    <row r="61" spans="1:9" x14ac:dyDescent="0.35">
      <c r="A61" s="9" t="s">
        <v>7174</v>
      </c>
      <c r="B61" s="9" t="s">
        <v>1200</v>
      </c>
      <c r="C61" s="9" t="s">
        <v>1843</v>
      </c>
      <c r="D61" s="9" t="s">
        <v>7287</v>
      </c>
      <c r="E61" s="9" t="s">
        <v>1199</v>
      </c>
      <c r="F61" s="9" t="s">
        <v>7228</v>
      </c>
      <c r="G61" s="9" t="s">
        <v>7303</v>
      </c>
      <c r="H61" s="9" t="s">
        <v>7307</v>
      </c>
      <c r="I61" s="9"/>
    </row>
    <row r="62" spans="1:9" x14ac:dyDescent="0.35">
      <c r="A62" s="9" t="s">
        <v>7174</v>
      </c>
      <c r="B62" s="9" t="s">
        <v>1215</v>
      </c>
      <c r="C62" s="9" t="s">
        <v>1848</v>
      </c>
      <c r="D62" s="9" t="s">
        <v>7288</v>
      </c>
      <c r="E62" s="9" t="s">
        <v>1214</v>
      </c>
      <c r="F62" s="9" t="s">
        <v>7229</v>
      </c>
      <c r="G62" s="9" t="s">
        <v>7303</v>
      </c>
      <c r="H62" s="9" t="s">
        <v>7307</v>
      </c>
      <c r="I62" s="9"/>
    </row>
    <row r="63" spans="1:9" x14ac:dyDescent="0.35">
      <c r="A63" s="9" t="s">
        <v>7174</v>
      </c>
      <c r="B63" s="9" t="s">
        <v>1223</v>
      </c>
      <c r="C63" s="9" t="s">
        <v>1853</v>
      </c>
      <c r="D63" s="9" t="s">
        <v>7289</v>
      </c>
      <c r="E63" s="9" t="s">
        <v>1222</v>
      </c>
      <c r="F63" s="9" t="s">
        <v>7230</v>
      </c>
      <c r="G63" s="9" t="s">
        <v>7305</v>
      </c>
      <c r="H63" s="9" t="s">
        <v>1413</v>
      </c>
      <c r="I63" s="9"/>
    </row>
    <row r="64" spans="1:9" x14ac:dyDescent="0.35">
      <c r="A64" s="9" t="s">
        <v>7174</v>
      </c>
      <c r="B64" s="9" t="s">
        <v>1287</v>
      </c>
      <c r="C64" s="9" t="s">
        <v>1858</v>
      </c>
      <c r="D64" s="9" t="s">
        <v>7290</v>
      </c>
      <c r="E64" s="9" t="s">
        <v>1290</v>
      </c>
      <c r="F64" s="9" t="s">
        <v>7231</v>
      </c>
      <c r="G64" s="9" t="s">
        <v>7310</v>
      </c>
      <c r="H64" s="9" t="s">
        <v>1408</v>
      </c>
      <c r="I64" s="9"/>
    </row>
    <row r="65" spans="1:9" x14ac:dyDescent="0.35">
      <c r="A65" s="9" t="s">
        <v>7174</v>
      </c>
      <c r="B65" s="9" t="s">
        <v>1863</v>
      </c>
      <c r="C65" s="9" t="s">
        <v>1864</v>
      </c>
      <c r="D65" s="9" t="s">
        <v>7291</v>
      </c>
      <c r="E65" s="9"/>
      <c r="F65" s="9"/>
      <c r="G65" s="9"/>
      <c r="H65" s="9"/>
      <c r="I65" s="9"/>
    </row>
    <row r="66" spans="1:9" x14ac:dyDescent="0.35">
      <c r="A66" s="9" t="s">
        <v>7174</v>
      </c>
      <c r="B66" s="9" t="s">
        <v>1869</v>
      </c>
      <c r="C66" s="9" t="s">
        <v>1870</v>
      </c>
      <c r="D66" s="9" t="s">
        <v>7292</v>
      </c>
      <c r="E66" s="9"/>
      <c r="F66" s="9"/>
      <c r="G66" s="9"/>
      <c r="H66" s="9"/>
      <c r="I66" s="9"/>
    </row>
    <row r="67" spans="1:9" x14ac:dyDescent="0.35">
      <c r="A67" s="9" t="s">
        <v>7174</v>
      </c>
      <c r="B67" s="9" t="s">
        <v>1875</v>
      </c>
      <c r="C67" s="9" t="s">
        <v>1876</v>
      </c>
      <c r="D67" s="9" t="s">
        <v>7293</v>
      </c>
      <c r="E67" s="9"/>
      <c r="F67" s="9"/>
      <c r="G67" s="9"/>
      <c r="H67" s="9"/>
      <c r="I67" s="9"/>
    </row>
    <row r="68" spans="1:9" x14ac:dyDescent="0.35">
      <c r="A68" s="9" t="s">
        <v>7174</v>
      </c>
      <c r="B68" s="9" t="s">
        <v>1881</v>
      </c>
      <c r="C68" s="9" t="s">
        <v>1882</v>
      </c>
      <c r="D68" s="9" t="s">
        <v>7294</v>
      </c>
      <c r="E68" s="9"/>
      <c r="F68" s="9"/>
      <c r="G68" s="9"/>
      <c r="H68" s="9"/>
      <c r="I68" s="9"/>
    </row>
    <row r="69" spans="1:9" x14ac:dyDescent="0.35">
      <c r="A69" s="9" t="s">
        <v>7174</v>
      </c>
      <c r="B69" s="9" t="s">
        <v>1887</v>
      </c>
      <c r="C69" s="9" t="s">
        <v>1888</v>
      </c>
      <c r="D69" s="9" t="s">
        <v>7295</v>
      </c>
      <c r="E69" s="9"/>
      <c r="F69" s="9"/>
      <c r="G69" s="9"/>
      <c r="H69" s="9"/>
      <c r="I69" s="9"/>
    </row>
    <row r="70" spans="1:9" x14ac:dyDescent="0.35">
      <c r="A70" s="9" t="s">
        <v>7174</v>
      </c>
      <c r="B70" s="9" t="s">
        <v>1893</v>
      </c>
      <c r="C70" s="9" t="s">
        <v>1894</v>
      </c>
      <c r="D70" s="9" t="s">
        <v>7296</v>
      </c>
      <c r="E70" s="9"/>
      <c r="F70" s="9"/>
      <c r="G70" s="9"/>
      <c r="H70" s="9"/>
      <c r="I70" s="9"/>
    </row>
    <row r="71" spans="1:9" x14ac:dyDescent="0.35">
      <c r="A71" s="9" t="s">
        <v>7174</v>
      </c>
      <c r="B71" s="9" t="s">
        <v>1899</v>
      </c>
      <c r="C71" s="9" t="s">
        <v>1900</v>
      </c>
      <c r="D71" s="9" t="s">
        <v>7297</v>
      </c>
      <c r="E71" s="9"/>
      <c r="F71" s="9"/>
      <c r="G71" s="9"/>
      <c r="H71" s="9"/>
      <c r="I71" s="9"/>
    </row>
    <row r="72" spans="1:9" x14ac:dyDescent="0.35">
      <c r="A72" s="9" t="s">
        <v>7174</v>
      </c>
      <c r="B72" s="9" t="s">
        <v>1912</v>
      </c>
      <c r="C72" s="9" t="s">
        <v>1913</v>
      </c>
      <c r="D72" s="9" t="s">
        <v>7298</v>
      </c>
      <c r="E72" s="9"/>
      <c r="F72" s="9"/>
      <c r="G72" s="9"/>
      <c r="H72" s="9"/>
      <c r="I72" s="9"/>
    </row>
    <row r="73" spans="1:9" x14ac:dyDescent="0.35">
      <c r="A73" s="9" t="s">
        <v>7174</v>
      </c>
      <c r="B73" s="9" t="s">
        <v>3770</v>
      </c>
      <c r="C73" s="9" t="s">
        <v>3771</v>
      </c>
      <c r="D73" s="9" t="s">
        <v>7299</v>
      </c>
      <c r="E73" s="9"/>
      <c r="F73" s="9"/>
      <c r="G73" s="9"/>
      <c r="H73" s="9"/>
      <c r="I73" s="9"/>
    </row>
    <row r="74" spans="1:9" x14ac:dyDescent="0.35">
      <c r="A74" s="9" t="s">
        <v>7174</v>
      </c>
      <c r="B74" s="9" t="s">
        <v>3776</v>
      </c>
      <c r="C74" s="9" t="s">
        <v>3777</v>
      </c>
      <c r="D74" s="9" t="s">
        <v>7300</v>
      </c>
      <c r="E74" s="9"/>
      <c r="F74" s="9"/>
      <c r="G74" s="9"/>
      <c r="H74" s="9"/>
      <c r="I74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8952-CF44-4991-AD2E-7F970F47495F}">
  <dimension ref="A1:BS437"/>
  <sheetViews>
    <sheetView topLeftCell="B1" workbookViewId="0">
      <selection activeCell="G28" sqref="G28"/>
    </sheetView>
  </sheetViews>
  <sheetFormatPr defaultRowHeight="14.5" x14ac:dyDescent="0.35"/>
  <cols>
    <col min="1" max="1" width="11.1796875" bestFit="1" customWidth="1"/>
    <col min="2" max="2" width="21.6328125" bestFit="1" customWidth="1"/>
    <col min="3" max="3" width="9.08984375" bestFit="1" customWidth="1"/>
    <col min="4" max="4" width="9.08984375" customWidth="1"/>
    <col min="5" max="5" width="13.36328125" customWidth="1"/>
    <col min="6" max="6" width="17.453125" bestFit="1" customWidth="1"/>
    <col min="7" max="7" width="7.54296875" customWidth="1"/>
    <col min="8" max="8" width="1.6328125" customWidth="1"/>
    <col min="9" max="9" width="14.26953125" bestFit="1" customWidth="1"/>
    <col min="10" max="10" width="15.08984375" bestFit="1" customWidth="1"/>
    <col min="11" max="19" width="1.6328125" customWidth="1"/>
    <col min="20" max="20" width="1.6328125" style="5" customWidth="1"/>
    <col min="21" max="21" width="40.36328125" bestFit="1" customWidth="1"/>
    <col min="22" max="23" width="1.6328125" customWidth="1"/>
    <col min="24" max="24" width="38" bestFit="1" customWidth="1"/>
    <col min="25" max="25" width="34.54296875" bestFit="1" customWidth="1"/>
    <col min="26" max="26" width="26.1796875" bestFit="1" customWidth="1"/>
    <col min="27" max="27" width="28" bestFit="1" customWidth="1"/>
    <col min="28" max="28" width="23.6328125" bestFit="1" customWidth="1"/>
    <col min="29" max="29" width="36.81640625" bestFit="1" customWidth="1"/>
    <col min="30" max="30" width="35.7265625" bestFit="1" customWidth="1"/>
    <col min="31" max="31" width="32.90625" bestFit="1" customWidth="1"/>
    <col min="32" max="32" width="44.26953125" bestFit="1" customWidth="1"/>
    <col min="33" max="33" width="35.08984375" bestFit="1" customWidth="1"/>
    <col min="34" max="34" width="45.90625" bestFit="1" customWidth="1"/>
    <col min="35" max="35" width="36.81640625" bestFit="1" customWidth="1"/>
    <col min="36" max="36" width="35.81640625" bestFit="1" customWidth="1"/>
    <col min="37" max="37" width="22.453125" bestFit="1" customWidth="1"/>
    <col min="38" max="38" width="21.36328125" bestFit="1" customWidth="1"/>
    <col min="39" max="39" width="35.453125" bestFit="1" customWidth="1"/>
    <col min="40" max="40" width="16.453125" bestFit="1" customWidth="1"/>
    <col min="41" max="41" width="21.81640625" bestFit="1" customWidth="1"/>
    <col min="42" max="42" width="21.26953125" bestFit="1" customWidth="1"/>
    <col min="43" max="43" width="30.81640625" bestFit="1" customWidth="1"/>
    <col min="44" max="44" width="26.7265625" bestFit="1" customWidth="1"/>
    <col min="45" max="45" width="26.81640625" bestFit="1" customWidth="1"/>
    <col min="46" max="46" width="24.90625" bestFit="1" customWidth="1"/>
    <col min="47" max="47" width="21.08984375" bestFit="1" customWidth="1"/>
    <col min="48" max="48" width="22.6328125" bestFit="1" customWidth="1"/>
    <col min="49" max="49" width="22.54296875" bestFit="1" customWidth="1"/>
    <col min="50" max="50" width="20.26953125" bestFit="1" customWidth="1"/>
    <col min="51" max="51" width="21.08984375" bestFit="1" customWidth="1"/>
    <col min="52" max="52" width="24.7265625" bestFit="1" customWidth="1"/>
    <col min="53" max="53" width="32.08984375" bestFit="1" customWidth="1"/>
    <col min="54" max="54" width="22.6328125" bestFit="1" customWidth="1"/>
    <col min="55" max="55" width="53.36328125" bestFit="1" customWidth="1"/>
    <col min="56" max="56" width="36.81640625" bestFit="1" customWidth="1"/>
    <col min="57" max="57" width="29.36328125" bestFit="1" customWidth="1"/>
    <col min="58" max="58" width="25.54296875" bestFit="1" customWidth="1"/>
    <col min="59" max="59" width="28.90625" bestFit="1" customWidth="1"/>
    <col min="60" max="60" width="21.54296875" bestFit="1" customWidth="1"/>
    <col min="61" max="61" width="27.08984375" bestFit="1" customWidth="1"/>
    <col min="62" max="62" width="22.36328125" bestFit="1" customWidth="1"/>
    <col min="63" max="63" width="71.81640625" bestFit="1" customWidth="1"/>
    <col min="64" max="64" width="34" bestFit="1" customWidth="1"/>
    <col min="65" max="65" width="33.36328125" bestFit="1" customWidth="1"/>
    <col min="66" max="66" width="23" bestFit="1" customWidth="1"/>
    <col min="67" max="67" width="28.81640625" bestFit="1" customWidth="1"/>
    <col min="68" max="68" width="22.36328125" bestFit="1" customWidth="1"/>
    <col min="69" max="69" width="30.453125" bestFit="1" customWidth="1"/>
    <col min="70" max="70" width="25.81640625" bestFit="1" customWidth="1"/>
    <col min="71" max="71" width="18.7265625" customWidth="1"/>
  </cols>
  <sheetData>
    <row r="1" spans="1:71" x14ac:dyDescent="0.35">
      <c r="C1" s="4">
        <f>COUNTIF(ChargentOrders[Claude],TRUE)</f>
        <v>435</v>
      </c>
      <c r="D1" s="4"/>
      <c r="E1" s="4"/>
      <c r="F1" s="4"/>
      <c r="G1" s="4">
        <f>SUBTOTAL(103,ChargentOrders[Id])</f>
        <v>435</v>
      </c>
    </row>
    <row r="2" spans="1:71" x14ac:dyDescent="0.35">
      <c r="A2" s="3" t="s">
        <v>1901</v>
      </c>
      <c r="B2" s="3" t="s">
        <v>1902</v>
      </c>
      <c r="C2" s="3" t="s">
        <v>1903</v>
      </c>
      <c r="D2" s="3" t="s">
        <v>2348</v>
      </c>
      <c r="E2" s="3" t="s">
        <v>3763</v>
      </c>
      <c r="F2" s="3" t="s">
        <v>3801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s="5" t="s">
        <v>17</v>
      </c>
      <c r="Y2" s="6" t="s">
        <v>18</v>
      </c>
      <c r="Z2" t="s">
        <v>19</v>
      </c>
      <c r="AA2" s="7" t="s">
        <v>20</v>
      </c>
      <c r="AB2" s="7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s="8" t="s">
        <v>27</v>
      </c>
      <c r="AI2" s="8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48</v>
      </c>
      <c r="BD2" t="s">
        <v>49</v>
      </c>
      <c r="BE2" t="s">
        <v>50</v>
      </c>
      <c r="BF2" t="s">
        <v>51</v>
      </c>
      <c r="BG2" t="s">
        <v>52</v>
      </c>
      <c r="BH2" t="s">
        <v>53</v>
      </c>
      <c r="BI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S2" t="s">
        <v>64</v>
      </c>
    </row>
    <row r="3" spans="1:71" x14ac:dyDescent="0.35">
      <c r="A3" t="b">
        <f>ISNUMBER(MATCH(ChargentOrders[[#This Row],[Contract__c]],Contract[Id],0))</f>
        <v>1</v>
      </c>
      <c r="B3">
        <f>IFERROR(INDEX(Contract[CB_Subscription__c],MATCH(ChargentOrders[[#This Row],[Contract__c]],Contract[Id],0)),0)</f>
        <v>0</v>
      </c>
      <c r="C3" t="b">
        <f>ISNUMBER(MATCH(ChargentOrders[[#This Row],[Id]],Claude[Id],0))</f>
        <v>1</v>
      </c>
      <c r="D3" t="b">
        <f>AND(ChargentOrders[[#This Row],[_Contract]],ChargentOrders[[#This Row],[CB Subscription]]=0)</f>
        <v>1</v>
      </c>
      <c r="E3" s="38">
        <f>INDEX(Table5[CUENTA],MATCH(ChargentOrders[[#This Row],[Contract__c]],Table5[SM_Contract__c],0))</f>
        <v>46021</v>
      </c>
      <c r="F3" s="38" t="str">
        <f ca="1">INDEX(Table5[ESTADO],MATCH(ChargentOrders[[#This Row],[Contract__c]],Table5[SM_Contract__c],0))</f>
        <v>DEBE 5</v>
      </c>
      <c r="G3" t="s">
        <v>375</v>
      </c>
      <c r="H3" t="s">
        <v>81</v>
      </c>
      <c r="I3" t="s">
        <v>376</v>
      </c>
      <c r="J3" s="1">
        <v>45860.630370370367</v>
      </c>
      <c r="K3">
        <v>6</v>
      </c>
      <c r="L3">
        <v>2029</v>
      </c>
      <c r="M3" t="s">
        <v>1411</v>
      </c>
      <c r="N3">
        <v>6</v>
      </c>
      <c r="O3" t="s">
        <v>1451</v>
      </c>
      <c r="P3" t="s">
        <v>66</v>
      </c>
      <c r="Q3">
        <v>2029</v>
      </c>
      <c r="R3">
        <v>0</v>
      </c>
      <c r="T3" t="s">
        <v>67</v>
      </c>
      <c r="U3" t="s">
        <v>68</v>
      </c>
      <c r="V3">
        <v>0</v>
      </c>
      <c r="W3" t="s">
        <v>69</v>
      </c>
      <c r="X3" s="5"/>
      <c r="Y3" t="s">
        <v>68</v>
      </c>
      <c r="Z3" t="s">
        <v>68</v>
      </c>
      <c r="AA3">
        <v>0</v>
      </c>
      <c r="AC3" t="s">
        <v>377</v>
      </c>
      <c r="AD3" t="s">
        <v>68</v>
      </c>
      <c r="AE3">
        <v>0</v>
      </c>
      <c r="AF3" s="1"/>
      <c r="AG3" s="1">
        <v>45860.63040509259</v>
      </c>
      <c r="AH3">
        <v>0</v>
      </c>
      <c r="AI3">
        <v>1</v>
      </c>
      <c r="AJ3">
        <v>0</v>
      </c>
      <c r="AK3" t="s">
        <v>378</v>
      </c>
      <c r="AL3" t="s">
        <v>68</v>
      </c>
      <c r="AM3" t="s">
        <v>68</v>
      </c>
      <c r="AN3">
        <v>0</v>
      </c>
      <c r="AO3" s="1"/>
      <c r="AP3">
        <v>1</v>
      </c>
      <c r="AS3" t="s">
        <v>75</v>
      </c>
      <c r="AT3" t="s">
        <v>68</v>
      </c>
      <c r="AU3">
        <v>0</v>
      </c>
      <c r="AV3" t="s">
        <v>68</v>
      </c>
      <c r="AW3">
        <v>1</v>
      </c>
      <c r="AX3" s="1"/>
      <c r="AZ3" t="s">
        <v>68</v>
      </c>
      <c r="BA3" t="s">
        <v>68</v>
      </c>
      <c r="BB3" t="s">
        <v>68</v>
      </c>
      <c r="BC3" t="s">
        <v>68</v>
      </c>
      <c r="BD3">
        <v>0</v>
      </c>
      <c r="BE3" s="1"/>
      <c r="BF3" s="1">
        <v>45860.63040509259</v>
      </c>
      <c r="BG3" t="s">
        <v>68</v>
      </c>
      <c r="BH3" t="s">
        <v>68</v>
      </c>
      <c r="BI3" t="s">
        <v>68</v>
      </c>
      <c r="BJ3" t="s">
        <v>68</v>
      </c>
      <c r="BK3" t="s">
        <v>68</v>
      </c>
      <c r="BL3" t="s">
        <v>68</v>
      </c>
      <c r="BM3" t="s">
        <v>68</v>
      </c>
      <c r="BN3" t="s">
        <v>68</v>
      </c>
      <c r="BO3" t="s">
        <v>96</v>
      </c>
      <c r="BP3">
        <v>0</v>
      </c>
      <c r="BQ3" t="s">
        <v>68</v>
      </c>
      <c r="BR3" t="s">
        <v>68</v>
      </c>
      <c r="BS3" t="s">
        <v>68</v>
      </c>
    </row>
    <row r="4" spans="1:71" x14ac:dyDescent="0.35">
      <c r="A4" t="b">
        <f>ISNUMBER(MATCH(ChargentOrders[[#This Row],[Contract__c]],Contract[Id],0))</f>
        <v>1</v>
      </c>
      <c r="B4">
        <f>IFERROR(INDEX(Contract[CB_Subscription__c],MATCH(ChargentOrders[[#This Row],[Contract__c]],Contract[Id],0)),0)</f>
        <v>0</v>
      </c>
      <c r="C4" t="b">
        <f>ISNUMBER(MATCH(ChargentOrders[[#This Row],[Id]],Claude[Id],0))</f>
        <v>1</v>
      </c>
      <c r="D4" t="b">
        <f>AND(ChargentOrders[[#This Row],[_Contract]],ChargentOrders[[#This Row],[CB Subscription]]=0)</f>
        <v>1</v>
      </c>
      <c r="E4" s="38">
        <f>INDEX(Table5[CUENTA],MATCH(ChargentOrders[[#This Row],[Contract__c]],Table5[SM_Contract__c],0))</f>
        <v>46021</v>
      </c>
      <c r="F4" s="38" t="str">
        <f ca="1">INDEX(Table5[ESTADO],MATCH(ChargentOrders[[#This Row],[Contract__c]],Table5[SM_Contract__c],0))</f>
        <v>DEBE 5</v>
      </c>
      <c r="G4" t="s">
        <v>379</v>
      </c>
      <c r="H4" t="s">
        <v>81</v>
      </c>
      <c r="I4" t="s">
        <v>380</v>
      </c>
      <c r="J4" s="1">
        <v>45860.630428240744</v>
      </c>
      <c r="K4">
        <v>6</v>
      </c>
      <c r="L4">
        <v>2029</v>
      </c>
      <c r="M4" t="s">
        <v>1411</v>
      </c>
      <c r="N4">
        <v>6</v>
      </c>
      <c r="O4" t="s">
        <v>1451</v>
      </c>
      <c r="P4" t="s">
        <v>66</v>
      </c>
      <c r="Q4">
        <v>2029</v>
      </c>
      <c r="R4">
        <v>795</v>
      </c>
      <c r="T4" t="s">
        <v>67</v>
      </c>
      <c r="U4" t="s">
        <v>68</v>
      </c>
      <c r="V4">
        <v>0</v>
      </c>
      <c r="W4" t="s">
        <v>69</v>
      </c>
      <c r="X4" s="5">
        <v>45866</v>
      </c>
      <c r="Y4" t="s">
        <v>74</v>
      </c>
      <c r="Z4" t="s">
        <v>68</v>
      </c>
      <c r="AA4">
        <v>7950</v>
      </c>
      <c r="AB4">
        <v>0</v>
      </c>
      <c r="AC4" t="s">
        <v>377</v>
      </c>
      <c r="AD4" t="s">
        <v>68</v>
      </c>
      <c r="AE4">
        <v>0</v>
      </c>
      <c r="AF4" s="1">
        <v>45860.88417824074</v>
      </c>
      <c r="AG4" s="1">
        <v>45860.909247685187</v>
      </c>
      <c r="AH4">
        <v>1</v>
      </c>
      <c r="AI4">
        <v>2</v>
      </c>
      <c r="AJ4">
        <v>0</v>
      </c>
      <c r="AK4" t="s">
        <v>378</v>
      </c>
      <c r="AL4" t="s">
        <v>77</v>
      </c>
      <c r="AM4" t="s">
        <v>68</v>
      </c>
      <c r="AN4">
        <v>0</v>
      </c>
      <c r="AO4" s="1"/>
      <c r="AQ4">
        <v>0</v>
      </c>
      <c r="AR4">
        <v>0</v>
      </c>
      <c r="AS4" t="s">
        <v>75</v>
      </c>
      <c r="AT4" t="s">
        <v>381</v>
      </c>
      <c r="AU4">
        <v>0</v>
      </c>
      <c r="AV4" t="s">
        <v>68</v>
      </c>
      <c r="AW4">
        <v>0</v>
      </c>
      <c r="AX4" s="1"/>
      <c r="AZ4" t="s">
        <v>68</v>
      </c>
      <c r="BA4" t="s">
        <v>68</v>
      </c>
      <c r="BB4" t="s">
        <v>68</v>
      </c>
      <c r="BC4" t="s">
        <v>68</v>
      </c>
      <c r="BD4">
        <v>0</v>
      </c>
      <c r="BE4" s="1"/>
      <c r="BF4" s="1">
        <v>45860.909247685187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  <c r="BL4" t="s">
        <v>68</v>
      </c>
      <c r="BM4" t="s">
        <v>68</v>
      </c>
      <c r="BN4" t="s">
        <v>68</v>
      </c>
      <c r="BO4" t="s">
        <v>96</v>
      </c>
      <c r="BP4">
        <v>0</v>
      </c>
      <c r="BQ4" t="s">
        <v>68</v>
      </c>
      <c r="BR4" t="s">
        <v>68</v>
      </c>
      <c r="BS4" t="s">
        <v>68</v>
      </c>
    </row>
    <row r="5" spans="1:71" x14ac:dyDescent="0.35">
      <c r="A5" t="b">
        <f>ISNUMBER(MATCH(ChargentOrders[[#This Row],[Contract__c]],Contract[Id],0))</f>
        <v>1</v>
      </c>
      <c r="B5">
        <f>IFERROR(INDEX(Contract[CB_Subscription__c],MATCH(ChargentOrders[[#This Row],[Contract__c]],Contract[Id],0)),0)</f>
        <v>0</v>
      </c>
      <c r="C5" t="b">
        <f>ISNUMBER(MATCH(ChargentOrders[[#This Row],[Id]],Claude[Id],0))</f>
        <v>1</v>
      </c>
      <c r="D5" t="b">
        <f>AND(ChargentOrders[[#This Row],[_Contract]],ChargentOrders[[#This Row],[CB Subscription]]=0)</f>
        <v>1</v>
      </c>
      <c r="E5" s="38">
        <f>INDEX(Table5[CUENTA],MATCH(ChargentOrders[[#This Row],[Contract__c]],Table5[SM_Contract__c],0))</f>
        <v>46021</v>
      </c>
      <c r="F5" s="38" t="str">
        <f ca="1">INDEX(Table5[ESTADO],MATCH(ChargentOrders[[#This Row],[Contract__c]],Table5[SM_Contract__c],0))</f>
        <v>DEBE 5</v>
      </c>
      <c r="G5" t="s">
        <v>382</v>
      </c>
      <c r="H5" t="s">
        <v>81</v>
      </c>
      <c r="I5" t="s">
        <v>383</v>
      </c>
      <c r="J5" s="1">
        <v>45860.630428240744</v>
      </c>
      <c r="K5">
        <v>6</v>
      </c>
      <c r="L5">
        <v>2029</v>
      </c>
      <c r="M5" t="s">
        <v>1411</v>
      </c>
      <c r="N5">
        <v>6</v>
      </c>
      <c r="O5" t="s">
        <v>1451</v>
      </c>
      <c r="P5" t="s">
        <v>66</v>
      </c>
      <c r="Q5">
        <v>2029</v>
      </c>
      <c r="R5">
        <v>8864</v>
      </c>
      <c r="T5" t="s">
        <v>67</v>
      </c>
      <c r="U5" t="s">
        <v>68</v>
      </c>
      <c r="V5">
        <v>0</v>
      </c>
      <c r="W5" t="s">
        <v>69</v>
      </c>
      <c r="X5" s="5">
        <v>45891</v>
      </c>
      <c r="Y5" t="s">
        <v>74</v>
      </c>
      <c r="Z5" t="s">
        <v>68</v>
      </c>
      <c r="AA5">
        <v>7950</v>
      </c>
      <c r="AB5">
        <v>914</v>
      </c>
      <c r="AC5" t="s">
        <v>377</v>
      </c>
      <c r="AD5" t="s">
        <v>68</v>
      </c>
      <c r="AE5">
        <v>0</v>
      </c>
      <c r="AF5" s="1"/>
      <c r="AG5" s="1"/>
      <c r="AH5">
        <v>0</v>
      </c>
      <c r="AI5">
        <v>1</v>
      </c>
      <c r="AJ5">
        <v>0</v>
      </c>
      <c r="AK5" t="s">
        <v>378</v>
      </c>
      <c r="AL5" t="s">
        <v>77</v>
      </c>
      <c r="AM5" t="s">
        <v>68</v>
      </c>
      <c r="AN5">
        <v>0</v>
      </c>
      <c r="AO5" s="1"/>
      <c r="AQ5">
        <v>10</v>
      </c>
      <c r="AR5">
        <v>105</v>
      </c>
      <c r="AS5" t="s">
        <v>75</v>
      </c>
      <c r="AT5" t="s">
        <v>384</v>
      </c>
      <c r="AU5">
        <v>0</v>
      </c>
      <c r="AV5" t="s">
        <v>68</v>
      </c>
      <c r="AW5">
        <v>0</v>
      </c>
      <c r="AX5" s="1"/>
      <c r="AZ5" t="s">
        <v>68</v>
      </c>
      <c r="BA5" t="s">
        <v>68</v>
      </c>
      <c r="BB5" t="s">
        <v>68</v>
      </c>
      <c r="BC5" t="s">
        <v>68</v>
      </c>
      <c r="BD5">
        <v>0</v>
      </c>
      <c r="BE5" s="1">
        <v>45891.421817129631</v>
      </c>
      <c r="BF5" s="1">
        <v>45891.421817129631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  <c r="BL5" t="s">
        <v>68</v>
      </c>
      <c r="BM5" t="s">
        <v>68</v>
      </c>
      <c r="BN5" t="s">
        <v>68</v>
      </c>
      <c r="BO5" t="s">
        <v>96</v>
      </c>
      <c r="BP5">
        <v>0</v>
      </c>
      <c r="BQ5" t="s">
        <v>68</v>
      </c>
      <c r="BR5" t="s">
        <v>68</v>
      </c>
      <c r="BS5" t="s">
        <v>77</v>
      </c>
    </row>
    <row r="6" spans="1:71" x14ac:dyDescent="0.35">
      <c r="A6" t="b">
        <f>ISNUMBER(MATCH(ChargentOrders[[#This Row],[Contract__c]],Contract[Id],0))</f>
        <v>1</v>
      </c>
      <c r="B6">
        <f>IFERROR(INDEX(Contract[CB_Subscription__c],MATCH(ChargentOrders[[#This Row],[Contract__c]],Contract[Id],0)),0)</f>
        <v>0</v>
      </c>
      <c r="C6" t="b">
        <f>ISNUMBER(MATCH(ChargentOrders[[#This Row],[Id]],Claude[Id],0))</f>
        <v>1</v>
      </c>
      <c r="D6" t="b">
        <f>AND(ChargentOrders[[#This Row],[_Contract]],ChargentOrders[[#This Row],[CB Subscription]]=0)</f>
        <v>1</v>
      </c>
      <c r="E6" s="38">
        <f>INDEX(Table5[CUENTA],MATCH(ChargentOrders[[#This Row],[Contract__c]],Table5[SM_Contract__c],0))</f>
        <v>46021</v>
      </c>
      <c r="F6" s="38" t="str">
        <f ca="1">INDEX(Table5[ESTADO],MATCH(ChargentOrders[[#This Row],[Contract__c]],Table5[SM_Contract__c],0))</f>
        <v>DEBE 5</v>
      </c>
      <c r="G6" t="s">
        <v>385</v>
      </c>
      <c r="H6" t="s">
        <v>78</v>
      </c>
      <c r="I6" t="s">
        <v>386</v>
      </c>
      <c r="J6" s="1">
        <v>45860.917337962965</v>
      </c>
      <c r="K6">
        <v>6</v>
      </c>
      <c r="L6">
        <v>2029</v>
      </c>
      <c r="M6" t="s">
        <v>1411</v>
      </c>
      <c r="N6">
        <v>6</v>
      </c>
      <c r="O6" t="s">
        <v>1452</v>
      </c>
      <c r="P6" t="s">
        <v>66</v>
      </c>
      <c r="Q6">
        <v>2029</v>
      </c>
      <c r="R6">
        <v>8865</v>
      </c>
      <c r="T6" t="s">
        <v>67</v>
      </c>
      <c r="U6" t="s">
        <v>68</v>
      </c>
      <c r="V6">
        <v>0</v>
      </c>
      <c r="W6" t="s">
        <v>69</v>
      </c>
      <c r="X6" s="5">
        <v>45864</v>
      </c>
      <c r="Y6" t="s">
        <v>74</v>
      </c>
      <c r="Z6" t="s">
        <v>68</v>
      </c>
      <c r="AA6">
        <v>7950</v>
      </c>
      <c r="AB6">
        <v>915</v>
      </c>
      <c r="AC6" t="s">
        <v>377</v>
      </c>
      <c r="AD6" t="s">
        <v>68</v>
      </c>
      <c r="AE6">
        <v>0</v>
      </c>
      <c r="AF6" s="1">
        <v>45864.417048611111</v>
      </c>
      <c r="AG6" s="1">
        <v>45864.417060185187</v>
      </c>
      <c r="AH6">
        <v>1</v>
      </c>
      <c r="AI6">
        <v>1</v>
      </c>
      <c r="AJ6">
        <v>8865</v>
      </c>
      <c r="AK6" t="s">
        <v>378</v>
      </c>
      <c r="AL6" t="s">
        <v>71</v>
      </c>
      <c r="AM6" t="s">
        <v>387</v>
      </c>
      <c r="AN6">
        <v>0</v>
      </c>
      <c r="AO6" s="1">
        <v>45860.916932870372</v>
      </c>
      <c r="AP6">
        <v>10</v>
      </c>
      <c r="AQ6">
        <v>10</v>
      </c>
      <c r="AR6">
        <v>105</v>
      </c>
      <c r="AS6" t="s">
        <v>75</v>
      </c>
      <c r="AT6" t="s">
        <v>68</v>
      </c>
      <c r="AU6">
        <v>0</v>
      </c>
      <c r="AV6" t="s">
        <v>388</v>
      </c>
      <c r="AW6">
        <v>0</v>
      </c>
      <c r="AX6" s="1"/>
      <c r="AZ6" t="s">
        <v>68</v>
      </c>
      <c r="BA6" t="s">
        <v>68</v>
      </c>
      <c r="BB6" t="s">
        <v>68</v>
      </c>
      <c r="BC6" t="s">
        <v>68</v>
      </c>
      <c r="BD6">
        <v>0</v>
      </c>
      <c r="BE6" s="1"/>
      <c r="BF6" s="1">
        <v>45864.417048611111</v>
      </c>
      <c r="BG6" t="s">
        <v>68</v>
      </c>
      <c r="BH6" t="s">
        <v>68</v>
      </c>
      <c r="BI6" t="s">
        <v>68</v>
      </c>
      <c r="BJ6" t="s">
        <v>68</v>
      </c>
      <c r="BK6" t="s">
        <v>68</v>
      </c>
      <c r="BL6" t="s">
        <v>68</v>
      </c>
      <c r="BM6" t="s">
        <v>68</v>
      </c>
      <c r="BN6" t="s">
        <v>68</v>
      </c>
      <c r="BO6" t="s">
        <v>96</v>
      </c>
      <c r="BP6">
        <v>0</v>
      </c>
      <c r="BQ6" t="s">
        <v>68</v>
      </c>
      <c r="BR6" t="s">
        <v>68</v>
      </c>
      <c r="BS6" t="s">
        <v>77</v>
      </c>
    </row>
    <row r="7" spans="1:71" x14ac:dyDescent="0.35">
      <c r="A7" t="b">
        <f>ISNUMBER(MATCH(ChargentOrders[[#This Row],[Contract__c]],Contract[Id],0))</f>
        <v>1</v>
      </c>
      <c r="B7">
        <f>IFERROR(INDEX(Contract[CB_Subscription__c],MATCH(ChargentOrders[[#This Row],[Contract__c]],Contract[Id],0)),0)</f>
        <v>0</v>
      </c>
      <c r="C7" t="b">
        <f>ISNUMBER(MATCH(ChargentOrders[[#This Row],[Id]],Claude[Id],0))</f>
        <v>1</v>
      </c>
      <c r="D7" t="b">
        <f>AND(ChargentOrders[[#This Row],[_Contract]],ChargentOrders[[#This Row],[CB Subscription]]=0)</f>
        <v>1</v>
      </c>
      <c r="E7" s="38">
        <f>INDEX(Table5[CUENTA],MATCH(ChargentOrders[[#This Row],[Contract__c]],Table5[SM_Contract__c],0))</f>
        <v>46021</v>
      </c>
      <c r="F7" s="38" t="str">
        <f ca="1">INDEX(Table5[ESTADO],MATCH(ChargentOrders[[#This Row],[Contract__c]],Table5[SM_Contract__c],0))</f>
        <v>DEBE 5</v>
      </c>
      <c r="G7" t="s">
        <v>389</v>
      </c>
      <c r="H7" t="s">
        <v>81</v>
      </c>
      <c r="I7" t="s">
        <v>390</v>
      </c>
      <c r="J7" s="1">
        <v>45864.41710648148</v>
      </c>
      <c r="K7">
        <v>6</v>
      </c>
      <c r="L7">
        <v>2029</v>
      </c>
      <c r="M7" t="s">
        <v>1411</v>
      </c>
      <c r="N7">
        <v>6</v>
      </c>
      <c r="O7" t="s">
        <v>1411</v>
      </c>
      <c r="P7" t="s">
        <v>66</v>
      </c>
      <c r="Q7">
        <v>2029</v>
      </c>
      <c r="R7">
        <v>7900</v>
      </c>
      <c r="S7">
        <v>30</v>
      </c>
      <c r="T7" t="s">
        <v>67</v>
      </c>
      <c r="U7" t="s">
        <v>68</v>
      </c>
      <c r="V7">
        <v>0</v>
      </c>
      <c r="W7" t="s">
        <v>69</v>
      </c>
      <c r="X7" s="5">
        <v>46233</v>
      </c>
      <c r="Y7" t="s">
        <v>84</v>
      </c>
      <c r="Z7" t="s">
        <v>68</v>
      </c>
      <c r="AA7">
        <v>7900</v>
      </c>
      <c r="AB7">
        <v>0</v>
      </c>
      <c r="AC7" t="s">
        <v>377</v>
      </c>
      <c r="AD7" t="s">
        <v>68</v>
      </c>
      <c r="AE7">
        <v>0</v>
      </c>
      <c r="AF7" s="1"/>
      <c r="AG7" s="1"/>
      <c r="AH7">
        <v>0</v>
      </c>
      <c r="AI7">
        <v>6</v>
      </c>
      <c r="AJ7">
        <v>0</v>
      </c>
      <c r="AK7" t="s">
        <v>378</v>
      </c>
      <c r="AL7" t="s">
        <v>76</v>
      </c>
      <c r="AM7" t="s">
        <v>68</v>
      </c>
      <c r="AN7">
        <v>0</v>
      </c>
      <c r="AO7" s="1"/>
      <c r="AP7">
        <v>7</v>
      </c>
      <c r="AQ7">
        <v>0</v>
      </c>
      <c r="AR7">
        <v>0</v>
      </c>
      <c r="AS7" t="s">
        <v>75</v>
      </c>
      <c r="AT7" t="s">
        <v>68</v>
      </c>
      <c r="AU7">
        <v>0</v>
      </c>
      <c r="AV7" t="s">
        <v>68</v>
      </c>
      <c r="AW7">
        <v>0</v>
      </c>
      <c r="AX7" s="1"/>
      <c r="AZ7" t="s">
        <v>68</v>
      </c>
      <c r="BA7" t="s">
        <v>68</v>
      </c>
      <c r="BB7" t="s">
        <v>68</v>
      </c>
      <c r="BC7" t="s">
        <v>68</v>
      </c>
      <c r="BD7">
        <v>0</v>
      </c>
      <c r="BE7" s="1">
        <v>46203.417048611111</v>
      </c>
      <c r="BF7" s="1">
        <v>46203.417048611111</v>
      </c>
      <c r="BG7" t="s">
        <v>68</v>
      </c>
      <c r="BH7" t="s">
        <v>68</v>
      </c>
      <c r="BI7" t="s">
        <v>68</v>
      </c>
      <c r="BJ7" t="s">
        <v>68</v>
      </c>
      <c r="BK7" t="s">
        <v>68</v>
      </c>
      <c r="BL7" t="s">
        <v>68</v>
      </c>
      <c r="BM7" t="s">
        <v>68</v>
      </c>
      <c r="BN7" t="s">
        <v>68</v>
      </c>
      <c r="BO7" t="s">
        <v>96</v>
      </c>
      <c r="BP7">
        <v>0</v>
      </c>
      <c r="BQ7" t="s">
        <v>68</v>
      </c>
      <c r="BR7" t="s">
        <v>68</v>
      </c>
      <c r="BS7" t="s">
        <v>68</v>
      </c>
    </row>
    <row r="8" spans="1:71" x14ac:dyDescent="0.35">
      <c r="A8" t="b">
        <f>ISNUMBER(MATCH(ChargentOrders[[#This Row],[Contract__c]],Contract[Id],0))</f>
        <v>1</v>
      </c>
      <c r="B8">
        <f>IFERROR(INDEX(Contract[CB_Subscription__c],MATCH(ChargentOrders[[#This Row],[Contract__c]],Contract[Id],0)),0)</f>
        <v>0</v>
      </c>
      <c r="C8" t="b">
        <f>ISNUMBER(MATCH(ChargentOrders[[#This Row],[Id]],Claude[Id],0))</f>
        <v>1</v>
      </c>
      <c r="D8" t="b">
        <f>AND(ChargentOrders[[#This Row],[_Contract]],ChargentOrders[[#This Row],[CB Subscription]]=0)</f>
        <v>1</v>
      </c>
      <c r="E8" s="38">
        <f>INDEX(Table5[CUENTA],MATCH(ChargentOrders[[#This Row],[Contract__c]],Table5[SM_Contract__c],0))</f>
        <v>46021</v>
      </c>
      <c r="F8" s="38" t="str">
        <f ca="1">INDEX(Table5[ESTADO],MATCH(ChargentOrders[[#This Row],[Contract__c]],Table5[SM_Contract__c],0))</f>
        <v>DEBE 5</v>
      </c>
      <c r="G8" t="s">
        <v>418</v>
      </c>
      <c r="H8" t="s">
        <v>81</v>
      </c>
      <c r="I8" t="s">
        <v>419</v>
      </c>
      <c r="J8" s="1">
        <v>45891.421851851854</v>
      </c>
      <c r="K8">
        <v>6</v>
      </c>
      <c r="L8">
        <v>2029</v>
      </c>
      <c r="M8" t="s">
        <v>1411</v>
      </c>
      <c r="N8">
        <v>6</v>
      </c>
      <c r="O8" t="s">
        <v>1451</v>
      </c>
      <c r="P8" t="s">
        <v>66</v>
      </c>
      <c r="Q8">
        <v>2029</v>
      </c>
      <c r="R8">
        <v>10450</v>
      </c>
      <c r="T8" t="s">
        <v>67</v>
      </c>
      <c r="U8" t="s">
        <v>68</v>
      </c>
      <c r="V8">
        <v>0</v>
      </c>
      <c r="W8" t="s">
        <v>69</v>
      </c>
      <c r="X8" s="5">
        <v>45978</v>
      </c>
      <c r="Y8" t="s">
        <v>74</v>
      </c>
      <c r="Z8" t="s">
        <v>68</v>
      </c>
      <c r="AA8">
        <v>10450</v>
      </c>
      <c r="AB8">
        <v>0</v>
      </c>
      <c r="AC8" t="s">
        <v>377</v>
      </c>
      <c r="AD8" t="s">
        <v>68</v>
      </c>
      <c r="AE8">
        <v>0</v>
      </c>
      <c r="AF8" s="1">
        <v>45978.419189814813</v>
      </c>
      <c r="AG8" s="1">
        <v>45978.41920138889</v>
      </c>
      <c r="AH8">
        <v>1</v>
      </c>
      <c r="AI8">
        <v>53</v>
      </c>
      <c r="AJ8">
        <v>1045</v>
      </c>
      <c r="AK8" t="s">
        <v>378</v>
      </c>
      <c r="AL8" t="s">
        <v>71</v>
      </c>
      <c r="AM8" t="s">
        <v>68</v>
      </c>
      <c r="AN8">
        <v>0</v>
      </c>
      <c r="AO8" s="1"/>
      <c r="AQ8">
        <v>0</v>
      </c>
      <c r="AR8">
        <v>0</v>
      </c>
      <c r="AS8" t="s">
        <v>72</v>
      </c>
      <c r="AT8" t="s">
        <v>384</v>
      </c>
      <c r="AU8">
        <v>1</v>
      </c>
      <c r="AV8" t="s">
        <v>420</v>
      </c>
      <c r="AW8">
        <v>0</v>
      </c>
      <c r="AX8" s="1">
        <v>45860.630428240744</v>
      </c>
      <c r="AY8">
        <v>2500</v>
      </c>
      <c r="AZ8" t="s">
        <v>68</v>
      </c>
      <c r="BA8" t="s">
        <v>65</v>
      </c>
      <c r="BB8" t="s">
        <v>68</v>
      </c>
      <c r="BC8" t="s">
        <v>68</v>
      </c>
      <c r="BD8">
        <v>0</v>
      </c>
      <c r="BE8" s="1">
        <v>45975.421620370369</v>
      </c>
      <c r="BF8" s="1">
        <v>45978.419189814813</v>
      </c>
      <c r="BG8" t="s">
        <v>68</v>
      </c>
      <c r="BH8" t="s">
        <v>68</v>
      </c>
      <c r="BI8" t="s">
        <v>68</v>
      </c>
      <c r="BJ8" t="s">
        <v>68</v>
      </c>
      <c r="BK8" t="s">
        <v>68</v>
      </c>
      <c r="BL8" t="s">
        <v>68</v>
      </c>
      <c r="BM8" t="s">
        <v>68</v>
      </c>
      <c r="BN8" t="s">
        <v>68</v>
      </c>
      <c r="BO8" t="s">
        <v>96</v>
      </c>
      <c r="BP8">
        <v>0</v>
      </c>
      <c r="BQ8" t="s">
        <v>68</v>
      </c>
      <c r="BR8" t="s">
        <v>68</v>
      </c>
      <c r="BS8" t="s">
        <v>77</v>
      </c>
    </row>
    <row r="9" spans="1:71" x14ac:dyDescent="0.35">
      <c r="A9" t="b">
        <f>ISNUMBER(MATCH(ChargentOrders[[#This Row],[Contract__c]],Contract[Id],0))</f>
        <v>1</v>
      </c>
      <c r="B9">
        <f>IFERROR(INDEX(Contract[CB_Subscription__c],MATCH(ChargentOrders[[#This Row],[Contract__c]],Contract[Id],0)),0)</f>
        <v>0</v>
      </c>
      <c r="C9" t="b">
        <f>ISNUMBER(MATCH(ChargentOrders[[#This Row],[Id]],Claude[Id],0))</f>
        <v>1</v>
      </c>
      <c r="D9" t="b">
        <f>AND(ChargentOrders[[#This Row],[_Contract]],ChargentOrders[[#This Row],[CB Subscription]]=0)</f>
        <v>1</v>
      </c>
      <c r="E9" s="38">
        <f>INDEX(Table5[CUENTA],MATCH(ChargentOrders[[#This Row],[Contract__c]],Table5[SM_Contract__c],0))</f>
        <v>46021</v>
      </c>
      <c r="F9" s="38" t="str">
        <f ca="1">INDEX(Table5[ESTADO],MATCH(ChargentOrders[[#This Row],[Contract__c]],Table5[SM_Contract__c],0))</f>
        <v>DEBE 5</v>
      </c>
      <c r="G9" t="s">
        <v>555</v>
      </c>
      <c r="H9" t="s">
        <v>81</v>
      </c>
      <c r="I9" t="s">
        <v>556</v>
      </c>
      <c r="J9" s="1">
        <v>45989.418032407404</v>
      </c>
      <c r="K9">
        <v>6</v>
      </c>
      <c r="L9">
        <v>2029</v>
      </c>
      <c r="M9" t="s">
        <v>1411</v>
      </c>
      <c r="N9">
        <v>6</v>
      </c>
      <c r="O9" t="s">
        <v>1411</v>
      </c>
      <c r="P9" t="s">
        <v>66</v>
      </c>
      <c r="Q9">
        <v>2029</v>
      </c>
      <c r="R9">
        <v>10400</v>
      </c>
      <c r="T9" t="s">
        <v>67</v>
      </c>
      <c r="U9" t="s">
        <v>68</v>
      </c>
      <c r="V9">
        <v>0</v>
      </c>
      <c r="W9" t="s">
        <v>69</v>
      </c>
      <c r="X9" s="5">
        <v>45992</v>
      </c>
      <c r="Y9" t="s">
        <v>74</v>
      </c>
      <c r="Z9" t="s">
        <v>68</v>
      </c>
      <c r="AA9">
        <v>10400</v>
      </c>
      <c r="AB9">
        <v>0</v>
      </c>
      <c r="AC9" t="s">
        <v>377</v>
      </c>
      <c r="AD9" t="s">
        <v>68</v>
      </c>
      <c r="AE9">
        <v>0</v>
      </c>
      <c r="AF9" s="1">
        <v>45992.429930555554</v>
      </c>
      <c r="AG9" s="1">
        <v>45992.429976851854</v>
      </c>
      <c r="AH9">
        <v>1</v>
      </c>
      <c r="AI9">
        <v>3</v>
      </c>
      <c r="AJ9">
        <v>1040</v>
      </c>
      <c r="AK9" t="s">
        <v>378</v>
      </c>
      <c r="AL9" t="s">
        <v>71</v>
      </c>
      <c r="AM9" t="s">
        <v>68</v>
      </c>
      <c r="AN9">
        <v>0</v>
      </c>
      <c r="AO9" s="1"/>
      <c r="AP9">
        <v>0</v>
      </c>
      <c r="AQ9">
        <v>0</v>
      </c>
      <c r="AR9">
        <v>0</v>
      </c>
      <c r="AS9" t="s">
        <v>72</v>
      </c>
      <c r="AT9" t="s">
        <v>68</v>
      </c>
      <c r="AU9">
        <v>1</v>
      </c>
      <c r="AV9" t="s">
        <v>557</v>
      </c>
      <c r="AW9">
        <v>0</v>
      </c>
      <c r="AX9" s="1">
        <v>45864.41710648148</v>
      </c>
      <c r="AY9">
        <v>2500</v>
      </c>
      <c r="AZ9" t="s">
        <v>68</v>
      </c>
      <c r="BA9" t="s">
        <v>65</v>
      </c>
      <c r="BB9" t="s">
        <v>68</v>
      </c>
      <c r="BC9" t="s">
        <v>68</v>
      </c>
      <c r="BD9">
        <v>0</v>
      </c>
      <c r="BE9" s="1">
        <v>45989.986851851849</v>
      </c>
      <c r="BF9" s="1">
        <v>45992.429930555554</v>
      </c>
      <c r="BG9" t="s">
        <v>68</v>
      </c>
      <c r="BH9" t="s">
        <v>68</v>
      </c>
      <c r="BI9" t="s">
        <v>68</v>
      </c>
      <c r="BJ9" t="s">
        <v>68</v>
      </c>
      <c r="BK9" t="s">
        <v>68</v>
      </c>
      <c r="BL9" t="s">
        <v>68</v>
      </c>
      <c r="BM9" t="s">
        <v>68</v>
      </c>
      <c r="BN9" t="s">
        <v>68</v>
      </c>
      <c r="BO9" t="s">
        <v>96</v>
      </c>
      <c r="BP9">
        <v>0</v>
      </c>
      <c r="BQ9" t="s">
        <v>68</v>
      </c>
      <c r="BR9" t="s">
        <v>68</v>
      </c>
      <c r="BS9" t="s">
        <v>68</v>
      </c>
    </row>
    <row r="10" spans="1:71" x14ac:dyDescent="0.35">
      <c r="A10" t="b">
        <f>ISNUMBER(MATCH(ChargentOrders[[#This Row],[Contract__c]],Contract[Id],0))</f>
        <v>1</v>
      </c>
      <c r="B10">
        <f>IFERROR(INDEX(Contract[CB_Subscription__c],MATCH(ChargentOrders[[#This Row],[Contract__c]],Contract[Id],0)),0)</f>
        <v>0</v>
      </c>
      <c r="C10" t="b">
        <f>ISNUMBER(MATCH(ChargentOrders[[#This Row],[Id]],Claude[Id],0))</f>
        <v>1</v>
      </c>
      <c r="D10" t="b">
        <f>AND(ChargentOrders[[#This Row],[_Contract]],ChargentOrders[[#This Row],[CB Subscription]]=0)</f>
        <v>1</v>
      </c>
      <c r="E10" s="38">
        <f>INDEX(Table5[CUENTA],MATCH(ChargentOrders[[#This Row],[Contract__c]],Table5[SM_Contract__c],0))</f>
        <v>46021</v>
      </c>
      <c r="F10" s="38" t="str">
        <f ca="1">INDEX(Table5[ESTADO],MATCH(ChargentOrders[[#This Row],[Contract__c]],Table5[SM_Contract__c],0))</f>
        <v>DEBE 5</v>
      </c>
      <c r="G10" t="s">
        <v>566</v>
      </c>
      <c r="H10" t="s">
        <v>78</v>
      </c>
      <c r="I10" t="s">
        <v>567</v>
      </c>
      <c r="J10" s="1">
        <v>45992.659745370373</v>
      </c>
      <c r="K10">
        <v>6</v>
      </c>
      <c r="L10">
        <v>2029</v>
      </c>
      <c r="M10" t="s">
        <v>1411</v>
      </c>
      <c r="N10">
        <v>6</v>
      </c>
      <c r="O10" t="s">
        <v>1452</v>
      </c>
      <c r="P10" t="s">
        <v>66</v>
      </c>
      <c r="Q10">
        <v>2029</v>
      </c>
      <c r="R10">
        <v>10400</v>
      </c>
      <c r="T10" t="s">
        <v>67</v>
      </c>
      <c r="U10" t="s">
        <v>68</v>
      </c>
      <c r="V10">
        <v>0</v>
      </c>
      <c r="W10" t="s">
        <v>69</v>
      </c>
      <c r="X10" s="5">
        <v>46076</v>
      </c>
      <c r="Y10" t="s">
        <v>74</v>
      </c>
      <c r="Z10" t="s">
        <v>68</v>
      </c>
      <c r="AA10">
        <v>10400</v>
      </c>
      <c r="AB10">
        <v>0</v>
      </c>
      <c r="AC10" t="s">
        <v>377</v>
      </c>
      <c r="AD10" t="s">
        <v>68</v>
      </c>
      <c r="AE10">
        <v>0</v>
      </c>
      <c r="AF10" s="1">
        <v>46076.41883101852</v>
      </c>
      <c r="AG10" s="1">
        <v>46076.418842592589</v>
      </c>
      <c r="AH10">
        <v>1</v>
      </c>
      <c r="AI10">
        <v>5</v>
      </c>
      <c r="AJ10">
        <v>1040</v>
      </c>
      <c r="AK10" t="s">
        <v>378</v>
      </c>
      <c r="AL10" t="s">
        <v>71</v>
      </c>
      <c r="AM10" t="s">
        <v>568</v>
      </c>
      <c r="AN10">
        <v>0</v>
      </c>
      <c r="AO10" s="1"/>
      <c r="AP10">
        <v>1</v>
      </c>
      <c r="AQ10">
        <v>0</v>
      </c>
      <c r="AR10">
        <v>0</v>
      </c>
      <c r="AS10" t="s">
        <v>75</v>
      </c>
      <c r="AT10" t="s">
        <v>68</v>
      </c>
      <c r="AU10">
        <v>1</v>
      </c>
      <c r="AV10" t="s">
        <v>68</v>
      </c>
      <c r="AW10">
        <v>0</v>
      </c>
      <c r="AX10" s="1"/>
      <c r="AY10">
        <v>2500</v>
      </c>
      <c r="AZ10" t="s">
        <v>68</v>
      </c>
      <c r="BA10" t="s">
        <v>68</v>
      </c>
      <c r="BB10" t="s">
        <v>68</v>
      </c>
      <c r="BC10" t="s">
        <v>68</v>
      </c>
      <c r="BD10">
        <v>0</v>
      </c>
      <c r="BE10" s="1">
        <v>46074.026041666664</v>
      </c>
      <c r="BF10" s="1">
        <v>46076.41883101852</v>
      </c>
      <c r="BG10" t="s">
        <v>68</v>
      </c>
      <c r="BH10" t="s">
        <v>68</v>
      </c>
      <c r="BI10" t="s">
        <v>68</v>
      </c>
      <c r="BJ10" t="s">
        <v>68</v>
      </c>
      <c r="BK10" t="s">
        <v>68</v>
      </c>
      <c r="BL10" t="s">
        <v>68</v>
      </c>
      <c r="BM10" t="s">
        <v>68</v>
      </c>
      <c r="BN10" t="s">
        <v>68</v>
      </c>
      <c r="BO10" t="s">
        <v>96</v>
      </c>
      <c r="BP10">
        <v>0</v>
      </c>
      <c r="BQ10" t="s">
        <v>68</v>
      </c>
      <c r="BR10" t="s">
        <v>68</v>
      </c>
      <c r="BS10" t="s">
        <v>166</v>
      </c>
    </row>
    <row r="11" spans="1:71" x14ac:dyDescent="0.35">
      <c r="A11" t="b">
        <f>ISNUMBER(MATCH(ChargentOrders[[#This Row],[Contract__c]],Contract[Id],0))</f>
        <v>1</v>
      </c>
      <c r="B11">
        <f>IFERROR(INDEX(Contract[CB_Subscription__c],MATCH(ChargentOrders[[#This Row],[Contract__c]],Contract[Id],0)),0)</f>
        <v>0</v>
      </c>
      <c r="C11" t="b">
        <f>ISNUMBER(MATCH(ChargentOrders[[#This Row],[Id]],Claude[Id],0))</f>
        <v>1</v>
      </c>
      <c r="D11" t="b">
        <f>AND(ChargentOrders[[#This Row],[_Contract]],ChargentOrders[[#This Row],[CB Subscription]]=0)</f>
        <v>1</v>
      </c>
      <c r="E11" s="38">
        <f>INDEX(Table5[CUENTA],MATCH(ChargentOrders[[#This Row],[Contract__c]],Table5[SM_Contract__c],0))</f>
        <v>46021</v>
      </c>
      <c r="F11" s="38" t="str">
        <f ca="1">INDEX(Table5[ESTADO],MATCH(ChargentOrders[[#This Row],[Contract__c]],Table5[SM_Contract__c],0))</f>
        <v>DEBE 5</v>
      </c>
      <c r="G11" t="s">
        <v>569</v>
      </c>
      <c r="H11" t="s">
        <v>78</v>
      </c>
      <c r="I11" t="s">
        <v>570</v>
      </c>
      <c r="J11" s="1">
        <v>45992.657743055555</v>
      </c>
      <c r="K11">
        <v>6</v>
      </c>
      <c r="L11">
        <v>2029</v>
      </c>
      <c r="M11" t="s">
        <v>1411</v>
      </c>
      <c r="N11">
        <v>6</v>
      </c>
      <c r="O11" t="s">
        <v>1452</v>
      </c>
      <c r="P11" t="s">
        <v>66</v>
      </c>
      <c r="Q11">
        <v>2029</v>
      </c>
      <c r="R11">
        <v>1040</v>
      </c>
      <c r="T11" t="s">
        <v>67</v>
      </c>
      <c r="U11" t="s">
        <v>68</v>
      </c>
      <c r="V11">
        <v>0</v>
      </c>
      <c r="W11" t="s">
        <v>69</v>
      </c>
      <c r="X11" s="5">
        <v>46034</v>
      </c>
      <c r="Y11" t="s">
        <v>74</v>
      </c>
      <c r="Z11" t="s">
        <v>68</v>
      </c>
      <c r="AA11">
        <v>10400</v>
      </c>
      <c r="AB11">
        <v>0</v>
      </c>
      <c r="AC11" t="s">
        <v>377</v>
      </c>
      <c r="AD11" t="s">
        <v>68</v>
      </c>
      <c r="AE11">
        <v>0</v>
      </c>
      <c r="AF11" s="1">
        <v>46032.002638888887</v>
      </c>
      <c r="AG11" s="1">
        <v>46032.002638888887</v>
      </c>
      <c r="AH11">
        <v>1</v>
      </c>
      <c r="AI11">
        <v>7</v>
      </c>
      <c r="AJ11">
        <v>1040</v>
      </c>
      <c r="AK11" t="s">
        <v>378</v>
      </c>
      <c r="AL11" t="s">
        <v>71</v>
      </c>
      <c r="AM11" t="s">
        <v>568</v>
      </c>
      <c r="AN11">
        <v>0</v>
      </c>
      <c r="AO11" s="1"/>
      <c r="AP11">
        <v>1</v>
      </c>
      <c r="AQ11">
        <v>0</v>
      </c>
      <c r="AR11">
        <v>0</v>
      </c>
      <c r="AS11" t="s">
        <v>75</v>
      </c>
      <c r="AT11" t="s">
        <v>68</v>
      </c>
      <c r="AU11">
        <v>1</v>
      </c>
      <c r="AV11" t="s">
        <v>68</v>
      </c>
      <c r="AW11">
        <v>0</v>
      </c>
      <c r="AX11" s="1">
        <v>46022.770416666666</v>
      </c>
      <c r="AY11">
        <v>2500</v>
      </c>
      <c r="AZ11" t="s">
        <v>68</v>
      </c>
      <c r="BA11" t="s">
        <v>68</v>
      </c>
      <c r="BB11" t="s">
        <v>68</v>
      </c>
      <c r="BC11" t="s">
        <v>68</v>
      </c>
      <c r="BD11">
        <v>0</v>
      </c>
      <c r="BE11" s="1">
        <v>46031.423564814817</v>
      </c>
      <c r="BF11" s="1">
        <v>46032.002638888887</v>
      </c>
      <c r="BG11" t="s">
        <v>68</v>
      </c>
      <c r="BH11" t="s">
        <v>68</v>
      </c>
      <c r="BI11" t="s">
        <v>68</v>
      </c>
      <c r="BJ11" t="s">
        <v>68</v>
      </c>
      <c r="BK11" t="s">
        <v>68</v>
      </c>
      <c r="BL11" t="s">
        <v>68</v>
      </c>
      <c r="BM11" t="s">
        <v>68</v>
      </c>
      <c r="BN11" t="s">
        <v>68</v>
      </c>
      <c r="BO11" t="s">
        <v>96</v>
      </c>
      <c r="BP11">
        <v>0</v>
      </c>
      <c r="BQ11" t="s">
        <v>68</v>
      </c>
      <c r="BR11" t="s">
        <v>68</v>
      </c>
      <c r="BS11" t="s">
        <v>193</v>
      </c>
    </row>
    <row r="12" spans="1:71" x14ac:dyDescent="0.35">
      <c r="A12" t="b">
        <f>ISNUMBER(MATCH(ChargentOrders[[#This Row],[Contract__c]],Contract[Id],0))</f>
        <v>1</v>
      </c>
      <c r="B12">
        <f>IFERROR(INDEX(Contract[CB_Subscription__c],MATCH(ChargentOrders[[#This Row],[Contract__c]],Contract[Id],0)),0)</f>
        <v>0</v>
      </c>
      <c r="C12" t="b">
        <f>ISNUMBER(MATCH(ChargentOrders[[#This Row],[Id]],Claude[Id],0))</f>
        <v>1</v>
      </c>
      <c r="D12" t="b">
        <f>AND(ChargentOrders[[#This Row],[_Contract]],ChargentOrders[[#This Row],[CB Subscription]]=0)</f>
        <v>1</v>
      </c>
      <c r="E12" s="38">
        <f>INDEX(Table5[CUENTA],MATCH(ChargentOrders[[#This Row],[Contract__c]],Table5[SM_Contract__c],0))</f>
        <v>46021</v>
      </c>
      <c r="F12" s="38" t="str">
        <f ca="1">INDEX(Table5[ESTADO],MATCH(ChargentOrders[[#This Row],[Contract__c]],Table5[SM_Contract__c],0))</f>
        <v>DEBE 5</v>
      </c>
      <c r="G12" t="s">
        <v>571</v>
      </c>
      <c r="H12" t="s">
        <v>78</v>
      </c>
      <c r="I12" t="s">
        <v>572</v>
      </c>
      <c r="J12" s="1">
        <v>45992.657858796294</v>
      </c>
      <c r="K12">
        <v>6</v>
      </c>
      <c r="L12">
        <v>2029</v>
      </c>
      <c r="M12" t="s">
        <v>1411</v>
      </c>
      <c r="N12">
        <v>6</v>
      </c>
      <c r="O12" t="s">
        <v>1452</v>
      </c>
      <c r="P12" t="s">
        <v>66</v>
      </c>
      <c r="Q12">
        <v>2029</v>
      </c>
      <c r="R12">
        <v>10400</v>
      </c>
      <c r="T12" t="s">
        <v>67</v>
      </c>
      <c r="U12" t="s">
        <v>68</v>
      </c>
      <c r="V12">
        <v>0</v>
      </c>
      <c r="W12" t="s">
        <v>69</v>
      </c>
      <c r="X12" s="5">
        <v>46037</v>
      </c>
      <c r="Y12" t="s">
        <v>84</v>
      </c>
      <c r="Z12" t="s">
        <v>68</v>
      </c>
      <c r="AA12">
        <v>10400</v>
      </c>
      <c r="AB12">
        <v>0</v>
      </c>
      <c r="AC12" t="s">
        <v>377</v>
      </c>
      <c r="AD12" t="s">
        <v>68</v>
      </c>
      <c r="AE12">
        <v>0</v>
      </c>
      <c r="AF12" s="1"/>
      <c r="AG12" s="1"/>
      <c r="AH12">
        <v>0</v>
      </c>
      <c r="AI12">
        <v>0</v>
      </c>
      <c r="AJ12">
        <v>0</v>
      </c>
      <c r="AK12" t="s">
        <v>378</v>
      </c>
      <c r="AL12" t="s">
        <v>71</v>
      </c>
      <c r="AM12" t="s">
        <v>568</v>
      </c>
      <c r="AN12">
        <v>0</v>
      </c>
      <c r="AO12" s="1"/>
      <c r="AP12">
        <v>1</v>
      </c>
      <c r="AQ12">
        <v>0</v>
      </c>
      <c r="AR12">
        <v>0</v>
      </c>
      <c r="AS12" t="s">
        <v>75</v>
      </c>
      <c r="AT12" t="s">
        <v>68</v>
      </c>
      <c r="AU12">
        <v>1</v>
      </c>
      <c r="AV12" t="s">
        <v>68</v>
      </c>
      <c r="AW12">
        <v>0</v>
      </c>
      <c r="AX12" s="1"/>
      <c r="AY12">
        <v>2500</v>
      </c>
      <c r="AZ12" t="s">
        <v>68</v>
      </c>
      <c r="BA12" t="s">
        <v>68</v>
      </c>
      <c r="BB12" t="s">
        <v>68</v>
      </c>
      <c r="BC12" t="s">
        <v>68</v>
      </c>
      <c r="BD12">
        <v>0</v>
      </c>
      <c r="BE12" s="1"/>
      <c r="BF12" s="1"/>
      <c r="BG12" t="s">
        <v>68</v>
      </c>
      <c r="BH12" t="s">
        <v>68</v>
      </c>
      <c r="BI12" t="s">
        <v>68</v>
      </c>
      <c r="BJ12" t="s">
        <v>68</v>
      </c>
      <c r="BK12" t="s">
        <v>68</v>
      </c>
      <c r="BL12" t="s">
        <v>68</v>
      </c>
      <c r="BM12" t="s">
        <v>68</v>
      </c>
      <c r="BN12" t="s">
        <v>68</v>
      </c>
      <c r="BO12" t="s">
        <v>96</v>
      </c>
      <c r="BP12">
        <v>0</v>
      </c>
      <c r="BQ12" t="s">
        <v>68</v>
      </c>
      <c r="BR12" t="s">
        <v>68</v>
      </c>
      <c r="BS12" t="s">
        <v>212</v>
      </c>
    </row>
    <row r="13" spans="1:71" x14ac:dyDescent="0.35">
      <c r="A13" t="b">
        <f>ISNUMBER(MATCH(ChargentOrders[[#This Row],[Contract__c]],Contract[Id],0))</f>
        <v>1</v>
      </c>
      <c r="B13">
        <f>IFERROR(INDEX(Contract[CB_Subscription__c],MATCH(ChargentOrders[[#This Row],[Contract__c]],Contract[Id],0)),0)</f>
        <v>0</v>
      </c>
      <c r="C13" t="b">
        <f>ISNUMBER(MATCH(ChargentOrders[[#This Row],[Id]],Claude[Id],0))</f>
        <v>1</v>
      </c>
      <c r="D13" t="b">
        <f>AND(ChargentOrders[[#This Row],[_Contract]],ChargentOrders[[#This Row],[CB Subscription]]=0)</f>
        <v>1</v>
      </c>
      <c r="E13" s="38">
        <f>INDEX(Table5[CUENTA],MATCH(ChargentOrders[[#This Row],[Contract__c]],Table5[SM_Contract__c],0))</f>
        <v>46021</v>
      </c>
      <c r="F13" s="38" t="str">
        <f ca="1">INDEX(Table5[ESTADO],MATCH(ChargentOrders[[#This Row],[Contract__c]],Table5[SM_Contract__c],0))</f>
        <v>DEBE 5</v>
      </c>
      <c r="G13" t="s">
        <v>873</v>
      </c>
      <c r="H13" t="s">
        <v>81</v>
      </c>
      <c r="I13" t="s">
        <v>874</v>
      </c>
      <c r="J13" s="1">
        <v>46052.421365740738</v>
      </c>
      <c r="K13">
        <v>6</v>
      </c>
      <c r="L13">
        <v>2029</v>
      </c>
      <c r="M13" t="s">
        <v>1411</v>
      </c>
      <c r="N13">
        <v>6</v>
      </c>
      <c r="O13" t="s">
        <v>1411</v>
      </c>
      <c r="P13" t="s">
        <v>66</v>
      </c>
      <c r="Q13">
        <v>2029</v>
      </c>
      <c r="R13">
        <v>10400</v>
      </c>
      <c r="T13" t="s">
        <v>67</v>
      </c>
      <c r="U13" t="s">
        <v>68</v>
      </c>
      <c r="V13">
        <v>0</v>
      </c>
      <c r="W13" t="s">
        <v>69</v>
      </c>
      <c r="X13" s="5">
        <v>46191</v>
      </c>
      <c r="Y13" t="s">
        <v>74</v>
      </c>
      <c r="Z13" t="s">
        <v>68</v>
      </c>
      <c r="AA13">
        <v>10400</v>
      </c>
      <c r="AB13">
        <v>0</v>
      </c>
      <c r="AC13" t="s">
        <v>377</v>
      </c>
      <c r="AD13" t="s">
        <v>68</v>
      </c>
      <c r="AE13">
        <v>0</v>
      </c>
      <c r="AF13" s="1">
        <v>46191.417326388888</v>
      </c>
      <c r="AG13" s="1">
        <v>46191.417384259257</v>
      </c>
      <c r="AH13">
        <v>1</v>
      </c>
      <c r="AI13">
        <v>87</v>
      </c>
      <c r="AJ13">
        <v>1040</v>
      </c>
      <c r="AK13" t="s">
        <v>378</v>
      </c>
      <c r="AL13" t="s">
        <v>71</v>
      </c>
      <c r="AM13" t="s">
        <v>68</v>
      </c>
      <c r="AN13">
        <v>0</v>
      </c>
      <c r="AO13" s="1"/>
      <c r="AP13">
        <v>0</v>
      </c>
      <c r="AQ13">
        <v>0</v>
      </c>
      <c r="AR13">
        <v>0</v>
      </c>
      <c r="AS13" t="s">
        <v>72</v>
      </c>
      <c r="AT13" t="s">
        <v>68</v>
      </c>
      <c r="AU13">
        <v>1</v>
      </c>
      <c r="AV13" t="s">
        <v>875</v>
      </c>
      <c r="AW13">
        <v>0</v>
      </c>
      <c r="AX13" s="1">
        <v>46081.805173611108</v>
      </c>
      <c r="AY13">
        <v>2500</v>
      </c>
      <c r="AZ13" t="s">
        <v>68</v>
      </c>
      <c r="BA13" t="s">
        <v>65</v>
      </c>
      <c r="BB13" t="s">
        <v>68</v>
      </c>
      <c r="BC13" t="s">
        <v>68</v>
      </c>
      <c r="BD13">
        <v>0</v>
      </c>
      <c r="BE13" s="1">
        <v>46188.417546296296</v>
      </c>
      <c r="BF13" s="1">
        <v>46191.417326388888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68</v>
      </c>
      <c r="BN13" t="s">
        <v>68</v>
      </c>
      <c r="BO13" t="s">
        <v>96</v>
      </c>
      <c r="BP13">
        <v>0</v>
      </c>
      <c r="BQ13" t="s">
        <v>68</v>
      </c>
      <c r="BR13" t="s">
        <v>68</v>
      </c>
      <c r="BS13" t="s">
        <v>68</v>
      </c>
    </row>
    <row r="14" spans="1:71" x14ac:dyDescent="0.35">
      <c r="A14" t="b">
        <f>ISNUMBER(MATCH(ChargentOrders[[#This Row],[Contract__c]],Contract[Id],0))</f>
        <v>1</v>
      </c>
      <c r="B14">
        <f>IFERROR(INDEX(Contract[CB_Subscription__c],MATCH(ChargentOrders[[#This Row],[Contract__c]],Contract[Id],0)),0)</f>
        <v>0</v>
      </c>
      <c r="C14" t="b">
        <f>ISNUMBER(MATCH(ChargentOrders[[#This Row],[Id]],Claude[Id],0))</f>
        <v>1</v>
      </c>
      <c r="D14" t="b">
        <f>AND(ChargentOrders[[#This Row],[_Contract]],ChargentOrders[[#This Row],[CB Subscription]]=0)</f>
        <v>1</v>
      </c>
      <c r="E14" s="38">
        <f>INDEX(Table5[CUENTA],MATCH(ChargentOrders[[#This Row],[Contract__c]],Table5[SM_Contract__c],0))</f>
        <v>46021</v>
      </c>
      <c r="F14" s="38" t="str">
        <f ca="1">INDEX(Table5[ESTADO],MATCH(ChargentOrders[[#This Row],[Contract__c]],Table5[SM_Contract__c],0))</f>
        <v>DEBE 5</v>
      </c>
      <c r="G14" t="s">
        <v>1022</v>
      </c>
      <c r="H14" t="s">
        <v>81</v>
      </c>
      <c r="I14" t="s">
        <v>1023</v>
      </c>
      <c r="J14" s="1">
        <v>46111.419930555552</v>
      </c>
      <c r="K14">
        <v>6</v>
      </c>
      <c r="L14">
        <v>2029</v>
      </c>
      <c r="M14" t="s">
        <v>1411</v>
      </c>
      <c r="N14">
        <v>6</v>
      </c>
      <c r="O14" t="s">
        <v>1411</v>
      </c>
      <c r="P14" t="s">
        <v>66</v>
      </c>
      <c r="Q14">
        <v>2029</v>
      </c>
      <c r="R14">
        <v>10400</v>
      </c>
      <c r="T14" t="s">
        <v>67</v>
      </c>
      <c r="U14" t="s">
        <v>68</v>
      </c>
      <c r="V14">
        <v>0</v>
      </c>
      <c r="W14" t="s">
        <v>69</v>
      </c>
      <c r="X14" s="5">
        <v>46122</v>
      </c>
      <c r="Y14" t="s">
        <v>74</v>
      </c>
      <c r="Z14" t="s">
        <v>68</v>
      </c>
      <c r="AA14">
        <v>10400</v>
      </c>
      <c r="AB14">
        <v>0</v>
      </c>
      <c r="AC14" t="s">
        <v>377</v>
      </c>
      <c r="AD14" t="s">
        <v>68</v>
      </c>
      <c r="AE14">
        <v>0</v>
      </c>
      <c r="AF14" s="1">
        <v>46122.426678240743</v>
      </c>
      <c r="AG14" s="1">
        <v>46122.426712962966</v>
      </c>
      <c r="AH14">
        <v>1</v>
      </c>
      <c r="AI14">
        <v>5</v>
      </c>
      <c r="AJ14">
        <v>1040</v>
      </c>
      <c r="AK14" t="s">
        <v>378</v>
      </c>
      <c r="AL14" t="s">
        <v>71</v>
      </c>
      <c r="AM14" t="s">
        <v>68</v>
      </c>
      <c r="AN14">
        <v>0</v>
      </c>
      <c r="AO14" s="1"/>
      <c r="AP14">
        <v>0</v>
      </c>
      <c r="AQ14">
        <v>0</v>
      </c>
      <c r="AR14">
        <v>0</v>
      </c>
      <c r="AS14" t="s">
        <v>72</v>
      </c>
      <c r="AT14" t="s">
        <v>68</v>
      </c>
      <c r="AU14">
        <v>1</v>
      </c>
      <c r="AV14" t="s">
        <v>1024</v>
      </c>
      <c r="AW14">
        <v>0</v>
      </c>
      <c r="AX14" s="1">
        <v>45864.41710648148</v>
      </c>
      <c r="AY14">
        <v>2500</v>
      </c>
      <c r="AZ14" t="s">
        <v>68</v>
      </c>
      <c r="BA14" t="s">
        <v>65</v>
      </c>
      <c r="BB14" t="s">
        <v>68</v>
      </c>
      <c r="BC14" t="s">
        <v>68</v>
      </c>
      <c r="BD14">
        <v>0</v>
      </c>
      <c r="BE14" s="1">
        <v>46121.425543981481</v>
      </c>
      <c r="BF14" s="1">
        <v>46122.426678240743</v>
      </c>
      <c r="BG14" t="s">
        <v>68</v>
      </c>
      <c r="BH14" t="s">
        <v>68</v>
      </c>
      <c r="BI14" t="s">
        <v>68</v>
      </c>
      <c r="BJ14" t="s">
        <v>68</v>
      </c>
      <c r="BK14" t="s">
        <v>68</v>
      </c>
      <c r="BL14" t="s">
        <v>68</v>
      </c>
      <c r="BM14" t="s">
        <v>68</v>
      </c>
      <c r="BN14" t="s">
        <v>68</v>
      </c>
      <c r="BO14" t="s">
        <v>96</v>
      </c>
      <c r="BP14">
        <v>0</v>
      </c>
      <c r="BQ14" t="s">
        <v>68</v>
      </c>
      <c r="BR14" t="s">
        <v>68</v>
      </c>
      <c r="BS14" t="s">
        <v>68</v>
      </c>
    </row>
    <row r="15" spans="1:71" x14ac:dyDescent="0.35">
      <c r="A15" t="b">
        <f>ISNUMBER(MATCH(ChargentOrders[[#This Row],[Contract__c]],Contract[Id],0))</f>
        <v>1</v>
      </c>
      <c r="B15">
        <f>IFERROR(INDEX(Contract[CB_Subscription__c],MATCH(ChargentOrders[[#This Row],[Contract__c]],Contract[Id],0)),0)</f>
        <v>0</v>
      </c>
      <c r="C15" t="b">
        <f>ISNUMBER(MATCH(ChargentOrders[[#This Row],[Id]],Claude[Id],0))</f>
        <v>1</v>
      </c>
      <c r="D15" t="b">
        <f>AND(ChargentOrders[[#This Row],[_Contract]],ChargentOrders[[#This Row],[CB Subscription]]=0)</f>
        <v>1</v>
      </c>
      <c r="E15" s="38">
        <f>INDEX(Table5[CUENTA],MATCH(ChargentOrders[[#This Row],[Contract__c]],Table5[SM_Contract__c],0))</f>
        <v>46021</v>
      </c>
      <c r="F15" s="38" t="str">
        <f ca="1">INDEX(Table5[ESTADO],MATCH(ChargentOrders[[#This Row],[Contract__c]],Table5[SM_Contract__c],0))</f>
        <v>DEBE 5</v>
      </c>
      <c r="G15" t="s">
        <v>1140</v>
      </c>
      <c r="H15" t="s">
        <v>81</v>
      </c>
      <c r="I15" t="s">
        <v>1141</v>
      </c>
      <c r="J15" s="1">
        <v>46142.420011574075</v>
      </c>
      <c r="K15">
        <v>6</v>
      </c>
      <c r="L15">
        <v>2029</v>
      </c>
      <c r="M15" t="s">
        <v>1411</v>
      </c>
      <c r="N15">
        <v>6</v>
      </c>
      <c r="O15" t="s">
        <v>1411</v>
      </c>
      <c r="P15" t="s">
        <v>66</v>
      </c>
      <c r="Q15">
        <v>2029</v>
      </c>
      <c r="R15">
        <v>10400</v>
      </c>
      <c r="T15" t="s">
        <v>67</v>
      </c>
      <c r="U15" t="s">
        <v>68</v>
      </c>
      <c r="V15">
        <v>0</v>
      </c>
      <c r="W15" t="s">
        <v>69</v>
      </c>
      <c r="X15" s="5">
        <v>46212</v>
      </c>
      <c r="Y15" t="s">
        <v>84</v>
      </c>
      <c r="Z15" t="s">
        <v>68</v>
      </c>
      <c r="AA15">
        <v>10400</v>
      </c>
      <c r="AB15">
        <v>0</v>
      </c>
      <c r="AC15" t="s">
        <v>377</v>
      </c>
      <c r="AD15" t="s">
        <v>68</v>
      </c>
      <c r="AE15">
        <v>0</v>
      </c>
      <c r="AF15" s="1"/>
      <c r="AG15" s="1"/>
      <c r="AH15">
        <v>0</v>
      </c>
      <c r="AI15">
        <v>30</v>
      </c>
      <c r="AJ15">
        <v>0</v>
      </c>
      <c r="AK15" t="s">
        <v>378</v>
      </c>
      <c r="AL15" t="s">
        <v>71</v>
      </c>
      <c r="AM15" t="s">
        <v>68</v>
      </c>
      <c r="AN15">
        <v>0</v>
      </c>
      <c r="AO15" s="1"/>
      <c r="AQ15">
        <v>0</v>
      </c>
      <c r="AR15">
        <v>0</v>
      </c>
      <c r="AS15" t="s">
        <v>72</v>
      </c>
      <c r="AT15" t="s">
        <v>68</v>
      </c>
      <c r="AU15">
        <v>1</v>
      </c>
      <c r="AV15" t="s">
        <v>1142</v>
      </c>
      <c r="AW15">
        <v>0</v>
      </c>
      <c r="AX15" s="1">
        <v>45864.41710648148</v>
      </c>
      <c r="AY15">
        <v>2500</v>
      </c>
      <c r="AZ15" t="s">
        <v>68</v>
      </c>
      <c r="BA15" t="s">
        <v>65</v>
      </c>
      <c r="BB15" t="s">
        <v>68</v>
      </c>
      <c r="BC15" t="s">
        <v>68</v>
      </c>
      <c r="BD15">
        <v>0</v>
      </c>
      <c r="BE15" s="1">
        <v>46209.420370370368</v>
      </c>
      <c r="BF15" s="1">
        <v>46209.420370370368</v>
      </c>
      <c r="BG15" t="s">
        <v>68</v>
      </c>
      <c r="BH15" t="s">
        <v>68</v>
      </c>
      <c r="BI15" t="s">
        <v>68</v>
      </c>
      <c r="BJ15" t="s">
        <v>68</v>
      </c>
      <c r="BK15" t="s">
        <v>68</v>
      </c>
      <c r="BL15" t="s">
        <v>68</v>
      </c>
      <c r="BM15" t="s">
        <v>68</v>
      </c>
      <c r="BN15" t="s">
        <v>68</v>
      </c>
      <c r="BO15" t="s">
        <v>96</v>
      </c>
      <c r="BP15">
        <v>0</v>
      </c>
      <c r="BQ15" t="s">
        <v>68</v>
      </c>
      <c r="BR15" t="s">
        <v>68</v>
      </c>
      <c r="BS15" t="s">
        <v>68</v>
      </c>
    </row>
    <row r="16" spans="1:71" x14ac:dyDescent="0.35">
      <c r="A16" t="b">
        <f>ISNUMBER(MATCH(ChargentOrders[[#This Row],[Contract__c]],Contract[Id],0))</f>
        <v>1</v>
      </c>
      <c r="B16">
        <f>IFERROR(INDEX(Contract[CB_Subscription__c],MATCH(ChargentOrders[[#This Row],[Contract__c]],Contract[Id],0)),0)</f>
        <v>0</v>
      </c>
      <c r="C16" t="b">
        <f>ISNUMBER(MATCH(ChargentOrders[[#This Row],[Id]],Claude[Id],0))</f>
        <v>1</v>
      </c>
      <c r="D16" t="b">
        <f>AND(ChargentOrders[[#This Row],[_Contract]],ChargentOrders[[#This Row],[CB Subscription]]=0)</f>
        <v>1</v>
      </c>
      <c r="E16" s="38">
        <f>INDEX(Table5[CUENTA],MATCH(ChargentOrders[[#This Row],[Contract__c]],Table5[SM_Contract__c],0))</f>
        <v>46021</v>
      </c>
      <c r="F16" s="38" t="str">
        <f ca="1">INDEX(Table5[ESTADO],MATCH(ChargentOrders[[#This Row],[Contract__c]],Table5[SM_Contract__c],0))</f>
        <v>DEBE 5</v>
      </c>
      <c r="G16" t="s">
        <v>1253</v>
      </c>
      <c r="H16" t="s">
        <v>81</v>
      </c>
      <c r="I16" t="s">
        <v>1254</v>
      </c>
      <c r="J16" s="1">
        <v>46171.417199074072</v>
      </c>
      <c r="K16">
        <v>6</v>
      </c>
      <c r="L16">
        <v>2029</v>
      </c>
      <c r="M16" t="s">
        <v>1411</v>
      </c>
      <c r="N16">
        <v>6</v>
      </c>
      <c r="O16" t="s">
        <v>1411</v>
      </c>
      <c r="P16" t="s">
        <v>66</v>
      </c>
      <c r="Q16">
        <v>2029</v>
      </c>
      <c r="R16">
        <v>1040</v>
      </c>
      <c r="T16" t="s">
        <v>67</v>
      </c>
      <c r="U16" t="s">
        <v>68</v>
      </c>
      <c r="V16">
        <v>0</v>
      </c>
      <c r="W16" t="s">
        <v>69</v>
      </c>
      <c r="X16" s="5">
        <v>46212</v>
      </c>
      <c r="Y16" t="s">
        <v>90</v>
      </c>
      <c r="Z16" t="s">
        <v>68</v>
      </c>
      <c r="AA16">
        <v>10400</v>
      </c>
      <c r="AB16">
        <v>0</v>
      </c>
      <c r="AC16" t="s">
        <v>377</v>
      </c>
      <c r="AD16" t="s">
        <v>68</v>
      </c>
      <c r="AE16">
        <v>0</v>
      </c>
      <c r="AF16" s="1"/>
      <c r="AG16" s="1"/>
      <c r="AH16">
        <v>0</v>
      </c>
      <c r="AI16">
        <v>17</v>
      </c>
      <c r="AJ16">
        <v>0</v>
      </c>
      <c r="AK16" t="s">
        <v>378</v>
      </c>
      <c r="AL16" t="s">
        <v>71</v>
      </c>
      <c r="AM16" t="s">
        <v>68</v>
      </c>
      <c r="AN16">
        <v>0</v>
      </c>
      <c r="AO16" s="1"/>
      <c r="AQ16">
        <v>0</v>
      </c>
      <c r="AR16">
        <v>0</v>
      </c>
      <c r="AS16" t="s">
        <v>72</v>
      </c>
      <c r="AT16" t="s">
        <v>68</v>
      </c>
      <c r="AU16">
        <v>1</v>
      </c>
      <c r="AV16" t="s">
        <v>1255</v>
      </c>
      <c r="AW16">
        <v>0</v>
      </c>
      <c r="AX16" s="1">
        <v>45864.41710648148</v>
      </c>
      <c r="AY16">
        <v>2500</v>
      </c>
      <c r="AZ16" t="s">
        <v>68</v>
      </c>
      <c r="BA16" t="s">
        <v>65</v>
      </c>
      <c r="BB16" t="s">
        <v>68</v>
      </c>
      <c r="BC16" t="s">
        <v>68</v>
      </c>
      <c r="BD16">
        <v>0</v>
      </c>
      <c r="BE16" s="1">
        <v>46217.002268518518</v>
      </c>
      <c r="BF16" s="1">
        <v>46217.002268518518</v>
      </c>
      <c r="BG16" t="s">
        <v>68</v>
      </c>
      <c r="BH16" t="s">
        <v>68</v>
      </c>
      <c r="BI16" t="s">
        <v>68</v>
      </c>
      <c r="BJ16" t="s">
        <v>68</v>
      </c>
      <c r="BK16" t="s">
        <v>68</v>
      </c>
      <c r="BL16" t="s">
        <v>68</v>
      </c>
      <c r="BM16" t="s">
        <v>68</v>
      </c>
      <c r="BN16" t="s">
        <v>68</v>
      </c>
      <c r="BO16" t="s">
        <v>96</v>
      </c>
      <c r="BP16">
        <v>0</v>
      </c>
      <c r="BQ16" t="s">
        <v>68</v>
      </c>
      <c r="BR16" t="s">
        <v>68</v>
      </c>
      <c r="BS16" t="s">
        <v>68</v>
      </c>
    </row>
    <row r="17" spans="1:71" x14ac:dyDescent="0.35">
      <c r="A17" t="b">
        <f>ISNUMBER(MATCH(ChargentOrders[[#This Row],[Contract__c]],Contract[Id],0))</f>
        <v>1</v>
      </c>
      <c r="B17">
        <f>IFERROR(INDEX(Contract[CB_Subscription__c],MATCH(ChargentOrders[[#This Row],[Contract__c]],Contract[Id],0)),0)</f>
        <v>0</v>
      </c>
      <c r="C17" t="b">
        <f>ISNUMBER(MATCH(ChargentOrders[[#This Row],[Id]],Claude[Id],0))</f>
        <v>1</v>
      </c>
      <c r="D17" t="b">
        <f>AND(ChargentOrders[[#This Row],[_Contract]],ChargentOrders[[#This Row],[CB Subscription]]=0)</f>
        <v>1</v>
      </c>
      <c r="E17" s="38">
        <f>INDEX(Table5[CUENTA],MATCH(ChargentOrders[[#This Row],[Contract__c]],Table5[SM_Contract__c],0))</f>
        <v>46021</v>
      </c>
      <c r="F17" s="38" t="str">
        <f ca="1">INDEX(Table5[ESTADO],MATCH(ChargentOrders[[#This Row],[Contract__c]],Table5[SM_Contract__c],0))</f>
        <v>DEBE 5</v>
      </c>
      <c r="G17" t="s">
        <v>1369</v>
      </c>
      <c r="H17" t="s">
        <v>81</v>
      </c>
      <c r="I17" t="s">
        <v>1370</v>
      </c>
      <c r="J17" s="1">
        <v>46203.417164351849</v>
      </c>
      <c r="K17">
        <v>6</v>
      </c>
      <c r="L17">
        <v>2029</v>
      </c>
      <c r="M17" t="s">
        <v>1411</v>
      </c>
      <c r="N17">
        <v>6</v>
      </c>
      <c r="O17" t="s">
        <v>1411</v>
      </c>
      <c r="P17" t="s">
        <v>66</v>
      </c>
      <c r="Q17">
        <v>2029</v>
      </c>
      <c r="R17">
        <v>10400</v>
      </c>
      <c r="T17" t="s">
        <v>67</v>
      </c>
      <c r="U17" t="s">
        <v>68</v>
      </c>
      <c r="V17">
        <v>0</v>
      </c>
      <c r="W17" t="s">
        <v>69</v>
      </c>
      <c r="X17" s="5">
        <v>46212</v>
      </c>
      <c r="Y17" t="s">
        <v>84</v>
      </c>
      <c r="Z17" t="s">
        <v>68</v>
      </c>
      <c r="AA17">
        <v>10400</v>
      </c>
      <c r="AB17">
        <v>0</v>
      </c>
      <c r="AC17" t="s">
        <v>377</v>
      </c>
      <c r="AD17" t="s">
        <v>68</v>
      </c>
      <c r="AE17">
        <v>0</v>
      </c>
      <c r="AF17" s="1"/>
      <c r="AG17" s="1"/>
      <c r="AH17">
        <v>0</v>
      </c>
      <c r="AI17">
        <v>2</v>
      </c>
      <c r="AJ17">
        <v>0</v>
      </c>
      <c r="AK17" t="s">
        <v>378</v>
      </c>
      <c r="AL17" t="s">
        <v>71</v>
      </c>
      <c r="AM17" t="s">
        <v>68</v>
      </c>
      <c r="AN17">
        <v>0</v>
      </c>
      <c r="AO17" s="1"/>
      <c r="AQ17">
        <v>0</v>
      </c>
      <c r="AR17">
        <v>0</v>
      </c>
      <c r="AS17" t="s">
        <v>72</v>
      </c>
      <c r="AT17" t="s">
        <v>68</v>
      </c>
      <c r="AU17">
        <v>1</v>
      </c>
      <c r="AV17" t="s">
        <v>1371</v>
      </c>
      <c r="AW17">
        <v>0</v>
      </c>
      <c r="AX17" s="1">
        <v>45864.41710648148</v>
      </c>
      <c r="AY17">
        <v>2500</v>
      </c>
      <c r="AZ17" t="s">
        <v>68</v>
      </c>
      <c r="BA17" t="s">
        <v>65</v>
      </c>
      <c r="BB17" t="s">
        <v>68</v>
      </c>
      <c r="BC17" t="s">
        <v>68</v>
      </c>
      <c r="BD17">
        <v>0</v>
      </c>
      <c r="BE17" s="1">
        <v>46209.422743055555</v>
      </c>
      <c r="BF17" s="1">
        <v>46209.422743055555</v>
      </c>
      <c r="BG17" t="s">
        <v>68</v>
      </c>
      <c r="BH17" t="s">
        <v>68</v>
      </c>
      <c r="BI17" t="s">
        <v>68</v>
      </c>
      <c r="BJ17" t="s">
        <v>68</v>
      </c>
      <c r="BK17" t="s">
        <v>68</v>
      </c>
      <c r="BL17" t="s">
        <v>68</v>
      </c>
      <c r="BM17" t="s">
        <v>68</v>
      </c>
      <c r="BN17" t="s">
        <v>68</v>
      </c>
      <c r="BO17" t="s">
        <v>96</v>
      </c>
      <c r="BP17">
        <v>0</v>
      </c>
      <c r="BQ17" t="s">
        <v>68</v>
      </c>
      <c r="BR17" t="s">
        <v>68</v>
      </c>
      <c r="BS17" t="s">
        <v>68</v>
      </c>
    </row>
    <row r="18" spans="1:71" x14ac:dyDescent="0.35">
      <c r="A18" t="b">
        <f>ISNUMBER(MATCH(ChargentOrders[[#This Row],[Contract__c]],Contract[Id],0))</f>
        <v>1</v>
      </c>
      <c r="B18">
        <f>IFERROR(INDEX(Contract[CB_Subscription__c],MATCH(ChargentOrders[[#This Row],[Contract__c]],Contract[Id],0)),0)</f>
        <v>0</v>
      </c>
      <c r="C18" t="b">
        <f>ISNUMBER(MATCH(ChargentOrders[[#This Row],[Id]],Claude[Id],0))</f>
        <v>1</v>
      </c>
      <c r="D18" t="b">
        <f>AND(ChargentOrders[[#This Row],[_Contract]],ChargentOrders[[#This Row],[CB Subscription]]=0)</f>
        <v>1</v>
      </c>
      <c r="E18" s="38">
        <f>INDEX(Table5[CUENTA],MATCH(ChargentOrders[[#This Row],[Contract__c]],Table5[SM_Contract__c],0))</f>
        <v>46080</v>
      </c>
      <c r="F18" s="38" t="str">
        <f ca="1">INDEX(Table5[ESTADO],MATCH(ChargentOrders[[#This Row],[Contract__c]],Table5[SM_Contract__c],0))</f>
        <v>AL DIA</v>
      </c>
      <c r="G18" t="s">
        <v>729</v>
      </c>
      <c r="H18" t="s">
        <v>79</v>
      </c>
      <c r="I18" t="s">
        <v>730</v>
      </c>
      <c r="J18" s="1">
        <v>46031.596064814818</v>
      </c>
      <c r="K18">
        <v>9</v>
      </c>
      <c r="L18">
        <v>2028</v>
      </c>
      <c r="M18" t="s">
        <v>1427</v>
      </c>
      <c r="N18">
        <v>9</v>
      </c>
      <c r="O18" t="s">
        <v>1494</v>
      </c>
      <c r="P18" t="s">
        <v>73</v>
      </c>
      <c r="Q18">
        <v>2028</v>
      </c>
      <c r="R18">
        <v>0</v>
      </c>
      <c r="T18" t="s">
        <v>67</v>
      </c>
      <c r="U18" t="s">
        <v>68</v>
      </c>
      <c r="V18">
        <v>0</v>
      </c>
      <c r="W18" t="s">
        <v>69</v>
      </c>
      <c r="X18" s="5"/>
      <c r="Y18" t="s">
        <v>68</v>
      </c>
      <c r="Z18" t="s">
        <v>68</v>
      </c>
      <c r="AA18">
        <v>0</v>
      </c>
      <c r="AC18" t="s">
        <v>731</v>
      </c>
      <c r="AD18" t="s">
        <v>68</v>
      </c>
      <c r="AE18">
        <v>0</v>
      </c>
      <c r="AF18" s="1"/>
      <c r="AG18" s="1">
        <v>46031.596087962964</v>
      </c>
      <c r="AH18">
        <v>0</v>
      </c>
      <c r="AI18">
        <v>1</v>
      </c>
      <c r="AJ18">
        <v>0</v>
      </c>
      <c r="AK18" t="s">
        <v>732</v>
      </c>
      <c r="AL18" t="s">
        <v>68</v>
      </c>
      <c r="AM18" t="s">
        <v>68</v>
      </c>
      <c r="AN18">
        <v>0</v>
      </c>
      <c r="AO18" s="1"/>
      <c r="AP18">
        <v>1</v>
      </c>
      <c r="AS18" t="s">
        <v>75</v>
      </c>
      <c r="AT18" t="s">
        <v>68</v>
      </c>
      <c r="AU18">
        <v>0</v>
      </c>
      <c r="AV18" t="s">
        <v>68</v>
      </c>
      <c r="AW18">
        <v>1</v>
      </c>
      <c r="AX18" s="1"/>
      <c r="AZ18" t="s">
        <v>68</v>
      </c>
      <c r="BA18" t="s">
        <v>68</v>
      </c>
      <c r="BB18" t="s">
        <v>68</v>
      </c>
      <c r="BC18" t="s">
        <v>68</v>
      </c>
      <c r="BD18">
        <v>0</v>
      </c>
      <c r="BE18" s="1"/>
      <c r="BF18" s="1">
        <v>46031.596087962964</v>
      </c>
      <c r="BG18" t="s">
        <v>68</v>
      </c>
      <c r="BH18" t="s">
        <v>68</v>
      </c>
      <c r="BI18" t="s">
        <v>68</v>
      </c>
      <c r="BJ18" t="s">
        <v>68</v>
      </c>
      <c r="BK18" t="s">
        <v>68</v>
      </c>
      <c r="BL18" t="s">
        <v>68</v>
      </c>
      <c r="BM18" t="s">
        <v>68</v>
      </c>
      <c r="BN18" t="s">
        <v>68</v>
      </c>
      <c r="BO18" t="s">
        <v>96</v>
      </c>
      <c r="BP18">
        <v>0</v>
      </c>
      <c r="BQ18" t="s">
        <v>68</v>
      </c>
      <c r="BR18" t="s">
        <v>68</v>
      </c>
      <c r="BS18" t="s">
        <v>68</v>
      </c>
    </row>
    <row r="19" spans="1:71" x14ac:dyDescent="0.35">
      <c r="A19" t="b">
        <f>ISNUMBER(MATCH(ChargentOrders[[#This Row],[Contract__c]],Contract[Id],0))</f>
        <v>1</v>
      </c>
      <c r="B19">
        <f>IFERROR(INDEX(Contract[CB_Subscription__c],MATCH(ChargentOrders[[#This Row],[Contract__c]],Contract[Id],0)),0)</f>
        <v>0</v>
      </c>
      <c r="C19" t="b">
        <f>ISNUMBER(MATCH(ChargentOrders[[#This Row],[Id]],Claude[Id],0))</f>
        <v>1</v>
      </c>
      <c r="D19" t="b">
        <f>AND(ChargentOrders[[#This Row],[_Contract]],ChargentOrders[[#This Row],[CB Subscription]]=0)</f>
        <v>1</v>
      </c>
      <c r="E19" s="38">
        <f>INDEX(Table5[CUENTA],MATCH(ChargentOrders[[#This Row],[Contract__c]],Table5[SM_Contract__c],0))</f>
        <v>46080</v>
      </c>
      <c r="F19" s="38" t="str">
        <f ca="1">INDEX(Table5[ESTADO],MATCH(ChargentOrders[[#This Row],[Contract__c]],Table5[SM_Contract__c],0))</f>
        <v>AL DIA</v>
      </c>
      <c r="G19" t="s">
        <v>733</v>
      </c>
      <c r="H19" t="s">
        <v>79</v>
      </c>
      <c r="I19" t="s">
        <v>734</v>
      </c>
      <c r="J19" s="1">
        <v>46031.596585648149</v>
      </c>
      <c r="K19">
        <v>9</v>
      </c>
      <c r="L19">
        <v>2028</v>
      </c>
      <c r="M19" t="s">
        <v>1427</v>
      </c>
      <c r="N19">
        <v>9</v>
      </c>
      <c r="O19" t="s">
        <v>1494</v>
      </c>
      <c r="P19" t="s">
        <v>73</v>
      </c>
      <c r="Q19">
        <v>2028</v>
      </c>
      <c r="R19">
        <v>1495</v>
      </c>
      <c r="T19" t="s">
        <v>67</v>
      </c>
      <c r="U19" t="s">
        <v>68</v>
      </c>
      <c r="V19">
        <v>0</v>
      </c>
      <c r="W19" t="s">
        <v>69</v>
      </c>
      <c r="X19" s="5">
        <v>46045</v>
      </c>
      <c r="Y19" t="s">
        <v>74</v>
      </c>
      <c r="Z19" t="s">
        <v>68</v>
      </c>
      <c r="AA19">
        <v>14950</v>
      </c>
      <c r="AB19">
        <v>0</v>
      </c>
      <c r="AC19" t="s">
        <v>731</v>
      </c>
      <c r="AD19" t="s">
        <v>68</v>
      </c>
      <c r="AE19">
        <v>0</v>
      </c>
      <c r="AF19" s="1">
        <v>46046.417303240742</v>
      </c>
      <c r="AG19" s="1">
        <v>46050.462638888886</v>
      </c>
      <c r="AH19">
        <v>5</v>
      </c>
      <c r="AI19">
        <v>14</v>
      </c>
      <c r="AJ19">
        <v>2990</v>
      </c>
      <c r="AK19" t="s">
        <v>732</v>
      </c>
      <c r="AL19" t="s">
        <v>77</v>
      </c>
      <c r="AM19" t="s">
        <v>68</v>
      </c>
      <c r="AN19">
        <v>0</v>
      </c>
      <c r="AO19" s="1"/>
      <c r="AP19">
        <v>1</v>
      </c>
      <c r="AQ19">
        <v>0</v>
      </c>
      <c r="AR19">
        <v>0</v>
      </c>
      <c r="AS19" t="s">
        <v>75</v>
      </c>
      <c r="AT19" t="s">
        <v>68</v>
      </c>
      <c r="AU19">
        <v>0</v>
      </c>
      <c r="AV19" t="s">
        <v>68</v>
      </c>
      <c r="AW19">
        <v>0</v>
      </c>
      <c r="AX19" s="1"/>
      <c r="AZ19" t="s">
        <v>68</v>
      </c>
      <c r="BA19" t="s">
        <v>68</v>
      </c>
      <c r="BB19" t="s">
        <v>68</v>
      </c>
      <c r="BC19" t="s">
        <v>68</v>
      </c>
      <c r="BD19">
        <v>0</v>
      </c>
      <c r="BE19" s="1">
        <v>46044.618263888886</v>
      </c>
      <c r="BF19" s="1">
        <v>46050.462638888886</v>
      </c>
      <c r="BG19" t="s">
        <v>68</v>
      </c>
      <c r="BH19" t="s">
        <v>68</v>
      </c>
      <c r="BI19" t="s">
        <v>68</v>
      </c>
      <c r="BJ19" t="s">
        <v>68</v>
      </c>
      <c r="BK19" t="s">
        <v>68</v>
      </c>
      <c r="BL19" t="s">
        <v>68</v>
      </c>
      <c r="BM19" t="s">
        <v>68</v>
      </c>
      <c r="BN19" t="s">
        <v>68</v>
      </c>
      <c r="BO19" t="s">
        <v>96</v>
      </c>
      <c r="BP19">
        <v>0</v>
      </c>
      <c r="BQ19" t="s">
        <v>68</v>
      </c>
      <c r="BR19" t="s">
        <v>68</v>
      </c>
      <c r="BS19" t="s">
        <v>68</v>
      </c>
    </row>
    <row r="20" spans="1:71" x14ac:dyDescent="0.35">
      <c r="A20" t="b">
        <f>ISNUMBER(MATCH(ChargentOrders[[#This Row],[Contract__c]],Contract[Id],0))</f>
        <v>1</v>
      </c>
      <c r="B20">
        <f>IFERROR(INDEX(Contract[CB_Subscription__c],MATCH(ChargentOrders[[#This Row],[Contract__c]],Contract[Id],0)),0)</f>
        <v>0</v>
      </c>
      <c r="C20" t="b">
        <f>ISNUMBER(MATCH(ChargentOrders[[#This Row],[Id]],Claude[Id],0))</f>
        <v>1</v>
      </c>
      <c r="D20" t="b">
        <f>AND(ChargentOrders[[#This Row],[_Contract]],ChargentOrders[[#This Row],[CB Subscription]]=0)</f>
        <v>1</v>
      </c>
      <c r="E20" s="38">
        <f>INDEX(Table5[CUENTA],MATCH(ChargentOrders[[#This Row],[Contract__c]],Table5[SM_Contract__c],0))</f>
        <v>46080</v>
      </c>
      <c r="F20" s="38" t="str">
        <f ca="1">INDEX(Table5[ESTADO],MATCH(ChargentOrders[[#This Row],[Contract__c]],Table5[SM_Contract__c],0))</f>
        <v>AL DIA</v>
      </c>
      <c r="G20" t="s">
        <v>735</v>
      </c>
      <c r="H20" t="s">
        <v>79</v>
      </c>
      <c r="I20" t="s">
        <v>736</v>
      </c>
      <c r="J20" s="1">
        <v>46031.596585648149</v>
      </c>
      <c r="K20">
        <v>9</v>
      </c>
      <c r="L20">
        <v>2028</v>
      </c>
      <c r="M20" t="s">
        <v>1427</v>
      </c>
      <c r="N20">
        <v>9</v>
      </c>
      <c r="O20" t="s">
        <v>1494</v>
      </c>
      <c r="P20" t="s">
        <v>73</v>
      </c>
      <c r="Q20">
        <v>2028</v>
      </c>
      <c r="R20">
        <v>149500</v>
      </c>
      <c r="T20" t="s">
        <v>67</v>
      </c>
      <c r="U20" t="s">
        <v>68</v>
      </c>
      <c r="V20">
        <v>0</v>
      </c>
      <c r="W20" t="s">
        <v>69</v>
      </c>
      <c r="X20" s="5">
        <v>46052</v>
      </c>
      <c r="Y20" t="s">
        <v>70</v>
      </c>
      <c r="Z20" t="s">
        <v>68</v>
      </c>
      <c r="AA20">
        <v>1495</v>
      </c>
      <c r="AB20">
        <v>0</v>
      </c>
      <c r="AC20" t="s">
        <v>731</v>
      </c>
      <c r="AD20" t="s">
        <v>68</v>
      </c>
      <c r="AE20">
        <v>0</v>
      </c>
      <c r="AF20" s="1"/>
      <c r="AG20" s="1"/>
      <c r="AH20">
        <v>0</v>
      </c>
      <c r="AI20">
        <v>0</v>
      </c>
      <c r="AJ20">
        <v>0</v>
      </c>
      <c r="AK20" t="s">
        <v>732</v>
      </c>
      <c r="AL20" t="s">
        <v>77</v>
      </c>
      <c r="AM20" t="s">
        <v>68</v>
      </c>
      <c r="AN20">
        <v>0</v>
      </c>
      <c r="AO20" s="1"/>
      <c r="AP20">
        <v>1</v>
      </c>
      <c r="AQ20">
        <v>0</v>
      </c>
      <c r="AR20">
        <v>0</v>
      </c>
      <c r="AS20" t="s">
        <v>75</v>
      </c>
      <c r="AT20" t="s">
        <v>68</v>
      </c>
      <c r="AU20">
        <v>0</v>
      </c>
      <c r="AV20" t="s">
        <v>68</v>
      </c>
      <c r="AW20">
        <v>0</v>
      </c>
      <c r="AX20" s="1"/>
      <c r="AZ20" t="s">
        <v>68</v>
      </c>
      <c r="BA20" t="s">
        <v>68</v>
      </c>
      <c r="BB20" t="s">
        <v>68</v>
      </c>
      <c r="BC20" t="s">
        <v>68</v>
      </c>
      <c r="BD20">
        <v>0</v>
      </c>
      <c r="BE20" s="1"/>
      <c r="BF20" s="1"/>
      <c r="BG20" t="s">
        <v>68</v>
      </c>
      <c r="BH20" t="s">
        <v>68</v>
      </c>
      <c r="BI20" t="s">
        <v>68</v>
      </c>
      <c r="BJ20" t="s">
        <v>68</v>
      </c>
      <c r="BK20" t="s">
        <v>68</v>
      </c>
      <c r="BL20" t="s">
        <v>68</v>
      </c>
      <c r="BM20" t="s">
        <v>68</v>
      </c>
      <c r="BN20" t="s">
        <v>68</v>
      </c>
      <c r="BO20" t="s">
        <v>96</v>
      </c>
      <c r="BP20">
        <v>0</v>
      </c>
      <c r="BQ20" t="s">
        <v>68</v>
      </c>
      <c r="BR20" t="s">
        <v>68</v>
      </c>
      <c r="BS20" t="s">
        <v>68</v>
      </c>
    </row>
    <row r="21" spans="1:71" x14ac:dyDescent="0.35">
      <c r="A21" t="b">
        <f>ISNUMBER(MATCH(ChargentOrders[[#This Row],[Contract__c]],Contract[Id],0))</f>
        <v>1</v>
      </c>
      <c r="B21">
        <f>IFERROR(INDEX(Contract[CB_Subscription__c],MATCH(ChargentOrders[[#This Row],[Contract__c]],Contract[Id],0)),0)</f>
        <v>0</v>
      </c>
      <c r="C21" t="b">
        <f>ISNUMBER(MATCH(ChargentOrders[[#This Row],[Id]],Claude[Id],0))</f>
        <v>1</v>
      </c>
      <c r="D21" t="b">
        <f>AND(ChargentOrders[[#This Row],[_Contract]],ChargentOrders[[#This Row],[CB Subscription]]=0)</f>
        <v>1</v>
      </c>
      <c r="E21" s="38">
        <f>INDEX(Table5[CUENTA],MATCH(ChargentOrders[[#This Row],[Contract__c]],Table5[SM_Contract__c],0))</f>
        <v>46080</v>
      </c>
      <c r="F21" s="38" t="str">
        <f ca="1">INDEX(Table5[ESTADO],MATCH(ChargentOrders[[#This Row],[Contract__c]],Table5[SM_Contract__c],0))</f>
        <v>AL DIA</v>
      </c>
      <c r="G21" t="s">
        <v>774</v>
      </c>
      <c r="H21" t="s">
        <v>79</v>
      </c>
      <c r="I21" t="s">
        <v>775</v>
      </c>
      <c r="J21" s="1">
        <v>46039.416909722226</v>
      </c>
      <c r="K21">
        <v>9</v>
      </c>
      <c r="L21">
        <v>2028</v>
      </c>
      <c r="M21" t="s">
        <v>1427</v>
      </c>
      <c r="N21">
        <v>9</v>
      </c>
      <c r="O21" t="s">
        <v>1427</v>
      </c>
      <c r="P21" t="s">
        <v>73</v>
      </c>
      <c r="Q21">
        <v>2028</v>
      </c>
      <c r="R21">
        <v>4900</v>
      </c>
      <c r="S21">
        <v>27</v>
      </c>
      <c r="T21" t="s">
        <v>67</v>
      </c>
      <c r="U21" t="s">
        <v>68</v>
      </c>
      <c r="V21">
        <v>0</v>
      </c>
      <c r="W21" t="s">
        <v>69</v>
      </c>
      <c r="X21" s="5">
        <v>46230</v>
      </c>
      <c r="Y21" t="s">
        <v>84</v>
      </c>
      <c r="Z21" t="s">
        <v>68</v>
      </c>
      <c r="AA21">
        <v>4900</v>
      </c>
      <c r="AB21">
        <v>0</v>
      </c>
      <c r="AC21" t="s">
        <v>731</v>
      </c>
      <c r="AD21" t="s">
        <v>68</v>
      </c>
      <c r="AE21">
        <v>0</v>
      </c>
      <c r="AF21" s="1"/>
      <c r="AG21" s="1"/>
      <c r="AH21">
        <v>0</v>
      </c>
      <c r="AI21">
        <v>5</v>
      </c>
      <c r="AJ21">
        <v>0</v>
      </c>
      <c r="AK21" t="s">
        <v>732</v>
      </c>
      <c r="AL21" t="s">
        <v>76</v>
      </c>
      <c r="AM21" t="s">
        <v>68</v>
      </c>
      <c r="AN21">
        <v>0</v>
      </c>
      <c r="AO21" s="1"/>
      <c r="AP21">
        <v>6</v>
      </c>
      <c r="AQ21">
        <v>0</v>
      </c>
      <c r="AR21">
        <v>0</v>
      </c>
      <c r="AS21" t="s">
        <v>75</v>
      </c>
      <c r="AT21" t="s">
        <v>68</v>
      </c>
      <c r="AU21">
        <v>0</v>
      </c>
      <c r="AV21" t="s">
        <v>68</v>
      </c>
      <c r="AW21">
        <v>0</v>
      </c>
      <c r="AX21" s="1"/>
      <c r="AZ21" t="s">
        <v>68</v>
      </c>
      <c r="BA21" t="s">
        <v>68</v>
      </c>
      <c r="BB21" t="s">
        <v>68</v>
      </c>
      <c r="BC21" t="s">
        <v>68</v>
      </c>
      <c r="BD21">
        <v>0</v>
      </c>
      <c r="BE21" s="1">
        <v>46199.417060185187</v>
      </c>
      <c r="BF21" s="1">
        <v>46199.417060185187</v>
      </c>
      <c r="BG21" t="s">
        <v>68</v>
      </c>
      <c r="BH21" t="s">
        <v>68</v>
      </c>
      <c r="BI21" t="s">
        <v>68</v>
      </c>
      <c r="BJ21" t="s">
        <v>68</v>
      </c>
      <c r="BK21" t="s">
        <v>68</v>
      </c>
      <c r="BL21" t="s">
        <v>68</v>
      </c>
      <c r="BM21" t="s">
        <v>68</v>
      </c>
      <c r="BN21" t="s">
        <v>68</v>
      </c>
      <c r="BO21" t="s">
        <v>96</v>
      </c>
      <c r="BP21">
        <v>0</v>
      </c>
      <c r="BQ21" t="s">
        <v>68</v>
      </c>
      <c r="BR21" t="s">
        <v>68</v>
      </c>
      <c r="BS21" t="s">
        <v>68</v>
      </c>
    </row>
    <row r="22" spans="1:71" x14ac:dyDescent="0.35">
      <c r="A22" t="b">
        <f>ISNUMBER(MATCH(ChargentOrders[[#This Row],[Contract__c]],Contract[Id],0))</f>
        <v>1</v>
      </c>
      <c r="B22">
        <f>IFERROR(INDEX(Contract[CB_Subscription__c],MATCH(ChargentOrders[[#This Row],[Contract__c]],Contract[Id],0)),0)</f>
        <v>0</v>
      </c>
      <c r="C22" t="b">
        <f>ISNUMBER(MATCH(ChargentOrders[[#This Row],[Id]],Claude[Id],0))</f>
        <v>1</v>
      </c>
      <c r="D22" t="b">
        <f>AND(ChargentOrders[[#This Row],[_Contract]],ChargentOrders[[#This Row],[CB Subscription]]=0)</f>
        <v>1</v>
      </c>
      <c r="E22" s="38">
        <f>INDEX(Table5[CUENTA],MATCH(ChargentOrders[[#This Row],[Contract__c]],Table5[SM_Contract__c],0))</f>
        <v>46080</v>
      </c>
      <c r="F22" s="38" t="str">
        <f ca="1">INDEX(Table5[ESTADO],MATCH(ChargentOrders[[#This Row],[Contract__c]],Table5[SM_Contract__c],0))</f>
        <v>AL DIA</v>
      </c>
      <c r="G22" t="s">
        <v>782</v>
      </c>
      <c r="H22" t="s">
        <v>79</v>
      </c>
      <c r="I22" t="s">
        <v>783</v>
      </c>
      <c r="J22" s="1">
        <v>46042.418310185189</v>
      </c>
      <c r="K22">
        <v>9</v>
      </c>
      <c r="L22">
        <v>2028</v>
      </c>
      <c r="M22" t="s">
        <v>1427</v>
      </c>
      <c r="N22">
        <v>9</v>
      </c>
      <c r="O22" t="s">
        <v>1494</v>
      </c>
      <c r="P22" t="s">
        <v>73</v>
      </c>
      <c r="Q22">
        <v>2028</v>
      </c>
      <c r="R22">
        <v>1745</v>
      </c>
      <c r="T22" t="s">
        <v>67</v>
      </c>
      <c r="U22" t="s">
        <v>68</v>
      </c>
      <c r="V22">
        <v>0</v>
      </c>
      <c r="W22" t="s">
        <v>69</v>
      </c>
      <c r="X22" s="5">
        <v>46045</v>
      </c>
      <c r="Y22" t="s">
        <v>74</v>
      </c>
      <c r="Z22" t="s">
        <v>68</v>
      </c>
      <c r="AA22">
        <v>17450</v>
      </c>
      <c r="AB22">
        <v>0</v>
      </c>
      <c r="AC22" t="s">
        <v>731</v>
      </c>
      <c r="AD22" t="s">
        <v>68</v>
      </c>
      <c r="AE22">
        <v>0</v>
      </c>
      <c r="AF22" s="1">
        <v>46045.431643518517</v>
      </c>
      <c r="AG22" s="1">
        <v>46050.461099537039</v>
      </c>
      <c r="AH22">
        <v>1</v>
      </c>
      <c r="AI22">
        <v>2</v>
      </c>
      <c r="AJ22">
        <v>0</v>
      </c>
      <c r="AK22" t="s">
        <v>732</v>
      </c>
      <c r="AL22" t="s">
        <v>71</v>
      </c>
      <c r="AM22" t="s">
        <v>68</v>
      </c>
      <c r="AN22">
        <v>0</v>
      </c>
      <c r="AO22" s="1"/>
      <c r="AQ22">
        <v>0</v>
      </c>
      <c r="AR22">
        <v>0</v>
      </c>
      <c r="AS22" t="s">
        <v>72</v>
      </c>
      <c r="AT22" t="s">
        <v>68</v>
      </c>
      <c r="AU22">
        <v>1</v>
      </c>
      <c r="AV22" t="s">
        <v>784</v>
      </c>
      <c r="AW22">
        <v>0</v>
      </c>
      <c r="AX22" s="1">
        <v>46031.596585648149</v>
      </c>
      <c r="AY22">
        <v>2500</v>
      </c>
      <c r="AZ22" t="s">
        <v>68</v>
      </c>
      <c r="BA22" t="s">
        <v>65</v>
      </c>
      <c r="BB22" t="s">
        <v>68</v>
      </c>
      <c r="BC22" t="s">
        <v>68</v>
      </c>
      <c r="BD22">
        <v>0</v>
      </c>
      <c r="BE22" s="1"/>
      <c r="BF22" s="1">
        <v>46050.461099537039</v>
      </c>
      <c r="BG22" t="s">
        <v>68</v>
      </c>
      <c r="BH22" t="s">
        <v>68</v>
      </c>
      <c r="BI22" t="s">
        <v>68</v>
      </c>
      <c r="BJ22" t="s">
        <v>68</v>
      </c>
      <c r="BK22" t="s">
        <v>68</v>
      </c>
      <c r="BL22" t="s">
        <v>68</v>
      </c>
      <c r="BM22" t="s">
        <v>68</v>
      </c>
      <c r="BN22" t="s">
        <v>68</v>
      </c>
      <c r="BO22" t="s">
        <v>96</v>
      </c>
      <c r="BP22">
        <v>0</v>
      </c>
      <c r="BQ22" t="s">
        <v>68</v>
      </c>
      <c r="BR22" t="s">
        <v>68</v>
      </c>
      <c r="BS22" t="s">
        <v>68</v>
      </c>
    </row>
    <row r="23" spans="1:71" x14ac:dyDescent="0.35">
      <c r="A23" t="b">
        <f>ISNUMBER(MATCH(ChargentOrders[[#This Row],[Contract__c]],Contract[Id],0))</f>
        <v>1</v>
      </c>
      <c r="B23">
        <f>IFERROR(INDEX(Contract[CB_Subscription__c],MATCH(ChargentOrders[[#This Row],[Contract__c]],Contract[Id],0)),0)</f>
        <v>0</v>
      </c>
      <c r="C23" t="b">
        <f>ISNUMBER(MATCH(ChargentOrders[[#This Row],[Id]],Claude[Id],0))</f>
        <v>1</v>
      </c>
      <c r="D23" t="b">
        <f>AND(ChargentOrders[[#This Row],[_Contract]],ChargentOrders[[#This Row],[CB Subscription]]=0)</f>
        <v>1</v>
      </c>
      <c r="E23" s="38">
        <f>INDEX(Table5[CUENTA],MATCH(ChargentOrders[[#This Row],[Contract__c]],Table5[SM_Contract__c],0))</f>
        <v>46080</v>
      </c>
      <c r="F23" s="38" t="str">
        <f ca="1">INDEX(Table5[ESTADO],MATCH(ChargentOrders[[#This Row],[Contract__c]],Table5[SM_Contract__c],0))</f>
        <v>AL DIA</v>
      </c>
      <c r="G23" t="s">
        <v>788</v>
      </c>
      <c r="H23" t="s">
        <v>79</v>
      </c>
      <c r="I23" t="s">
        <v>789</v>
      </c>
      <c r="J23" s="1">
        <v>46042.618321759262</v>
      </c>
      <c r="K23">
        <v>9</v>
      </c>
      <c r="L23">
        <v>2028</v>
      </c>
      <c r="M23" t="s">
        <v>1427</v>
      </c>
      <c r="N23">
        <v>9</v>
      </c>
      <c r="O23" t="s">
        <v>1494</v>
      </c>
      <c r="P23" t="s">
        <v>73</v>
      </c>
      <c r="Q23">
        <v>2028</v>
      </c>
      <c r="R23">
        <v>1745</v>
      </c>
      <c r="T23" t="s">
        <v>67</v>
      </c>
      <c r="U23" t="s">
        <v>68</v>
      </c>
      <c r="V23">
        <v>0</v>
      </c>
      <c r="W23" t="s">
        <v>69</v>
      </c>
      <c r="X23" s="5">
        <v>46045</v>
      </c>
      <c r="Y23" t="s">
        <v>74</v>
      </c>
      <c r="Z23" t="s">
        <v>68</v>
      </c>
      <c r="AA23">
        <v>17450</v>
      </c>
      <c r="AB23">
        <v>0</v>
      </c>
      <c r="AC23" t="s">
        <v>731</v>
      </c>
      <c r="AD23" t="s">
        <v>68</v>
      </c>
      <c r="AE23">
        <v>0</v>
      </c>
      <c r="AF23" s="1">
        <v>46045.431712962964</v>
      </c>
      <c r="AG23" s="1">
        <v>46050.45584490741</v>
      </c>
      <c r="AH23">
        <v>1</v>
      </c>
      <c r="AI23">
        <v>2</v>
      </c>
      <c r="AJ23">
        <v>0</v>
      </c>
      <c r="AK23" t="s">
        <v>732</v>
      </c>
      <c r="AL23" t="s">
        <v>71</v>
      </c>
      <c r="AM23" t="s">
        <v>68</v>
      </c>
      <c r="AN23">
        <v>0</v>
      </c>
      <c r="AO23" s="1"/>
      <c r="AQ23">
        <v>0</v>
      </c>
      <c r="AR23">
        <v>0</v>
      </c>
      <c r="AS23" t="s">
        <v>72</v>
      </c>
      <c r="AT23" t="s">
        <v>68</v>
      </c>
      <c r="AU23">
        <v>1</v>
      </c>
      <c r="AV23" t="s">
        <v>790</v>
      </c>
      <c r="AW23">
        <v>0</v>
      </c>
      <c r="AX23" s="1">
        <v>46031.596585648149</v>
      </c>
      <c r="AY23">
        <v>2500</v>
      </c>
      <c r="AZ23" t="s">
        <v>68</v>
      </c>
      <c r="BA23" t="s">
        <v>78</v>
      </c>
      <c r="BB23" t="s">
        <v>68</v>
      </c>
      <c r="BC23" t="s">
        <v>68</v>
      </c>
      <c r="BD23">
        <v>0</v>
      </c>
      <c r="BE23" s="1"/>
      <c r="BF23" s="1">
        <v>46050.45584490741</v>
      </c>
      <c r="BG23" t="s">
        <v>68</v>
      </c>
      <c r="BH23" t="s">
        <v>68</v>
      </c>
      <c r="BI23" t="s">
        <v>68</v>
      </c>
      <c r="BJ23" t="s">
        <v>68</v>
      </c>
      <c r="BK23" t="s">
        <v>68</v>
      </c>
      <c r="BL23" t="s">
        <v>68</v>
      </c>
      <c r="BM23" t="s">
        <v>68</v>
      </c>
      <c r="BN23" t="s">
        <v>68</v>
      </c>
      <c r="BO23" t="s">
        <v>96</v>
      </c>
      <c r="BP23">
        <v>0</v>
      </c>
      <c r="BQ23" t="s">
        <v>68</v>
      </c>
      <c r="BR23" t="s">
        <v>68</v>
      </c>
      <c r="BS23" t="s">
        <v>68</v>
      </c>
    </row>
    <row r="24" spans="1:71" x14ac:dyDescent="0.35">
      <c r="A24" t="b">
        <f>ISNUMBER(MATCH(ChargentOrders[[#This Row],[Contract__c]],Contract[Id],0))</f>
        <v>1</v>
      </c>
      <c r="B24">
        <f>IFERROR(INDEX(Contract[CB_Subscription__c],MATCH(ChargentOrders[[#This Row],[Contract__c]],Contract[Id],0)),0)</f>
        <v>0</v>
      </c>
      <c r="C24" t="b">
        <f>ISNUMBER(MATCH(ChargentOrders[[#This Row],[Id]],Claude[Id],0))</f>
        <v>1</v>
      </c>
      <c r="D24" t="b">
        <f>AND(ChargentOrders[[#This Row],[_Contract]],ChargentOrders[[#This Row],[CB Subscription]]=0)</f>
        <v>1</v>
      </c>
      <c r="E24" s="38">
        <f>INDEX(Table5[CUENTA],MATCH(ChargentOrders[[#This Row],[Contract__c]],Table5[SM_Contract__c],0))</f>
        <v>46080</v>
      </c>
      <c r="F24" s="38" t="str">
        <f ca="1">INDEX(Table5[ESTADO],MATCH(ChargentOrders[[#This Row],[Contract__c]],Table5[SM_Contract__c],0))</f>
        <v>AL DIA</v>
      </c>
      <c r="G24" t="s">
        <v>791</v>
      </c>
      <c r="H24" t="s">
        <v>79</v>
      </c>
      <c r="I24" t="s">
        <v>792</v>
      </c>
      <c r="J24" s="1">
        <v>46043.41741898148</v>
      </c>
      <c r="K24">
        <v>9</v>
      </c>
      <c r="L24">
        <v>2028</v>
      </c>
      <c r="M24" t="s">
        <v>1427</v>
      </c>
      <c r="N24">
        <v>9</v>
      </c>
      <c r="O24" t="s">
        <v>1494</v>
      </c>
      <c r="P24" t="s">
        <v>73</v>
      </c>
      <c r="Q24">
        <v>2028</v>
      </c>
      <c r="R24">
        <v>1745</v>
      </c>
      <c r="T24" t="s">
        <v>67</v>
      </c>
      <c r="U24" t="s">
        <v>68</v>
      </c>
      <c r="V24">
        <v>0</v>
      </c>
      <c r="W24" t="s">
        <v>69</v>
      </c>
      <c r="X24" s="5">
        <v>46045</v>
      </c>
      <c r="Y24" t="s">
        <v>74</v>
      </c>
      <c r="Z24" t="s">
        <v>68</v>
      </c>
      <c r="AA24">
        <v>17450</v>
      </c>
      <c r="AB24">
        <v>0</v>
      </c>
      <c r="AC24" t="s">
        <v>731</v>
      </c>
      <c r="AD24" t="s">
        <v>68</v>
      </c>
      <c r="AE24">
        <v>0</v>
      </c>
      <c r="AF24" s="1">
        <v>46045.431851851848</v>
      </c>
      <c r="AG24" s="1">
        <v>46050.455231481479</v>
      </c>
      <c r="AH24">
        <v>1</v>
      </c>
      <c r="AI24">
        <v>2</v>
      </c>
      <c r="AJ24">
        <v>0</v>
      </c>
      <c r="AK24" t="s">
        <v>732</v>
      </c>
      <c r="AL24" t="s">
        <v>71</v>
      </c>
      <c r="AM24" t="s">
        <v>68</v>
      </c>
      <c r="AN24">
        <v>0</v>
      </c>
      <c r="AO24" s="1"/>
      <c r="AQ24">
        <v>0</v>
      </c>
      <c r="AR24">
        <v>0</v>
      </c>
      <c r="AS24" t="s">
        <v>72</v>
      </c>
      <c r="AT24" t="s">
        <v>68</v>
      </c>
      <c r="AU24">
        <v>1</v>
      </c>
      <c r="AV24" t="s">
        <v>793</v>
      </c>
      <c r="AW24">
        <v>0</v>
      </c>
      <c r="AX24" s="1">
        <v>46031.596585648149</v>
      </c>
      <c r="AY24">
        <v>2500</v>
      </c>
      <c r="AZ24" t="s">
        <v>68</v>
      </c>
      <c r="BA24" t="s">
        <v>65</v>
      </c>
      <c r="BB24" t="s">
        <v>68</v>
      </c>
      <c r="BC24" t="s">
        <v>68</v>
      </c>
      <c r="BD24">
        <v>0</v>
      </c>
      <c r="BE24" s="1"/>
      <c r="BF24" s="1">
        <v>46050.455231481479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  <c r="BL24" t="s">
        <v>68</v>
      </c>
      <c r="BM24" t="s">
        <v>68</v>
      </c>
      <c r="BN24" t="s">
        <v>68</v>
      </c>
      <c r="BO24" t="s">
        <v>96</v>
      </c>
      <c r="BP24">
        <v>0</v>
      </c>
      <c r="BQ24" t="s">
        <v>68</v>
      </c>
      <c r="BR24" t="s">
        <v>68</v>
      </c>
      <c r="BS24" t="s">
        <v>68</v>
      </c>
    </row>
    <row r="25" spans="1:71" x14ac:dyDescent="0.35">
      <c r="A25" t="b">
        <f>ISNUMBER(MATCH(ChargentOrders[[#This Row],[Contract__c]],Contract[Id],0))</f>
        <v>1</v>
      </c>
      <c r="B25">
        <f>IFERROR(INDEX(Contract[CB_Subscription__c],MATCH(ChargentOrders[[#This Row],[Contract__c]],Contract[Id],0)),0)</f>
        <v>0</v>
      </c>
      <c r="C25" t="b">
        <f>ISNUMBER(MATCH(ChargentOrders[[#This Row],[Id]],Claude[Id],0))</f>
        <v>1</v>
      </c>
      <c r="D25" t="b">
        <f>AND(ChargentOrders[[#This Row],[_Contract]],ChargentOrders[[#This Row],[CB Subscription]]=0)</f>
        <v>1</v>
      </c>
      <c r="E25" s="38">
        <f>INDEX(Table5[CUENTA],MATCH(ChargentOrders[[#This Row],[Contract__c]],Table5[SM_Contract__c],0))</f>
        <v>46080</v>
      </c>
      <c r="F25" s="38" t="str">
        <f ca="1">INDEX(Table5[ESTADO],MATCH(ChargentOrders[[#This Row],[Contract__c]],Table5[SM_Contract__c],0))</f>
        <v>AL DIA</v>
      </c>
      <c r="G25" t="s">
        <v>797</v>
      </c>
      <c r="H25" t="s">
        <v>79</v>
      </c>
      <c r="I25" t="s">
        <v>798</v>
      </c>
      <c r="J25" s="1">
        <v>46043.61822916667</v>
      </c>
      <c r="K25">
        <v>9</v>
      </c>
      <c r="L25">
        <v>2028</v>
      </c>
      <c r="M25" t="s">
        <v>1427</v>
      </c>
      <c r="N25">
        <v>9</v>
      </c>
      <c r="O25" t="s">
        <v>1494</v>
      </c>
      <c r="P25" t="s">
        <v>73</v>
      </c>
      <c r="Q25">
        <v>2028</v>
      </c>
      <c r="R25">
        <v>1745</v>
      </c>
      <c r="T25" t="s">
        <v>67</v>
      </c>
      <c r="U25" t="s">
        <v>68</v>
      </c>
      <c r="V25">
        <v>0</v>
      </c>
      <c r="W25" t="s">
        <v>69</v>
      </c>
      <c r="X25" s="5">
        <v>46046</v>
      </c>
      <c r="Y25" t="s">
        <v>74</v>
      </c>
      <c r="Z25" t="s">
        <v>68</v>
      </c>
      <c r="AA25">
        <v>17450</v>
      </c>
      <c r="AB25">
        <v>0</v>
      </c>
      <c r="AC25" t="s">
        <v>731</v>
      </c>
      <c r="AD25" t="s">
        <v>68</v>
      </c>
      <c r="AE25">
        <v>0</v>
      </c>
      <c r="AF25" s="1">
        <v>46046.417361111111</v>
      </c>
      <c r="AG25" s="1">
        <v>46050.452534722222</v>
      </c>
      <c r="AH25">
        <v>1</v>
      </c>
      <c r="AI25">
        <v>2</v>
      </c>
      <c r="AJ25">
        <v>0</v>
      </c>
      <c r="AK25" t="s">
        <v>732</v>
      </c>
      <c r="AL25" t="s">
        <v>71</v>
      </c>
      <c r="AM25" t="s">
        <v>68</v>
      </c>
      <c r="AN25">
        <v>0</v>
      </c>
      <c r="AO25" s="1"/>
      <c r="AQ25">
        <v>0</v>
      </c>
      <c r="AR25">
        <v>0</v>
      </c>
      <c r="AS25" t="s">
        <v>72</v>
      </c>
      <c r="AT25" t="s">
        <v>68</v>
      </c>
      <c r="AU25">
        <v>1</v>
      </c>
      <c r="AV25" t="s">
        <v>799</v>
      </c>
      <c r="AW25">
        <v>0</v>
      </c>
      <c r="AX25" s="1">
        <v>46031.596585648149</v>
      </c>
      <c r="AY25">
        <v>2500</v>
      </c>
      <c r="AZ25" t="s">
        <v>68</v>
      </c>
      <c r="BA25" t="s">
        <v>78</v>
      </c>
      <c r="BB25" t="s">
        <v>68</v>
      </c>
      <c r="BC25" t="s">
        <v>68</v>
      </c>
      <c r="BD25">
        <v>0</v>
      </c>
      <c r="BE25" s="1"/>
      <c r="BF25" s="1">
        <v>46050.452534722222</v>
      </c>
      <c r="BG25" t="s">
        <v>68</v>
      </c>
      <c r="BH25" t="s">
        <v>68</v>
      </c>
      <c r="BI25" t="s">
        <v>68</v>
      </c>
      <c r="BJ25" t="s">
        <v>68</v>
      </c>
      <c r="BK25" t="s">
        <v>68</v>
      </c>
      <c r="BL25" t="s">
        <v>68</v>
      </c>
      <c r="BM25" t="s">
        <v>68</v>
      </c>
      <c r="BN25" t="s">
        <v>68</v>
      </c>
      <c r="BO25" t="s">
        <v>96</v>
      </c>
      <c r="BP25">
        <v>0</v>
      </c>
      <c r="BQ25" t="s">
        <v>68</v>
      </c>
      <c r="BR25" t="s">
        <v>68</v>
      </c>
      <c r="BS25" t="s">
        <v>68</v>
      </c>
    </row>
    <row r="26" spans="1:71" x14ac:dyDescent="0.35">
      <c r="A26" t="b">
        <f>ISNUMBER(MATCH(ChargentOrders[[#This Row],[Contract__c]],Contract[Id],0))</f>
        <v>1</v>
      </c>
      <c r="B26">
        <f>IFERROR(INDEX(Contract[CB_Subscription__c],MATCH(ChargentOrders[[#This Row],[Contract__c]],Contract[Id],0)),0)</f>
        <v>0</v>
      </c>
      <c r="C26" t="b">
        <f>ISNUMBER(MATCH(ChargentOrders[[#This Row],[Id]],Claude[Id],0))</f>
        <v>1</v>
      </c>
      <c r="D26" t="b">
        <f>AND(ChargentOrders[[#This Row],[_Contract]],ChargentOrders[[#This Row],[CB Subscription]]=0)</f>
        <v>1</v>
      </c>
      <c r="E26" s="38">
        <f>INDEX(Table5[CUENTA],MATCH(ChargentOrders[[#This Row],[Contract__c]],Table5[SM_Contract__c],0))</f>
        <v>46080</v>
      </c>
      <c r="F26" s="38" t="str">
        <f ca="1">INDEX(Table5[ESTADO],MATCH(ChargentOrders[[#This Row],[Contract__c]],Table5[SM_Contract__c],0))</f>
        <v>AL DIA</v>
      </c>
      <c r="G26" t="s">
        <v>806</v>
      </c>
      <c r="H26" t="s">
        <v>79</v>
      </c>
      <c r="I26" t="s">
        <v>807</v>
      </c>
      <c r="J26" s="1">
        <v>46044.427152777775</v>
      </c>
      <c r="K26">
        <v>9</v>
      </c>
      <c r="L26">
        <v>2028</v>
      </c>
      <c r="M26" t="s">
        <v>1427</v>
      </c>
      <c r="N26">
        <v>9</v>
      </c>
      <c r="O26" t="s">
        <v>1494</v>
      </c>
      <c r="P26" t="s">
        <v>73</v>
      </c>
      <c r="Q26">
        <v>2028</v>
      </c>
      <c r="R26">
        <v>1745</v>
      </c>
      <c r="T26" t="s">
        <v>67</v>
      </c>
      <c r="U26" t="s">
        <v>68</v>
      </c>
      <c r="V26">
        <v>0</v>
      </c>
      <c r="W26" t="s">
        <v>69</v>
      </c>
      <c r="X26" s="5">
        <v>46045</v>
      </c>
      <c r="Y26" t="s">
        <v>74</v>
      </c>
      <c r="Z26" t="s">
        <v>68</v>
      </c>
      <c r="AA26">
        <v>17450</v>
      </c>
      <c r="AB26">
        <v>0</v>
      </c>
      <c r="AC26" t="s">
        <v>731</v>
      </c>
      <c r="AD26" t="s">
        <v>68</v>
      </c>
      <c r="AE26">
        <v>0</v>
      </c>
      <c r="AF26" s="1">
        <v>46045.432002314818</v>
      </c>
      <c r="AG26" s="1">
        <v>46050.45380787037</v>
      </c>
      <c r="AH26">
        <v>1</v>
      </c>
      <c r="AI26">
        <v>2</v>
      </c>
      <c r="AJ26">
        <v>0</v>
      </c>
      <c r="AK26" t="s">
        <v>732</v>
      </c>
      <c r="AL26" t="s">
        <v>71</v>
      </c>
      <c r="AM26" t="s">
        <v>68</v>
      </c>
      <c r="AN26">
        <v>0</v>
      </c>
      <c r="AO26" s="1"/>
      <c r="AQ26">
        <v>0</v>
      </c>
      <c r="AR26">
        <v>0</v>
      </c>
      <c r="AS26" t="s">
        <v>72</v>
      </c>
      <c r="AT26" t="s">
        <v>68</v>
      </c>
      <c r="AU26">
        <v>1</v>
      </c>
      <c r="AV26" t="s">
        <v>808</v>
      </c>
      <c r="AW26">
        <v>0</v>
      </c>
      <c r="AX26" s="1">
        <v>46031.596585648149</v>
      </c>
      <c r="AY26">
        <v>2500</v>
      </c>
      <c r="AZ26" t="s">
        <v>68</v>
      </c>
      <c r="BA26" t="s">
        <v>65</v>
      </c>
      <c r="BB26" t="s">
        <v>68</v>
      </c>
      <c r="BC26" t="s">
        <v>68</v>
      </c>
      <c r="BD26">
        <v>0</v>
      </c>
      <c r="BE26" s="1"/>
      <c r="BF26" s="1">
        <v>46050.45380787037</v>
      </c>
      <c r="BG26" t="s">
        <v>68</v>
      </c>
      <c r="BH26" t="s">
        <v>68</v>
      </c>
      <c r="BI26" t="s">
        <v>68</v>
      </c>
      <c r="BJ26" t="s">
        <v>68</v>
      </c>
      <c r="BK26" t="s">
        <v>68</v>
      </c>
      <c r="BL26" t="s">
        <v>68</v>
      </c>
      <c r="BM26" t="s">
        <v>68</v>
      </c>
      <c r="BN26" t="s">
        <v>68</v>
      </c>
      <c r="BO26" t="s">
        <v>96</v>
      </c>
      <c r="BP26">
        <v>0</v>
      </c>
      <c r="BQ26" t="s">
        <v>68</v>
      </c>
      <c r="BR26" t="s">
        <v>68</v>
      </c>
      <c r="BS26" t="s">
        <v>68</v>
      </c>
    </row>
    <row r="27" spans="1:71" x14ac:dyDescent="0.35">
      <c r="A27" t="b">
        <f>ISNUMBER(MATCH(ChargentOrders[[#This Row],[Contract__c]],Contract[Id],0))</f>
        <v>1</v>
      </c>
      <c r="B27">
        <f>IFERROR(INDEX(Contract[CB_Subscription__c],MATCH(ChargentOrders[[#This Row],[Contract__c]],Contract[Id],0)),0)</f>
        <v>0</v>
      </c>
      <c r="C27" t="b">
        <f>ISNUMBER(MATCH(ChargentOrders[[#This Row],[Id]],Claude[Id],0))</f>
        <v>1</v>
      </c>
      <c r="D27" t="b">
        <f>AND(ChargentOrders[[#This Row],[_Contract]],ChargentOrders[[#This Row],[CB Subscription]]=0)</f>
        <v>1</v>
      </c>
      <c r="E27" s="38">
        <f>INDEX(Table5[CUENTA],MATCH(ChargentOrders[[#This Row],[Contract__c]],Table5[SM_Contract__c],0))</f>
        <v>46080</v>
      </c>
      <c r="F27" s="38" t="str">
        <f ca="1">INDEX(Table5[ESTADO],MATCH(ChargentOrders[[#This Row],[Contract__c]],Table5[SM_Contract__c],0))</f>
        <v>AL DIA</v>
      </c>
      <c r="G27" t="s">
        <v>815</v>
      </c>
      <c r="H27" t="s">
        <v>79</v>
      </c>
      <c r="I27" t="s">
        <v>816</v>
      </c>
      <c r="J27" s="1">
        <v>46044.618298611109</v>
      </c>
      <c r="K27">
        <v>9</v>
      </c>
      <c r="L27">
        <v>2028</v>
      </c>
      <c r="M27" t="s">
        <v>1427</v>
      </c>
      <c r="N27">
        <v>9</v>
      </c>
      <c r="O27" t="s">
        <v>1494</v>
      </c>
      <c r="P27" t="s">
        <v>73</v>
      </c>
      <c r="Q27">
        <v>2028</v>
      </c>
      <c r="R27">
        <v>17450</v>
      </c>
      <c r="T27" t="s">
        <v>67</v>
      </c>
      <c r="U27" t="s">
        <v>68</v>
      </c>
      <c r="V27">
        <v>0</v>
      </c>
      <c r="W27" t="s">
        <v>69</v>
      </c>
      <c r="X27" s="5">
        <v>46052</v>
      </c>
      <c r="Y27" t="s">
        <v>70</v>
      </c>
      <c r="Z27" t="s">
        <v>68</v>
      </c>
      <c r="AA27">
        <v>17450</v>
      </c>
      <c r="AB27">
        <v>0</v>
      </c>
      <c r="AC27" t="s">
        <v>731</v>
      </c>
      <c r="AD27" t="s">
        <v>68</v>
      </c>
      <c r="AE27">
        <v>0</v>
      </c>
      <c r="AF27" s="1"/>
      <c r="AG27" s="1"/>
      <c r="AH27">
        <v>0</v>
      </c>
      <c r="AI27">
        <v>2</v>
      </c>
      <c r="AJ27">
        <v>0</v>
      </c>
      <c r="AK27" t="s">
        <v>732</v>
      </c>
      <c r="AL27" t="s">
        <v>71</v>
      </c>
      <c r="AM27" t="s">
        <v>68</v>
      </c>
      <c r="AN27">
        <v>0</v>
      </c>
      <c r="AO27" s="1"/>
      <c r="AQ27">
        <v>0</v>
      </c>
      <c r="AR27">
        <v>0</v>
      </c>
      <c r="AS27" t="s">
        <v>72</v>
      </c>
      <c r="AT27" t="s">
        <v>68</v>
      </c>
      <c r="AU27">
        <v>1</v>
      </c>
      <c r="AV27" t="s">
        <v>817</v>
      </c>
      <c r="AW27">
        <v>0</v>
      </c>
      <c r="AX27" s="1">
        <v>46031.596585648149</v>
      </c>
      <c r="AY27">
        <v>2500</v>
      </c>
      <c r="AZ27" t="s">
        <v>68</v>
      </c>
      <c r="BA27" t="s">
        <v>78</v>
      </c>
      <c r="BB27" t="s">
        <v>68</v>
      </c>
      <c r="BC27" t="s">
        <v>68</v>
      </c>
      <c r="BD27">
        <v>0</v>
      </c>
      <c r="BE27" s="1">
        <v>46049.417349537034</v>
      </c>
      <c r="BF27" s="1">
        <v>46049.417349537034</v>
      </c>
      <c r="BG27" t="s">
        <v>68</v>
      </c>
      <c r="BH27" t="s">
        <v>68</v>
      </c>
      <c r="BI27" t="s">
        <v>68</v>
      </c>
      <c r="BJ27" t="s">
        <v>68</v>
      </c>
      <c r="BK27" t="s">
        <v>68</v>
      </c>
      <c r="BL27" t="s">
        <v>68</v>
      </c>
      <c r="BM27" t="s">
        <v>68</v>
      </c>
      <c r="BN27" t="s">
        <v>68</v>
      </c>
      <c r="BO27" t="s">
        <v>96</v>
      </c>
      <c r="BP27">
        <v>0</v>
      </c>
      <c r="BQ27" t="s">
        <v>68</v>
      </c>
      <c r="BR27" t="s">
        <v>68</v>
      </c>
      <c r="BS27" t="s">
        <v>68</v>
      </c>
    </row>
    <row r="28" spans="1:71" x14ac:dyDescent="0.35">
      <c r="A28" t="b">
        <f>ISNUMBER(MATCH(ChargentOrders[[#This Row],[Contract__c]],Contract[Id],0))</f>
        <v>1</v>
      </c>
      <c r="B28">
        <f>IFERROR(INDEX(Contract[CB_Subscription__c],MATCH(ChargentOrders[[#This Row],[Contract__c]],Contract[Id],0)),0)</f>
        <v>0</v>
      </c>
      <c r="C28" t="b">
        <f>ISNUMBER(MATCH(ChargentOrders[[#This Row],[Id]],Claude[Id],0))</f>
        <v>1</v>
      </c>
      <c r="D28" t="b">
        <f>AND(ChargentOrders[[#This Row],[_Contract]],ChargentOrders[[#This Row],[CB Subscription]]=0)</f>
        <v>1</v>
      </c>
      <c r="E28" s="38">
        <f>INDEX(Table5[CUENTA],MATCH(ChargentOrders[[#This Row],[Contract__c]],Table5[SM_Contract__c],0))</f>
        <v>46080</v>
      </c>
      <c r="F28" s="38" t="str">
        <f ca="1">INDEX(Table5[ESTADO],MATCH(ChargentOrders[[#This Row],[Contract__c]],Table5[SM_Contract__c],0))</f>
        <v>AL DIA</v>
      </c>
      <c r="G28" t="s">
        <v>974</v>
      </c>
      <c r="H28" t="s">
        <v>79</v>
      </c>
      <c r="I28" t="s">
        <v>975</v>
      </c>
      <c r="J28" s="1">
        <v>46080.42701388889</v>
      </c>
      <c r="K28">
        <v>9</v>
      </c>
      <c r="L28">
        <v>2028</v>
      </c>
      <c r="M28" t="s">
        <v>1427</v>
      </c>
      <c r="N28">
        <v>9</v>
      </c>
      <c r="O28" t="s">
        <v>1427</v>
      </c>
      <c r="P28" t="s">
        <v>73</v>
      </c>
      <c r="Q28">
        <v>2028</v>
      </c>
      <c r="R28">
        <v>7400</v>
      </c>
      <c r="T28" t="s">
        <v>67</v>
      </c>
      <c r="U28" t="s">
        <v>68</v>
      </c>
      <c r="V28">
        <v>0</v>
      </c>
      <c r="W28" t="s">
        <v>69</v>
      </c>
      <c r="X28" s="5">
        <v>46205</v>
      </c>
      <c r="Y28" t="s">
        <v>84</v>
      </c>
      <c r="Z28" t="s">
        <v>68</v>
      </c>
      <c r="AA28">
        <v>7400</v>
      </c>
      <c r="AB28">
        <v>0</v>
      </c>
      <c r="AC28" t="s">
        <v>731</v>
      </c>
      <c r="AD28" t="s">
        <v>68</v>
      </c>
      <c r="AE28">
        <v>0</v>
      </c>
      <c r="AF28" s="1"/>
      <c r="AG28" s="1"/>
      <c r="AH28">
        <v>0</v>
      </c>
      <c r="AI28">
        <v>52</v>
      </c>
      <c r="AJ28">
        <v>0</v>
      </c>
      <c r="AK28" t="s">
        <v>732</v>
      </c>
      <c r="AL28" t="s">
        <v>71</v>
      </c>
      <c r="AM28" t="s">
        <v>68</v>
      </c>
      <c r="AN28">
        <v>0</v>
      </c>
      <c r="AO28" s="1"/>
      <c r="AQ28">
        <v>0</v>
      </c>
      <c r="AR28">
        <v>0</v>
      </c>
      <c r="AS28" t="s">
        <v>72</v>
      </c>
      <c r="AT28" t="s">
        <v>68</v>
      </c>
      <c r="AU28">
        <v>1</v>
      </c>
      <c r="AV28" t="s">
        <v>976</v>
      </c>
      <c r="AW28">
        <v>0</v>
      </c>
      <c r="AX28" s="1">
        <v>46039.416909722226</v>
      </c>
      <c r="AY28">
        <v>2500</v>
      </c>
      <c r="AZ28" t="s">
        <v>68</v>
      </c>
      <c r="BA28" t="s">
        <v>65</v>
      </c>
      <c r="BB28" t="s">
        <v>68</v>
      </c>
      <c r="BC28" t="s">
        <v>68</v>
      </c>
      <c r="BD28">
        <v>0</v>
      </c>
      <c r="BE28" s="1">
        <v>46202.418298611112</v>
      </c>
      <c r="BF28" s="1">
        <v>46202.418298611112</v>
      </c>
      <c r="BG28" t="s">
        <v>68</v>
      </c>
      <c r="BH28" t="s">
        <v>68</v>
      </c>
      <c r="BI28" t="s">
        <v>68</v>
      </c>
      <c r="BJ28" t="s">
        <v>68</v>
      </c>
      <c r="BK28" t="s">
        <v>68</v>
      </c>
      <c r="BL28" t="s">
        <v>68</v>
      </c>
      <c r="BM28" t="s">
        <v>68</v>
      </c>
      <c r="BN28" t="s">
        <v>68</v>
      </c>
      <c r="BO28" t="s">
        <v>96</v>
      </c>
      <c r="BP28">
        <v>0</v>
      </c>
      <c r="BQ28" t="s">
        <v>68</v>
      </c>
      <c r="BR28" t="s">
        <v>68</v>
      </c>
      <c r="BS28" t="s">
        <v>68</v>
      </c>
    </row>
    <row r="29" spans="1:71" x14ac:dyDescent="0.35">
      <c r="A29" t="b">
        <f>ISNUMBER(MATCH(ChargentOrders[[#This Row],[Contract__c]],Contract[Id],0))</f>
        <v>1</v>
      </c>
      <c r="B29">
        <f>IFERROR(INDEX(Contract[CB_Subscription__c],MATCH(ChargentOrders[[#This Row],[Contract__c]],Contract[Id],0)),0)</f>
        <v>0</v>
      </c>
      <c r="C29" t="b">
        <f>ISNUMBER(MATCH(ChargentOrders[[#This Row],[Id]],Claude[Id],0))</f>
        <v>1</v>
      </c>
      <c r="D29" t="b">
        <f>AND(ChargentOrders[[#This Row],[_Contract]],ChargentOrders[[#This Row],[CB Subscription]]=0)</f>
        <v>1</v>
      </c>
      <c r="E29" s="38">
        <f>INDEX(Table5[CUENTA],MATCH(ChargentOrders[[#This Row],[Contract__c]],Table5[SM_Contract__c],0))</f>
        <v>46080</v>
      </c>
      <c r="F29" s="38" t="str">
        <f ca="1">INDEX(Table5[ESTADO],MATCH(ChargentOrders[[#This Row],[Contract__c]],Table5[SM_Contract__c],0))</f>
        <v>AL DIA</v>
      </c>
      <c r="G29" t="s">
        <v>1010</v>
      </c>
      <c r="H29" t="s">
        <v>79</v>
      </c>
      <c r="I29" t="s">
        <v>1011</v>
      </c>
      <c r="J29" s="1">
        <v>46108.421006944445</v>
      </c>
      <c r="K29">
        <v>9</v>
      </c>
      <c r="L29">
        <v>2028</v>
      </c>
      <c r="M29" t="s">
        <v>1427</v>
      </c>
      <c r="N29">
        <v>9</v>
      </c>
      <c r="O29" t="s">
        <v>1427</v>
      </c>
      <c r="P29" t="s">
        <v>73</v>
      </c>
      <c r="Q29">
        <v>2028</v>
      </c>
      <c r="R29">
        <v>7400</v>
      </c>
      <c r="T29" t="s">
        <v>67</v>
      </c>
      <c r="U29" t="s">
        <v>68</v>
      </c>
      <c r="V29">
        <v>0</v>
      </c>
      <c r="W29" t="s">
        <v>69</v>
      </c>
      <c r="X29" s="5">
        <v>46205</v>
      </c>
      <c r="Y29" t="s">
        <v>84</v>
      </c>
      <c r="Z29" t="s">
        <v>68</v>
      </c>
      <c r="AA29">
        <v>7400</v>
      </c>
      <c r="AB29">
        <v>0</v>
      </c>
      <c r="AC29" t="s">
        <v>731</v>
      </c>
      <c r="AD29" t="s">
        <v>68</v>
      </c>
      <c r="AE29">
        <v>0</v>
      </c>
      <c r="AF29" s="1"/>
      <c r="AG29" s="1"/>
      <c r="AH29">
        <v>0</v>
      </c>
      <c r="AI29">
        <v>40</v>
      </c>
      <c r="AJ29">
        <v>0</v>
      </c>
      <c r="AK29" t="s">
        <v>732</v>
      </c>
      <c r="AL29" t="s">
        <v>71</v>
      </c>
      <c r="AM29" t="s">
        <v>68</v>
      </c>
      <c r="AN29">
        <v>0</v>
      </c>
      <c r="AO29" s="1"/>
      <c r="AQ29">
        <v>0</v>
      </c>
      <c r="AR29">
        <v>0</v>
      </c>
      <c r="AS29" t="s">
        <v>72</v>
      </c>
      <c r="AT29" t="s">
        <v>68</v>
      </c>
      <c r="AU29">
        <v>1</v>
      </c>
      <c r="AV29" t="s">
        <v>1012</v>
      </c>
      <c r="AW29">
        <v>0</v>
      </c>
      <c r="AX29" s="1">
        <v>46039.416909722226</v>
      </c>
      <c r="AY29">
        <v>2500</v>
      </c>
      <c r="AZ29" t="s">
        <v>68</v>
      </c>
      <c r="BA29" t="s">
        <v>65</v>
      </c>
      <c r="BB29" t="s">
        <v>68</v>
      </c>
      <c r="BC29" t="s">
        <v>68</v>
      </c>
      <c r="BD29">
        <v>0</v>
      </c>
      <c r="BE29" s="1">
        <v>46202.419224537036</v>
      </c>
      <c r="BF29" s="1">
        <v>46202.419224537036</v>
      </c>
      <c r="BG29" t="s">
        <v>68</v>
      </c>
      <c r="BH29" t="s">
        <v>68</v>
      </c>
      <c r="BI29" t="s">
        <v>68</v>
      </c>
      <c r="BJ29" t="s">
        <v>68</v>
      </c>
      <c r="BK29" t="s">
        <v>68</v>
      </c>
      <c r="BL29" t="s">
        <v>68</v>
      </c>
      <c r="BM29" t="s">
        <v>68</v>
      </c>
      <c r="BN29" t="s">
        <v>68</v>
      </c>
      <c r="BO29" t="s">
        <v>96</v>
      </c>
      <c r="BP29">
        <v>0</v>
      </c>
      <c r="BQ29" t="s">
        <v>68</v>
      </c>
      <c r="BR29" t="s">
        <v>68</v>
      </c>
      <c r="BS29" t="s">
        <v>68</v>
      </c>
    </row>
    <row r="30" spans="1:71" x14ac:dyDescent="0.35">
      <c r="A30" t="b">
        <f>ISNUMBER(MATCH(ChargentOrders[[#This Row],[Contract__c]],Contract[Id],0))</f>
        <v>1</v>
      </c>
      <c r="B30">
        <f>IFERROR(INDEX(Contract[CB_Subscription__c],MATCH(ChargentOrders[[#This Row],[Contract__c]],Contract[Id],0)),0)</f>
        <v>0</v>
      </c>
      <c r="C30" t="b">
        <f>ISNUMBER(MATCH(ChargentOrders[[#This Row],[Id]],Claude[Id],0))</f>
        <v>1</v>
      </c>
      <c r="D30" t="b">
        <f>AND(ChargentOrders[[#This Row],[_Contract]],ChargentOrders[[#This Row],[CB Subscription]]=0)</f>
        <v>1</v>
      </c>
      <c r="E30" s="38">
        <f>INDEX(Table5[CUENTA],MATCH(ChargentOrders[[#This Row],[Contract__c]],Table5[SM_Contract__c],0))</f>
        <v>46080</v>
      </c>
      <c r="F30" s="38" t="str">
        <f ca="1">INDEX(Table5[ESTADO],MATCH(ChargentOrders[[#This Row],[Contract__c]],Table5[SM_Contract__c],0))</f>
        <v>AL DIA</v>
      </c>
      <c r="G30" t="s">
        <v>1095</v>
      </c>
      <c r="H30" t="s">
        <v>79</v>
      </c>
      <c r="I30" t="s">
        <v>1096</v>
      </c>
      <c r="J30" s="1">
        <v>46139.419293981482</v>
      </c>
      <c r="K30">
        <v>9</v>
      </c>
      <c r="L30">
        <v>2028</v>
      </c>
      <c r="M30" t="s">
        <v>1427</v>
      </c>
      <c r="N30">
        <v>9</v>
      </c>
      <c r="O30" t="s">
        <v>1427</v>
      </c>
      <c r="P30" t="s">
        <v>73</v>
      </c>
      <c r="Q30">
        <v>2028</v>
      </c>
      <c r="R30">
        <v>7400</v>
      </c>
      <c r="T30" t="s">
        <v>67</v>
      </c>
      <c r="U30" t="s">
        <v>68</v>
      </c>
      <c r="V30">
        <v>0</v>
      </c>
      <c r="W30" t="s">
        <v>69</v>
      </c>
      <c r="X30" s="5">
        <v>46205</v>
      </c>
      <c r="Y30" t="s">
        <v>84</v>
      </c>
      <c r="Z30" t="s">
        <v>68</v>
      </c>
      <c r="AA30">
        <v>7400</v>
      </c>
      <c r="AB30">
        <v>0</v>
      </c>
      <c r="AC30" t="s">
        <v>731</v>
      </c>
      <c r="AD30" t="s">
        <v>68</v>
      </c>
      <c r="AE30">
        <v>0</v>
      </c>
      <c r="AF30" s="1"/>
      <c r="AG30" s="1"/>
      <c r="AH30">
        <v>0</v>
      </c>
      <c r="AI30">
        <v>27</v>
      </c>
      <c r="AJ30">
        <v>0</v>
      </c>
      <c r="AK30" t="s">
        <v>732</v>
      </c>
      <c r="AL30" t="s">
        <v>71</v>
      </c>
      <c r="AM30" t="s">
        <v>68</v>
      </c>
      <c r="AN30">
        <v>0</v>
      </c>
      <c r="AO30" s="1"/>
      <c r="AQ30">
        <v>0</v>
      </c>
      <c r="AR30">
        <v>0</v>
      </c>
      <c r="AS30" t="s">
        <v>72</v>
      </c>
      <c r="AT30" t="s">
        <v>68</v>
      </c>
      <c r="AU30">
        <v>1</v>
      </c>
      <c r="AV30" t="s">
        <v>1097</v>
      </c>
      <c r="AW30">
        <v>0</v>
      </c>
      <c r="AX30" s="1">
        <v>46039.416909722226</v>
      </c>
      <c r="AY30">
        <v>2500</v>
      </c>
      <c r="AZ30" t="s">
        <v>68</v>
      </c>
      <c r="BA30" t="s">
        <v>65</v>
      </c>
      <c r="BB30" t="s">
        <v>68</v>
      </c>
      <c r="BC30" t="s">
        <v>68</v>
      </c>
      <c r="BD30">
        <v>0</v>
      </c>
      <c r="BE30" s="1">
        <v>46202.420497685183</v>
      </c>
      <c r="BF30" s="1">
        <v>46202.420497685183</v>
      </c>
      <c r="BG30" t="s">
        <v>68</v>
      </c>
      <c r="BH30" t="s">
        <v>68</v>
      </c>
      <c r="BI30" t="s">
        <v>68</v>
      </c>
      <c r="BJ30" t="s">
        <v>68</v>
      </c>
      <c r="BK30" t="s">
        <v>68</v>
      </c>
      <c r="BL30" t="s">
        <v>68</v>
      </c>
      <c r="BM30" t="s">
        <v>68</v>
      </c>
      <c r="BN30" t="s">
        <v>68</v>
      </c>
      <c r="BO30" t="s">
        <v>96</v>
      </c>
      <c r="BP30">
        <v>0</v>
      </c>
      <c r="BQ30" t="s">
        <v>68</v>
      </c>
      <c r="BR30" t="s">
        <v>68</v>
      </c>
      <c r="BS30" t="s">
        <v>68</v>
      </c>
    </row>
    <row r="31" spans="1:71" x14ac:dyDescent="0.35">
      <c r="A31" t="b">
        <f>ISNUMBER(MATCH(ChargentOrders[[#This Row],[Contract__c]],Contract[Id],0))</f>
        <v>1</v>
      </c>
      <c r="B31">
        <f>IFERROR(INDEX(Contract[CB_Subscription__c],MATCH(ChargentOrders[[#This Row],[Contract__c]],Contract[Id],0)),0)</f>
        <v>0</v>
      </c>
      <c r="C31" t="b">
        <f>ISNUMBER(MATCH(ChargentOrders[[#This Row],[Id]],Claude[Id],0))</f>
        <v>1</v>
      </c>
      <c r="D31" t="b">
        <f>AND(ChargentOrders[[#This Row],[_Contract]],ChargentOrders[[#This Row],[CB Subscription]]=0)</f>
        <v>1</v>
      </c>
      <c r="E31" s="38">
        <f>INDEX(Table5[CUENTA],MATCH(ChargentOrders[[#This Row],[Contract__c]],Table5[SM_Contract__c],0))</f>
        <v>46080</v>
      </c>
      <c r="F31" s="38" t="str">
        <f ca="1">INDEX(Table5[ESTADO],MATCH(ChargentOrders[[#This Row],[Contract__c]],Table5[SM_Contract__c],0))</f>
        <v>AL DIA</v>
      </c>
      <c r="G31" t="s">
        <v>1203</v>
      </c>
      <c r="H31" t="s">
        <v>79</v>
      </c>
      <c r="I31" t="s">
        <v>1204</v>
      </c>
      <c r="J31" s="1">
        <v>46169.417094907411</v>
      </c>
      <c r="K31">
        <v>9</v>
      </c>
      <c r="L31">
        <v>2028</v>
      </c>
      <c r="M31" t="s">
        <v>1427</v>
      </c>
      <c r="N31">
        <v>9</v>
      </c>
      <c r="O31" t="s">
        <v>1427</v>
      </c>
      <c r="P31" t="s">
        <v>73</v>
      </c>
      <c r="Q31">
        <v>2028</v>
      </c>
      <c r="R31">
        <v>7400</v>
      </c>
      <c r="T31" t="s">
        <v>67</v>
      </c>
      <c r="U31" t="s">
        <v>68</v>
      </c>
      <c r="V31">
        <v>0</v>
      </c>
      <c r="W31" t="s">
        <v>69</v>
      </c>
      <c r="X31" s="5">
        <v>46205</v>
      </c>
      <c r="Y31" t="s">
        <v>84</v>
      </c>
      <c r="Z31" t="s">
        <v>68</v>
      </c>
      <c r="AA31">
        <v>7400</v>
      </c>
      <c r="AB31">
        <v>0</v>
      </c>
      <c r="AC31" t="s">
        <v>731</v>
      </c>
      <c r="AD31" t="s">
        <v>68</v>
      </c>
      <c r="AE31">
        <v>0</v>
      </c>
      <c r="AF31" s="1"/>
      <c r="AG31" s="1"/>
      <c r="AH31">
        <v>0</v>
      </c>
      <c r="AI31">
        <v>14</v>
      </c>
      <c r="AJ31">
        <v>0</v>
      </c>
      <c r="AK31" t="s">
        <v>732</v>
      </c>
      <c r="AL31" t="s">
        <v>71</v>
      </c>
      <c r="AM31" t="s">
        <v>68</v>
      </c>
      <c r="AN31">
        <v>0</v>
      </c>
      <c r="AO31" s="1"/>
      <c r="AQ31">
        <v>0</v>
      </c>
      <c r="AR31">
        <v>0</v>
      </c>
      <c r="AS31" t="s">
        <v>72</v>
      </c>
      <c r="AT31" t="s">
        <v>68</v>
      </c>
      <c r="AU31">
        <v>1</v>
      </c>
      <c r="AV31" t="s">
        <v>1205</v>
      </c>
      <c r="AW31">
        <v>0</v>
      </c>
      <c r="AX31" s="1">
        <v>46039.416909722226</v>
      </c>
      <c r="AY31">
        <v>2500</v>
      </c>
      <c r="AZ31" t="s">
        <v>68</v>
      </c>
      <c r="BA31" t="s">
        <v>65</v>
      </c>
      <c r="BB31" t="s">
        <v>68</v>
      </c>
      <c r="BC31" t="s">
        <v>68</v>
      </c>
      <c r="BD31">
        <v>0</v>
      </c>
      <c r="BE31" s="1">
        <v>46202.421747685185</v>
      </c>
      <c r="BF31" s="1">
        <v>46202.421747685185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68</v>
      </c>
      <c r="BN31" t="s">
        <v>68</v>
      </c>
      <c r="BO31" t="s">
        <v>96</v>
      </c>
      <c r="BP31">
        <v>0</v>
      </c>
      <c r="BQ31" t="s">
        <v>68</v>
      </c>
      <c r="BR31" t="s">
        <v>68</v>
      </c>
      <c r="BS31" t="s">
        <v>68</v>
      </c>
    </row>
    <row r="32" spans="1:71" x14ac:dyDescent="0.35">
      <c r="A32" t="b">
        <f>ISNUMBER(MATCH(ChargentOrders[[#This Row],[Contract__c]],Contract[Id],0))</f>
        <v>1</v>
      </c>
      <c r="B32">
        <f>IFERROR(INDEX(Contract[CB_Subscription__c],MATCH(ChargentOrders[[#This Row],[Contract__c]],Contract[Id],0)),0)</f>
        <v>0</v>
      </c>
      <c r="C32" t="b">
        <f>ISNUMBER(MATCH(ChargentOrders[[#This Row],[Id]],Claude[Id],0))</f>
        <v>1</v>
      </c>
      <c r="D32" t="b">
        <f>AND(ChargentOrders[[#This Row],[_Contract]],ChargentOrders[[#This Row],[CB Subscription]]=0)</f>
        <v>1</v>
      </c>
      <c r="E32" s="38">
        <f>INDEX(Table5[CUENTA],MATCH(ChargentOrders[[#This Row],[Contract__c]],Table5[SM_Contract__c],0))</f>
        <v>46080</v>
      </c>
      <c r="F32" s="38" t="str">
        <f ca="1">INDEX(Table5[ESTADO],MATCH(ChargentOrders[[#This Row],[Contract__c]],Table5[SM_Contract__c],0))</f>
        <v>AL DIA</v>
      </c>
      <c r="G32" t="s">
        <v>1206</v>
      </c>
      <c r="H32" t="s">
        <v>78</v>
      </c>
      <c r="I32" t="s">
        <v>1207</v>
      </c>
      <c r="J32" s="1">
        <v>46169.671550925923</v>
      </c>
      <c r="K32">
        <v>9</v>
      </c>
      <c r="L32">
        <v>2028</v>
      </c>
      <c r="M32" t="s">
        <v>1427</v>
      </c>
      <c r="N32">
        <v>9</v>
      </c>
      <c r="O32" t="s">
        <v>1427</v>
      </c>
      <c r="P32" t="s">
        <v>68</v>
      </c>
      <c r="Q32">
        <v>2028</v>
      </c>
      <c r="R32">
        <v>14950</v>
      </c>
      <c r="T32" t="s">
        <v>67</v>
      </c>
      <c r="U32" t="s">
        <v>68</v>
      </c>
      <c r="V32">
        <v>0</v>
      </c>
      <c r="W32" t="s">
        <v>69</v>
      </c>
      <c r="X32" s="5">
        <v>46205</v>
      </c>
      <c r="Y32" t="s">
        <v>84</v>
      </c>
      <c r="Z32" t="s">
        <v>68</v>
      </c>
      <c r="AA32">
        <v>14950</v>
      </c>
      <c r="AB32">
        <v>0</v>
      </c>
      <c r="AC32" t="s">
        <v>731</v>
      </c>
      <c r="AD32" t="s">
        <v>68</v>
      </c>
      <c r="AE32">
        <v>0</v>
      </c>
      <c r="AF32" s="1"/>
      <c r="AG32" s="1"/>
      <c r="AH32">
        <v>0</v>
      </c>
      <c r="AI32">
        <v>16</v>
      </c>
      <c r="AJ32">
        <v>0</v>
      </c>
      <c r="AK32" t="s">
        <v>732</v>
      </c>
      <c r="AL32" t="s">
        <v>71</v>
      </c>
      <c r="AM32" t="s">
        <v>1208</v>
      </c>
      <c r="AN32">
        <v>0</v>
      </c>
      <c r="AO32" s="1"/>
      <c r="AP32">
        <v>1</v>
      </c>
      <c r="AS32" t="s">
        <v>75</v>
      </c>
      <c r="AT32" t="s">
        <v>68</v>
      </c>
      <c r="AU32">
        <v>1</v>
      </c>
      <c r="AV32" t="s">
        <v>68</v>
      </c>
      <c r="AW32">
        <v>0</v>
      </c>
      <c r="AX32" s="1"/>
      <c r="AY32">
        <v>25</v>
      </c>
      <c r="AZ32" t="s">
        <v>68</v>
      </c>
      <c r="BA32" t="s">
        <v>68</v>
      </c>
      <c r="BB32" t="s">
        <v>68</v>
      </c>
      <c r="BC32" t="s">
        <v>68</v>
      </c>
      <c r="BD32">
        <v>0</v>
      </c>
      <c r="BE32" s="1">
        <v>46202.421759259261</v>
      </c>
      <c r="BF32" s="1">
        <v>46202.421759259261</v>
      </c>
      <c r="BG32" t="s">
        <v>68</v>
      </c>
      <c r="BH32" t="s">
        <v>68</v>
      </c>
      <c r="BI32" t="s">
        <v>68</v>
      </c>
      <c r="BJ32" t="s">
        <v>68</v>
      </c>
      <c r="BK32" t="s">
        <v>68</v>
      </c>
      <c r="BL32" t="s">
        <v>68</v>
      </c>
      <c r="BM32" t="s">
        <v>68</v>
      </c>
      <c r="BN32" t="s">
        <v>68</v>
      </c>
      <c r="BO32" t="s">
        <v>96</v>
      </c>
      <c r="BP32">
        <v>0</v>
      </c>
      <c r="BQ32" t="s">
        <v>68</v>
      </c>
      <c r="BR32" t="s">
        <v>68</v>
      </c>
      <c r="BS32" t="s">
        <v>1167</v>
      </c>
    </row>
    <row r="33" spans="1:71" x14ac:dyDescent="0.35">
      <c r="A33" t="b">
        <f>ISNUMBER(MATCH(ChargentOrders[[#This Row],[Contract__c]],Contract[Id],0))</f>
        <v>1</v>
      </c>
      <c r="B33">
        <f>IFERROR(INDEX(Contract[CB_Subscription__c],MATCH(ChargentOrders[[#This Row],[Contract__c]],Contract[Id],0)),0)</f>
        <v>0</v>
      </c>
      <c r="C33" t="b">
        <f>ISNUMBER(MATCH(ChargentOrders[[#This Row],[Id]],Claude[Id],0))</f>
        <v>1</v>
      </c>
      <c r="D33" t="b">
        <f>AND(ChargentOrders[[#This Row],[_Contract]],ChargentOrders[[#This Row],[CB Subscription]]=0)</f>
        <v>1</v>
      </c>
      <c r="E33" s="38">
        <f>INDEX(Table5[CUENTA],MATCH(ChargentOrders[[#This Row],[Contract__c]],Table5[SM_Contract__c],0))</f>
        <v>46080</v>
      </c>
      <c r="F33" s="38" t="str">
        <f ca="1">INDEX(Table5[ESTADO],MATCH(ChargentOrders[[#This Row],[Contract__c]],Table5[SM_Contract__c],0))</f>
        <v>AL DIA</v>
      </c>
      <c r="G33" t="s">
        <v>1209</v>
      </c>
      <c r="H33" t="s">
        <v>78</v>
      </c>
      <c r="I33" t="s">
        <v>1210</v>
      </c>
      <c r="J33" s="1">
        <v>46169.673078703701</v>
      </c>
      <c r="K33">
        <v>9</v>
      </c>
      <c r="L33">
        <v>2028</v>
      </c>
      <c r="M33" t="s">
        <v>1427</v>
      </c>
      <c r="N33">
        <v>9</v>
      </c>
      <c r="O33" t="s">
        <v>1427</v>
      </c>
      <c r="P33" t="s">
        <v>68</v>
      </c>
      <c r="Q33">
        <v>2028</v>
      </c>
      <c r="R33">
        <v>14950</v>
      </c>
      <c r="T33" t="s">
        <v>67</v>
      </c>
      <c r="U33" t="s">
        <v>68</v>
      </c>
      <c r="V33">
        <v>0</v>
      </c>
      <c r="W33" t="s">
        <v>69</v>
      </c>
      <c r="X33" s="5">
        <v>46205</v>
      </c>
      <c r="Y33" t="s">
        <v>84</v>
      </c>
      <c r="Z33" t="s">
        <v>68</v>
      </c>
      <c r="AA33">
        <v>14950</v>
      </c>
      <c r="AB33">
        <v>0</v>
      </c>
      <c r="AC33" t="s">
        <v>731</v>
      </c>
      <c r="AD33" t="s">
        <v>68</v>
      </c>
      <c r="AE33">
        <v>0</v>
      </c>
      <c r="AF33" s="1"/>
      <c r="AG33" s="1"/>
      <c r="AH33">
        <v>0</v>
      </c>
      <c r="AI33">
        <v>15</v>
      </c>
      <c r="AJ33">
        <v>0</v>
      </c>
      <c r="AK33" t="s">
        <v>732</v>
      </c>
      <c r="AL33" t="s">
        <v>71</v>
      </c>
      <c r="AM33" t="s">
        <v>1211</v>
      </c>
      <c r="AN33">
        <v>0</v>
      </c>
      <c r="AO33" s="1"/>
      <c r="AP33">
        <v>1</v>
      </c>
      <c r="AS33" t="s">
        <v>75</v>
      </c>
      <c r="AT33" t="s">
        <v>68</v>
      </c>
      <c r="AU33">
        <v>1</v>
      </c>
      <c r="AV33" t="s">
        <v>68</v>
      </c>
      <c r="AW33">
        <v>0</v>
      </c>
      <c r="AX33" s="1"/>
      <c r="AY33">
        <v>25</v>
      </c>
      <c r="AZ33" t="s">
        <v>68</v>
      </c>
      <c r="BA33" t="s">
        <v>68</v>
      </c>
      <c r="BB33" t="s">
        <v>68</v>
      </c>
      <c r="BC33" t="s">
        <v>68</v>
      </c>
      <c r="BD33">
        <v>0</v>
      </c>
      <c r="BE33" s="1">
        <v>46202.421759259261</v>
      </c>
      <c r="BF33" s="1">
        <v>46202.421759259261</v>
      </c>
      <c r="BG33" t="s">
        <v>68</v>
      </c>
      <c r="BH33" t="s">
        <v>68</v>
      </c>
      <c r="BI33" t="s">
        <v>68</v>
      </c>
      <c r="BJ33" t="s">
        <v>68</v>
      </c>
      <c r="BK33" t="s">
        <v>68</v>
      </c>
      <c r="BL33" t="s">
        <v>68</v>
      </c>
      <c r="BM33" t="s">
        <v>68</v>
      </c>
      <c r="BN33" t="s">
        <v>68</v>
      </c>
      <c r="BO33" t="s">
        <v>96</v>
      </c>
      <c r="BP33">
        <v>0</v>
      </c>
      <c r="BQ33" t="s">
        <v>68</v>
      </c>
      <c r="BR33" t="s">
        <v>68</v>
      </c>
      <c r="BS33" t="s">
        <v>1167</v>
      </c>
    </row>
    <row r="34" spans="1:71" x14ac:dyDescent="0.35">
      <c r="A34" t="b">
        <f>ISNUMBER(MATCH(ChargentOrders[[#This Row],[Contract__c]],Contract[Id],0))</f>
        <v>1</v>
      </c>
      <c r="B34">
        <f>IFERROR(INDEX(Contract[CB_Subscription__c],MATCH(ChargentOrders[[#This Row],[Contract__c]],Contract[Id],0)),0)</f>
        <v>0</v>
      </c>
      <c r="C34" t="b">
        <f>ISNUMBER(MATCH(ChargentOrders[[#This Row],[Id]],Claude[Id],0))</f>
        <v>1</v>
      </c>
      <c r="D34" t="b">
        <f>AND(ChargentOrders[[#This Row],[_Contract]],ChargentOrders[[#This Row],[CB Subscription]]=0)</f>
        <v>1</v>
      </c>
      <c r="E34" s="38">
        <f>INDEX(Table5[CUENTA],MATCH(ChargentOrders[[#This Row],[Contract__c]],Table5[SM_Contract__c],0))</f>
        <v>46080</v>
      </c>
      <c r="F34" s="38" t="str">
        <f ca="1">INDEX(Table5[ESTADO],MATCH(ChargentOrders[[#This Row],[Contract__c]],Table5[SM_Contract__c],0))</f>
        <v>AL DIA</v>
      </c>
      <c r="G34" t="s">
        <v>1332</v>
      </c>
      <c r="H34" t="s">
        <v>79</v>
      </c>
      <c r="I34" t="s">
        <v>1333</v>
      </c>
      <c r="J34" s="1">
        <v>46199.417164351849</v>
      </c>
      <c r="K34">
        <v>9</v>
      </c>
      <c r="L34">
        <v>2028</v>
      </c>
      <c r="M34" t="s">
        <v>1427</v>
      </c>
      <c r="N34">
        <v>9</v>
      </c>
      <c r="O34" t="s">
        <v>1427</v>
      </c>
      <c r="P34" t="s">
        <v>73</v>
      </c>
      <c r="Q34">
        <v>2028</v>
      </c>
      <c r="R34">
        <v>7400</v>
      </c>
      <c r="T34" t="s">
        <v>67</v>
      </c>
      <c r="U34" t="s">
        <v>68</v>
      </c>
      <c r="V34">
        <v>0</v>
      </c>
      <c r="W34" t="s">
        <v>69</v>
      </c>
      <c r="X34" s="5">
        <v>46205</v>
      </c>
      <c r="Y34" t="s">
        <v>84</v>
      </c>
      <c r="Z34" t="s">
        <v>68</v>
      </c>
      <c r="AA34">
        <v>7400</v>
      </c>
      <c r="AB34">
        <v>0</v>
      </c>
      <c r="AC34" t="s">
        <v>731</v>
      </c>
      <c r="AD34" t="s">
        <v>68</v>
      </c>
      <c r="AE34">
        <v>0</v>
      </c>
      <c r="AF34" s="1"/>
      <c r="AG34" s="1"/>
      <c r="AH34">
        <v>0</v>
      </c>
      <c r="AI34">
        <v>1</v>
      </c>
      <c r="AJ34">
        <v>0</v>
      </c>
      <c r="AK34" t="s">
        <v>732</v>
      </c>
      <c r="AL34" t="s">
        <v>71</v>
      </c>
      <c r="AM34" t="s">
        <v>68</v>
      </c>
      <c r="AN34">
        <v>0</v>
      </c>
      <c r="AO34" s="1"/>
      <c r="AQ34">
        <v>0</v>
      </c>
      <c r="AR34">
        <v>0</v>
      </c>
      <c r="AS34" t="s">
        <v>72</v>
      </c>
      <c r="AT34" t="s">
        <v>68</v>
      </c>
      <c r="AU34">
        <v>1</v>
      </c>
      <c r="AV34" t="s">
        <v>1334</v>
      </c>
      <c r="AW34">
        <v>0</v>
      </c>
      <c r="AX34" s="1">
        <v>46039.416909722226</v>
      </c>
      <c r="AY34">
        <v>2500</v>
      </c>
      <c r="AZ34" t="s">
        <v>68</v>
      </c>
      <c r="BA34" t="s">
        <v>65</v>
      </c>
      <c r="BB34" t="s">
        <v>68</v>
      </c>
      <c r="BC34" t="s">
        <v>68</v>
      </c>
      <c r="BD34">
        <v>0</v>
      </c>
      <c r="BE34" s="1">
        <v>46202.422974537039</v>
      </c>
      <c r="BF34" s="1">
        <v>46202.422974537039</v>
      </c>
      <c r="BG34" t="s">
        <v>68</v>
      </c>
      <c r="BH34" t="s">
        <v>68</v>
      </c>
      <c r="BI34" t="s">
        <v>68</v>
      </c>
      <c r="BJ34" t="s">
        <v>68</v>
      </c>
      <c r="BK34" t="s">
        <v>68</v>
      </c>
      <c r="BL34" t="s">
        <v>68</v>
      </c>
      <c r="BM34" t="s">
        <v>68</v>
      </c>
      <c r="BN34" t="s">
        <v>68</v>
      </c>
      <c r="BO34" t="s">
        <v>96</v>
      </c>
      <c r="BP34">
        <v>0</v>
      </c>
      <c r="BQ34" t="s">
        <v>68</v>
      </c>
      <c r="BR34" t="s">
        <v>68</v>
      </c>
      <c r="BS34" t="s">
        <v>68</v>
      </c>
    </row>
    <row r="35" spans="1:71" x14ac:dyDescent="0.35">
      <c r="A35" t="b">
        <f>ISNUMBER(MATCH(ChargentOrders[[#This Row],[Contract__c]],Contract[Id],0))</f>
        <v>1</v>
      </c>
      <c r="B35">
        <f>IFERROR(INDEX(Contract[CB_Subscription__c],MATCH(ChargentOrders[[#This Row],[Contract__c]],Contract[Id],0)),0)</f>
        <v>0</v>
      </c>
      <c r="C35" t="b">
        <f>ISNUMBER(MATCH(ChargentOrders[[#This Row],[Id]],Claude[Id],0))</f>
        <v>1</v>
      </c>
      <c r="D35" t="b">
        <f>AND(ChargentOrders[[#This Row],[_Contract]],ChargentOrders[[#This Row],[CB Subscription]]=0)</f>
        <v>1</v>
      </c>
      <c r="E35" s="38">
        <f>INDEX(Table5[CUENTA],MATCH(ChargentOrders[[#This Row],[Contract__c]],Table5[SM_Contract__c],0))</f>
        <v>46081</v>
      </c>
      <c r="F35" s="38" t="str">
        <f ca="1">INDEX(Table5[ESTADO],MATCH(ChargentOrders[[#This Row],[Contract__c]],Table5[SM_Contract__c],0))</f>
        <v>DEBE 5</v>
      </c>
      <c r="G35" t="s">
        <v>176</v>
      </c>
      <c r="H35" t="s">
        <v>79</v>
      </c>
      <c r="I35" t="s">
        <v>177</v>
      </c>
      <c r="J35" s="1">
        <v>45546.770590277774</v>
      </c>
      <c r="K35">
        <v>3</v>
      </c>
      <c r="L35">
        <v>2027</v>
      </c>
      <c r="M35" t="s">
        <v>1432</v>
      </c>
      <c r="N35">
        <v>3</v>
      </c>
      <c r="O35" t="s">
        <v>1433</v>
      </c>
      <c r="P35" t="s">
        <v>73</v>
      </c>
      <c r="Q35">
        <v>2027</v>
      </c>
      <c r="R35">
        <v>0</v>
      </c>
      <c r="T35" t="s">
        <v>67</v>
      </c>
      <c r="U35" t="s">
        <v>68</v>
      </c>
      <c r="V35">
        <v>0</v>
      </c>
      <c r="W35" t="s">
        <v>69</v>
      </c>
      <c r="X35" s="5"/>
      <c r="Y35" t="s">
        <v>68</v>
      </c>
      <c r="Z35" t="s">
        <v>68</v>
      </c>
      <c r="AA35">
        <v>0</v>
      </c>
      <c r="AC35" t="s">
        <v>178</v>
      </c>
      <c r="AD35" t="s">
        <v>68</v>
      </c>
      <c r="AE35">
        <v>0</v>
      </c>
      <c r="AF35" s="1"/>
      <c r="AG35" s="1">
        <v>45546.770613425928</v>
      </c>
      <c r="AH35">
        <v>0</v>
      </c>
      <c r="AI35">
        <v>1</v>
      </c>
      <c r="AJ35">
        <v>0</v>
      </c>
      <c r="AK35" t="s">
        <v>179</v>
      </c>
      <c r="AL35" t="s">
        <v>68</v>
      </c>
      <c r="AM35" t="s">
        <v>68</v>
      </c>
      <c r="AN35">
        <v>0</v>
      </c>
      <c r="AO35" s="1"/>
      <c r="AP35">
        <v>1</v>
      </c>
      <c r="AS35" t="s">
        <v>75</v>
      </c>
      <c r="AT35" t="s">
        <v>68</v>
      </c>
      <c r="AU35">
        <v>0</v>
      </c>
      <c r="AV35" t="s">
        <v>68</v>
      </c>
      <c r="AW35">
        <v>1</v>
      </c>
      <c r="AX35" s="1"/>
      <c r="AZ35" t="s">
        <v>68</v>
      </c>
      <c r="BA35" t="s">
        <v>68</v>
      </c>
      <c r="BB35" t="s">
        <v>68</v>
      </c>
      <c r="BC35" t="s">
        <v>68</v>
      </c>
      <c r="BD35">
        <v>0</v>
      </c>
      <c r="BE35" s="1"/>
      <c r="BF35" s="1">
        <v>45546.770613425928</v>
      </c>
      <c r="BG35" t="s">
        <v>68</v>
      </c>
      <c r="BH35" t="s">
        <v>68</v>
      </c>
      <c r="BI35" t="s">
        <v>68</v>
      </c>
      <c r="BJ35" t="s">
        <v>68</v>
      </c>
      <c r="BK35" t="s">
        <v>68</v>
      </c>
      <c r="BL35" t="s">
        <v>68</v>
      </c>
      <c r="BM35" t="s">
        <v>68</v>
      </c>
      <c r="BN35" t="s">
        <v>68</v>
      </c>
      <c r="BO35" t="s">
        <v>96</v>
      </c>
      <c r="BP35">
        <v>0</v>
      </c>
      <c r="BQ35" t="s">
        <v>68</v>
      </c>
      <c r="BR35" t="s">
        <v>68</v>
      </c>
      <c r="BS35" t="s">
        <v>68</v>
      </c>
    </row>
    <row r="36" spans="1:71" x14ac:dyDescent="0.35">
      <c r="A36" t="b">
        <f>ISNUMBER(MATCH(ChargentOrders[[#This Row],[Contract__c]],Contract[Id],0))</f>
        <v>1</v>
      </c>
      <c r="B36">
        <f>IFERROR(INDEX(Contract[CB_Subscription__c],MATCH(ChargentOrders[[#This Row],[Contract__c]],Contract[Id],0)),0)</f>
        <v>0</v>
      </c>
      <c r="C36" t="b">
        <f>ISNUMBER(MATCH(ChargentOrders[[#This Row],[Id]],Claude[Id],0))</f>
        <v>1</v>
      </c>
      <c r="D36" t="b">
        <f>AND(ChargentOrders[[#This Row],[_Contract]],ChargentOrders[[#This Row],[CB Subscription]]=0)</f>
        <v>1</v>
      </c>
      <c r="E36" s="38">
        <f>INDEX(Table5[CUENTA],MATCH(ChargentOrders[[#This Row],[Contract__c]],Table5[SM_Contract__c],0))</f>
        <v>46081</v>
      </c>
      <c r="F36" s="38" t="str">
        <f ca="1">INDEX(Table5[ESTADO],MATCH(ChargentOrders[[#This Row],[Contract__c]],Table5[SM_Contract__c],0))</f>
        <v>DEBE 5</v>
      </c>
      <c r="G36" t="s">
        <v>180</v>
      </c>
      <c r="H36" t="s">
        <v>79</v>
      </c>
      <c r="I36" t="s">
        <v>181</v>
      </c>
      <c r="J36" s="1">
        <v>45546.777557870373</v>
      </c>
      <c r="K36">
        <v>3</v>
      </c>
      <c r="L36">
        <v>2027</v>
      </c>
      <c r="M36" t="s">
        <v>1432</v>
      </c>
      <c r="N36">
        <v>3</v>
      </c>
      <c r="O36" t="s">
        <v>1433</v>
      </c>
      <c r="P36" t="s">
        <v>73</v>
      </c>
      <c r="Q36">
        <v>2027</v>
      </c>
      <c r="R36">
        <v>11039</v>
      </c>
      <c r="T36" t="s">
        <v>67</v>
      </c>
      <c r="U36" t="s">
        <v>68</v>
      </c>
      <c r="V36">
        <v>0</v>
      </c>
      <c r="W36" t="s">
        <v>69</v>
      </c>
      <c r="X36" s="5">
        <v>45546</v>
      </c>
      <c r="Y36" t="s">
        <v>74</v>
      </c>
      <c r="Z36" t="s">
        <v>68</v>
      </c>
      <c r="AA36">
        <v>9900</v>
      </c>
      <c r="AB36">
        <v>11385</v>
      </c>
      <c r="AC36" t="s">
        <v>178</v>
      </c>
      <c r="AD36" t="s">
        <v>68</v>
      </c>
      <c r="AE36">
        <v>0</v>
      </c>
      <c r="AF36" s="1">
        <v>45546.777858796297</v>
      </c>
      <c r="AG36" s="1">
        <v>45546.777858796297</v>
      </c>
      <c r="AH36">
        <v>1</v>
      </c>
      <c r="AI36">
        <v>1</v>
      </c>
      <c r="AJ36">
        <v>11039</v>
      </c>
      <c r="AK36" t="s">
        <v>179</v>
      </c>
      <c r="AL36" t="s">
        <v>77</v>
      </c>
      <c r="AM36" t="s">
        <v>68</v>
      </c>
      <c r="AN36">
        <v>0</v>
      </c>
      <c r="AO36" s="1"/>
      <c r="AP36">
        <v>1</v>
      </c>
      <c r="AQ36">
        <v>100</v>
      </c>
      <c r="AR36">
        <v>1050</v>
      </c>
      <c r="AS36" t="s">
        <v>75</v>
      </c>
      <c r="AT36" t="s">
        <v>68</v>
      </c>
      <c r="AU36">
        <v>0</v>
      </c>
      <c r="AV36" t="s">
        <v>68</v>
      </c>
      <c r="AW36">
        <v>0</v>
      </c>
      <c r="AX36" s="1"/>
      <c r="AZ36" t="s">
        <v>68</v>
      </c>
      <c r="BA36" t="s">
        <v>68</v>
      </c>
      <c r="BB36" t="s">
        <v>68</v>
      </c>
      <c r="BC36" t="s">
        <v>68</v>
      </c>
      <c r="BD36">
        <v>0</v>
      </c>
      <c r="BE36" s="1"/>
      <c r="BF36" s="1">
        <v>45546.777858796297</v>
      </c>
      <c r="BG36" t="s">
        <v>68</v>
      </c>
      <c r="BH36" t="s">
        <v>68</v>
      </c>
      <c r="BI36" t="s">
        <v>68</v>
      </c>
      <c r="BJ36" t="s">
        <v>68</v>
      </c>
      <c r="BK36" t="s">
        <v>68</v>
      </c>
      <c r="BL36" t="s">
        <v>68</v>
      </c>
      <c r="BM36" t="s">
        <v>68</v>
      </c>
      <c r="BN36" t="s">
        <v>68</v>
      </c>
      <c r="BO36" t="s">
        <v>96</v>
      </c>
      <c r="BP36">
        <v>0</v>
      </c>
      <c r="BQ36" t="s">
        <v>68</v>
      </c>
      <c r="BR36" t="s">
        <v>68</v>
      </c>
      <c r="BS36" t="s">
        <v>68</v>
      </c>
    </row>
    <row r="37" spans="1:71" x14ac:dyDescent="0.35">
      <c r="A37" t="b">
        <f>ISNUMBER(MATCH(ChargentOrders[[#This Row],[Contract__c]],Contract[Id],0))</f>
        <v>1</v>
      </c>
      <c r="B37">
        <f>IFERROR(INDEX(Contract[CB_Subscription__c],MATCH(ChargentOrders[[#This Row],[Contract__c]],Contract[Id],0)),0)</f>
        <v>0</v>
      </c>
      <c r="C37" t="b">
        <f>ISNUMBER(MATCH(ChargentOrders[[#This Row],[Id]],Claude[Id],0))</f>
        <v>1</v>
      </c>
      <c r="D37" t="b">
        <f>AND(ChargentOrders[[#This Row],[_Contract]],ChargentOrders[[#This Row],[CB Subscription]]=0)</f>
        <v>1</v>
      </c>
      <c r="E37" s="38">
        <f>INDEX(Table5[CUENTA],MATCH(ChargentOrders[[#This Row],[Contract__c]],Table5[SM_Contract__c],0))</f>
        <v>46081</v>
      </c>
      <c r="F37" s="38" t="str">
        <f ca="1">INDEX(Table5[ESTADO],MATCH(ChargentOrders[[#This Row],[Contract__c]],Table5[SM_Contract__c],0))</f>
        <v>DEBE 5</v>
      </c>
      <c r="G37" t="s">
        <v>182</v>
      </c>
      <c r="H37" t="s">
        <v>79</v>
      </c>
      <c r="I37" t="s">
        <v>183</v>
      </c>
      <c r="J37" s="1">
        <v>45546.777881944443</v>
      </c>
      <c r="K37">
        <v>3</v>
      </c>
      <c r="L37">
        <v>2027</v>
      </c>
      <c r="M37" t="s">
        <v>1432</v>
      </c>
      <c r="N37">
        <v>3</v>
      </c>
      <c r="O37" t="s">
        <v>1432</v>
      </c>
      <c r="P37" t="s">
        <v>73</v>
      </c>
      <c r="Q37">
        <v>2027</v>
      </c>
      <c r="R37">
        <v>7900</v>
      </c>
      <c r="S37">
        <v>30</v>
      </c>
      <c r="T37" t="s">
        <v>67</v>
      </c>
      <c r="U37" t="s">
        <v>68</v>
      </c>
      <c r="V37">
        <v>0</v>
      </c>
      <c r="W37" t="s">
        <v>69</v>
      </c>
      <c r="X37" s="5">
        <v>46233</v>
      </c>
      <c r="Y37" t="s">
        <v>84</v>
      </c>
      <c r="Z37" t="s">
        <v>68</v>
      </c>
      <c r="AA37">
        <v>7900</v>
      </c>
      <c r="AB37">
        <v>0</v>
      </c>
      <c r="AC37" t="s">
        <v>165</v>
      </c>
      <c r="AD37" t="s">
        <v>68</v>
      </c>
      <c r="AE37">
        <v>0</v>
      </c>
      <c r="AF37" s="1">
        <v>45960.419027777774</v>
      </c>
      <c r="AG37" s="1">
        <v>45960.419050925928</v>
      </c>
      <c r="AH37">
        <v>6</v>
      </c>
      <c r="AI37">
        <v>20</v>
      </c>
      <c r="AJ37">
        <v>52854</v>
      </c>
      <c r="AK37" t="s">
        <v>179</v>
      </c>
      <c r="AL37" t="s">
        <v>76</v>
      </c>
      <c r="AM37" t="s">
        <v>68</v>
      </c>
      <c r="AN37">
        <v>0</v>
      </c>
      <c r="AO37" s="1"/>
      <c r="AP37">
        <v>21</v>
      </c>
      <c r="AQ37">
        <v>0</v>
      </c>
      <c r="AR37">
        <v>0</v>
      </c>
      <c r="AS37" t="s">
        <v>75</v>
      </c>
      <c r="AT37" t="s">
        <v>68</v>
      </c>
      <c r="AU37">
        <v>0</v>
      </c>
      <c r="AV37" t="s">
        <v>68</v>
      </c>
      <c r="AW37">
        <v>0</v>
      </c>
      <c r="AX37" s="1"/>
      <c r="AZ37" t="s">
        <v>68</v>
      </c>
      <c r="BA37" t="s">
        <v>68</v>
      </c>
      <c r="BB37" t="s">
        <v>68</v>
      </c>
      <c r="BC37" t="s">
        <v>68</v>
      </c>
      <c r="BD37">
        <v>0</v>
      </c>
      <c r="BE37" s="1">
        <v>46203.416851851849</v>
      </c>
      <c r="BF37" s="1">
        <v>46203.416851851849</v>
      </c>
      <c r="BG37" t="s">
        <v>68</v>
      </c>
      <c r="BH37" t="s">
        <v>68</v>
      </c>
      <c r="BI37" t="s">
        <v>68</v>
      </c>
      <c r="BJ37" t="s">
        <v>68</v>
      </c>
      <c r="BK37" t="s">
        <v>68</v>
      </c>
      <c r="BL37" t="s">
        <v>68</v>
      </c>
      <c r="BM37" t="s">
        <v>68</v>
      </c>
      <c r="BN37" t="s">
        <v>68</v>
      </c>
      <c r="BO37" t="s">
        <v>96</v>
      </c>
      <c r="BP37">
        <v>0</v>
      </c>
      <c r="BQ37" t="s">
        <v>68</v>
      </c>
      <c r="BR37" t="s">
        <v>68</v>
      </c>
      <c r="BS37" t="s">
        <v>68</v>
      </c>
    </row>
    <row r="38" spans="1:71" x14ac:dyDescent="0.35">
      <c r="A38" t="b">
        <f>ISNUMBER(MATCH(ChargentOrders[[#This Row],[Contract__c]],Contract[Id],0))</f>
        <v>1</v>
      </c>
      <c r="B38">
        <f>IFERROR(INDEX(Contract[CB_Subscription__c],MATCH(ChargentOrders[[#This Row],[Contract__c]],Contract[Id],0)),0)</f>
        <v>0</v>
      </c>
      <c r="C38" t="b">
        <f>ISNUMBER(MATCH(ChargentOrders[[#This Row],[Id]],Claude[Id],0))</f>
        <v>1</v>
      </c>
      <c r="D38" t="b">
        <f>AND(ChargentOrders[[#This Row],[_Contract]],ChargentOrders[[#This Row],[CB Subscription]]=0)</f>
        <v>1</v>
      </c>
      <c r="E38" s="38">
        <f>INDEX(Table5[CUENTA],MATCH(ChargentOrders[[#This Row],[Contract__c]],Table5[SM_Contract__c],0))</f>
        <v>46081</v>
      </c>
      <c r="F38" s="38" t="str">
        <f ca="1">INDEX(Table5[ESTADO],MATCH(ChargentOrders[[#This Row],[Contract__c]],Table5[SM_Contract__c],0))</f>
        <v>DEBE 5</v>
      </c>
      <c r="G38" t="s">
        <v>194</v>
      </c>
      <c r="H38" t="s">
        <v>79</v>
      </c>
      <c r="I38" t="s">
        <v>195</v>
      </c>
      <c r="J38" s="1">
        <v>45589.950787037036</v>
      </c>
      <c r="K38">
        <v>7</v>
      </c>
      <c r="L38">
        <v>2028</v>
      </c>
      <c r="M38" t="s">
        <v>1436</v>
      </c>
      <c r="N38">
        <v>7</v>
      </c>
      <c r="O38" t="s">
        <v>1437</v>
      </c>
      <c r="P38" t="s">
        <v>73</v>
      </c>
      <c r="Q38">
        <v>2028</v>
      </c>
      <c r="R38">
        <v>0</v>
      </c>
      <c r="T38" t="s">
        <v>67</v>
      </c>
      <c r="U38" t="s">
        <v>68</v>
      </c>
      <c r="V38">
        <v>0</v>
      </c>
      <c r="W38" t="s">
        <v>69</v>
      </c>
      <c r="X38" s="5"/>
      <c r="Y38" t="s">
        <v>68</v>
      </c>
      <c r="Z38" t="s">
        <v>68</v>
      </c>
      <c r="AA38">
        <v>0</v>
      </c>
      <c r="AC38" t="s">
        <v>196</v>
      </c>
      <c r="AD38" t="s">
        <v>68</v>
      </c>
      <c r="AE38">
        <v>0</v>
      </c>
      <c r="AF38" s="1"/>
      <c r="AG38" s="1">
        <v>45589.950821759259</v>
      </c>
      <c r="AH38">
        <v>0</v>
      </c>
      <c r="AI38">
        <v>1</v>
      </c>
      <c r="AJ38">
        <v>0</v>
      </c>
      <c r="AK38" t="s">
        <v>197</v>
      </c>
      <c r="AL38" t="s">
        <v>68</v>
      </c>
      <c r="AM38" t="s">
        <v>68</v>
      </c>
      <c r="AN38">
        <v>0</v>
      </c>
      <c r="AO38" s="1"/>
      <c r="AP38">
        <v>1</v>
      </c>
      <c r="AS38" t="s">
        <v>75</v>
      </c>
      <c r="AT38" t="s">
        <v>68</v>
      </c>
      <c r="AU38">
        <v>0</v>
      </c>
      <c r="AV38" t="s">
        <v>68</v>
      </c>
      <c r="AW38">
        <v>1</v>
      </c>
      <c r="AX38" s="1"/>
      <c r="AZ38" t="s">
        <v>68</v>
      </c>
      <c r="BA38" t="s">
        <v>68</v>
      </c>
      <c r="BB38" t="s">
        <v>68</v>
      </c>
      <c r="BC38" t="s">
        <v>68</v>
      </c>
      <c r="BD38">
        <v>0</v>
      </c>
      <c r="BE38" s="1"/>
      <c r="BF38" s="1">
        <v>45589.950810185182</v>
      </c>
      <c r="BG38" t="s">
        <v>68</v>
      </c>
      <c r="BH38" t="s">
        <v>68</v>
      </c>
      <c r="BI38" t="s">
        <v>68</v>
      </c>
      <c r="BJ38" t="s">
        <v>68</v>
      </c>
      <c r="BK38" t="s">
        <v>68</v>
      </c>
      <c r="BL38" t="s">
        <v>68</v>
      </c>
      <c r="BM38" t="s">
        <v>68</v>
      </c>
      <c r="BN38" t="s">
        <v>68</v>
      </c>
      <c r="BO38" t="s">
        <v>96</v>
      </c>
      <c r="BP38">
        <v>0</v>
      </c>
      <c r="BQ38" t="s">
        <v>68</v>
      </c>
      <c r="BR38" t="s">
        <v>68</v>
      </c>
      <c r="BS38" t="s">
        <v>68</v>
      </c>
    </row>
    <row r="39" spans="1:71" x14ac:dyDescent="0.35">
      <c r="A39" t="b">
        <f>ISNUMBER(MATCH(ChargentOrders[[#This Row],[Contract__c]],Contract[Id],0))</f>
        <v>1</v>
      </c>
      <c r="B39">
        <f>IFERROR(INDEX(Contract[CB_Subscription__c],MATCH(ChargentOrders[[#This Row],[Contract__c]],Contract[Id],0)),0)</f>
        <v>0</v>
      </c>
      <c r="C39" t="b">
        <f>ISNUMBER(MATCH(ChargentOrders[[#This Row],[Id]],Claude[Id],0))</f>
        <v>1</v>
      </c>
      <c r="D39" t="b">
        <f>AND(ChargentOrders[[#This Row],[_Contract]],ChargentOrders[[#This Row],[CB Subscription]]=0)</f>
        <v>1</v>
      </c>
      <c r="E39" s="38">
        <f>INDEX(Table5[CUENTA],MATCH(ChargentOrders[[#This Row],[Contract__c]],Table5[SM_Contract__c],0))</f>
        <v>46081</v>
      </c>
      <c r="F39" s="38" t="str">
        <f ca="1">INDEX(Table5[ESTADO],MATCH(ChargentOrders[[#This Row],[Contract__c]],Table5[SM_Contract__c],0))</f>
        <v>DEBE 5</v>
      </c>
      <c r="G39" t="s">
        <v>198</v>
      </c>
      <c r="H39" t="s">
        <v>79</v>
      </c>
      <c r="I39" t="s">
        <v>199</v>
      </c>
      <c r="J39" s="1">
        <v>45589.952013888891</v>
      </c>
      <c r="K39">
        <v>7</v>
      </c>
      <c r="L39">
        <v>2028</v>
      </c>
      <c r="M39" t="s">
        <v>1436</v>
      </c>
      <c r="N39">
        <v>7</v>
      </c>
      <c r="O39" t="s">
        <v>1437</v>
      </c>
      <c r="P39" t="s">
        <v>73</v>
      </c>
      <c r="Q39">
        <v>2028</v>
      </c>
      <c r="R39">
        <v>13269</v>
      </c>
      <c r="T39" t="s">
        <v>67</v>
      </c>
      <c r="U39" t="s">
        <v>68</v>
      </c>
      <c r="V39">
        <v>0</v>
      </c>
      <c r="W39" t="s">
        <v>69</v>
      </c>
      <c r="X39" s="5">
        <v>45589</v>
      </c>
      <c r="Y39" t="s">
        <v>74</v>
      </c>
      <c r="Z39" t="s">
        <v>68</v>
      </c>
      <c r="AA39">
        <v>11900</v>
      </c>
      <c r="AB39">
        <v>13685</v>
      </c>
      <c r="AC39" t="s">
        <v>196</v>
      </c>
      <c r="AD39" t="s">
        <v>68</v>
      </c>
      <c r="AE39">
        <v>0</v>
      </c>
      <c r="AF39" s="1">
        <v>45589.952314814815</v>
      </c>
      <c r="AG39" s="1">
        <v>45589.952314814815</v>
      </c>
      <c r="AH39">
        <v>1</v>
      </c>
      <c r="AI39">
        <v>1</v>
      </c>
      <c r="AJ39">
        <v>13269</v>
      </c>
      <c r="AK39" t="s">
        <v>197</v>
      </c>
      <c r="AL39" t="s">
        <v>77</v>
      </c>
      <c r="AM39" t="s">
        <v>68</v>
      </c>
      <c r="AN39">
        <v>0</v>
      </c>
      <c r="AO39" s="1"/>
      <c r="AP39">
        <v>1</v>
      </c>
      <c r="AQ39">
        <v>100</v>
      </c>
      <c r="AR39">
        <v>1050</v>
      </c>
      <c r="AS39" t="s">
        <v>75</v>
      </c>
      <c r="AT39" t="s">
        <v>68</v>
      </c>
      <c r="AU39">
        <v>0</v>
      </c>
      <c r="AV39" t="s">
        <v>68</v>
      </c>
      <c r="AW39">
        <v>0</v>
      </c>
      <c r="AX39" s="1"/>
      <c r="AZ39" t="s">
        <v>68</v>
      </c>
      <c r="BA39" t="s">
        <v>68</v>
      </c>
      <c r="BB39" t="s">
        <v>68</v>
      </c>
      <c r="BC39" t="s">
        <v>68</v>
      </c>
      <c r="BD39">
        <v>0</v>
      </c>
      <c r="BE39" s="1"/>
      <c r="BF39" s="1">
        <v>45589.952314814815</v>
      </c>
      <c r="BG39" t="s">
        <v>68</v>
      </c>
      <c r="BH39" t="s">
        <v>68</v>
      </c>
      <c r="BI39" t="s">
        <v>68</v>
      </c>
      <c r="BJ39" t="s">
        <v>68</v>
      </c>
      <c r="BK39" t="s">
        <v>68</v>
      </c>
      <c r="BL39" t="s">
        <v>68</v>
      </c>
      <c r="BM39" t="s">
        <v>68</v>
      </c>
      <c r="BN39" t="s">
        <v>68</v>
      </c>
      <c r="BO39" t="s">
        <v>96</v>
      </c>
      <c r="BP39">
        <v>0</v>
      </c>
      <c r="BQ39" t="s">
        <v>68</v>
      </c>
      <c r="BR39" t="s">
        <v>68</v>
      </c>
      <c r="BS39" t="s">
        <v>68</v>
      </c>
    </row>
    <row r="40" spans="1:71" x14ac:dyDescent="0.35">
      <c r="A40" t="b">
        <f>ISNUMBER(MATCH(ChargentOrders[[#This Row],[Contract__c]],Contract[Id],0))</f>
        <v>1</v>
      </c>
      <c r="B40">
        <f>IFERROR(INDEX(Contract[CB_Subscription__c],MATCH(ChargentOrders[[#This Row],[Contract__c]],Contract[Id],0)),0)</f>
        <v>0</v>
      </c>
      <c r="C40" t="b">
        <f>ISNUMBER(MATCH(ChargentOrders[[#This Row],[Id]],Claude[Id],0))</f>
        <v>1</v>
      </c>
      <c r="D40" t="b">
        <f>AND(ChargentOrders[[#This Row],[_Contract]],ChargentOrders[[#This Row],[CB Subscription]]=0)</f>
        <v>1</v>
      </c>
      <c r="E40" s="38">
        <f>INDEX(Table5[CUENTA],MATCH(ChargentOrders[[#This Row],[Contract__c]],Table5[SM_Contract__c],0))</f>
        <v>46081</v>
      </c>
      <c r="F40" s="38" t="str">
        <f ca="1">INDEX(Table5[ESTADO],MATCH(ChargentOrders[[#This Row],[Contract__c]],Table5[SM_Contract__c],0))</f>
        <v>DEBE 5</v>
      </c>
      <c r="G40" t="s">
        <v>200</v>
      </c>
      <c r="H40" t="s">
        <v>79</v>
      </c>
      <c r="I40" t="s">
        <v>201</v>
      </c>
      <c r="J40" s="1">
        <v>45589.952337962961</v>
      </c>
      <c r="K40">
        <v>8</v>
      </c>
      <c r="L40">
        <v>2028</v>
      </c>
      <c r="M40" t="s">
        <v>1438</v>
      </c>
      <c r="N40">
        <v>8</v>
      </c>
      <c r="O40" t="s">
        <v>1438</v>
      </c>
      <c r="P40" t="s">
        <v>73</v>
      </c>
      <c r="Q40">
        <v>2028</v>
      </c>
      <c r="R40">
        <v>7500</v>
      </c>
      <c r="S40">
        <v>30</v>
      </c>
      <c r="T40" t="s">
        <v>67</v>
      </c>
      <c r="U40" t="s">
        <v>68</v>
      </c>
      <c r="V40">
        <v>0</v>
      </c>
      <c r="W40" t="s">
        <v>69</v>
      </c>
      <c r="X40" s="5">
        <v>46233</v>
      </c>
      <c r="Y40" t="s">
        <v>84</v>
      </c>
      <c r="Z40" t="s">
        <v>68</v>
      </c>
      <c r="AA40">
        <v>7500</v>
      </c>
      <c r="AB40">
        <v>0</v>
      </c>
      <c r="AC40" t="s">
        <v>202</v>
      </c>
      <c r="AD40" t="s">
        <v>68</v>
      </c>
      <c r="AE40">
        <v>0</v>
      </c>
      <c r="AF40" s="1">
        <v>46048.417812500003</v>
      </c>
      <c r="AG40" s="1">
        <v>46048.417812500003</v>
      </c>
      <c r="AH40">
        <v>11</v>
      </c>
      <c r="AI40">
        <v>20</v>
      </c>
      <c r="AJ40">
        <v>89404</v>
      </c>
      <c r="AK40" t="s">
        <v>197</v>
      </c>
      <c r="AL40" t="s">
        <v>76</v>
      </c>
      <c r="AM40" t="s">
        <v>68</v>
      </c>
      <c r="AN40">
        <v>0</v>
      </c>
      <c r="AO40" s="1"/>
      <c r="AP40">
        <v>21</v>
      </c>
      <c r="AQ40">
        <v>0</v>
      </c>
      <c r="AR40">
        <v>0</v>
      </c>
      <c r="AS40" t="s">
        <v>75</v>
      </c>
      <c r="AT40" t="s">
        <v>68</v>
      </c>
      <c r="AU40">
        <v>0</v>
      </c>
      <c r="AV40" t="s">
        <v>68</v>
      </c>
      <c r="AW40">
        <v>0</v>
      </c>
      <c r="AX40" s="1"/>
      <c r="AZ40" t="s">
        <v>68</v>
      </c>
      <c r="BA40" t="s">
        <v>68</v>
      </c>
      <c r="BB40" t="s">
        <v>68</v>
      </c>
      <c r="BC40" t="s">
        <v>68</v>
      </c>
      <c r="BD40">
        <v>0</v>
      </c>
      <c r="BE40" s="1">
        <v>46203.416863425926</v>
      </c>
      <c r="BF40" s="1">
        <v>46203.416863425926</v>
      </c>
      <c r="BG40" t="s">
        <v>68</v>
      </c>
      <c r="BH40" t="s">
        <v>68</v>
      </c>
      <c r="BI40" t="s">
        <v>68</v>
      </c>
      <c r="BJ40" t="s">
        <v>68</v>
      </c>
      <c r="BK40" t="s">
        <v>68</v>
      </c>
      <c r="BL40" t="s">
        <v>68</v>
      </c>
      <c r="BM40" t="s">
        <v>68</v>
      </c>
      <c r="BN40" t="s">
        <v>68</v>
      </c>
      <c r="BO40" t="s">
        <v>96</v>
      </c>
      <c r="BP40">
        <v>0</v>
      </c>
      <c r="BQ40" t="s">
        <v>68</v>
      </c>
      <c r="BR40" t="s">
        <v>68</v>
      </c>
      <c r="BS40" t="s">
        <v>68</v>
      </c>
    </row>
    <row r="41" spans="1:71" x14ac:dyDescent="0.35">
      <c r="A41" t="b">
        <f>ISNUMBER(MATCH(ChargentOrders[[#This Row],[Contract__c]],Contract[Id],0))</f>
        <v>1</v>
      </c>
      <c r="B41">
        <f>IFERROR(INDEX(Contract[CB_Subscription__c],MATCH(ChargentOrders[[#This Row],[Contract__c]],Contract[Id],0)),0)</f>
        <v>0</v>
      </c>
      <c r="C41" t="b">
        <f>ISNUMBER(MATCH(ChargentOrders[[#This Row],[Id]],Claude[Id],0))</f>
        <v>1</v>
      </c>
      <c r="D41" t="b">
        <f>AND(ChargentOrders[[#This Row],[_Contract]],ChargentOrders[[#This Row],[CB Subscription]]=0)</f>
        <v>1</v>
      </c>
      <c r="E41" s="38">
        <f>INDEX(Table5[CUENTA],MATCH(ChargentOrders[[#This Row],[Contract__c]],Table5[SM_Contract__c],0))</f>
        <v>46081</v>
      </c>
      <c r="F41" s="38" t="str">
        <f ca="1">INDEX(Table5[ESTADO],MATCH(ChargentOrders[[#This Row],[Contract__c]],Table5[SM_Contract__c],0))</f>
        <v>DEBE 5</v>
      </c>
      <c r="G41" t="s">
        <v>209</v>
      </c>
      <c r="H41" t="s">
        <v>79</v>
      </c>
      <c r="I41" t="s">
        <v>210</v>
      </c>
      <c r="J41" s="1">
        <v>45595.4296875</v>
      </c>
      <c r="K41">
        <v>3</v>
      </c>
      <c r="L41">
        <v>2027</v>
      </c>
      <c r="M41" t="s">
        <v>1432</v>
      </c>
      <c r="N41">
        <v>3</v>
      </c>
      <c r="O41" t="s">
        <v>1433</v>
      </c>
      <c r="P41" t="s">
        <v>73</v>
      </c>
      <c r="Q41">
        <v>2027</v>
      </c>
      <c r="R41">
        <v>11596</v>
      </c>
      <c r="T41" t="s">
        <v>67</v>
      </c>
      <c r="U41" t="s">
        <v>68</v>
      </c>
      <c r="V41">
        <v>0</v>
      </c>
      <c r="W41" t="s">
        <v>69</v>
      </c>
      <c r="X41" s="5">
        <v>45607</v>
      </c>
      <c r="Y41" t="s">
        <v>74</v>
      </c>
      <c r="Z41" t="s">
        <v>68</v>
      </c>
      <c r="AA41">
        <v>10400</v>
      </c>
      <c r="AB41">
        <v>1196</v>
      </c>
      <c r="AC41" t="s">
        <v>165</v>
      </c>
      <c r="AD41" t="s">
        <v>68</v>
      </c>
      <c r="AE41">
        <v>0</v>
      </c>
      <c r="AF41" s="1">
        <v>45607.42832175926</v>
      </c>
      <c r="AG41" s="1">
        <v>45607.428402777776</v>
      </c>
      <c r="AH41">
        <v>1</v>
      </c>
      <c r="AI41">
        <v>5</v>
      </c>
      <c r="AJ41">
        <v>11596</v>
      </c>
      <c r="AK41" t="s">
        <v>179</v>
      </c>
      <c r="AL41" t="s">
        <v>71</v>
      </c>
      <c r="AM41" t="s">
        <v>68</v>
      </c>
      <c r="AN41">
        <v>0</v>
      </c>
      <c r="AO41" s="1"/>
      <c r="AP41">
        <v>0</v>
      </c>
      <c r="AQ41">
        <v>100</v>
      </c>
      <c r="AR41">
        <v>1050</v>
      </c>
      <c r="AS41" t="s">
        <v>72</v>
      </c>
      <c r="AT41" t="s">
        <v>68</v>
      </c>
      <c r="AU41">
        <v>1</v>
      </c>
      <c r="AV41" t="s">
        <v>211</v>
      </c>
      <c r="AW41">
        <v>0</v>
      </c>
      <c r="AX41" s="1">
        <v>45546.777881944443</v>
      </c>
      <c r="AY41">
        <v>2500</v>
      </c>
      <c r="AZ41" t="s">
        <v>68</v>
      </c>
      <c r="BA41" t="s">
        <v>65</v>
      </c>
      <c r="BB41" t="s">
        <v>68</v>
      </c>
      <c r="BC41" t="s">
        <v>68</v>
      </c>
      <c r="BD41">
        <v>0</v>
      </c>
      <c r="BE41" s="1">
        <v>45604.4296875</v>
      </c>
      <c r="BF41" s="1">
        <v>45607.42832175926</v>
      </c>
      <c r="BG41" t="s">
        <v>68</v>
      </c>
      <c r="BH41" t="s">
        <v>68</v>
      </c>
      <c r="BI41" t="s">
        <v>68</v>
      </c>
      <c r="BJ41" t="s">
        <v>68</v>
      </c>
      <c r="BK41" t="s">
        <v>68</v>
      </c>
      <c r="BL41" t="s">
        <v>68</v>
      </c>
      <c r="BM41" t="s">
        <v>68</v>
      </c>
      <c r="BN41" t="s">
        <v>68</v>
      </c>
      <c r="BO41" t="s">
        <v>96</v>
      </c>
      <c r="BP41">
        <v>0</v>
      </c>
      <c r="BQ41" t="s">
        <v>68</v>
      </c>
      <c r="BR41" t="s">
        <v>68</v>
      </c>
      <c r="BS41" t="s">
        <v>68</v>
      </c>
    </row>
    <row r="42" spans="1:71" x14ac:dyDescent="0.35">
      <c r="A42" t="b">
        <f>ISNUMBER(MATCH(ChargentOrders[[#This Row],[Contract__c]],Contract[Id],0))</f>
        <v>1</v>
      </c>
      <c r="B42">
        <f>IFERROR(INDEX(Contract[CB_Subscription__c],MATCH(ChargentOrders[[#This Row],[Contract__c]],Contract[Id],0)),0)</f>
        <v>0</v>
      </c>
      <c r="C42" t="b">
        <f>ISNUMBER(MATCH(ChargentOrders[[#This Row],[Id]],Claude[Id],0))</f>
        <v>1</v>
      </c>
      <c r="D42" t="b">
        <f>AND(ChargentOrders[[#This Row],[_Contract]],ChargentOrders[[#This Row],[CB Subscription]]=0)</f>
        <v>1</v>
      </c>
      <c r="E42" s="38">
        <f>INDEX(Table5[CUENTA],MATCH(ChargentOrders[[#This Row],[Contract__c]],Table5[SM_Contract__c],0))</f>
        <v>46081</v>
      </c>
      <c r="F42" s="38" t="str">
        <f ca="1">INDEX(Table5[ESTADO],MATCH(ChargentOrders[[#This Row],[Contract__c]],Table5[SM_Contract__c],0))</f>
        <v>DEBE 5</v>
      </c>
      <c r="G42" t="s">
        <v>213</v>
      </c>
      <c r="H42" t="s">
        <v>79</v>
      </c>
      <c r="I42" t="s">
        <v>214</v>
      </c>
      <c r="J42" s="1">
        <v>45656.427118055559</v>
      </c>
      <c r="K42">
        <v>7</v>
      </c>
      <c r="L42">
        <v>2028</v>
      </c>
      <c r="M42" t="s">
        <v>1436</v>
      </c>
      <c r="N42">
        <v>7</v>
      </c>
      <c r="O42" t="s">
        <v>1437</v>
      </c>
      <c r="P42" t="s">
        <v>73</v>
      </c>
      <c r="Q42">
        <v>2028</v>
      </c>
      <c r="R42">
        <v>11150</v>
      </c>
      <c r="T42" t="s">
        <v>67</v>
      </c>
      <c r="U42" t="s">
        <v>68</v>
      </c>
      <c r="V42">
        <v>0</v>
      </c>
      <c r="W42" t="s">
        <v>69</v>
      </c>
      <c r="X42" s="5">
        <v>45659</v>
      </c>
      <c r="Y42" t="s">
        <v>74</v>
      </c>
      <c r="Z42" t="s">
        <v>68</v>
      </c>
      <c r="AA42">
        <v>10000</v>
      </c>
      <c r="AB42">
        <v>1150</v>
      </c>
      <c r="AC42" t="s">
        <v>196</v>
      </c>
      <c r="AD42" t="s">
        <v>68</v>
      </c>
      <c r="AE42">
        <v>0</v>
      </c>
      <c r="AF42" s="1">
        <v>45659.428888888891</v>
      </c>
      <c r="AG42" s="1">
        <v>45659.428923611114</v>
      </c>
      <c r="AH42">
        <v>1</v>
      </c>
      <c r="AI42">
        <v>1</v>
      </c>
      <c r="AJ42">
        <v>1115</v>
      </c>
      <c r="AK42" t="s">
        <v>197</v>
      </c>
      <c r="AL42" t="s">
        <v>71</v>
      </c>
      <c r="AM42" t="s">
        <v>68</v>
      </c>
      <c r="AN42">
        <v>0</v>
      </c>
      <c r="AO42" s="1"/>
      <c r="AP42">
        <v>0</v>
      </c>
      <c r="AQ42">
        <v>100</v>
      </c>
      <c r="AR42">
        <v>1050</v>
      </c>
      <c r="AS42" t="s">
        <v>72</v>
      </c>
      <c r="AT42" t="s">
        <v>68</v>
      </c>
      <c r="AU42">
        <v>1</v>
      </c>
      <c r="AV42" t="s">
        <v>215</v>
      </c>
      <c r="AW42">
        <v>0</v>
      </c>
      <c r="AX42" s="1">
        <v>45589.952337962961</v>
      </c>
      <c r="AY42">
        <v>2500</v>
      </c>
      <c r="AZ42" t="s">
        <v>68</v>
      </c>
      <c r="BA42" t="s">
        <v>65</v>
      </c>
      <c r="BB42" t="s">
        <v>68</v>
      </c>
      <c r="BC42" t="s">
        <v>68</v>
      </c>
      <c r="BD42">
        <v>0</v>
      </c>
      <c r="BE42" s="1"/>
      <c r="BF42" s="1">
        <v>45659.428888888891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68</v>
      </c>
      <c r="BN42" t="s">
        <v>68</v>
      </c>
      <c r="BO42" t="s">
        <v>96</v>
      </c>
      <c r="BP42">
        <v>0</v>
      </c>
      <c r="BQ42" t="s">
        <v>68</v>
      </c>
      <c r="BR42" t="s">
        <v>68</v>
      </c>
      <c r="BS42" t="s">
        <v>68</v>
      </c>
    </row>
    <row r="43" spans="1:71" x14ac:dyDescent="0.35">
      <c r="A43" t="b">
        <f>ISNUMBER(MATCH(ChargentOrders[[#This Row],[Contract__c]],Contract[Id],0))</f>
        <v>1</v>
      </c>
      <c r="B43">
        <f>IFERROR(INDEX(Contract[CB_Subscription__c],MATCH(ChargentOrders[[#This Row],[Contract__c]],Contract[Id],0)),0)</f>
        <v>0</v>
      </c>
      <c r="C43" t="b">
        <f>ISNUMBER(MATCH(ChargentOrders[[#This Row],[Id]],Claude[Id],0))</f>
        <v>1</v>
      </c>
      <c r="D43" t="b">
        <f>AND(ChargentOrders[[#This Row],[_Contract]],ChargentOrders[[#This Row],[CB Subscription]]=0)</f>
        <v>1</v>
      </c>
      <c r="E43" s="38">
        <f>INDEX(Table5[CUENTA],MATCH(ChargentOrders[[#This Row],[Contract__c]],Table5[SM_Contract__c],0))</f>
        <v>46081</v>
      </c>
      <c r="F43" s="38" t="str">
        <f ca="1">INDEX(Table5[ESTADO],MATCH(ChargentOrders[[#This Row],[Contract__c]],Table5[SM_Contract__c],0))</f>
        <v>DEBE 5</v>
      </c>
      <c r="G43" t="s">
        <v>216</v>
      </c>
      <c r="H43" t="s">
        <v>79</v>
      </c>
      <c r="I43" t="s">
        <v>217</v>
      </c>
      <c r="J43" s="1">
        <v>45679.618900462963</v>
      </c>
      <c r="K43">
        <v>7</v>
      </c>
      <c r="L43">
        <v>2029</v>
      </c>
      <c r="M43" t="s">
        <v>1422</v>
      </c>
      <c r="N43">
        <v>7</v>
      </c>
      <c r="O43" t="s">
        <v>1439</v>
      </c>
      <c r="P43" t="s">
        <v>66</v>
      </c>
      <c r="Q43">
        <v>2029</v>
      </c>
      <c r="R43">
        <v>0</v>
      </c>
      <c r="T43" t="s">
        <v>67</v>
      </c>
      <c r="U43" t="s">
        <v>68</v>
      </c>
      <c r="V43">
        <v>0</v>
      </c>
      <c r="W43" t="s">
        <v>69</v>
      </c>
      <c r="X43" s="5"/>
      <c r="Y43" t="s">
        <v>218</v>
      </c>
      <c r="Z43" t="s">
        <v>68</v>
      </c>
      <c r="AA43">
        <v>0</v>
      </c>
      <c r="AC43" t="s">
        <v>219</v>
      </c>
      <c r="AD43" t="s">
        <v>68</v>
      </c>
      <c r="AE43">
        <v>0</v>
      </c>
      <c r="AF43" s="1"/>
      <c r="AG43" s="1">
        <v>45679.618935185186</v>
      </c>
      <c r="AH43">
        <v>0</v>
      </c>
      <c r="AI43">
        <v>1</v>
      </c>
      <c r="AJ43">
        <v>0</v>
      </c>
      <c r="AK43" t="s">
        <v>220</v>
      </c>
      <c r="AL43" t="s">
        <v>68</v>
      </c>
      <c r="AM43" t="s">
        <v>68</v>
      </c>
      <c r="AN43">
        <v>0</v>
      </c>
      <c r="AO43" s="1"/>
      <c r="AP43">
        <v>1</v>
      </c>
      <c r="AS43" t="s">
        <v>75</v>
      </c>
      <c r="AT43" t="s">
        <v>68</v>
      </c>
      <c r="AU43">
        <v>0</v>
      </c>
      <c r="AV43" t="s">
        <v>68</v>
      </c>
      <c r="AW43">
        <v>1</v>
      </c>
      <c r="AX43" s="1"/>
      <c r="AZ43" t="s">
        <v>68</v>
      </c>
      <c r="BA43" t="s">
        <v>68</v>
      </c>
      <c r="BB43" t="s">
        <v>68</v>
      </c>
      <c r="BC43" t="s">
        <v>68</v>
      </c>
      <c r="BD43">
        <v>0</v>
      </c>
      <c r="BE43" s="1"/>
      <c r="BF43" s="1">
        <v>45679.618935185186</v>
      </c>
      <c r="BG43" t="s">
        <v>68</v>
      </c>
      <c r="BH43" t="s">
        <v>68</v>
      </c>
      <c r="BI43" t="s">
        <v>68</v>
      </c>
      <c r="BJ43" t="s">
        <v>68</v>
      </c>
      <c r="BK43" t="s">
        <v>68</v>
      </c>
      <c r="BL43" t="s">
        <v>68</v>
      </c>
      <c r="BM43" t="s">
        <v>68</v>
      </c>
      <c r="BN43" t="s">
        <v>68</v>
      </c>
      <c r="BO43" t="s">
        <v>96</v>
      </c>
      <c r="BP43">
        <v>0</v>
      </c>
      <c r="BQ43" t="s">
        <v>68</v>
      </c>
      <c r="BR43" t="s">
        <v>68</v>
      </c>
      <c r="BS43" t="s">
        <v>68</v>
      </c>
    </row>
    <row r="44" spans="1:71" x14ac:dyDescent="0.35">
      <c r="A44" t="b">
        <f>ISNUMBER(MATCH(ChargentOrders[[#This Row],[Contract__c]],Contract[Id],0))</f>
        <v>1</v>
      </c>
      <c r="B44">
        <f>IFERROR(INDEX(Contract[CB_Subscription__c],MATCH(ChargentOrders[[#This Row],[Contract__c]],Contract[Id],0)),0)</f>
        <v>0</v>
      </c>
      <c r="C44" t="b">
        <f>ISNUMBER(MATCH(ChargentOrders[[#This Row],[Id]],Claude[Id],0))</f>
        <v>1</v>
      </c>
      <c r="D44" t="b">
        <f>AND(ChargentOrders[[#This Row],[_Contract]],ChargentOrders[[#This Row],[CB Subscription]]=0)</f>
        <v>1</v>
      </c>
      <c r="E44" s="38">
        <f>INDEX(Table5[CUENTA],MATCH(ChargentOrders[[#This Row],[Contract__c]],Table5[SM_Contract__c],0))</f>
        <v>46081</v>
      </c>
      <c r="F44" s="38" t="str">
        <f ca="1">INDEX(Table5[ESTADO],MATCH(ChargentOrders[[#This Row],[Contract__c]],Table5[SM_Contract__c],0))</f>
        <v>DEBE 5</v>
      </c>
      <c r="G44" t="s">
        <v>221</v>
      </c>
      <c r="H44" t="s">
        <v>79</v>
      </c>
      <c r="I44" t="s">
        <v>222</v>
      </c>
      <c r="J44" s="1">
        <v>45679.619479166664</v>
      </c>
      <c r="K44">
        <v>7</v>
      </c>
      <c r="L44">
        <v>2029</v>
      </c>
      <c r="M44" t="s">
        <v>1422</v>
      </c>
      <c r="N44">
        <v>7</v>
      </c>
      <c r="O44" t="s">
        <v>1439</v>
      </c>
      <c r="P44" t="s">
        <v>66</v>
      </c>
      <c r="Q44">
        <v>2029</v>
      </c>
      <c r="R44">
        <v>5519</v>
      </c>
      <c r="T44" t="s">
        <v>67</v>
      </c>
      <c r="U44" t="s">
        <v>68</v>
      </c>
      <c r="V44">
        <v>0</v>
      </c>
      <c r="W44" t="s">
        <v>69</v>
      </c>
      <c r="X44" s="5">
        <v>45702</v>
      </c>
      <c r="Y44" t="s">
        <v>74</v>
      </c>
      <c r="Z44" t="s">
        <v>68</v>
      </c>
      <c r="AA44">
        <v>4950</v>
      </c>
      <c r="AB44">
        <v>5692</v>
      </c>
      <c r="AC44" t="s">
        <v>219</v>
      </c>
      <c r="AD44" t="s">
        <v>68</v>
      </c>
      <c r="AE44">
        <v>0</v>
      </c>
      <c r="AF44" s="1">
        <v>45702.427939814814</v>
      </c>
      <c r="AG44" s="1">
        <v>45702.42796296296</v>
      </c>
      <c r="AH44">
        <v>1</v>
      </c>
      <c r="AI44">
        <v>1</v>
      </c>
      <c r="AJ44">
        <v>5519</v>
      </c>
      <c r="AK44" t="s">
        <v>220</v>
      </c>
      <c r="AL44" t="s">
        <v>77</v>
      </c>
      <c r="AM44" t="s">
        <v>68</v>
      </c>
      <c r="AN44">
        <v>0</v>
      </c>
      <c r="AO44" s="1"/>
      <c r="AP44">
        <v>1</v>
      </c>
      <c r="AQ44">
        <v>100</v>
      </c>
      <c r="AR44">
        <v>1050</v>
      </c>
      <c r="AS44" t="s">
        <v>75</v>
      </c>
      <c r="AT44" t="s">
        <v>68</v>
      </c>
      <c r="AU44">
        <v>0</v>
      </c>
      <c r="AV44" t="s">
        <v>68</v>
      </c>
      <c r="AW44">
        <v>0</v>
      </c>
      <c r="AX44" s="1"/>
      <c r="AZ44" t="s">
        <v>68</v>
      </c>
      <c r="BA44" t="s">
        <v>68</v>
      </c>
      <c r="BB44" t="s">
        <v>68</v>
      </c>
      <c r="BC44" t="s">
        <v>68</v>
      </c>
      <c r="BD44">
        <v>0</v>
      </c>
      <c r="BE44" s="1"/>
      <c r="BF44" s="1">
        <v>45702.427939814814</v>
      </c>
      <c r="BG44" t="s">
        <v>68</v>
      </c>
      <c r="BH44" t="s">
        <v>68</v>
      </c>
      <c r="BI44" t="s">
        <v>68</v>
      </c>
      <c r="BJ44" t="s">
        <v>68</v>
      </c>
      <c r="BK44" t="s">
        <v>68</v>
      </c>
      <c r="BL44" t="s">
        <v>68</v>
      </c>
      <c r="BM44" t="s">
        <v>68</v>
      </c>
      <c r="BN44" t="s">
        <v>68</v>
      </c>
      <c r="BO44" t="s">
        <v>96</v>
      </c>
      <c r="BP44">
        <v>0</v>
      </c>
      <c r="BQ44" t="s">
        <v>68</v>
      </c>
      <c r="BR44" t="s">
        <v>68</v>
      </c>
      <c r="BS44" t="s">
        <v>68</v>
      </c>
    </row>
    <row r="45" spans="1:71" x14ac:dyDescent="0.35">
      <c r="A45" t="b">
        <f>ISNUMBER(MATCH(ChargentOrders[[#This Row],[Contract__c]],Contract[Id],0))</f>
        <v>1</v>
      </c>
      <c r="B45">
        <f>IFERROR(INDEX(Contract[CB_Subscription__c],MATCH(ChargentOrders[[#This Row],[Contract__c]],Contract[Id],0)),0)</f>
        <v>0</v>
      </c>
      <c r="C45" t="b">
        <f>ISNUMBER(MATCH(ChargentOrders[[#This Row],[Id]],Claude[Id],0))</f>
        <v>1</v>
      </c>
      <c r="D45" t="b">
        <f>AND(ChargentOrders[[#This Row],[_Contract]],ChargentOrders[[#This Row],[CB Subscription]]=0)</f>
        <v>1</v>
      </c>
      <c r="E45" s="38">
        <f>INDEX(Table5[CUENTA],MATCH(ChargentOrders[[#This Row],[Contract__c]],Table5[SM_Contract__c],0))</f>
        <v>46081</v>
      </c>
      <c r="F45" s="38" t="str">
        <f ca="1">INDEX(Table5[ESTADO],MATCH(ChargentOrders[[#This Row],[Contract__c]],Table5[SM_Contract__c],0))</f>
        <v>DEBE 5</v>
      </c>
      <c r="G45" t="s">
        <v>223</v>
      </c>
      <c r="H45" t="s">
        <v>79</v>
      </c>
      <c r="I45" t="s">
        <v>224</v>
      </c>
      <c r="J45" s="1">
        <v>45679.619479166664</v>
      </c>
      <c r="K45">
        <v>7</v>
      </c>
      <c r="L45">
        <v>2029</v>
      </c>
      <c r="M45" t="s">
        <v>1422</v>
      </c>
      <c r="N45">
        <v>7</v>
      </c>
      <c r="O45" t="s">
        <v>1439</v>
      </c>
      <c r="P45" t="s">
        <v>66</v>
      </c>
      <c r="Q45">
        <v>2029</v>
      </c>
      <c r="R45">
        <v>5519</v>
      </c>
      <c r="T45" t="s">
        <v>67</v>
      </c>
      <c r="U45" t="s">
        <v>68</v>
      </c>
      <c r="V45">
        <v>0</v>
      </c>
      <c r="W45" t="s">
        <v>69</v>
      </c>
      <c r="X45" s="5">
        <v>45716</v>
      </c>
      <c r="Y45" t="s">
        <v>74</v>
      </c>
      <c r="Z45" t="s">
        <v>68</v>
      </c>
      <c r="AA45">
        <v>4950</v>
      </c>
      <c r="AB45">
        <v>5692</v>
      </c>
      <c r="AC45" t="s">
        <v>219</v>
      </c>
      <c r="AD45" t="s">
        <v>68</v>
      </c>
      <c r="AE45">
        <v>0</v>
      </c>
      <c r="AF45" s="1">
        <v>45716.429664351854</v>
      </c>
      <c r="AG45" s="1">
        <v>45716.429664351854</v>
      </c>
      <c r="AH45">
        <v>1</v>
      </c>
      <c r="AI45">
        <v>1</v>
      </c>
      <c r="AJ45">
        <v>5519</v>
      </c>
      <c r="AK45" t="s">
        <v>220</v>
      </c>
      <c r="AL45" t="s">
        <v>77</v>
      </c>
      <c r="AM45" t="s">
        <v>68</v>
      </c>
      <c r="AN45">
        <v>0</v>
      </c>
      <c r="AO45" s="1"/>
      <c r="AP45">
        <v>1</v>
      </c>
      <c r="AQ45">
        <v>100</v>
      </c>
      <c r="AR45">
        <v>1050</v>
      </c>
      <c r="AS45" t="s">
        <v>75</v>
      </c>
      <c r="AT45" t="s">
        <v>68</v>
      </c>
      <c r="AU45">
        <v>0</v>
      </c>
      <c r="AV45" t="s">
        <v>68</v>
      </c>
      <c r="AW45">
        <v>0</v>
      </c>
      <c r="AX45" s="1"/>
      <c r="AZ45" t="s">
        <v>68</v>
      </c>
      <c r="BA45" t="s">
        <v>68</v>
      </c>
      <c r="BB45" t="s">
        <v>68</v>
      </c>
      <c r="BC45" t="s">
        <v>68</v>
      </c>
      <c r="BD45">
        <v>0</v>
      </c>
      <c r="BE45" s="1"/>
      <c r="BF45" s="1">
        <v>45716.429664351854</v>
      </c>
      <c r="BG45" t="s">
        <v>68</v>
      </c>
      <c r="BH45" t="s">
        <v>68</v>
      </c>
      <c r="BI45" t="s">
        <v>68</v>
      </c>
      <c r="BJ45" t="s">
        <v>68</v>
      </c>
      <c r="BK45" t="s">
        <v>68</v>
      </c>
      <c r="BL45" t="s">
        <v>68</v>
      </c>
      <c r="BM45" t="s">
        <v>68</v>
      </c>
      <c r="BN45" t="s">
        <v>68</v>
      </c>
      <c r="BO45" t="s">
        <v>96</v>
      </c>
      <c r="BP45">
        <v>0</v>
      </c>
      <c r="BQ45" t="s">
        <v>68</v>
      </c>
      <c r="BR45" t="s">
        <v>68</v>
      </c>
      <c r="BS45" t="s">
        <v>68</v>
      </c>
    </row>
    <row r="46" spans="1:71" x14ac:dyDescent="0.35">
      <c r="A46" t="b">
        <f>ISNUMBER(MATCH(ChargentOrders[[#This Row],[Contract__c]],Contract[Id],0))</f>
        <v>1</v>
      </c>
      <c r="B46">
        <f>IFERROR(INDEX(Contract[CB_Subscription__c],MATCH(ChargentOrders[[#This Row],[Contract__c]],Contract[Id],0)),0)</f>
        <v>0</v>
      </c>
      <c r="C46" t="b">
        <f>ISNUMBER(MATCH(ChargentOrders[[#This Row],[Id]],Claude[Id],0))</f>
        <v>1</v>
      </c>
      <c r="D46" t="b">
        <f>AND(ChargentOrders[[#This Row],[_Contract]],ChargentOrders[[#This Row],[CB Subscription]]=0)</f>
        <v>1</v>
      </c>
      <c r="E46" s="38">
        <f>INDEX(Table5[CUENTA],MATCH(ChargentOrders[[#This Row],[Contract__c]],Table5[SM_Contract__c],0))</f>
        <v>46081</v>
      </c>
      <c r="F46" s="38" t="str">
        <f ca="1">INDEX(Table5[ESTADO],MATCH(ChargentOrders[[#This Row],[Contract__c]],Table5[SM_Contract__c],0))</f>
        <v>DEBE 5</v>
      </c>
      <c r="G46" t="s">
        <v>232</v>
      </c>
      <c r="H46" t="s">
        <v>79</v>
      </c>
      <c r="I46" t="s">
        <v>233</v>
      </c>
      <c r="J46" s="1">
        <v>45702.827025462961</v>
      </c>
      <c r="K46">
        <v>2</v>
      </c>
      <c r="L46">
        <v>2030</v>
      </c>
      <c r="M46" t="s">
        <v>1440</v>
      </c>
      <c r="N46">
        <v>2</v>
      </c>
      <c r="O46" t="s">
        <v>1441</v>
      </c>
      <c r="P46" t="s">
        <v>73</v>
      </c>
      <c r="Q46">
        <v>2030</v>
      </c>
      <c r="R46">
        <v>0</v>
      </c>
      <c r="T46" t="s">
        <v>67</v>
      </c>
      <c r="U46" t="s">
        <v>68</v>
      </c>
      <c r="V46">
        <v>0</v>
      </c>
      <c r="W46" t="s">
        <v>69</v>
      </c>
      <c r="X46" s="5"/>
      <c r="Y46" t="s">
        <v>68</v>
      </c>
      <c r="Z46" t="s">
        <v>68</v>
      </c>
      <c r="AA46">
        <v>0</v>
      </c>
      <c r="AC46" t="s">
        <v>234</v>
      </c>
      <c r="AD46" t="s">
        <v>68</v>
      </c>
      <c r="AE46">
        <v>0</v>
      </c>
      <c r="AF46" s="1"/>
      <c r="AG46" s="1">
        <v>45702.827060185184</v>
      </c>
      <c r="AH46">
        <v>0</v>
      </c>
      <c r="AI46">
        <v>1</v>
      </c>
      <c r="AJ46">
        <v>0</v>
      </c>
      <c r="AK46" t="s">
        <v>235</v>
      </c>
      <c r="AL46" t="s">
        <v>68</v>
      </c>
      <c r="AM46" t="s">
        <v>68</v>
      </c>
      <c r="AN46">
        <v>0</v>
      </c>
      <c r="AO46" s="1"/>
      <c r="AP46">
        <v>1</v>
      </c>
      <c r="AS46" t="s">
        <v>75</v>
      </c>
      <c r="AT46" t="s">
        <v>68</v>
      </c>
      <c r="AU46">
        <v>0</v>
      </c>
      <c r="AV46" t="s">
        <v>68</v>
      </c>
      <c r="AW46">
        <v>1</v>
      </c>
      <c r="AX46" s="1"/>
      <c r="AZ46" t="s">
        <v>68</v>
      </c>
      <c r="BA46" t="s">
        <v>68</v>
      </c>
      <c r="BB46" t="s">
        <v>68</v>
      </c>
      <c r="BC46" t="s">
        <v>68</v>
      </c>
      <c r="BD46">
        <v>0</v>
      </c>
      <c r="BE46" s="1"/>
      <c r="BF46" s="1">
        <v>45702.827048611114</v>
      </c>
      <c r="BG46" t="s">
        <v>68</v>
      </c>
      <c r="BH46" t="s">
        <v>68</v>
      </c>
      <c r="BI46" t="s">
        <v>68</v>
      </c>
      <c r="BJ46" t="s">
        <v>68</v>
      </c>
      <c r="BK46" t="s">
        <v>68</v>
      </c>
      <c r="BL46" t="s">
        <v>68</v>
      </c>
      <c r="BM46" t="s">
        <v>68</v>
      </c>
      <c r="BN46" t="s">
        <v>68</v>
      </c>
      <c r="BO46" t="s">
        <v>96</v>
      </c>
      <c r="BP46">
        <v>0</v>
      </c>
      <c r="BQ46" t="s">
        <v>68</v>
      </c>
      <c r="BR46" t="s">
        <v>68</v>
      </c>
      <c r="BS46" t="s">
        <v>68</v>
      </c>
    </row>
    <row r="47" spans="1:71" x14ac:dyDescent="0.35">
      <c r="A47" t="b">
        <f>ISNUMBER(MATCH(ChargentOrders[[#This Row],[Contract__c]],Contract[Id],0))</f>
        <v>1</v>
      </c>
      <c r="B47">
        <f>IFERROR(INDEX(Contract[CB_Subscription__c],MATCH(ChargentOrders[[#This Row],[Contract__c]],Contract[Id],0)),0)</f>
        <v>0</v>
      </c>
      <c r="C47" t="b">
        <f>ISNUMBER(MATCH(ChargentOrders[[#This Row],[Id]],Claude[Id],0))</f>
        <v>1</v>
      </c>
      <c r="D47" t="b">
        <f>AND(ChargentOrders[[#This Row],[_Contract]],ChargentOrders[[#This Row],[CB Subscription]]=0)</f>
        <v>1</v>
      </c>
      <c r="E47" s="38">
        <f>INDEX(Table5[CUENTA],MATCH(ChargentOrders[[#This Row],[Contract__c]],Table5[SM_Contract__c],0))</f>
        <v>46081</v>
      </c>
      <c r="F47" s="38" t="str">
        <f ca="1">INDEX(Table5[ESTADO],MATCH(ChargentOrders[[#This Row],[Contract__c]],Table5[SM_Contract__c],0))</f>
        <v>DEBE 5</v>
      </c>
      <c r="G47" t="s">
        <v>236</v>
      </c>
      <c r="H47" t="s">
        <v>79</v>
      </c>
      <c r="I47" t="s">
        <v>237</v>
      </c>
      <c r="J47" s="1">
        <v>45702.827777777777</v>
      </c>
      <c r="K47">
        <v>2</v>
      </c>
      <c r="L47">
        <v>2030</v>
      </c>
      <c r="M47" t="s">
        <v>1440</v>
      </c>
      <c r="N47">
        <v>2</v>
      </c>
      <c r="O47" t="s">
        <v>1441</v>
      </c>
      <c r="P47" t="s">
        <v>73</v>
      </c>
      <c r="Q47">
        <v>2030</v>
      </c>
      <c r="R47">
        <v>11039</v>
      </c>
      <c r="T47" t="s">
        <v>67</v>
      </c>
      <c r="U47" t="s">
        <v>68</v>
      </c>
      <c r="V47">
        <v>0</v>
      </c>
      <c r="W47" t="s">
        <v>69</v>
      </c>
      <c r="X47" s="5">
        <v>45702</v>
      </c>
      <c r="Y47" t="s">
        <v>74</v>
      </c>
      <c r="Z47" t="s">
        <v>68</v>
      </c>
      <c r="AA47">
        <v>9900</v>
      </c>
      <c r="AB47">
        <v>11385</v>
      </c>
      <c r="AC47" t="s">
        <v>234</v>
      </c>
      <c r="AD47" t="s">
        <v>68</v>
      </c>
      <c r="AE47">
        <v>0</v>
      </c>
      <c r="AF47" s="1">
        <v>45702.827974537038</v>
      </c>
      <c r="AG47" s="1">
        <v>45702.827974537038</v>
      </c>
      <c r="AH47">
        <v>1</v>
      </c>
      <c r="AI47">
        <v>1</v>
      </c>
      <c r="AJ47">
        <v>11039</v>
      </c>
      <c r="AK47" t="s">
        <v>235</v>
      </c>
      <c r="AL47" t="s">
        <v>77</v>
      </c>
      <c r="AM47" t="s">
        <v>68</v>
      </c>
      <c r="AN47">
        <v>0</v>
      </c>
      <c r="AO47" s="1"/>
      <c r="AP47">
        <v>1</v>
      </c>
      <c r="AQ47">
        <v>100</v>
      </c>
      <c r="AR47">
        <v>1050</v>
      </c>
      <c r="AS47" t="s">
        <v>75</v>
      </c>
      <c r="AT47" t="s">
        <v>68</v>
      </c>
      <c r="AU47">
        <v>0</v>
      </c>
      <c r="AV47" t="s">
        <v>68</v>
      </c>
      <c r="AW47">
        <v>0</v>
      </c>
      <c r="AX47" s="1"/>
      <c r="AZ47" t="s">
        <v>68</v>
      </c>
      <c r="BA47" t="s">
        <v>68</v>
      </c>
      <c r="BB47" t="s">
        <v>68</v>
      </c>
      <c r="BC47" t="s">
        <v>68</v>
      </c>
      <c r="BD47">
        <v>0</v>
      </c>
      <c r="BE47" s="1"/>
      <c r="BF47" s="1">
        <v>45702.827974537038</v>
      </c>
      <c r="BG47" t="s">
        <v>68</v>
      </c>
      <c r="BH47" t="s">
        <v>68</v>
      </c>
      <c r="BI47" t="s">
        <v>68</v>
      </c>
      <c r="BJ47" t="s">
        <v>68</v>
      </c>
      <c r="BK47" t="s">
        <v>68</v>
      </c>
      <c r="BL47" t="s">
        <v>68</v>
      </c>
      <c r="BM47" t="s">
        <v>68</v>
      </c>
      <c r="BN47" t="s">
        <v>68</v>
      </c>
      <c r="BO47" t="s">
        <v>96</v>
      </c>
      <c r="BP47">
        <v>0</v>
      </c>
      <c r="BQ47" t="s">
        <v>68</v>
      </c>
      <c r="BR47" t="s">
        <v>68</v>
      </c>
      <c r="BS47" t="s">
        <v>68</v>
      </c>
    </row>
    <row r="48" spans="1:71" x14ac:dyDescent="0.35">
      <c r="A48" t="b">
        <f>ISNUMBER(MATCH(ChargentOrders[[#This Row],[Contract__c]],Contract[Id],0))</f>
        <v>1</v>
      </c>
      <c r="B48">
        <f>IFERROR(INDEX(Contract[CB_Subscription__c],MATCH(ChargentOrders[[#This Row],[Contract__c]],Contract[Id],0)),0)</f>
        <v>0</v>
      </c>
      <c r="C48" t="b">
        <f>ISNUMBER(MATCH(ChargentOrders[[#This Row],[Id]],Claude[Id],0))</f>
        <v>1</v>
      </c>
      <c r="D48" t="b">
        <f>AND(ChargentOrders[[#This Row],[_Contract]],ChargentOrders[[#This Row],[CB Subscription]]=0)</f>
        <v>1</v>
      </c>
      <c r="E48" s="38">
        <f>INDEX(Table5[CUENTA],MATCH(ChargentOrders[[#This Row],[Contract__c]],Table5[SM_Contract__c],0))</f>
        <v>46081</v>
      </c>
      <c r="F48" s="38" t="str">
        <f ca="1">INDEX(Table5[ESTADO],MATCH(ChargentOrders[[#This Row],[Contract__c]],Table5[SM_Contract__c],0))</f>
        <v>DEBE 5</v>
      </c>
      <c r="G48" t="s">
        <v>238</v>
      </c>
      <c r="H48" t="s">
        <v>79</v>
      </c>
      <c r="I48" t="s">
        <v>239</v>
      </c>
      <c r="J48" s="1">
        <v>45702.827997685185</v>
      </c>
      <c r="K48">
        <v>2</v>
      </c>
      <c r="L48">
        <v>2030</v>
      </c>
      <c r="M48" t="s">
        <v>1440</v>
      </c>
      <c r="N48">
        <v>2</v>
      </c>
      <c r="O48" t="s">
        <v>1440</v>
      </c>
      <c r="P48" t="s">
        <v>73</v>
      </c>
      <c r="Q48">
        <v>2030</v>
      </c>
      <c r="R48">
        <v>790</v>
      </c>
      <c r="S48">
        <v>30</v>
      </c>
      <c r="T48" t="s">
        <v>67</v>
      </c>
      <c r="U48" t="s">
        <v>68</v>
      </c>
      <c r="V48">
        <v>0</v>
      </c>
      <c r="W48" t="s">
        <v>69</v>
      </c>
      <c r="X48" s="5">
        <v>46233</v>
      </c>
      <c r="Y48" t="s">
        <v>84</v>
      </c>
      <c r="Z48" t="s">
        <v>68</v>
      </c>
      <c r="AA48">
        <v>790</v>
      </c>
      <c r="AB48">
        <v>0</v>
      </c>
      <c r="AC48" t="s">
        <v>240</v>
      </c>
      <c r="AD48" t="s">
        <v>68</v>
      </c>
      <c r="AE48">
        <v>0</v>
      </c>
      <c r="AF48" s="1">
        <v>45930.42050925926</v>
      </c>
      <c r="AG48" s="1">
        <v>45930.420555555553</v>
      </c>
      <c r="AH48">
        <v>3</v>
      </c>
      <c r="AI48">
        <v>15</v>
      </c>
      <c r="AJ48">
        <v>26427</v>
      </c>
      <c r="AK48" t="s">
        <v>235</v>
      </c>
      <c r="AL48" t="s">
        <v>76</v>
      </c>
      <c r="AM48" t="s">
        <v>68</v>
      </c>
      <c r="AN48">
        <v>0</v>
      </c>
      <c r="AO48" s="1"/>
      <c r="AP48">
        <v>16</v>
      </c>
      <c r="AQ48">
        <v>0</v>
      </c>
      <c r="AR48">
        <v>0</v>
      </c>
      <c r="AS48" t="s">
        <v>75</v>
      </c>
      <c r="AT48" t="s">
        <v>68</v>
      </c>
      <c r="AU48">
        <v>0</v>
      </c>
      <c r="AV48" t="s">
        <v>68</v>
      </c>
      <c r="AW48">
        <v>0</v>
      </c>
      <c r="AX48" s="1"/>
      <c r="AZ48" t="s">
        <v>68</v>
      </c>
      <c r="BA48" t="s">
        <v>68</v>
      </c>
      <c r="BB48" t="s">
        <v>68</v>
      </c>
      <c r="BC48" t="s">
        <v>68</v>
      </c>
      <c r="BD48">
        <v>0</v>
      </c>
      <c r="BE48" s="1">
        <v>46202.867546296293</v>
      </c>
      <c r="BF48" s="1">
        <v>46202.867546296293</v>
      </c>
      <c r="BG48" t="s">
        <v>68</v>
      </c>
      <c r="BH48" t="s">
        <v>68</v>
      </c>
      <c r="BI48" t="s">
        <v>68</v>
      </c>
      <c r="BJ48" t="s">
        <v>68</v>
      </c>
      <c r="BK48" t="s">
        <v>68</v>
      </c>
      <c r="BL48" t="s">
        <v>68</v>
      </c>
      <c r="BM48" t="s">
        <v>68</v>
      </c>
      <c r="BN48" t="s">
        <v>68</v>
      </c>
      <c r="BO48" t="s">
        <v>96</v>
      </c>
      <c r="BP48">
        <v>0</v>
      </c>
      <c r="BQ48" t="s">
        <v>68</v>
      </c>
      <c r="BR48" t="s">
        <v>68</v>
      </c>
      <c r="BS48" t="s">
        <v>68</v>
      </c>
    </row>
    <row r="49" spans="1:71" x14ac:dyDescent="0.35">
      <c r="A49" t="b">
        <f>ISNUMBER(MATCH(ChargentOrders[[#This Row],[Contract__c]],Contract[Id],0))</f>
        <v>1</v>
      </c>
      <c r="B49">
        <f>IFERROR(INDEX(Contract[CB_Subscription__c],MATCH(ChargentOrders[[#This Row],[Contract__c]],Contract[Id],0)),0)</f>
        <v>0</v>
      </c>
      <c r="C49" t="b">
        <f>ISNUMBER(MATCH(ChargentOrders[[#This Row],[Id]],Claude[Id],0))</f>
        <v>1</v>
      </c>
      <c r="D49" t="b">
        <f>AND(ChargentOrders[[#This Row],[_Contract]],ChargentOrders[[#This Row],[CB Subscription]]=0)</f>
        <v>1</v>
      </c>
      <c r="E49" s="38">
        <f>INDEX(Table5[CUENTA],MATCH(ChargentOrders[[#This Row],[Contract__c]],Table5[SM_Contract__c],0))</f>
        <v>46081</v>
      </c>
      <c r="F49" s="38" t="str">
        <f ca="1">INDEX(Table5[ESTADO],MATCH(ChargentOrders[[#This Row],[Contract__c]],Table5[SM_Contract__c],0))</f>
        <v>DEBE 5</v>
      </c>
      <c r="G49" t="s">
        <v>241</v>
      </c>
      <c r="H49" t="s">
        <v>79</v>
      </c>
      <c r="I49" t="s">
        <v>242</v>
      </c>
      <c r="J49" s="1">
        <v>45716.423379629632</v>
      </c>
      <c r="K49">
        <v>3</v>
      </c>
      <c r="L49">
        <v>2027</v>
      </c>
      <c r="M49" t="s">
        <v>1432</v>
      </c>
      <c r="N49">
        <v>3</v>
      </c>
      <c r="O49" t="s">
        <v>1433</v>
      </c>
      <c r="P49" t="s">
        <v>73</v>
      </c>
      <c r="Q49">
        <v>2027</v>
      </c>
      <c r="R49">
        <v>11596</v>
      </c>
      <c r="T49" t="s">
        <v>67</v>
      </c>
      <c r="U49" t="s">
        <v>68</v>
      </c>
      <c r="V49">
        <v>0</v>
      </c>
      <c r="W49" t="s">
        <v>69</v>
      </c>
      <c r="X49" s="5">
        <v>45729</v>
      </c>
      <c r="Y49" t="s">
        <v>74</v>
      </c>
      <c r="Z49" t="s">
        <v>68</v>
      </c>
      <c r="AA49">
        <v>10400</v>
      </c>
      <c r="AB49">
        <v>1196</v>
      </c>
      <c r="AC49" t="s">
        <v>165</v>
      </c>
      <c r="AD49" t="s">
        <v>68</v>
      </c>
      <c r="AE49">
        <v>0</v>
      </c>
      <c r="AF49" s="1">
        <v>45727.987627314818</v>
      </c>
      <c r="AG49" s="1">
        <v>45727.987627314818</v>
      </c>
      <c r="AH49">
        <v>1</v>
      </c>
      <c r="AI49">
        <v>5</v>
      </c>
      <c r="AJ49">
        <v>11596</v>
      </c>
      <c r="AK49" t="s">
        <v>179</v>
      </c>
      <c r="AL49" t="s">
        <v>71</v>
      </c>
      <c r="AM49" t="s">
        <v>68</v>
      </c>
      <c r="AN49">
        <v>0</v>
      </c>
      <c r="AO49" s="1"/>
      <c r="AP49">
        <v>0</v>
      </c>
      <c r="AQ49">
        <v>100</v>
      </c>
      <c r="AR49">
        <v>1050</v>
      </c>
      <c r="AS49" t="s">
        <v>72</v>
      </c>
      <c r="AT49" t="s">
        <v>68</v>
      </c>
      <c r="AU49">
        <v>1</v>
      </c>
      <c r="AV49" t="s">
        <v>243</v>
      </c>
      <c r="AW49">
        <v>0</v>
      </c>
      <c r="AX49" s="1">
        <v>45546.777881944443</v>
      </c>
      <c r="AY49">
        <v>2500</v>
      </c>
      <c r="AZ49" t="s">
        <v>68</v>
      </c>
      <c r="BA49" t="s">
        <v>65</v>
      </c>
      <c r="BB49" t="s">
        <v>68</v>
      </c>
      <c r="BC49" t="s">
        <v>68</v>
      </c>
      <c r="BD49">
        <v>0</v>
      </c>
      <c r="BE49" s="1">
        <v>45726.425775462965</v>
      </c>
      <c r="BF49" s="1">
        <v>45727.987627314818</v>
      </c>
      <c r="BG49" t="s">
        <v>68</v>
      </c>
      <c r="BH49" t="s">
        <v>68</v>
      </c>
      <c r="BI49" t="s">
        <v>68</v>
      </c>
      <c r="BJ49" t="s">
        <v>68</v>
      </c>
      <c r="BK49" t="s">
        <v>68</v>
      </c>
      <c r="BL49" t="s">
        <v>68</v>
      </c>
      <c r="BM49" t="s">
        <v>68</v>
      </c>
      <c r="BN49" t="s">
        <v>68</v>
      </c>
      <c r="BO49" t="s">
        <v>96</v>
      </c>
      <c r="BP49">
        <v>0</v>
      </c>
      <c r="BQ49" t="s">
        <v>68</v>
      </c>
      <c r="BR49" t="s">
        <v>68</v>
      </c>
      <c r="BS49" t="s">
        <v>68</v>
      </c>
    </row>
    <row r="50" spans="1:71" x14ac:dyDescent="0.35">
      <c r="A50" t="b">
        <f>ISNUMBER(MATCH(ChargentOrders[[#This Row],[Contract__c]],Contract[Id],0))</f>
        <v>1</v>
      </c>
      <c r="B50">
        <f>IFERROR(INDEX(Contract[CB_Subscription__c],MATCH(ChargentOrders[[#This Row],[Contract__c]],Contract[Id],0)),0)</f>
        <v>0</v>
      </c>
      <c r="C50" t="b">
        <f>ISNUMBER(MATCH(ChargentOrders[[#This Row],[Id]],Claude[Id],0))</f>
        <v>1</v>
      </c>
      <c r="D50" t="b">
        <f>AND(ChargentOrders[[#This Row],[_Contract]],ChargentOrders[[#This Row],[CB Subscription]]=0)</f>
        <v>1</v>
      </c>
      <c r="E50" s="38">
        <f>INDEX(Table5[CUENTA],MATCH(ChargentOrders[[#This Row],[Contract__c]],Table5[SM_Contract__c],0))</f>
        <v>46081</v>
      </c>
      <c r="F50" s="38" t="str">
        <f ca="1">INDEX(Table5[ESTADO],MATCH(ChargentOrders[[#This Row],[Contract__c]],Table5[SM_Contract__c],0))</f>
        <v>DEBE 5</v>
      </c>
      <c r="G50" t="s">
        <v>244</v>
      </c>
      <c r="H50" t="s">
        <v>79</v>
      </c>
      <c r="I50" t="s">
        <v>245</v>
      </c>
      <c r="J50" s="1">
        <v>45716.424016203702</v>
      </c>
      <c r="K50">
        <v>7</v>
      </c>
      <c r="L50">
        <v>2028</v>
      </c>
      <c r="M50" t="s">
        <v>1436</v>
      </c>
      <c r="N50">
        <v>7</v>
      </c>
      <c r="O50" t="s">
        <v>1437</v>
      </c>
      <c r="P50" t="s">
        <v>73</v>
      </c>
      <c r="Q50">
        <v>2028</v>
      </c>
      <c r="R50">
        <v>11150</v>
      </c>
      <c r="T50" t="s">
        <v>67</v>
      </c>
      <c r="U50" t="s">
        <v>68</v>
      </c>
      <c r="V50">
        <v>0</v>
      </c>
      <c r="W50" t="s">
        <v>69</v>
      </c>
      <c r="X50" s="5">
        <v>45719</v>
      </c>
      <c r="Y50" t="s">
        <v>74</v>
      </c>
      <c r="Z50" t="s">
        <v>68</v>
      </c>
      <c r="AA50">
        <v>10000</v>
      </c>
      <c r="AB50">
        <v>1150</v>
      </c>
      <c r="AC50" t="s">
        <v>196</v>
      </c>
      <c r="AD50" t="s">
        <v>68</v>
      </c>
      <c r="AE50">
        <v>0</v>
      </c>
      <c r="AF50" s="1">
        <v>45719.429074074076</v>
      </c>
      <c r="AG50" s="1">
        <v>45719.429074074076</v>
      </c>
      <c r="AH50">
        <v>1</v>
      </c>
      <c r="AI50">
        <v>1</v>
      </c>
      <c r="AJ50">
        <v>1115</v>
      </c>
      <c r="AK50" t="s">
        <v>197</v>
      </c>
      <c r="AL50" t="s">
        <v>71</v>
      </c>
      <c r="AM50" t="s">
        <v>68</v>
      </c>
      <c r="AN50">
        <v>0</v>
      </c>
      <c r="AO50" s="1"/>
      <c r="AP50">
        <v>0</v>
      </c>
      <c r="AQ50">
        <v>100</v>
      </c>
      <c r="AR50">
        <v>1050</v>
      </c>
      <c r="AS50" t="s">
        <v>72</v>
      </c>
      <c r="AT50" t="s">
        <v>68</v>
      </c>
      <c r="AU50">
        <v>1</v>
      </c>
      <c r="AV50" t="s">
        <v>246</v>
      </c>
      <c r="AW50">
        <v>0</v>
      </c>
      <c r="AX50" s="1">
        <v>45589.952337962961</v>
      </c>
      <c r="AY50">
        <v>2500</v>
      </c>
      <c r="AZ50" t="s">
        <v>68</v>
      </c>
      <c r="BA50" t="s">
        <v>65</v>
      </c>
      <c r="BB50" t="s">
        <v>68</v>
      </c>
      <c r="BC50" t="s">
        <v>68</v>
      </c>
      <c r="BD50">
        <v>0</v>
      </c>
      <c r="BE50" s="1"/>
      <c r="BF50" s="1">
        <v>45719.429074074076</v>
      </c>
      <c r="BG50" t="s">
        <v>68</v>
      </c>
      <c r="BH50" t="s">
        <v>68</v>
      </c>
      <c r="BI50" t="s">
        <v>68</v>
      </c>
      <c r="BJ50" t="s">
        <v>68</v>
      </c>
      <c r="BK50" t="s">
        <v>68</v>
      </c>
      <c r="BL50" t="s">
        <v>68</v>
      </c>
      <c r="BM50" t="s">
        <v>68</v>
      </c>
      <c r="BN50" t="s">
        <v>68</v>
      </c>
      <c r="BO50" t="s">
        <v>96</v>
      </c>
      <c r="BP50">
        <v>0</v>
      </c>
      <c r="BQ50" t="s">
        <v>68</v>
      </c>
      <c r="BR50" t="s">
        <v>68</v>
      </c>
      <c r="BS50" t="s">
        <v>68</v>
      </c>
    </row>
    <row r="51" spans="1:71" x14ac:dyDescent="0.35">
      <c r="A51" t="b">
        <f>ISNUMBER(MATCH(ChargentOrders[[#This Row],[Contract__c]],Contract[Id],0))</f>
        <v>1</v>
      </c>
      <c r="B51">
        <f>IFERROR(INDEX(Contract[CB_Subscription__c],MATCH(ChargentOrders[[#This Row],[Contract__c]],Contract[Id],0)),0)</f>
        <v>0</v>
      </c>
      <c r="C51" t="b">
        <f>ISNUMBER(MATCH(ChargentOrders[[#This Row],[Id]],Claude[Id],0))</f>
        <v>1</v>
      </c>
      <c r="D51" t="b">
        <f>AND(ChargentOrders[[#This Row],[_Contract]],ChargentOrders[[#This Row],[CB Subscription]]=0)</f>
        <v>1</v>
      </c>
      <c r="E51" s="38">
        <f>INDEX(Table5[CUENTA],MATCH(ChargentOrders[[#This Row],[Contract__c]],Table5[SM_Contract__c],0))</f>
        <v>46081</v>
      </c>
      <c r="F51" s="38" t="str">
        <f ca="1">INDEX(Table5[ESTADO],MATCH(ChargentOrders[[#This Row],[Contract__c]],Table5[SM_Contract__c],0))</f>
        <v>DEBE 5</v>
      </c>
      <c r="G51" t="s">
        <v>247</v>
      </c>
      <c r="H51" t="s">
        <v>79</v>
      </c>
      <c r="I51" t="s">
        <v>248</v>
      </c>
      <c r="J51" s="1">
        <v>45716.429675925923</v>
      </c>
      <c r="K51">
        <v>7</v>
      </c>
      <c r="L51">
        <v>2029</v>
      </c>
      <c r="M51" t="s">
        <v>1422</v>
      </c>
      <c r="N51">
        <v>7</v>
      </c>
      <c r="O51" t="s">
        <v>1422</v>
      </c>
      <c r="P51" t="s">
        <v>66</v>
      </c>
      <c r="Q51">
        <v>2029</v>
      </c>
      <c r="R51">
        <v>790</v>
      </c>
      <c r="S51">
        <v>30</v>
      </c>
      <c r="T51" t="s">
        <v>67</v>
      </c>
      <c r="U51" t="s">
        <v>68</v>
      </c>
      <c r="V51">
        <v>0</v>
      </c>
      <c r="W51" t="s">
        <v>69</v>
      </c>
      <c r="X51" s="5">
        <v>46233</v>
      </c>
      <c r="Y51" t="s">
        <v>84</v>
      </c>
      <c r="Z51" t="s">
        <v>68</v>
      </c>
      <c r="AA51">
        <v>790</v>
      </c>
      <c r="AB51">
        <v>0</v>
      </c>
      <c r="AC51" t="s">
        <v>219</v>
      </c>
      <c r="AD51" t="s">
        <v>68</v>
      </c>
      <c r="AE51">
        <v>0</v>
      </c>
      <c r="AF51" s="1">
        <v>45930.420636574076</v>
      </c>
      <c r="AG51" s="1">
        <v>45930.420682870368</v>
      </c>
      <c r="AH51">
        <v>6</v>
      </c>
      <c r="AI51">
        <v>15</v>
      </c>
      <c r="AJ51">
        <v>52854</v>
      </c>
      <c r="AK51" t="s">
        <v>220</v>
      </c>
      <c r="AL51" t="s">
        <v>76</v>
      </c>
      <c r="AM51" t="s">
        <v>68</v>
      </c>
      <c r="AN51">
        <v>0</v>
      </c>
      <c r="AO51" s="1"/>
      <c r="AP51">
        <v>16</v>
      </c>
      <c r="AQ51">
        <v>0</v>
      </c>
      <c r="AR51">
        <v>0</v>
      </c>
      <c r="AS51" t="s">
        <v>75</v>
      </c>
      <c r="AT51" t="s">
        <v>68</v>
      </c>
      <c r="AU51">
        <v>0</v>
      </c>
      <c r="AV51" t="s">
        <v>68</v>
      </c>
      <c r="AW51">
        <v>0</v>
      </c>
      <c r="AX51" s="1"/>
      <c r="AZ51" t="s">
        <v>68</v>
      </c>
      <c r="BA51" t="s">
        <v>68</v>
      </c>
      <c r="BB51" t="s">
        <v>68</v>
      </c>
      <c r="BC51" t="s">
        <v>68</v>
      </c>
      <c r="BD51">
        <v>0</v>
      </c>
      <c r="BE51" s="1">
        <v>46202.855358796296</v>
      </c>
      <c r="BF51" s="1">
        <v>46202.855358796296</v>
      </c>
      <c r="BG51" t="s">
        <v>68</v>
      </c>
      <c r="BH51" t="s">
        <v>68</v>
      </c>
      <c r="BI51" t="s">
        <v>68</v>
      </c>
      <c r="BJ51" t="s">
        <v>68</v>
      </c>
      <c r="BK51" t="s">
        <v>68</v>
      </c>
      <c r="BL51" t="s">
        <v>68</v>
      </c>
      <c r="BM51" t="s">
        <v>68</v>
      </c>
      <c r="BN51" t="s">
        <v>68</v>
      </c>
      <c r="BO51" t="s">
        <v>96</v>
      </c>
      <c r="BP51">
        <v>0</v>
      </c>
      <c r="BQ51" t="s">
        <v>68</v>
      </c>
      <c r="BR51" t="s">
        <v>68</v>
      </c>
      <c r="BS51" t="s">
        <v>68</v>
      </c>
    </row>
    <row r="52" spans="1:71" x14ac:dyDescent="0.35">
      <c r="A52" t="b">
        <f>ISNUMBER(MATCH(ChargentOrders[[#This Row],[Contract__c]],Contract[Id],0))</f>
        <v>1</v>
      </c>
      <c r="B52">
        <f>IFERROR(INDEX(Contract[CB_Subscription__c],MATCH(ChargentOrders[[#This Row],[Contract__c]],Contract[Id],0)),0)</f>
        <v>0</v>
      </c>
      <c r="C52" t="b">
        <f>ISNUMBER(MATCH(ChargentOrders[[#This Row],[Id]],Claude[Id],0))</f>
        <v>1</v>
      </c>
      <c r="D52" t="b">
        <f>AND(ChargentOrders[[#This Row],[_Contract]],ChargentOrders[[#This Row],[CB Subscription]]=0)</f>
        <v>1</v>
      </c>
      <c r="E52" s="38">
        <f>INDEX(Table5[CUENTA],MATCH(ChargentOrders[[#This Row],[Contract__c]],Table5[SM_Contract__c],0))</f>
        <v>46081</v>
      </c>
      <c r="F52" s="38" t="str">
        <f ca="1">INDEX(Table5[ESTADO],MATCH(ChargentOrders[[#This Row],[Contract__c]],Table5[SM_Contract__c],0))</f>
        <v>DEBE 5</v>
      </c>
      <c r="G52" t="s">
        <v>250</v>
      </c>
      <c r="H52" t="s">
        <v>79</v>
      </c>
      <c r="I52" t="s">
        <v>251</v>
      </c>
      <c r="J52" s="1">
        <v>45719.580833333333</v>
      </c>
      <c r="K52">
        <v>2</v>
      </c>
      <c r="L52">
        <v>2026</v>
      </c>
      <c r="M52" t="s">
        <v>1407</v>
      </c>
      <c r="N52">
        <v>2</v>
      </c>
      <c r="O52" t="s">
        <v>1442</v>
      </c>
      <c r="P52" t="s">
        <v>73</v>
      </c>
      <c r="Q52">
        <v>2026</v>
      </c>
      <c r="R52">
        <v>0</v>
      </c>
      <c r="T52" t="s">
        <v>67</v>
      </c>
      <c r="U52" t="s">
        <v>68</v>
      </c>
      <c r="V52">
        <v>0</v>
      </c>
      <c r="W52" t="s">
        <v>69</v>
      </c>
      <c r="X52" s="5"/>
      <c r="Y52" t="s">
        <v>68</v>
      </c>
      <c r="Z52" t="s">
        <v>68</v>
      </c>
      <c r="AA52">
        <v>0</v>
      </c>
      <c r="AC52" t="s">
        <v>252</v>
      </c>
      <c r="AD52" t="s">
        <v>68</v>
      </c>
      <c r="AE52">
        <v>0</v>
      </c>
      <c r="AF52" s="1"/>
      <c r="AG52" s="1">
        <v>45719.58085648148</v>
      </c>
      <c r="AH52">
        <v>0</v>
      </c>
      <c r="AI52">
        <v>1</v>
      </c>
      <c r="AJ52">
        <v>0</v>
      </c>
      <c r="AK52" t="s">
        <v>253</v>
      </c>
      <c r="AL52" t="s">
        <v>68</v>
      </c>
      <c r="AM52" t="s">
        <v>68</v>
      </c>
      <c r="AN52">
        <v>0</v>
      </c>
      <c r="AO52" s="1"/>
      <c r="AP52">
        <v>1</v>
      </c>
      <c r="AS52" t="s">
        <v>75</v>
      </c>
      <c r="AT52" t="s">
        <v>68</v>
      </c>
      <c r="AU52">
        <v>0</v>
      </c>
      <c r="AV52" t="s">
        <v>68</v>
      </c>
      <c r="AW52">
        <v>1</v>
      </c>
      <c r="AX52" s="1"/>
      <c r="AZ52" t="s">
        <v>68</v>
      </c>
      <c r="BA52" t="s">
        <v>68</v>
      </c>
      <c r="BB52" t="s">
        <v>68</v>
      </c>
      <c r="BC52" t="s">
        <v>68</v>
      </c>
      <c r="BD52">
        <v>0</v>
      </c>
      <c r="BE52" s="1"/>
      <c r="BF52" s="1">
        <v>45719.58085648148</v>
      </c>
      <c r="BG52" t="s">
        <v>68</v>
      </c>
      <c r="BH52" t="s">
        <v>68</v>
      </c>
      <c r="BI52" t="s">
        <v>68</v>
      </c>
      <c r="BJ52" t="s">
        <v>68</v>
      </c>
      <c r="BK52" t="s">
        <v>68</v>
      </c>
      <c r="BL52" t="s">
        <v>68</v>
      </c>
      <c r="BM52" t="s">
        <v>68</v>
      </c>
      <c r="BN52" t="s">
        <v>68</v>
      </c>
      <c r="BO52" t="s">
        <v>96</v>
      </c>
      <c r="BP52">
        <v>0</v>
      </c>
      <c r="BQ52" t="s">
        <v>68</v>
      </c>
      <c r="BR52" t="s">
        <v>68</v>
      </c>
      <c r="BS52" t="s">
        <v>68</v>
      </c>
    </row>
    <row r="53" spans="1:71" x14ac:dyDescent="0.35">
      <c r="A53" t="b">
        <f>ISNUMBER(MATCH(ChargentOrders[[#This Row],[Contract__c]],Contract[Id],0))</f>
        <v>1</v>
      </c>
      <c r="B53">
        <f>IFERROR(INDEX(Contract[CB_Subscription__c],MATCH(ChargentOrders[[#This Row],[Contract__c]],Contract[Id],0)),0)</f>
        <v>0</v>
      </c>
      <c r="C53" t="b">
        <f>ISNUMBER(MATCH(ChargentOrders[[#This Row],[Id]],Claude[Id],0))</f>
        <v>1</v>
      </c>
      <c r="D53" t="b">
        <f>AND(ChargentOrders[[#This Row],[_Contract]],ChargentOrders[[#This Row],[CB Subscription]]=0)</f>
        <v>1</v>
      </c>
      <c r="E53" s="38">
        <f>INDEX(Table5[CUENTA],MATCH(ChargentOrders[[#This Row],[Contract__c]],Table5[SM_Contract__c],0))</f>
        <v>46081</v>
      </c>
      <c r="F53" s="38" t="str">
        <f ca="1">INDEX(Table5[ESTADO],MATCH(ChargentOrders[[#This Row],[Contract__c]],Table5[SM_Contract__c],0))</f>
        <v>DEBE 5</v>
      </c>
      <c r="G53" t="s">
        <v>254</v>
      </c>
      <c r="H53" t="s">
        <v>79</v>
      </c>
      <c r="I53" t="s">
        <v>255</v>
      </c>
      <c r="J53" s="1">
        <v>45719.581354166665</v>
      </c>
      <c r="K53">
        <v>2</v>
      </c>
      <c r="L53">
        <v>2026</v>
      </c>
      <c r="M53" t="s">
        <v>1407</v>
      </c>
      <c r="N53">
        <v>2</v>
      </c>
      <c r="O53" t="s">
        <v>1442</v>
      </c>
      <c r="P53" t="s">
        <v>73</v>
      </c>
      <c r="Q53">
        <v>2026</v>
      </c>
      <c r="R53">
        <v>17729</v>
      </c>
      <c r="T53" t="s">
        <v>67</v>
      </c>
      <c r="U53" t="s">
        <v>68</v>
      </c>
      <c r="V53">
        <v>0</v>
      </c>
      <c r="W53" t="s">
        <v>69</v>
      </c>
      <c r="X53" s="5">
        <v>45723</v>
      </c>
      <c r="Y53" t="s">
        <v>74</v>
      </c>
      <c r="Z53" t="s">
        <v>68</v>
      </c>
      <c r="AA53">
        <v>15900</v>
      </c>
      <c r="AB53">
        <v>18285</v>
      </c>
      <c r="AC53" t="s">
        <v>252</v>
      </c>
      <c r="AD53" t="s">
        <v>68</v>
      </c>
      <c r="AE53">
        <v>0</v>
      </c>
      <c r="AF53" s="1">
        <v>45723.426388888889</v>
      </c>
      <c r="AG53" s="1">
        <v>45723.426446759258</v>
      </c>
      <c r="AH53">
        <v>1</v>
      </c>
      <c r="AI53">
        <v>1</v>
      </c>
      <c r="AJ53">
        <v>17729</v>
      </c>
      <c r="AK53" t="s">
        <v>253</v>
      </c>
      <c r="AL53" t="s">
        <v>77</v>
      </c>
      <c r="AM53" t="s">
        <v>68</v>
      </c>
      <c r="AN53">
        <v>0</v>
      </c>
      <c r="AO53" s="1"/>
      <c r="AP53">
        <v>1</v>
      </c>
      <c r="AQ53">
        <v>100</v>
      </c>
      <c r="AR53">
        <v>1050</v>
      </c>
      <c r="AS53" t="s">
        <v>75</v>
      </c>
      <c r="AT53" t="s">
        <v>68</v>
      </c>
      <c r="AU53">
        <v>0</v>
      </c>
      <c r="AV53" t="s">
        <v>68</v>
      </c>
      <c r="AW53">
        <v>0</v>
      </c>
      <c r="AX53" s="1"/>
      <c r="AZ53" t="s">
        <v>68</v>
      </c>
      <c r="BA53" t="s">
        <v>68</v>
      </c>
      <c r="BB53" t="s">
        <v>68</v>
      </c>
      <c r="BC53" t="s">
        <v>68</v>
      </c>
      <c r="BD53">
        <v>0</v>
      </c>
      <c r="BE53" s="1"/>
      <c r="BF53" s="1">
        <v>45723.426388888889</v>
      </c>
      <c r="BG53" t="s">
        <v>68</v>
      </c>
      <c r="BH53" t="s">
        <v>68</v>
      </c>
      <c r="BI53" t="s">
        <v>68</v>
      </c>
      <c r="BJ53" t="s">
        <v>68</v>
      </c>
      <c r="BK53" t="s">
        <v>68</v>
      </c>
      <c r="BL53" t="s">
        <v>68</v>
      </c>
      <c r="BM53" t="s">
        <v>68</v>
      </c>
      <c r="BN53" t="s">
        <v>68</v>
      </c>
      <c r="BO53" t="s">
        <v>96</v>
      </c>
      <c r="BP53">
        <v>0</v>
      </c>
      <c r="BQ53" t="s">
        <v>68</v>
      </c>
      <c r="BR53" t="s">
        <v>68</v>
      </c>
      <c r="BS53" t="s">
        <v>68</v>
      </c>
    </row>
    <row r="54" spans="1:71" x14ac:dyDescent="0.35">
      <c r="A54" t="b">
        <f>ISNUMBER(MATCH(ChargentOrders[[#This Row],[Contract__c]],Contract[Id],0))</f>
        <v>1</v>
      </c>
      <c r="B54">
        <f>IFERROR(INDEX(Contract[CB_Subscription__c],MATCH(ChargentOrders[[#This Row],[Contract__c]],Contract[Id],0)),0)</f>
        <v>0</v>
      </c>
      <c r="C54" t="b">
        <f>ISNUMBER(MATCH(ChargentOrders[[#This Row],[Id]],Claude[Id],0))</f>
        <v>1</v>
      </c>
      <c r="D54" t="b">
        <f>AND(ChargentOrders[[#This Row],[_Contract]],ChargentOrders[[#This Row],[CB Subscription]]=0)</f>
        <v>1</v>
      </c>
      <c r="E54" s="38">
        <f>INDEX(Table5[CUENTA],MATCH(ChargentOrders[[#This Row],[Contract__c]],Table5[SM_Contract__c],0))</f>
        <v>46081</v>
      </c>
      <c r="F54" s="38" t="str">
        <f ca="1">INDEX(Table5[ESTADO],MATCH(ChargentOrders[[#This Row],[Contract__c]],Table5[SM_Contract__c],0))</f>
        <v>DEBE 5</v>
      </c>
      <c r="G54" t="s">
        <v>257</v>
      </c>
      <c r="H54" t="s">
        <v>79</v>
      </c>
      <c r="I54" t="s">
        <v>258</v>
      </c>
      <c r="J54" s="1">
        <v>45723.426469907405</v>
      </c>
      <c r="K54">
        <v>2</v>
      </c>
      <c r="L54">
        <v>2026</v>
      </c>
      <c r="M54" t="s">
        <v>1407</v>
      </c>
      <c r="N54">
        <v>2</v>
      </c>
      <c r="O54" t="s">
        <v>1407</v>
      </c>
      <c r="P54" t="s">
        <v>73</v>
      </c>
      <c r="Q54">
        <v>2026</v>
      </c>
      <c r="R54">
        <v>7900</v>
      </c>
      <c r="S54">
        <v>30</v>
      </c>
      <c r="T54" t="s">
        <v>67</v>
      </c>
      <c r="U54" t="s">
        <v>68</v>
      </c>
      <c r="V54">
        <v>0</v>
      </c>
      <c r="W54" t="s">
        <v>69</v>
      </c>
      <c r="X54" s="5">
        <v>46233</v>
      </c>
      <c r="Y54" t="s">
        <v>84</v>
      </c>
      <c r="Z54" t="s">
        <v>68</v>
      </c>
      <c r="AA54">
        <v>7900</v>
      </c>
      <c r="AB54">
        <v>0</v>
      </c>
      <c r="AC54" t="s">
        <v>252</v>
      </c>
      <c r="AD54" t="s">
        <v>68</v>
      </c>
      <c r="AE54">
        <v>0</v>
      </c>
      <c r="AF54" s="1"/>
      <c r="AG54" s="1"/>
      <c r="AH54">
        <v>0</v>
      </c>
      <c r="AI54">
        <v>14</v>
      </c>
      <c r="AJ54">
        <v>0</v>
      </c>
      <c r="AK54" t="s">
        <v>253</v>
      </c>
      <c r="AL54" t="s">
        <v>76</v>
      </c>
      <c r="AM54" t="s">
        <v>68</v>
      </c>
      <c r="AN54">
        <v>0</v>
      </c>
      <c r="AO54" s="1"/>
      <c r="AP54">
        <v>14</v>
      </c>
      <c r="AQ54">
        <v>0</v>
      </c>
      <c r="AR54">
        <v>0</v>
      </c>
      <c r="AS54" t="s">
        <v>75</v>
      </c>
      <c r="AT54" t="s">
        <v>68</v>
      </c>
      <c r="AU54">
        <v>0</v>
      </c>
      <c r="AV54" t="s">
        <v>68</v>
      </c>
      <c r="AW54">
        <v>0</v>
      </c>
      <c r="AX54" s="1"/>
      <c r="AZ54" t="s">
        <v>68</v>
      </c>
      <c r="BA54" t="s">
        <v>68</v>
      </c>
      <c r="BB54" t="s">
        <v>68</v>
      </c>
      <c r="BC54" t="s">
        <v>68</v>
      </c>
      <c r="BD54">
        <v>0</v>
      </c>
      <c r="BE54" s="1">
        <v>46203.417013888888</v>
      </c>
      <c r="BF54" s="1">
        <v>46203.417013888888</v>
      </c>
      <c r="BG54" t="s">
        <v>68</v>
      </c>
      <c r="BH54" t="s">
        <v>68</v>
      </c>
      <c r="BI54" t="s">
        <v>68</v>
      </c>
      <c r="BJ54" t="s">
        <v>68</v>
      </c>
      <c r="BK54" t="s">
        <v>68</v>
      </c>
      <c r="BL54" t="s">
        <v>68</v>
      </c>
      <c r="BM54" t="s">
        <v>68</v>
      </c>
      <c r="BN54" t="s">
        <v>68</v>
      </c>
      <c r="BO54" t="s">
        <v>96</v>
      </c>
      <c r="BP54">
        <v>0</v>
      </c>
      <c r="BQ54" t="s">
        <v>68</v>
      </c>
      <c r="BR54" t="s">
        <v>68</v>
      </c>
      <c r="BS54" t="s">
        <v>68</v>
      </c>
    </row>
    <row r="55" spans="1:71" x14ac:dyDescent="0.35">
      <c r="A55" t="b">
        <f>ISNUMBER(MATCH(ChargentOrders[[#This Row],[Contract__c]],Contract[Id],0))</f>
        <v>1</v>
      </c>
      <c r="B55">
        <f>IFERROR(INDEX(Contract[CB_Subscription__c],MATCH(ChargentOrders[[#This Row],[Contract__c]],Contract[Id],0)),0)</f>
        <v>0</v>
      </c>
      <c r="C55" t="b">
        <f>ISNUMBER(MATCH(ChargentOrders[[#This Row],[Id]],Claude[Id],0))</f>
        <v>1</v>
      </c>
      <c r="D55" t="b">
        <f>AND(ChargentOrders[[#This Row],[_Contract]],ChargentOrders[[#This Row],[CB Subscription]]=0)</f>
        <v>1</v>
      </c>
      <c r="E55" s="38">
        <f>INDEX(Table5[CUENTA],MATCH(ChargentOrders[[#This Row],[Contract__c]],Table5[SM_Contract__c],0))</f>
        <v>46081</v>
      </c>
      <c r="F55" s="38" t="str">
        <f ca="1">INDEX(Table5[ESTADO],MATCH(ChargentOrders[[#This Row],[Contract__c]],Table5[SM_Contract__c],0))</f>
        <v>DEBE 5</v>
      </c>
      <c r="G55" t="s">
        <v>262</v>
      </c>
      <c r="H55" t="s">
        <v>81</v>
      </c>
      <c r="I55" t="s">
        <v>263</v>
      </c>
      <c r="J55" s="1">
        <v>45729.863726851851</v>
      </c>
      <c r="K55">
        <v>11</v>
      </c>
      <c r="L55">
        <v>2029</v>
      </c>
      <c r="M55" t="s">
        <v>1444</v>
      </c>
      <c r="N55">
        <v>11</v>
      </c>
      <c r="O55" t="s">
        <v>1445</v>
      </c>
      <c r="P55" t="s">
        <v>73</v>
      </c>
      <c r="Q55">
        <v>2029</v>
      </c>
      <c r="R55">
        <v>0</v>
      </c>
      <c r="T55" t="s">
        <v>67</v>
      </c>
      <c r="U55" t="s">
        <v>68</v>
      </c>
      <c r="V55">
        <v>0</v>
      </c>
      <c r="W55" t="s">
        <v>69</v>
      </c>
      <c r="X55" s="5"/>
      <c r="Y55" t="s">
        <v>68</v>
      </c>
      <c r="Z55" t="s">
        <v>68</v>
      </c>
      <c r="AA55">
        <v>0</v>
      </c>
      <c r="AC55" t="s">
        <v>264</v>
      </c>
      <c r="AD55" t="s">
        <v>68</v>
      </c>
      <c r="AE55">
        <v>0</v>
      </c>
      <c r="AF55" s="1"/>
      <c r="AG55" s="1">
        <v>45729.863749999997</v>
      </c>
      <c r="AH55">
        <v>0</v>
      </c>
      <c r="AI55">
        <v>1</v>
      </c>
      <c r="AJ55">
        <v>0</v>
      </c>
      <c r="AK55" t="s">
        <v>265</v>
      </c>
      <c r="AL55" t="s">
        <v>68</v>
      </c>
      <c r="AM55" t="s">
        <v>68</v>
      </c>
      <c r="AN55">
        <v>0</v>
      </c>
      <c r="AO55" s="1"/>
      <c r="AP55">
        <v>1</v>
      </c>
      <c r="AS55" t="s">
        <v>75</v>
      </c>
      <c r="AT55" t="s">
        <v>68</v>
      </c>
      <c r="AU55">
        <v>0</v>
      </c>
      <c r="AV55" t="s">
        <v>68</v>
      </c>
      <c r="AW55">
        <v>1</v>
      </c>
      <c r="AX55" s="1"/>
      <c r="AZ55" t="s">
        <v>68</v>
      </c>
      <c r="BA55" t="s">
        <v>68</v>
      </c>
      <c r="BB55" t="s">
        <v>68</v>
      </c>
      <c r="BC55" t="s">
        <v>68</v>
      </c>
      <c r="BD55">
        <v>0</v>
      </c>
      <c r="BE55" s="1"/>
      <c r="BF55" s="1">
        <v>45729.863749999997</v>
      </c>
      <c r="BG55" t="s">
        <v>68</v>
      </c>
      <c r="BH55" t="s">
        <v>68</v>
      </c>
      <c r="BI55" t="s">
        <v>68</v>
      </c>
      <c r="BJ55" t="s">
        <v>68</v>
      </c>
      <c r="BK55" t="s">
        <v>68</v>
      </c>
      <c r="BL55" t="s">
        <v>68</v>
      </c>
      <c r="BM55" t="s">
        <v>68</v>
      </c>
      <c r="BN55" t="s">
        <v>68</v>
      </c>
      <c r="BO55" t="s">
        <v>96</v>
      </c>
      <c r="BP55">
        <v>0</v>
      </c>
      <c r="BQ55" t="s">
        <v>68</v>
      </c>
      <c r="BR55" t="s">
        <v>68</v>
      </c>
      <c r="BS55" t="s">
        <v>68</v>
      </c>
    </row>
    <row r="56" spans="1:71" x14ac:dyDescent="0.35">
      <c r="A56" t="b">
        <f>ISNUMBER(MATCH(ChargentOrders[[#This Row],[Contract__c]],Contract[Id],0))</f>
        <v>1</v>
      </c>
      <c r="B56">
        <f>IFERROR(INDEX(Contract[CB_Subscription__c],MATCH(ChargentOrders[[#This Row],[Contract__c]],Contract[Id],0)),0)</f>
        <v>0</v>
      </c>
      <c r="C56" t="b">
        <f>ISNUMBER(MATCH(ChargentOrders[[#This Row],[Id]],Claude[Id],0))</f>
        <v>1</v>
      </c>
      <c r="D56" t="b">
        <f>AND(ChargentOrders[[#This Row],[_Contract]],ChargentOrders[[#This Row],[CB Subscription]]=0)</f>
        <v>1</v>
      </c>
      <c r="E56" s="38">
        <f>INDEX(Table5[CUENTA],MATCH(ChargentOrders[[#This Row],[Contract__c]],Table5[SM_Contract__c],0))</f>
        <v>46081</v>
      </c>
      <c r="F56" s="38" t="str">
        <f ca="1">INDEX(Table5[ESTADO],MATCH(ChargentOrders[[#This Row],[Contract__c]],Table5[SM_Contract__c],0))</f>
        <v>DEBE 5</v>
      </c>
      <c r="G56" t="s">
        <v>266</v>
      </c>
      <c r="H56" t="s">
        <v>81</v>
      </c>
      <c r="I56" t="s">
        <v>267</v>
      </c>
      <c r="J56" s="1">
        <v>45729.867395833331</v>
      </c>
      <c r="K56">
        <v>11</v>
      </c>
      <c r="L56">
        <v>2029</v>
      </c>
      <c r="M56" t="s">
        <v>1444</v>
      </c>
      <c r="N56">
        <v>11</v>
      </c>
      <c r="O56" t="s">
        <v>1445</v>
      </c>
      <c r="P56" t="s">
        <v>73</v>
      </c>
      <c r="Q56">
        <v>2029</v>
      </c>
      <c r="R56">
        <v>8864</v>
      </c>
      <c r="T56" t="s">
        <v>67</v>
      </c>
      <c r="U56" t="s">
        <v>68</v>
      </c>
      <c r="V56">
        <v>0</v>
      </c>
      <c r="W56" t="s">
        <v>69</v>
      </c>
      <c r="X56" s="5">
        <v>45729</v>
      </c>
      <c r="Y56" t="s">
        <v>74</v>
      </c>
      <c r="Z56" t="s">
        <v>68</v>
      </c>
      <c r="AA56">
        <v>795</v>
      </c>
      <c r="AB56">
        <v>9142</v>
      </c>
      <c r="AC56" t="s">
        <v>264</v>
      </c>
      <c r="AD56" t="s">
        <v>68</v>
      </c>
      <c r="AE56">
        <v>0</v>
      </c>
      <c r="AF56" s="1">
        <v>45729.867673611108</v>
      </c>
      <c r="AG56" s="1">
        <v>45729.867673611108</v>
      </c>
      <c r="AH56">
        <v>1</v>
      </c>
      <c r="AI56">
        <v>1</v>
      </c>
      <c r="AJ56">
        <v>8864</v>
      </c>
      <c r="AK56" t="s">
        <v>265</v>
      </c>
      <c r="AL56" t="s">
        <v>77</v>
      </c>
      <c r="AM56" t="s">
        <v>68</v>
      </c>
      <c r="AN56">
        <v>0</v>
      </c>
      <c r="AO56" s="1"/>
      <c r="AP56">
        <v>1</v>
      </c>
      <c r="AQ56">
        <v>100</v>
      </c>
      <c r="AR56">
        <v>1050</v>
      </c>
      <c r="AS56" t="s">
        <v>75</v>
      </c>
      <c r="AT56" t="s">
        <v>68</v>
      </c>
      <c r="AU56">
        <v>0</v>
      </c>
      <c r="AV56" t="s">
        <v>68</v>
      </c>
      <c r="AW56">
        <v>0</v>
      </c>
      <c r="AX56" s="1"/>
      <c r="AZ56" t="s">
        <v>68</v>
      </c>
      <c r="BA56" t="s">
        <v>68</v>
      </c>
      <c r="BB56" t="s">
        <v>68</v>
      </c>
      <c r="BC56" t="s">
        <v>68</v>
      </c>
      <c r="BD56">
        <v>0</v>
      </c>
      <c r="BE56" s="1"/>
      <c r="BF56" s="1">
        <v>45729.867673611108</v>
      </c>
      <c r="BG56" t="s">
        <v>68</v>
      </c>
      <c r="BH56" t="s">
        <v>68</v>
      </c>
      <c r="BI56" t="s">
        <v>68</v>
      </c>
      <c r="BJ56" t="s">
        <v>68</v>
      </c>
      <c r="BK56" t="s">
        <v>68</v>
      </c>
      <c r="BL56" t="s">
        <v>68</v>
      </c>
      <c r="BM56" t="s">
        <v>68</v>
      </c>
      <c r="BN56" t="s">
        <v>68</v>
      </c>
      <c r="BO56" t="s">
        <v>96</v>
      </c>
      <c r="BP56">
        <v>0</v>
      </c>
      <c r="BQ56" t="s">
        <v>68</v>
      </c>
      <c r="BR56" t="s">
        <v>68</v>
      </c>
      <c r="BS56" t="s">
        <v>68</v>
      </c>
    </row>
    <row r="57" spans="1:71" x14ac:dyDescent="0.35">
      <c r="A57" t="b">
        <f>ISNUMBER(MATCH(ChargentOrders[[#This Row],[Contract__c]],Contract[Id],0))</f>
        <v>1</v>
      </c>
      <c r="B57">
        <f>IFERROR(INDEX(Contract[CB_Subscription__c],MATCH(ChargentOrders[[#This Row],[Contract__c]],Contract[Id],0)),0)</f>
        <v>0</v>
      </c>
      <c r="C57" t="b">
        <f>ISNUMBER(MATCH(ChargentOrders[[#This Row],[Id]],Claude[Id],0))</f>
        <v>1</v>
      </c>
      <c r="D57" t="b">
        <f>AND(ChargentOrders[[#This Row],[_Contract]],ChargentOrders[[#This Row],[CB Subscription]]=0)</f>
        <v>1</v>
      </c>
      <c r="E57" s="38">
        <f>INDEX(Table5[CUENTA],MATCH(ChargentOrders[[#This Row],[Contract__c]],Table5[SM_Contract__c],0))</f>
        <v>46081</v>
      </c>
      <c r="F57" s="38" t="str">
        <f ca="1">INDEX(Table5[ESTADO],MATCH(ChargentOrders[[#This Row],[Contract__c]],Table5[SM_Contract__c],0))</f>
        <v>DEBE 5</v>
      </c>
      <c r="G57" t="s">
        <v>268</v>
      </c>
      <c r="H57" t="s">
        <v>81</v>
      </c>
      <c r="I57" t="s">
        <v>269</v>
      </c>
      <c r="J57" s="1">
        <v>45729.867395833331</v>
      </c>
      <c r="K57">
        <v>11</v>
      </c>
      <c r="L57">
        <v>2029</v>
      </c>
      <c r="M57" t="s">
        <v>1444</v>
      </c>
      <c r="N57">
        <v>11</v>
      </c>
      <c r="O57" t="s">
        <v>1445</v>
      </c>
      <c r="P57" t="s">
        <v>73</v>
      </c>
      <c r="Q57">
        <v>2029</v>
      </c>
      <c r="R57">
        <v>8864</v>
      </c>
      <c r="T57" t="s">
        <v>67</v>
      </c>
      <c r="U57" t="s">
        <v>68</v>
      </c>
      <c r="V57">
        <v>0</v>
      </c>
      <c r="W57" t="s">
        <v>69</v>
      </c>
      <c r="X57" s="5">
        <v>45744</v>
      </c>
      <c r="Y57" t="s">
        <v>74</v>
      </c>
      <c r="Z57" t="s">
        <v>68</v>
      </c>
      <c r="AA57">
        <v>7950</v>
      </c>
      <c r="AB57">
        <v>9142</v>
      </c>
      <c r="AC57" t="s">
        <v>264</v>
      </c>
      <c r="AD57" t="s">
        <v>68</v>
      </c>
      <c r="AE57">
        <v>0</v>
      </c>
      <c r="AF57" s="1">
        <v>45744.43173611111</v>
      </c>
      <c r="AG57" s="1">
        <v>45744.431793981479</v>
      </c>
      <c r="AH57">
        <v>1</v>
      </c>
      <c r="AI57">
        <v>1</v>
      </c>
      <c r="AJ57">
        <v>8864</v>
      </c>
      <c r="AK57" t="s">
        <v>265</v>
      </c>
      <c r="AL57" t="s">
        <v>77</v>
      </c>
      <c r="AM57" t="s">
        <v>68</v>
      </c>
      <c r="AN57">
        <v>0</v>
      </c>
      <c r="AO57" s="1"/>
      <c r="AP57">
        <v>1</v>
      </c>
      <c r="AQ57">
        <v>100</v>
      </c>
      <c r="AR57">
        <v>1050</v>
      </c>
      <c r="AS57" t="s">
        <v>75</v>
      </c>
      <c r="AT57" t="s">
        <v>68</v>
      </c>
      <c r="AU57">
        <v>0</v>
      </c>
      <c r="AV57" t="s">
        <v>68</v>
      </c>
      <c r="AW57">
        <v>0</v>
      </c>
      <c r="AX57" s="1"/>
      <c r="AZ57" t="s">
        <v>68</v>
      </c>
      <c r="BA57" t="s">
        <v>68</v>
      </c>
      <c r="BB57" t="s">
        <v>68</v>
      </c>
      <c r="BC57" t="s">
        <v>68</v>
      </c>
      <c r="BD57">
        <v>0</v>
      </c>
      <c r="BE57" s="1"/>
      <c r="BF57" s="1">
        <v>45744.43173611111</v>
      </c>
      <c r="BG57" t="s">
        <v>68</v>
      </c>
      <c r="BH57" t="s">
        <v>68</v>
      </c>
      <c r="BI57" t="s">
        <v>68</v>
      </c>
      <c r="BJ57" t="s">
        <v>68</v>
      </c>
      <c r="BK57" t="s">
        <v>68</v>
      </c>
      <c r="BL57" t="s">
        <v>68</v>
      </c>
      <c r="BM57" t="s">
        <v>68</v>
      </c>
      <c r="BN57" t="s">
        <v>68</v>
      </c>
      <c r="BO57" t="s">
        <v>96</v>
      </c>
      <c r="BP57">
        <v>0</v>
      </c>
      <c r="BQ57" t="s">
        <v>68</v>
      </c>
      <c r="BR57" t="s">
        <v>68</v>
      </c>
      <c r="BS57" t="s">
        <v>68</v>
      </c>
    </row>
    <row r="58" spans="1:71" x14ac:dyDescent="0.35">
      <c r="A58" t="b">
        <f>ISNUMBER(MATCH(ChargentOrders[[#This Row],[Contract__c]],Contract[Id],0))</f>
        <v>1</v>
      </c>
      <c r="B58">
        <f>IFERROR(INDEX(Contract[CB_Subscription__c],MATCH(ChargentOrders[[#This Row],[Contract__c]],Contract[Id],0)),0)</f>
        <v>0</v>
      </c>
      <c r="C58" t="b">
        <f>ISNUMBER(MATCH(ChargentOrders[[#This Row],[Id]],Claude[Id],0))</f>
        <v>1</v>
      </c>
      <c r="D58" t="b">
        <f>AND(ChargentOrders[[#This Row],[_Contract]],ChargentOrders[[#This Row],[CB Subscription]]=0)</f>
        <v>1</v>
      </c>
      <c r="E58" s="38">
        <f>INDEX(Table5[CUENTA],MATCH(ChargentOrders[[#This Row],[Contract__c]],Table5[SM_Contract__c],0))</f>
        <v>46081</v>
      </c>
      <c r="F58" s="38" t="str">
        <f ca="1">INDEX(Table5[ESTADO],MATCH(ChargentOrders[[#This Row],[Contract__c]],Table5[SM_Contract__c],0))</f>
        <v>DEBE 5</v>
      </c>
      <c r="G58" t="s">
        <v>288</v>
      </c>
      <c r="H58" t="s">
        <v>79</v>
      </c>
      <c r="I58" t="s">
        <v>289</v>
      </c>
      <c r="J58" s="1">
        <v>45744.429594907408</v>
      </c>
      <c r="K58">
        <v>2</v>
      </c>
      <c r="L58">
        <v>2030</v>
      </c>
      <c r="M58" t="s">
        <v>1440</v>
      </c>
      <c r="N58">
        <v>2</v>
      </c>
      <c r="O58" t="s">
        <v>1440</v>
      </c>
      <c r="P58" t="s">
        <v>73</v>
      </c>
      <c r="Q58">
        <v>2030</v>
      </c>
      <c r="R58">
        <v>11596</v>
      </c>
      <c r="T58" t="s">
        <v>67</v>
      </c>
      <c r="U58" t="s">
        <v>68</v>
      </c>
      <c r="V58">
        <v>0</v>
      </c>
      <c r="W58" t="s">
        <v>69</v>
      </c>
      <c r="X58" s="5">
        <v>45750</v>
      </c>
      <c r="Y58" t="s">
        <v>74</v>
      </c>
      <c r="Z58" t="s">
        <v>68</v>
      </c>
      <c r="AA58">
        <v>10400</v>
      </c>
      <c r="AB58">
        <v>1196</v>
      </c>
      <c r="AC58" t="s">
        <v>240</v>
      </c>
      <c r="AD58" t="s">
        <v>68</v>
      </c>
      <c r="AE58">
        <v>0</v>
      </c>
      <c r="AF58" s="1">
        <v>45748.791331018518</v>
      </c>
      <c r="AG58" s="1">
        <v>45748.791331018518</v>
      </c>
      <c r="AH58">
        <v>1</v>
      </c>
      <c r="AI58">
        <v>3</v>
      </c>
      <c r="AJ58">
        <v>11596</v>
      </c>
      <c r="AK58" t="s">
        <v>235</v>
      </c>
      <c r="AL58" t="s">
        <v>71</v>
      </c>
      <c r="AM58" t="s">
        <v>68</v>
      </c>
      <c r="AN58">
        <v>0</v>
      </c>
      <c r="AO58" s="1"/>
      <c r="AP58">
        <v>0</v>
      </c>
      <c r="AQ58">
        <v>100</v>
      </c>
      <c r="AR58">
        <v>1050</v>
      </c>
      <c r="AS58" t="s">
        <v>72</v>
      </c>
      <c r="AT58" t="s">
        <v>68</v>
      </c>
      <c r="AU58">
        <v>1</v>
      </c>
      <c r="AV58" t="s">
        <v>290</v>
      </c>
      <c r="AW58">
        <v>0</v>
      </c>
      <c r="AX58" s="1">
        <v>45702.827997685185</v>
      </c>
      <c r="AY58">
        <v>2500</v>
      </c>
      <c r="AZ58" t="s">
        <v>68</v>
      </c>
      <c r="BA58" t="s">
        <v>65</v>
      </c>
      <c r="BB58" t="s">
        <v>68</v>
      </c>
      <c r="BC58" t="s">
        <v>68</v>
      </c>
      <c r="BD58">
        <v>0</v>
      </c>
      <c r="BE58" s="1">
        <v>45747.834317129629</v>
      </c>
      <c r="BF58" s="1">
        <v>45748.791331018518</v>
      </c>
      <c r="BG58" t="s">
        <v>68</v>
      </c>
      <c r="BH58" t="s">
        <v>68</v>
      </c>
      <c r="BI58" t="s">
        <v>68</v>
      </c>
      <c r="BJ58" t="s">
        <v>68</v>
      </c>
      <c r="BK58" t="s">
        <v>68</v>
      </c>
      <c r="BL58" t="s">
        <v>68</v>
      </c>
      <c r="BM58" t="s">
        <v>68</v>
      </c>
      <c r="BN58" t="s">
        <v>68</v>
      </c>
      <c r="BO58" t="s">
        <v>96</v>
      </c>
      <c r="BP58">
        <v>0</v>
      </c>
      <c r="BQ58" t="s">
        <v>68</v>
      </c>
      <c r="BR58" t="s">
        <v>68</v>
      </c>
      <c r="BS58" t="s">
        <v>68</v>
      </c>
    </row>
    <row r="59" spans="1:71" x14ac:dyDescent="0.35">
      <c r="A59" t="b">
        <f>ISNUMBER(MATCH(ChargentOrders[[#This Row],[Contract__c]],Contract[Id],0))</f>
        <v>1</v>
      </c>
      <c r="B59">
        <f>IFERROR(INDEX(Contract[CB_Subscription__c],MATCH(ChargentOrders[[#This Row],[Contract__c]],Contract[Id],0)),0)</f>
        <v>0</v>
      </c>
      <c r="C59" t="b">
        <f>ISNUMBER(MATCH(ChargentOrders[[#This Row],[Id]],Claude[Id],0))</f>
        <v>1</v>
      </c>
      <c r="D59" t="b">
        <f>AND(ChargentOrders[[#This Row],[_Contract]],ChargentOrders[[#This Row],[CB Subscription]]=0)</f>
        <v>1</v>
      </c>
      <c r="E59" s="38">
        <f>INDEX(Table5[CUENTA],MATCH(ChargentOrders[[#This Row],[Contract__c]],Table5[SM_Contract__c],0))</f>
        <v>46081</v>
      </c>
      <c r="F59" s="38" t="str">
        <f ca="1">INDEX(Table5[ESTADO],MATCH(ChargentOrders[[#This Row],[Contract__c]],Table5[SM_Contract__c],0))</f>
        <v>DEBE 5</v>
      </c>
      <c r="G59" t="s">
        <v>291</v>
      </c>
      <c r="H59" t="s">
        <v>81</v>
      </c>
      <c r="I59" t="s">
        <v>292</v>
      </c>
      <c r="J59" s="1">
        <v>45744.431817129633</v>
      </c>
      <c r="K59">
        <v>11</v>
      </c>
      <c r="L59">
        <v>2029</v>
      </c>
      <c r="M59" t="s">
        <v>1444</v>
      </c>
      <c r="N59">
        <v>11</v>
      </c>
      <c r="O59" t="s">
        <v>1444</v>
      </c>
      <c r="P59" t="s">
        <v>73</v>
      </c>
      <c r="Q59">
        <v>2029</v>
      </c>
      <c r="R59">
        <v>790</v>
      </c>
      <c r="S59">
        <v>30</v>
      </c>
      <c r="T59" t="s">
        <v>67</v>
      </c>
      <c r="U59" t="s">
        <v>68</v>
      </c>
      <c r="V59">
        <v>0</v>
      </c>
      <c r="W59" t="s">
        <v>69</v>
      </c>
      <c r="X59" s="5">
        <v>46233</v>
      </c>
      <c r="Y59" t="s">
        <v>84</v>
      </c>
      <c r="Z59" t="s">
        <v>68</v>
      </c>
      <c r="AA59">
        <v>790</v>
      </c>
      <c r="AB59">
        <v>0</v>
      </c>
      <c r="AC59" t="s">
        <v>264</v>
      </c>
      <c r="AD59" t="s">
        <v>68</v>
      </c>
      <c r="AE59">
        <v>0</v>
      </c>
      <c r="AF59" s="1">
        <v>45987.420555555553</v>
      </c>
      <c r="AG59" s="1">
        <v>45987.420636574076</v>
      </c>
      <c r="AH59">
        <v>5</v>
      </c>
      <c r="AI59">
        <v>14</v>
      </c>
      <c r="AJ59">
        <v>43136</v>
      </c>
      <c r="AK59" t="s">
        <v>265</v>
      </c>
      <c r="AL59" t="s">
        <v>76</v>
      </c>
      <c r="AM59" t="s">
        <v>68</v>
      </c>
      <c r="AN59">
        <v>0</v>
      </c>
      <c r="AO59" s="1"/>
      <c r="AP59">
        <v>15</v>
      </c>
      <c r="AQ59">
        <v>0</v>
      </c>
      <c r="AR59">
        <v>0</v>
      </c>
      <c r="AS59" t="s">
        <v>75</v>
      </c>
      <c r="AT59" t="s">
        <v>68</v>
      </c>
      <c r="AU59">
        <v>0</v>
      </c>
      <c r="AV59" t="s">
        <v>68</v>
      </c>
      <c r="AW59">
        <v>0</v>
      </c>
      <c r="AX59" s="1"/>
      <c r="AZ59" t="s">
        <v>68</v>
      </c>
      <c r="BA59" t="s">
        <v>68</v>
      </c>
      <c r="BB59" t="s">
        <v>68</v>
      </c>
      <c r="BC59" t="s">
        <v>68</v>
      </c>
      <c r="BD59">
        <v>0</v>
      </c>
      <c r="BE59" s="1">
        <v>46202.865520833337</v>
      </c>
      <c r="BF59" s="1">
        <v>46202.865520833337</v>
      </c>
      <c r="BG59" t="s">
        <v>68</v>
      </c>
      <c r="BH59" t="s">
        <v>68</v>
      </c>
      <c r="BI59" t="s">
        <v>68</v>
      </c>
      <c r="BJ59" t="s">
        <v>68</v>
      </c>
      <c r="BK59" t="s">
        <v>68</v>
      </c>
      <c r="BL59" t="s">
        <v>68</v>
      </c>
      <c r="BM59" t="s">
        <v>68</v>
      </c>
      <c r="BN59" t="s">
        <v>68</v>
      </c>
      <c r="BO59" t="s">
        <v>96</v>
      </c>
      <c r="BP59">
        <v>0</v>
      </c>
      <c r="BQ59" t="s">
        <v>68</v>
      </c>
      <c r="BR59" t="s">
        <v>68</v>
      </c>
      <c r="BS59" t="s">
        <v>68</v>
      </c>
    </row>
    <row r="60" spans="1:71" x14ac:dyDescent="0.35">
      <c r="A60" t="b">
        <f>ISNUMBER(MATCH(ChargentOrders[[#This Row],[Contract__c]],Contract[Id],0))</f>
        <v>1</v>
      </c>
      <c r="B60">
        <f>IFERROR(INDEX(Contract[CB_Subscription__c],MATCH(ChargentOrders[[#This Row],[Contract__c]],Contract[Id],0)),0)</f>
        <v>0</v>
      </c>
      <c r="C60" t="b">
        <f>ISNUMBER(MATCH(ChargentOrders[[#This Row],[Id]],Claude[Id],0))</f>
        <v>1</v>
      </c>
      <c r="D60" t="b">
        <f>AND(ChargentOrders[[#This Row],[_Contract]],ChargentOrders[[#This Row],[CB Subscription]]=0)</f>
        <v>1</v>
      </c>
      <c r="E60" s="38">
        <f>INDEX(Table5[CUENTA],MATCH(ChargentOrders[[#This Row],[Contract__c]],Table5[SM_Contract__c],0))</f>
        <v>46081</v>
      </c>
      <c r="F60" s="38" t="str">
        <f ca="1">INDEX(Table5[ESTADO],MATCH(ChargentOrders[[#This Row],[Contract__c]],Table5[SM_Contract__c],0))</f>
        <v>DEBE 5</v>
      </c>
      <c r="G60" t="s">
        <v>293</v>
      </c>
      <c r="H60" t="s">
        <v>80</v>
      </c>
      <c r="I60" t="s">
        <v>294</v>
      </c>
      <c r="J60" s="1">
        <v>45747.649421296293</v>
      </c>
      <c r="K60">
        <v>4</v>
      </c>
      <c r="L60">
        <v>2028</v>
      </c>
      <c r="M60" t="s">
        <v>1440</v>
      </c>
      <c r="N60">
        <v>4</v>
      </c>
      <c r="O60" t="s">
        <v>1441</v>
      </c>
      <c r="P60" t="s">
        <v>73</v>
      </c>
      <c r="Q60">
        <v>2028</v>
      </c>
      <c r="R60">
        <v>0</v>
      </c>
      <c r="T60" t="s">
        <v>67</v>
      </c>
      <c r="U60" t="s">
        <v>68</v>
      </c>
      <c r="V60">
        <v>0</v>
      </c>
      <c r="W60" t="s">
        <v>69</v>
      </c>
      <c r="X60" s="5"/>
      <c r="Y60" t="s">
        <v>68</v>
      </c>
      <c r="Z60" t="s">
        <v>68</v>
      </c>
      <c r="AA60">
        <v>0</v>
      </c>
      <c r="AC60" t="s">
        <v>295</v>
      </c>
      <c r="AD60" t="s">
        <v>68</v>
      </c>
      <c r="AE60">
        <v>0</v>
      </c>
      <c r="AF60" s="1"/>
      <c r="AG60" s="1">
        <v>45747.649444444447</v>
      </c>
      <c r="AH60">
        <v>0</v>
      </c>
      <c r="AI60">
        <v>1</v>
      </c>
      <c r="AJ60">
        <v>0</v>
      </c>
      <c r="AK60" t="s">
        <v>235</v>
      </c>
      <c r="AL60" t="s">
        <v>68</v>
      </c>
      <c r="AM60" t="s">
        <v>68</v>
      </c>
      <c r="AN60">
        <v>0</v>
      </c>
      <c r="AO60" s="1"/>
      <c r="AP60">
        <v>1</v>
      </c>
      <c r="AS60" t="s">
        <v>75</v>
      </c>
      <c r="AT60" t="s">
        <v>68</v>
      </c>
      <c r="AU60">
        <v>0</v>
      </c>
      <c r="AV60" t="s">
        <v>68</v>
      </c>
      <c r="AW60">
        <v>1</v>
      </c>
      <c r="AX60" s="1"/>
      <c r="AZ60" t="s">
        <v>68</v>
      </c>
      <c r="BA60" t="s">
        <v>68</v>
      </c>
      <c r="BB60" t="s">
        <v>68</v>
      </c>
      <c r="BC60" t="s">
        <v>68</v>
      </c>
      <c r="BD60">
        <v>0</v>
      </c>
      <c r="BE60" s="1"/>
      <c r="BF60" s="1">
        <v>45747.649444444447</v>
      </c>
      <c r="BG60" t="s">
        <v>68</v>
      </c>
      <c r="BH60" t="s">
        <v>68</v>
      </c>
      <c r="BI60" t="s">
        <v>68</v>
      </c>
      <c r="BJ60" t="s">
        <v>68</v>
      </c>
      <c r="BK60" t="s">
        <v>68</v>
      </c>
      <c r="BL60" t="s">
        <v>68</v>
      </c>
      <c r="BM60" t="s">
        <v>68</v>
      </c>
      <c r="BN60" t="s">
        <v>68</v>
      </c>
      <c r="BO60" t="s">
        <v>96</v>
      </c>
      <c r="BP60">
        <v>0</v>
      </c>
      <c r="BQ60" t="s">
        <v>68</v>
      </c>
      <c r="BR60" t="s">
        <v>68</v>
      </c>
      <c r="BS60" t="s">
        <v>68</v>
      </c>
    </row>
    <row r="61" spans="1:71" x14ac:dyDescent="0.35">
      <c r="A61" t="b">
        <f>ISNUMBER(MATCH(ChargentOrders[[#This Row],[Contract__c]],Contract[Id],0))</f>
        <v>1</v>
      </c>
      <c r="B61">
        <f>IFERROR(INDEX(Contract[CB_Subscription__c],MATCH(ChargentOrders[[#This Row],[Contract__c]],Contract[Id],0)),0)</f>
        <v>0</v>
      </c>
      <c r="C61" t="b">
        <f>ISNUMBER(MATCH(ChargentOrders[[#This Row],[Id]],Claude[Id],0))</f>
        <v>1</v>
      </c>
      <c r="D61" t="b">
        <f>AND(ChargentOrders[[#This Row],[_Contract]],ChargentOrders[[#This Row],[CB Subscription]]=0)</f>
        <v>1</v>
      </c>
      <c r="E61" s="38">
        <f>INDEX(Table5[CUENTA],MATCH(ChargentOrders[[#This Row],[Contract__c]],Table5[SM_Contract__c],0))</f>
        <v>46081</v>
      </c>
      <c r="F61" s="38" t="str">
        <f ca="1">INDEX(Table5[ESTADO],MATCH(ChargentOrders[[#This Row],[Contract__c]],Table5[SM_Contract__c],0))</f>
        <v>DEBE 5</v>
      </c>
      <c r="G61" t="s">
        <v>296</v>
      </c>
      <c r="H61" t="s">
        <v>101</v>
      </c>
      <c r="I61" t="s">
        <v>297</v>
      </c>
      <c r="J61" s="1">
        <v>45747.738819444443</v>
      </c>
      <c r="K61">
        <v>2</v>
      </c>
      <c r="L61">
        <v>2030</v>
      </c>
      <c r="M61" t="s">
        <v>1440</v>
      </c>
      <c r="N61">
        <v>2</v>
      </c>
      <c r="O61" t="s">
        <v>1441</v>
      </c>
      <c r="P61" t="s">
        <v>73</v>
      </c>
      <c r="Q61">
        <v>2030</v>
      </c>
      <c r="R61">
        <v>0</v>
      </c>
      <c r="T61" t="s">
        <v>67</v>
      </c>
      <c r="U61" t="s">
        <v>68</v>
      </c>
      <c r="V61">
        <v>0</v>
      </c>
      <c r="W61" t="s">
        <v>69</v>
      </c>
      <c r="X61" s="5"/>
      <c r="Y61" t="s">
        <v>68</v>
      </c>
      <c r="Z61" t="s">
        <v>68</v>
      </c>
      <c r="AA61">
        <v>0</v>
      </c>
      <c r="AC61" t="s">
        <v>240</v>
      </c>
      <c r="AD61" t="s">
        <v>68</v>
      </c>
      <c r="AE61">
        <v>0</v>
      </c>
      <c r="AF61" s="1"/>
      <c r="AG61" s="1">
        <v>45747.738842592589</v>
      </c>
      <c r="AH61">
        <v>0</v>
      </c>
      <c r="AI61">
        <v>1</v>
      </c>
      <c r="AJ61">
        <v>0</v>
      </c>
      <c r="AK61" t="s">
        <v>235</v>
      </c>
      <c r="AL61" t="s">
        <v>68</v>
      </c>
      <c r="AM61" t="s">
        <v>68</v>
      </c>
      <c r="AN61">
        <v>0</v>
      </c>
      <c r="AO61" s="1"/>
      <c r="AP61">
        <v>1</v>
      </c>
      <c r="AS61" t="s">
        <v>75</v>
      </c>
      <c r="AT61" t="s">
        <v>68</v>
      </c>
      <c r="AU61">
        <v>0</v>
      </c>
      <c r="AV61" t="s">
        <v>68</v>
      </c>
      <c r="AW61">
        <v>1</v>
      </c>
      <c r="AX61" s="1"/>
      <c r="AZ61" t="s">
        <v>68</v>
      </c>
      <c r="BA61" t="s">
        <v>68</v>
      </c>
      <c r="BB61" t="s">
        <v>68</v>
      </c>
      <c r="BC61" t="s">
        <v>68</v>
      </c>
      <c r="BD61">
        <v>0</v>
      </c>
      <c r="BE61" s="1"/>
      <c r="BF61" s="1">
        <v>45747.738842592589</v>
      </c>
      <c r="BG61" t="s">
        <v>68</v>
      </c>
      <c r="BH61" t="s">
        <v>68</v>
      </c>
      <c r="BI61" t="s">
        <v>68</v>
      </c>
      <c r="BJ61" t="s">
        <v>68</v>
      </c>
      <c r="BK61" t="s">
        <v>68</v>
      </c>
      <c r="BL61" t="s">
        <v>68</v>
      </c>
      <c r="BM61" t="s">
        <v>68</v>
      </c>
      <c r="BN61" t="s">
        <v>68</v>
      </c>
      <c r="BO61" t="s">
        <v>96</v>
      </c>
      <c r="BP61">
        <v>0</v>
      </c>
      <c r="BQ61" t="s">
        <v>68</v>
      </c>
      <c r="BR61" t="s">
        <v>68</v>
      </c>
      <c r="BS61" t="s">
        <v>68</v>
      </c>
    </row>
    <row r="62" spans="1:71" x14ac:dyDescent="0.35">
      <c r="A62" t="b">
        <f>ISNUMBER(MATCH(ChargentOrders[[#This Row],[Contract__c]],Contract[Id],0))</f>
        <v>1</v>
      </c>
      <c r="B62">
        <f>IFERROR(INDEX(Contract[CB_Subscription__c],MATCH(ChargentOrders[[#This Row],[Contract__c]],Contract[Id],0)),0)</f>
        <v>0</v>
      </c>
      <c r="C62" t="b">
        <f>ISNUMBER(MATCH(ChargentOrders[[#This Row],[Id]],Claude[Id],0))</f>
        <v>1</v>
      </c>
      <c r="D62" t="b">
        <f>AND(ChargentOrders[[#This Row],[_Contract]],ChargentOrders[[#This Row],[CB Subscription]]=0)</f>
        <v>1</v>
      </c>
      <c r="E62" s="38">
        <f>INDEX(Table5[CUENTA],MATCH(ChargentOrders[[#This Row],[Contract__c]],Table5[SM_Contract__c],0))</f>
        <v>46081</v>
      </c>
      <c r="F62" s="38" t="str">
        <f ca="1">INDEX(Table5[ESTADO],MATCH(ChargentOrders[[#This Row],[Contract__c]],Table5[SM_Contract__c],0))</f>
        <v>DEBE 5</v>
      </c>
      <c r="G62" t="s">
        <v>301</v>
      </c>
      <c r="H62" t="s">
        <v>79</v>
      </c>
      <c r="I62" t="s">
        <v>302</v>
      </c>
      <c r="J62" s="1">
        <v>45777.42324074074</v>
      </c>
      <c r="K62">
        <v>3</v>
      </c>
      <c r="L62">
        <v>2027</v>
      </c>
      <c r="M62" t="s">
        <v>1432</v>
      </c>
      <c r="N62">
        <v>3</v>
      </c>
      <c r="O62" t="s">
        <v>1433</v>
      </c>
      <c r="P62" t="s">
        <v>73</v>
      </c>
      <c r="Q62">
        <v>2027</v>
      </c>
      <c r="R62">
        <v>11596</v>
      </c>
      <c r="T62" t="s">
        <v>67</v>
      </c>
      <c r="U62" t="s">
        <v>68</v>
      </c>
      <c r="V62">
        <v>0</v>
      </c>
      <c r="W62" t="s">
        <v>69</v>
      </c>
      <c r="X62" s="5">
        <v>45789</v>
      </c>
      <c r="Y62" t="s">
        <v>74</v>
      </c>
      <c r="Z62" t="s">
        <v>68</v>
      </c>
      <c r="AA62">
        <v>10400</v>
      </c>
      <c r="AB62">
        <v>1196</v>
      </c>
      <c r="AC62" t="s">
        <v>165</v>
      </c>
      <c r="AD62" t="s">
        <v>68</v>
      </c>
      <c r="AE62">
        <v>0</v>
      </c>
      <c r="AF62" s="1">
        <v>45789.425891203704</v>
      </c>
      <c r="AG62" s="1">
        <v>45789.425902777781</v>
      </c>
      <c r="AH62">
        <v>1</v>
      </c>
      <c r="AI62">
        <v>6</v>
      </c>
      <c r="AJ62">
        <v>11596</v>
      </c>
      <c r="AK62" t="s">
        <v>179</v>
      </c>
      <c r="AL62" t="s">
        <v>71</v>
      </c>
      <c r="AM62" t="s">
        <v>68</v>
      </c>
      <c r="AN62">
        <v>0</v>
      </c>
      <c r="AO62" s="1"/>
      <c r="AP62">
        <v>0</v>
      </c>
      <c r="AQ62">
        <v>100</v>
      </c>
      <c r="AR62">
        <v>1050</v>
      </c>
      <c r="AS62" t="s">
        <v>72</v>
      </c>
      <c r="AT62" t="s">
        <v>68</v>
      </c>
      <c r="AU62">
        <v>1</v>
      </c>
      <c r="AV62" t="s">
        <v>303</v>
      </c>
      <c r="AW62">
        <v>0</v>
      </c>
      <c r="AX62" s="1">
        <v>45546.777881944443</v>
      </c>
      <c r="AY62">
        <v>2500</v>
      </c>
      <c r="AZ62" t="s">
        <v>68</v>
      </c>
      <c r="BA62" t="s">
        <v>65</v>
      </c>
      <c r="BB62" t="s">
        <v>68</v>
      </c>
      <c r="BC62" t="s">
        <v>68</v>
      </c>
      <c r="BD62">
        <v>0</v>
      </c>
      <c r="BE62" s="1">
        <v>45786.968888888892</v>
      </c>
      <c r="BF62" s="1">
        <v>45789.425891203704</v>
      </c>
      <c r="BG62" t="s">
        <v>68</v>
      </c>
      <c r="BH62" t="s">
        <v>68</v>
      </c>
      <c r="BI62" t="s">
        <v>68</v>
      </c>
      <c r="BJ62" t="s">
        <v>68</v>
      </c>
      <c r="BK62" t="s">
        <v>68</v>
      </c>
      <c r="BL62" t="s">
        <v>68</v>
      </c>
      <c r="BM62" t="s">
        <v>68</v>
      </c>
      <c r="BN62" t="s">
        <v>68</v>
      </c>
      <c r="BO62" t="s">
        <v>96</v>
      </c>
      <c r="BP62">
        <v>0</v>
      </c>
      <c r="BQ62" t="s">
        <v>68</v>
      </c>
      <c r="BR62" t="s">
        <v>68</v>
      </c>
      <c r="BS62" t="s">
        <v>68</v>
      </c>
    </row>
    <row r="63" spans="1:71" x14ac:dyDescent="0.35">
      <c r="A63" t="b">
        <f>ISNUMBER(MATCH(ChargentOrders[[#This Row],[Contract__c]],Contract[Id],0))</f>
        <v>1</v>
      </c>
      <c r="B63">
        <f>IFERROR(INDEX(Contract[CB_Subscription__c],MATCH(ChargentOrders[[#This Row],[Contract__c]],Contract[Id],0)),0)</f>
        <v>0</v>
      </c>
      <c r="C63" t="b">
        <f>ISNUMBER(MATCH(ChargentOrders[[#This Row],[Id]],Claude[Id],0))</f>
        <v>1</v>
      </c>
      <c r="D63" t="b">
        <f>AND(ChargentOrders[[#This Row],[_Contract]],ChargentOrders[[#This Row],[CB Subscription]]=0)</f>
        <v>1</v>
      </c>
      <c r="E63" s="38">
        <f>INDEX(Table5[CUENTA],MATCH(ChargentOrders[[#This Row],[Contract__c]],Table5[SM_Contract__c],0))</f>
        <v>46081</v>
      </c>
      <c r="F63" s="38" t="str">
        <f ca="1">INDEX(Table5[ESTADO],MATCH(ChargentOrders[[#This Row],[Contract__c]],Table5[SM_Contract__c],0))</f>
        <v>DEBE 5</v>
      </c>
      <c r="G63" t="s">
        <v>304</v>
      </c>
      <c r="H63" t="s">
        <v>79</v>
      </c>
      <c r="I63" t="s">
        <v>305</v>
      </c>
      <c r="J63" s="1">
        <v>45777.423784722225</v>
      </c>
      <c r="K63">
        <v>7</v>
      </c>
      <c r="L63">
        <v>2028</v>
      </c>
      <c r="M63" t="s">
        <v>1436</v>
      </c>
      <c r="N63">
        <v>7</v>
      </c>
      <c r="O63" t="s">
        <v>1437</v>
      </c>
      <c r="P63" t="s">
        <v>73</v>
      </c>
      <c r="Q63">
        <v>2028</v>
      </c>
      <c r="R63">
        <v>11150</v>
      </c>
      <c r="T63" t="s">
        <v>67</v>
      </c>
      <c r="U63" t="s">
        <v>68</v>
      </c>
      <c r="V63">
        <v>0</v>
      </c>
      <c r="W63" t="s">
        <v>69</v>
      </c>
      <c r="X63" s="5">
        <v>45779</v>
      </c>
      <c r="Y63" t="s">
        <v>74</v>
      </c>
      <c r="Z63" t="s">
        <v>68</v>
      </c>
      <c r="AA63">
        <v>10000</v>
      </c>
      <c r="AB63">
        <v>1150</v>
      </c>
      <c r="AC63" t="s">
        <v>196</v>
      </c>
      <c r="AD63" t="s">
        <v>68</v>
      </c>
      <c r="AE63">
        <v>0</v>
      </c>
      <c r="AF63" s="1">
        <v>45779.427858796298</v>
      </c>
      <c r="AG63" s="1">
        <v>45779.427870370368</v>
      </c>
      <c r="AH63">
        <v>1</v>
      </c>
      <c r="AI63">
        <v>1</v>
      </c>
      <c r="AJ63">
        <v>1115</v>
      </c>
      <c r="AK63" t="s">
        <v>197</v>
      </c>
      <c r="AL63" t="s">
        <v>71</v>
      </c>
      <c r="AM63" t="s">
        <v>68</v>
      </c>
      <c r="AN63">
        <v>0</v>
      </c>
      <c r="AO63" s="1"/>
      <c r="AP63">
        <v>0</v>
      </c>
      <c r="AQ63">
        <v>100</v>
      </c>
      <c r="AR63">
        <v>1050</v>
      </c>
      <c r="AS63" t="s">
        <v>72</v>
      </c>
      <c r="AT63" t="s">
        <v>68</v>
      </c>
      <c r="AU63">
        <v>1</v>
      </c>
      <c r="AV63" t="s">
        <v>306</v>
      </c>
      <c r="AW63">
        <v>0</v>
      </c>
      <c r="AX63" s="1">
        <v>45589.952337962961</v>
      </c>
      <c r="AY63">
        <v>2500</v>
      </c>
      <c r="AZ63" t="s">
        <v>68</v>
      </c>
      <c r="BA63" t="s">
        <v>65</v>
      </c>
      <c r="BB63" t="s">
        <v>68</v>
      </c>
      <c r="BC63" t="s">
        <v>68</v>
      </c>
      <c r="BD63">
        <v>0</v>
      </c>
      <c r="BE63" s="1"/>
      <c r="BF63" s="1">
        <v>45779.427858796298</v>
      </c>
      <c r="BG63" t="s">
        <v>68</v>
      </c>
      <c r="BH63" t="s">
        <v>68</v>
      </c>
      <c r="BI63" t="s">
        <v>68</v>
      </c>
      <c r="BJ63" t="s">
        <v>68</v>
      </c>
      <c r="BK63" t="s">
        <v>68</v>
      </c>
      <c r="BL63" t="s">
        <v>68</v>
      </c>
      <c r="BM63" t="s">
        <v>68</v>
      </c>
      <c r="BN63" t="s">
        <v>68</v>
      </c>
      <c r="BO63" t="s">
        <v>96</v>
      </c>
      <c r="BP63">
        <v>0</v>
      </c>
      <c r="BQ63" t="s">
        <v>68</v>
      </c>
      <c r="BR63" t="s">
        <v>68</v>
      </c>
      <c r="BS63" t="s">
        <v>68</v>
      </c>
    </row>
    <row r="64" spans="1:71" x14ac:dyDescent="0.35">
      <c r="A64" t="b">
        <f>ISNUMBER(MATCH(ChargentOrders[[#This Row],[Contract__c]],Contract[Id],0))</f>
        <v>1</v>
      </c>
      <c r="B64">
        <f>IFERROR(INDEX(Contract[CB_Subscription__c],MATCH(ChargentOrders[[#This Row],[Contract__c]],Contract[Id],0)),0)</f>
        <v>0</v>
      </c>
      <c r="C64" t="b">
        <f>ISNUMBER(MATCH(ChargentOrders[[#This Row],[Id]],Claude[Id],0))</f>
        <v>1</v>
      </c>
      <c r="D64" t="b">
        <f>AND(ChargentOrders[[#This Row],[_Contract]],ChargentOrders[[#This Row],[CB Subscription]]=0)</f>
        <v>1</v>
      </c>
      <c r="E64" s="38">
        <f>INDEX(Table5[CUENTA],MATCH(ChargentOrders[[#This Row],[Contract__c]],Table5[SM_Contract__c],0))</f>
        <v>46081</v>
      </c>
      <c r="F64" s="38" t="str">
        <f ca="1">INDEX(Table5[ESTADO],MATCH(ChargentOrders[[#This Row],[Contract__c]],Table5[SM_Contract__c],0))</f>
        <v>DEBE 5</v>
      </c>
      <c r="G64" t="s">
        <v>307</v>
      </c>
      <c r="H64" t="s">
        <v>79</v>
      </c>
      <c r="I64" t="s">
        <v>308</v>
      </c>
      <c r="J64" s="1">
        <v>45777.426562499997</v>
      </c>
      <c r="K64">
        <v>7</v>
      </c>
      <c r="L64">
        <v>2029</v>
      </c>
      <c r="M64" t="s">
        <v>1422</v>
      </c>
      <c r="N64">
        <v>7</v>
      </c>
      <c r="O64" t="s">
        <v>1439</v>
      </c>
      <c r="P64" t="s">
        <v>66</v>
      </c>
      <c r="Q64">
        <v>2029</v>
      </c>
      <c r="R64">
        <v>11596</v>
      </c>
      <c r="T64" t="s">
        <v>67</v>
      </c>
      <c r="U64" t="s">
        <v>68</v>
      </c>
      <c r="V64">
        <v>0</v>
      </c>
      <c r="W64" t="s">
        <v>69</v>
      </c>
      <c r="X64" s="5">
        <v>45786</v>
      </c>
      <c r="Y64" t="s">
        <v>74</v>
      </c>
      <c r="Z64" t="s">
        <v>68</v>
      </c>
      <c r="AA64">
        <v>10400</v>
      </c>
      <c r="AB64">
        <v>1196</v>
      </c>
      <c r="AC64" t="s">
        <v>219</v>
      </c>
      <c r="AD64" t="s">
        <v>68</v>
      </c>
      <c r="AE64">
        <v>0</v>
      </c>
      <c r="AF64" s="1">
        <v>45786.427210648151</v>
      </c>
      <c r="AG64" s="1">
        <v>45786.427291666667</v>
      </c>
      <c r="AH64">
        <v>1</v>
      </c>
      <c r="AI64">
        <v>4</v>
      </c>
      <c r="AJ64">
        <v>11596</v>
      </c>
      <c r="AK64" t="s">
        <v>220</v>
      </c>
      <c r="AL64" t="s">
        <v>71</v>
      </c>
      <c r="AM64" t="s">
        <v>68</v>
      </c>
      <c r="AN64">
        <v>0</v>
      </c>
      <c r="AO64" s="1"/>
      <c r="AP64">
        <v>0</v>
      </c>
      <c r="AQ64">
        <v>100</v>
      </c>
      <c r="AR64">
        <v>1050</v>
      </c>
      <c r="AS64" t="s">
        <v>72</v>
      </c>
      <c r="AT64" t="s">
        <v>68</v>
      </c>
      <c r="AU64">
        <v>1</v>
      </c>
      <c r="AV64" t="s">
        <v>309</v>
      </c>
      <c r="AW64">
        <v>0</v>
      </c>
      <c r="AX64" s="1">
        <v>45716.429675925923</v>
      </c>
      <c r="AY64">
        <v>2500</v>
      </c>
      <c r="AZ64" t="s">
        <v>68</v>
      </c>
      <c r="BA64" t="s">
        <v>65</v>
      </c>
      <c r="BB64" t="s">
        <v>68</v>
      </c>
      <c r="BC64" t="s">
        <v>68</v>
      </c>
      <c r="BD64">
        <v>0</v>
      </c>
      <c r="BE64" s="1">
        <v>45785.426261574074</v>
      </c>
      <c r="BF64" s="1">
        <v>45786.427210648151</v>
      </c>
      <c r="BG64" t="s">
        <v>68</v>
      </c>
      <c r="BH64" t="s">
        <v>68</v>
      </c>
      <c r="BI64" t="s">
        <v>68</v>
      </c>
      <c r="BJ64" t="s">
        <v>68</v>
      </c>
      <c r="BK64" t="s">
        <v>68</v>
      </c>
      <c r="BL64" t="s">
        <v>68</v>
      </c>
      <c r="BM64" t="s">
        <v>68</v>
      </c>
      <c r="BN64" t="s">
        <v>68</v>
      </c>
      <c r="BO64" t="s">
        <v>96</v>
      </c>
      <c r="BP64">
        <v>0</v>
      </c>
      <c r="BQ64" t="s">
        <v>68</v>
      </c>
      <c r="BR64" t="s">
        <v>68</v>
      </c>
      <c r="BS64" t="s">
        <v>68</v>
      </c>
    </row>
    <row r="65" spans="1:71" x14ac:dyDescent="0.35">
      <c r="A65" t="b">
        <f>ISNUMBER(MATCH(ChargentOrders[[#This Row],[Contract__c]],Contract[Id],0))</f>
        <v>1</v>
      </c>
      <c r="B65">
        <f>IFERROR(INDEX(Contract[CB_Subscription__c],MATCH(ChargentOrders[[#This Row],[Contract__c]],Contract[Id],0)),0)</f>
        <v>0</v>
      </c>
      <c r="C65" t="b">
        <f>ISNUMBER(MATCH(ChargentOrders[[#This Row],[Id]],Claude[Id],0))</f>
        <v>1</v>
      </c>
      <c r="D65" t="b">
        <f>AND(ChargentOrders[[#This Row],[_Contract]],ChargentOrders[[#This Row],[CB Subscription]]=0)</f>
        <v>1</v>
      </c>
      <c r="E65" s="38">
        <f>INDEX(Table5[CUENTA],MATCH(ChargentOrders[[#This Row],[Contract__c]],Table5[SM_Contract__c],0))</f>
        <v>46081</v>
      </c>
      <c r="F65" s="38" t="str">
        <f ca="1">INDEX(Table5[ESTADO],MATCH(ChargentOrders[[#This Row],[Contract__c]],Table5[SM_Contract__c],0))</f>
        <v>DEBE 5</v>
      </c>
      <c r="G65" t="s">
        <v>310</v>
      </c>
      <c r="H65" t="s">
        <v>79</v>
      </c>
      <c r="I65" t="s">
        <v>311</v>
      </c>
      <c r="J65" s="1">
        <v>45777.426990740743</v>
      </c>
      <c r="K65">
        <v>2</v>
      </c>
      <c r="L65">
        <v>2026</v>
      </c>
      <c r="M65" t="s">
        <v>1407</v>
      </c>
      <c r="N65">
        <v>2</v>
      </c>
      <c r="O65" t="s">
        <v>1442</v>
      </c>
      <c r="P65" t="s">
        <v>73</v>
      </c>
      <c r="Q65">
        <v>2026</v>
      </c>
      <c r="R65">
        <v>11596</v>
      </c>
      <c r="T65" t="s">
        <v>67</v>
      </c>
      <c r="U65" t="s">
        <v>68</v>
      </c>
      <c r="V65">
        <v>0</v>
      </c>
      <c r="W65" t="s">
        <v>69</v>
      </c>
      <c r="X65" s="5">
        <v>45820</v>
      </c>
      <c r="Y65" t="s">
        <v>74</v>
      </c>
      <c r="Z65" t="s">
        <v>68</v>
      </c>
      <c r="AA65">
        <v>10400</v>
      </c>
      <c r="AB65">
        <v>1196</v>
      </c>
      <c r="AC65" t="s">
        <v>252</v>
      </c>
      <c r="AD65" t="s">
        <v>68</v>
      </c>
      <c r="AE65">
        <v>0</v>
      </c>
      <c r="AF65" s="1">
        <v>45820.423437500001</v>
      </c>
      <c r="AG65" s="1">
        <v>45820.423437500001</v>
      </c>
      <c r="AH65">
        <v>1</v>
      </c>
      <c r="AI65">
        <v>27</v>
      </c>
      <c r="AJ65">
        <v>11596</v>
      </c>
      <c r="AK65" t="s">
        <v>253</v>
      </c>
      <c r="AL65" t="s">
        <v>71</v>
      </c>
      <c r="AM65" t="s">
        <v>68</v>
      </c>
      <c r="AN65">
        <v>0</v>
      </c>
      <c r="AO65" s="1"/>
      <c r="AP65">
        <v>0</v>
      </c>
      <c r="AQ65">
        <v>100</v>
      </c>
      <c r="AR65">
        <v>1050</v>
      </c>
      <c r="AS65" t="s">
        <v>72</v>
      </c>
      <c r="AT65" t="s">
        <v>68</v>
      </c>
      <c r="AU65">
        <v>1</v>
      </c>
      <c r="AV65" t="s">
        <v>312</v>
      </c>
      <c r="AW65">
        <v>0</v>
      </c>
      <c r="AX65" s="1">
        <v>45723.426469907405</v>
      </c>
      <c r="AY65">
        <v>2500</v>
      </c>
      <c r="AZ65" t="s">
        <v>68</v>
      </c>
      <c r="BA65" t="s">
        <v>65</v>
      </c>
      <c r="BB65" t="s">
        <v>68</v>
      </c>
      <c r="BC65" t="s">
        <v>68</v>
      </c>
      <c r="BD65">
        <v>0</v>
      </c>
      <c r="BE65" s="1">
        <v>45817.423460648148</v>
      </c>
      <c r="BF65" s="1">
        <v>45820.423437500001</v>
      </c>
      <c r="BG65" t="s">
        <v>68</v>
      </c>
      <c r="BH65" t="s">
        <v>68</v>
      </c>
      <c r="BI65" t="s">
        <v>68</v>
      </c>
      <c r="BJ65" t="s">
        <v>68</v>
      </c>
      <c r="BK65" t="s">
        <v>68</v>
      </c>
      <c r="BL65" t="s">
        <v>68</v>
      </c>
      <c r="BM65" t="s">
        <v>68</v>
      </c>
      <c r="BN65" t="s">
        <v>68</v>
      </c>
      <c r="BO65" t="s">
        <v>96</v>
      </c>
      <c r="BP65">
        <v>0</v>
      </c>
      <c r="BQ65" t="s">
        <v>68</v>
      </c>
      <c r="BR65" t="s">
        <v>68</v>
      </c>
      <c r="BS65" t="s">
        <v>68</v>
      </c>
    </row>
    <row r="66" spans="1:71" x14ac:dyDescent="0.35">
      <c r="A66" t="b">
        <f>ISNUMBER(MATCH(ChargentOrders[[#This Row],[Contract__c]],Contract[Id],0))</f>
        <v>1</v>
      </c>
      <c r="B66">
        <f>IFERROR(INDEX(Contract[CB_Subscription__c],MATCH(ChargentOrders[[#This Row],[Contract__c]],Contract[Id],0)),0)</f>
        <v>0</v>
      </c>
      <c r="C66" t="b">
        <f>ISNUMBER(MATCH(ChargentOrders[[#This Row],[Id]],Claude[Id],0))</f>
        <v>1</v>
      </c>
      <c r="D66" t="b">
        <f>AND(ChargentOrders[[#This Row],[_Contract]],ChargentOrders[[#This Row],[CB Subscription]]=0)</f>
        <v>1</v>
      </c>
      <c r="E66" s="38">
        <f>INDEX(Table5[CUENTA],MATCH(ChargentOrders[[#This Row],[Contract__c]],Table5[SM_Contract__c],0))</f>
        <v>46081</v>
      </c>
      <c r="F66" s="38" t="str">
        <f ca="1">INDEX(Table5[ESTADO],MATCH(ChargentOrders[[#This Row],[Contract__c]],Table5[SM_Contract__c],0))</f>
        <v>DEBE 5</v>
      </c>
      <c r="G66" t="s">
        <v>340</v>
      </c>
      <c r="H66" t="s">
        <v>79</v>
      </c>
      <c r="I66" t="s">
        <v>341</v>
      </c>
      <c r="J66" s="1">
        <v>45807.422743055555</v>
      </c>
      <c r="K66">
        <v>3</v>
      </c>
      <c r="L66">
        <v>2027</v>
      </c>
      <c r="M66" t="s">
        <v>1432</v>
      </c>
      <c r="N66">
        <v>3</v>
      </c>
      <c r="O66" t="s">
        <v>1433</v>
      </c>
      <c r="P66" t="s">
        <v>73</v>
      </c>
      <c r="Q66">
        <v>2027</v>
      </c>
      <c r="R66">
        <v>11596</v>
      </c>
      <c r="T66" t="s">
        <v>67</v>
      </c>
      <c r="U66" t="s">
        <v>68</v>
      </c>
      <c r="V66">
        <v>0</v>
      </c>
      <c r="W66" t="s">
        <v>69</v>
      </c>
      <c r="X66" s="5">
        <v>45821</v>
      </c>
      <c r="Y66" t="s">
        <v>74</v>
      </c>
      <c r="Z66" t="s">
        <v>68</v>
      </c>
      <c r="AA66">
        <v>10400</v>
      </c>
      <c r="AB66">
        <v>1196</v>
      </c>
      <c r="AC66" t="s">
        <v>165</v>
      </c>
      <c r="AD66" t="s">
        <v>68</v>
      </c>
      <c r="AE66">
        <v>0</v>
      </c>
      <c r="AF66" s="1">
        <v>45820.002800925926</v>
      </c>
      <c r="AG66" s="1">
        <v>45820.002800925926</v>
      </c>
      <c r="AH66">
        <v>1</v>
      </c>
      <c r="AI66">
        <v>13</v>
      </c>
      <c r="AJ66">
        <v>11596</v>
      </c>
      <c r="AK66" t="s">
        <v>179</v>
      </c>
      <c r="AL66" t="s">
        <v>71</v>
      </c>
      <c r="AM66" t="s">
        <v>68</v>
      </c>
      <c r="AN66">
        <v>0</v>
      </c>
      <c r="AO66" s="1"/>
      <c r="AP66">
        <v>0</v>
      </c>
      <c r="AQ66">
        <v>100</v>
      </c>
      <c r="AR66">
        <v>1050</v>
      </c>
      <c r="AS66" t="s">
        <v>72</v>
      </c>
      <c r="AT66" t="s">
        <v>68</v>
      </c>
      <c r="AU66">
        <v>1</v>
      </c>
      <c r="AV66" t="s">
        <v>342</v>
      </c>
      <c r="AW66">
        <v>0</v>
      </c>
      <c r="AX66" s="1">
        <v>45807.617395833331</v>
      </c>
      <c r="AY66">
        <v>2500</v>
      </c>
      <c r="AZ66" t="s">
        <v>68</v>
      </c>
      <c r="BA66" t="s">
        <v>65</v>
      </c>
      <c r="BB66" t="s">
        <v>68</v>
      </c>
      <c r="BC66" t="s">
        <v>68</v>
      </c>
      <c r="BD66">
        <v>0</v>
      </c>
      <c r="BE66" s="1">
        <v>45818.834780092591</v>
      </c>
      <c r="BF66" s="1">
        <v>45820.002800925926</v>
      </c>
      <c r="BG66" t="s">
        <v>68</v>
      </c>
      <c r="BH66" t="s">
        <v>68</v>
      </c>
      <c r="BI66" t="s">
        <v>68</v>
      </c>
      <c r="BJ66" t="s">
        <v>68</v>
      </c>
      <c r="BK66" t="s">
        <v>68</v>
      </c>
      <c r="BL66" t="s">
        <v>68</v>
      </c>
      <c r="BM66" t="s">
        <v>68</v>
      </c>
      <c r="BN66" t="s">
        <v>68</v>
      </c>
      <c r="BO66" t="s">
        <v>96</v>
      </c>
      <c r="BP66">
        <v>0</v>
      </c>
      <c r="BQ66" t="s">
        <v>68</v>
      </c>
      <c r="BR66" t="s">
        <v>68</v>
      </c>
      <c r="BS66" t="s">
        <v>68</v>
      </c>
    </row>
    <row r="67" spans="1:71" x14ac:dyDescent="0.35">
      <c r="A67" t="b">
        <f>ISNUMBER(MATCH(ChargentOrders[[#This Row],[Contract__c]],Contract[Id],0))</f>
        <v>1</v>
      </c>
      <c r="B67">
        <f>IFERROR(INDEX(Contract[CB_Subscription__c],MATCH(ChargentOrders[[#This Row],[Contract__c]],Contract[Id],0)),0)</f>
        <v>0</v>
      </c>
      <c r="C67" t="b">
        <f>ISNUMBER(MATCH(ChargentOrders[[#This Row],[Id]],Claude[Id],0))</f>
        <v>1</v>
      </c>
      <c r="D67" t="b">
        <f>AND(ChargentOrders[[#This Row],[_Contract]],ChargentOrders[[#This Row],[CB Subscription]]=0)</f>
        <v>1</v>
      </c>
      <c r="E67" s="38">
        <f>INDEX(Table5[CUENTA],MATCH(ChargentOrders[[#This Row],[Contract__c]],Table5[SM_Contract__c],0))</f>
        <v>46081</v>
      </c>
      <c r="F67" s="38" t="str">
        <f ca="1">INDEX(Table5[ESTADO],MATCH(ChargentOrders[[#This Row],[Contract__c]],Table5[SM_Contract__c],0))</f>
        <v>DEBE 5</v>
      </c>
      <c r="G67" t="s">
        <v>343</v>
      </c>
      <c r="H67" t="s">
        <v>79</v>
      </c>
      <c r="I67" t="s">
        <v>344</v>
      </c>
      <c r="J67" s="1">
        <v>45807.423229166663</v>
      </c>
      <c r="K67">
        <v>8</v>
      </c>
      <c r="L67">
        <v>2028</v>
      </c>
      <c r="M67" t="s">
        <v>1438</v>
      </c>
      <c r="N67">
        <v>8</v>
      </c>
      <c r="O67" t="s">
        <v>1438</v>
      </c>
      <c r="P67" t="s">
        <v>73</v>
      </c>
      <c r="Q67">
        <v>2028</v>
      </c>
      <c r="R67">
        <v>1115</v>
      </c>
      <c r="T67" t="s">
        <v>67</v>
      </c>
      <c r="U67" t="s">
        <v>68</v>
      </c>
      <c r="V67">
        <v>0</v>
      </c>
      <c r="W67" t="s">
        <v>69</v>
      </c>
      <c r="X67" s="5">
        <v>45828</v>
      </c>
      <c r="Y67" t="s">
        <v>74</v>
      </c>
      <c r="Z67" t="s">
        <v>68</v>
      </c>
      <c r="AA67">
        <v>10000</v>
      </c>
      <c r="AB67">
        <v>115</v>
      </c>
      <c r="AC67" t="s">
        <v>202</v>
      </c>
      <c r="AD67" t="s">
        <v>68</v>
      </c>
      <c r="AE67">
        <v>0</v>
      </c>
      <c r="AF67" s="1">
        <v>45827.938159722224</v>
      </c>
      <c r="AG67" s="1">
        <v>45827.938159722224</v>
      </c>
      <c r="AH67">
        <v>1</v>
      </c>
      <c r="AI67">
        <v>9</v>
      </c>
      <c r="AJ67">
        <v>1115</v>
      </c>
      <c r="AK67" t="s">
        <v>197</v>
      </c>
      <c r="AL67" t="s">
        <v>71</v>
      </c>
      <c r="AM67" t="s">
        <v>68</v>
      </c>
      <c r="AN67">
        <v>0</v>
      </c>
      <c r="AO67" s="1"/>
      <c r="AP67">
        <v>0</v>
      </c>
      <c r="AQ67">
        <v>100</v>
      </c>
      <c r="AR67">
        <v>1050</v>
      </c>
      <c r="AS67" t="s">
        <v>72</v>
      </c>
      <c r="AT67" t="s">
        <v>68</v>
      </c>
      <c r="AU67">
        <v>1</v>
      </c>
      <c r="AV67" t="s">
        <v>345</v>
      </c>
      <c r="AW67">
        <v>0</v>
      </c>
      <c r="AX67" s="1">
        <v>45589.952337962961</v>
      </c>
      <c r="AY67">
        <v>2500</v>
      </c>
      <c r="AZ67" t="s">
        <v>68</v>
      </c>
      <c r="BA67" t="s">
        <v>65</v>
      </c>
      <c r="BB67" t="s">
        <v>68</v>
      </c>
      <c r="BC67" t="s">
        <v>68</v>
      </c>
      <c r="BD67">
        <v>0</v>
      </c>
      <c r="BE67" s="1">
        <v>45827.425717592596</v>
      </c>
      <c r="BF67" s="1">
        <v>45827.938159722224</v>
      </c>
      <c r="BG67" t="s">
        <v>68</v>
      </c>
      <c r="BH67" t="s">
        <v>68</v>
      </c>
      <c r="BI67" t="s">
        <v>68</v>
      </c>
      <c r="BJ67" t="s">
        <v>68</v>
      </c>
      <c r="BK67" t="s">
        <v>68</v>
      </c>
      <c r="BL67" t="s">
        <v>68</v>
      </c>
      <c r="BM67" t="s">
        <v>68</v>
      </c>
      <c r="BN67" t="s">
        <v>68</v>
      </c>
      <c r="BO67" t="s">
        <v>96</v>
      </c>
      <c r="BP67">
        <v>0</v>
      </c>
      <c r="BQ67" t="s">
        <v>68</v>
      </c>
      <c r="BR67" t="s">
        <v>68</v>
      </c>
      <c r="BS67" t="s">
        <v>68</v>
      </c>
    </row>
    <row r="68" spans="1:71" x14ac:dyDescent="0.35">
      <c r="A68" t="b">
        <f>ISNUMBER(MATCH(ChargentOrders[[#This Row],[Contract__c]],Contract[Id],0))</f>
        <v>1</v>
      </c>
      <c r="B68">
        <f>IFERROR(INDEX(Contract[CB_Subscription__c],MATCH(ChargentOrders[[#This Row],[Contract__c]],Contract[Id],0)),0)</f>
        <v>0</v>
      </c>
      <c r="C68" t="b">
        <f>ISNUMBER(MATCH(ChargentOrders[[#This Row],[Id]],Claude[Id],0))</f>
        <v>1</v>
      </c>
      <c r="D68" t="b">
        <f>AND(ChargentOrders[[#This Row],[_Contract]],ChargentOrders[[#This Row],[CB Subscription]]=0)</f>
        <v>1</v>
      </c>
      <c r="E68" s="38">
        <f>INDEX(Table5[CUENTA],MATCH(ChargentOrders[[#This Row],[Contract__c]],Table5[SM_Contract__c],0))</f>
        <v>46081</v>
      </c>
      <c r="F68" s="38" t="str">
        <f ca="1">INDEX(Table5[ESTADO],MATCH(ChargentOrders[[#This Row],[Contract__c]],Table5[SM_Contract__c],0))</f>
        <v>DEBE 5</v>
      </c>
      <c r="G68" t="s">
        <v>347</v>
      </c>
      <c r="H68" t="s">
        <v>79</v>
      </c>
      <c r="I68" t="s">
        <v>348</v>
      </c>
      <c r="J68" s="1">
        <v>45807.42633101852</v>
      </c>
      <c r="K68">
        <v>2</v>
      </c>
      <c r="L68">
        <v>2026</v>
      </c>
      <c r="M68" t="s">
        <v>1407</v>
      </c>
      <c r="N68">
        <v>2</v>
      </c>
      <c r="O68" t="s">
        <v>1442</v>
      </c>
      <c r="P68" t="s">
        <v>73</v>
      </c>
      <c r="Q68">
        <v>2026</v>
      </c>
      <c r="R68">
        <v>8809</v>
      </c>
      <c r="T68" t="s">
        <v>67</v>
      </c>
      <c r="U68" t="s">
        <v>68</v>
      </c>
      <c r="V68">
        <v>0</v>
      </c>
      <c r="W68" t="s">
        <v>69</v>
      </c>
      <c r="X68" s="5">
        <v>45877</v>
      </c>
      <c r="Y68" t="s">
        <v>74</v>
      </c>
      <c r="Z68" t="s">
        <v>68</v>
      </c>
      <c r="AA68">
        <v>7900</v>
      </c>
      <c r="AB68">
        <v>909</v>
      </c>
      <c r="AC68" t="s">
        <v>252</v>
      </c>
      <c r="AD68" t="s">
        <v>68</v>
      </c>
      <c r="AE68">
        <v>0</v>
      </c>
      <c r="AF68" s="1">
        <v>45877.419490740744</v>
      </c>
      <c r="AG68" s="1">
        <v>45877.419571759259</v>
      </c>
      <c r="AH68">
        <v>1</v>
      </c>
      <c r="AI68">
        <v>41</v>
      </c>
      <c r="AJ68">
        <v>8809</v>
      </c>
      <c r="AK68" t="s">
        <v>253</v>
      </c>
      <c r="AL68" t="s">
        <v>71</v>
      </c>
      <c r="AM68" t="s">
        <v>68</v>
      </c>
      <c r="AN68">
        <v>0</v>
      </c>
      <c r="AO68" s="1"/>
      <c r="AP68">
        <v>0</v>
      </c>
      <c r="AQ68">
        <v>100</v>
      </c>
      <c r="AR68">
        <v>1050</v>
      </c>
      <c r="AS68" t="s">
        <v>72</v>
      </c>
      <c r="AT68" t="s">
        <v>68</v>
      </c>
      <c r="AU68">
        <v>0</v>
      </c>
      <c r="AV68" t="s">
        <v>349</v>
      </c>
      <c r="AW68">
        <v>0</v>
      </c>
      <c r="AX68" s="1">
        <v>45854.628576388888</v>
      </c>
      <c r="AY68">
        <v>0</v>
      </c>
      <c r="AZ68" t="s">
        <v>68</v>
      </c>
      <c r="BA68" t="s">
        <v>65</v>
      </c>
      <c r="BB68" t="s">
        <v>68</v>
      </c>
      <c r="BC68" t="s">
        <v>68</v>
      </c>
      <c r="BD68">
        <v>0</v>
      </c>
      <c r="BE68" s="1">
        <v>45876.419432870367</v>
      </c>
      <c r="BF68" s="1">
        <v>45877.419490740744</v>
      </c>
      <c r="BG68" t="s">
        <v>68</v>
      </c>
      <c r="BH68" t="s">
        <v>68</v>
      </c>
      <c r="BI68" t="s">
        <v>68</v>
      </c>
      <c r="BJ68" t="s">
        <v>68</v>
      </c>
      <c r="BK68" t="s">
        <v>68</v>
      </c>
      <c r="BL68" t="s">
        <v>68</v>
      </c>
      <c r="BM68" t="s">
        <v>68</v>
      </c>
      <c r="BN68" t="s">
        <v>68</v>
      </c>
      <c r="BO68" t="s">
        <v>96</v>
      </c>
      <c r="BP68">
        <v>0</v>
      </c>
      <c r="BQ68" t="s">
        <v>68</v>
      </c>
      <c r="BR68" t="s">
        <v>68</v>
      </c>
      <c r="BS68" t="s">
        <v>279</v>
      </c>
    </row>
    <row r="69" spans="1:71" x14ac:dyDescent="0.35">
      <c r="A69" t="b">
        <f>ISNUMBER(MATCH(ChargentOrders[[#This Row],[Contract__c]],Contract[Id],0))</f>
        <v>1</v>
      </c>
      <c r="B69">
        <f>IFERROR(INDEX(Contract[CB_Subscription__c],MATCH(ChargentOrders[[#This Row],[Contract__c]],Contract[Id],0)),0)</f>
        <v>0</v>
      </c>
      <c r="C69" t="b">
        <f>ISNUMBER(MATCH(ChargentOrders[[#This Row],[Id]],Claude[Id],0))</f>
        <v>1</v>
      </c>
      <c r="D69" t="b">
        <f>AND(ChargentOrders[[#This Row],[_Contract]],ChargentOrders[[#This Row],[CB Subscription]]=0)</f>
        <v>1</v>
      </c>
      <c r="E69" s="38">
        <f>INDEX(Table5[CUENTA],MATCH(ChargentOrders[[#This Row],[Contract__c]],Table5[SM_Contract__c],0))</f>
        <v>46081</v>
      </c>
      <c r="F69" s="38" t="str">
        <f ca="1">INDEX(Table5[ESTADO],MATCH(ChargentOrders[[#This Row],[Contract__c]],Table5[SM_Contract__c],0))</f>
        <v>DEBE 5</v>
      </c>
      <c r="G69" t="s">
        <v>350</v>
      </c>
      <c r="H69" t="s">
        <v>81</v>
      </c>
      <c r="I69" t="s">
        <v>351</v>
      </c>
      <c r="J69" s="1">
        <v>45807.428078703706</v>
      </c>
      <c r="K69">
        <v>11</v>
      </c>
      <c r="L69">
        <v>2029</v>
      </c>
      <c r="M69" t="s">
        <v>1444</v>
      </c>
      <c r="N69">
        <v>11</v>
      </c>
      <c r="O69" t="s">
        <v>1445</v>
      </c>
      <c r="P69" t="s">
        <v>73</v>
      </c>
      <c r="Q69">
        <v>2029</v>
      </c>
      <c r="R69">
        <v>11596</v>
      </c>
      <c r="T69" t="s">
        <v>67</v>
      </c>
      <c r="U69" t="s">
        <v>68</v>
      </c>
      <c r="V69">
        <v>0</v>
      </c>
      <c r="W69" t="s">
        <v>69</v>
      </c>
      <c r="X69" s="5">
        <v>45821</v>
      </c>
      <c r="Y69" t="s">
        <v>74</v>
      </c>
      <c r="Z69" t="s">
        <v>68</v>
      </c>
      <c r="AA69">
        <v>10400</v>
      </c>
      <c r="AB69">
        <v>1196</v>
      </c>
      <c r="AC69" t="s">
        <v>264</v>
      </c>
      <c r="AD69" t="s">
        <v>68</v>
      </c>
      <c r="AE69">
        <v>0</v>
      </c>
      <c r="AF69" s="1">
        <v>45820.877187500002</v>
      </c>
      <c r="AG69" s="1">
        <v>45820.877187500002</v>
      </c>
      <c r="AH69">
        <v>1</v>
      </c>
      <c r="AI69">
        <v>6</v>
      </c>
      <c r="AJ69">
        <v>11596</v>
      </c>
      <c r="AK69" t="s">
        <v>265</v>
      </c>
      <c r="AL69" t="s">
        <v>71</v>
      </c>
      <c r="AM69" t="s">
        <v>68</v>
      </c>
      <c r="AN69">
        <v>0</v>
      </c>
      <c r="AO69" s="1"/>
      <c r="AP69">
        <v>0</v>
      </c>
      <c r="AQ69">
        <v>100</v>
      </c>
      <c r="AR69">
        <v>1050</v>
      </c>
      <c r="AS69" t="s">
        <v>72</v>
      </c>
      <c r="AT69" t="s">
        <v>68</v>
      </c>
      <c r="AU69">
        <v>1</v>
      </c>
      <c r="AV69" t="s">
        <v>352</v>
      </c>
      <c r="AW69">
        <v>0</v>
      </c>
      <c r="AX69" s="1">
        <v>45744.431817129633</v>
      </c>
      <c r="AY69">
        <v>2500</v>
      </c>
      <c r="AZ69" t="s">
        <v>68</v>
      </c>
      <c r="BA69" t="s">
        <v>65</v>
      </c>
      <c r="BB69" t="s">
        <v>68</v>
      </c>
      <c r="BC69" t="s">
        <v>68</v>
      </c>
      <c r="BD69">
        <v>0</v>
      </c>
      <c r="BE69" s="1">
        <v>45819.972256944442</v>
      </c>
      <c r="BF69" s="1">
        <v>45820.877187500002</v>
      </c>
      <c r="BG69" t="s">
        <v>68</v>
      </c>
      <c r="BH69" t="s">
        <v>68</v>
      </c>
      <c r="BI69" t="s">
        <v>68</v>
      </c>
      <c r="BJ69" t="s">
        <v>68</v>
      </c>
      <c r="BK69" t="s">
        <v>68</v>
      </c>
      <c r="BL69" t="s">
        <v>68</v>
      </c>
      <c r="BM69" t="s">
        <v>68</v>
      </c>
      <c r="BN69" t="s">
        <v>68</v>
      </c>
      <c r="BO69" t="s">
        <v>96</v>
      </c>
      <c r="BP69">
        <v>0</v>
      </c>
      <c r="BQ69" t="s">
        <v>68</v>
      </c>
      <c r="BR69" t="s">
        <v>68</v>
      </c>
      <c r="BS69" t="s">
        <v>68</v>
      </c>
    </row>
    <row r="70" spans="1:71" x14ac:dyDescent="0.35">
      <c r="A70" t="b">
        <f>ISNUMBER(MATCH(ChargentOrders[[#This Row],[Contract__c]],Contract[Id],0))</f>
        <v>1</v>
      </c>
      <c r="B70">
        <f>IFERROR(INDEX(Contract[CB_Subscription__c],MATCH(ChargentOrders[[#This Row],[Contract__c]],Contract[Id],0)),0)</f>
        <v>0</v>
      </c>
      <c r="C70" t="b">
        <f>ISNUMBER(MATCH(ChargentOrders[[#This Row],[Id]],Claude[Id],0))</f>
        <v>1</v>
      </c>
      <c r="D70" t="b">
        <f>AND(ChargentOrders[[#This Row],[_Contract]],ChargentOrders[[#This Row],[CB Subscription]]=0)</f>
        <v>1</v>
      </c>
      <c r="E70" s="38">
        <f>INDEX(Table5[CUENTA],MATCH(ChargentOrders[[#This Row],[Contract__c]],Table5[SM_Contract__c],0))</f>
        <v>46081</v>
      </c>
      <c r="F70" s="38" t="str">
        <f ca="1">INDEX(Table5[ESTADO],MATCH(ChargentOrders[[#This Row],[Contract__c]],Table5[SM_Contract__c],0))</f>
        <v>DEBE 5</v>
      </c>
      <c r="G70" t="s">
        <v>361</v>
      </c>
      <c r="H70" t="s">
        <v>101</v>
      </c>
      <c r="I70" t="s">
        <v>362</v>
      </c>
      <c r="J70" s="1">
        <v>45827.933993055558</v>
      </c>
      <c r="K70">
        <v>8</v>
      </c>
      <c r="L70">
        <v>2028</v>
      </c>
      <c r="M70" t="s">
        <v>1438</v>
      </c>
      <c r="N70">
        <v>8</v>
      </c>
      <c r="O70" t="s">
        <v>1449</v>
      </c>
      <c r="P70" t="s">
        <v>73</v>
      </c>
      <c r="Q70">
        <v>2028</v>
      </c>
      <c r="R70">
        <v>0</v>
      </c>
      <c r="T70" t="s">
        <v>67</v>
      </c>
      <c r="U70" t="s">
        <v>68</v>
      </c>
      <c r="V70">
        <v>0</v>
      </c>
      <c r="W70" t="s">
        <v>69</v>
      </c>
      <c r="X70" s="5"/>
      <c r="Y70" t="s">
        <v>68</v>
      </c>
      <c r="Z70" t="s">
        <v>68</v>
      </c>
      <c r="AA70">
        <v>0</v>
      </c>
      <c r="AC70" t="s">
        <v>202</v>
      </c>
      <c r="AD70" t="s">
        <v>68</v>
      </c>
      <c r="AE70">
        <v>0</v>
      </c>
      <c r="AF70" s="1"/>
      <c r="AG70" s="1">
        <v>45827.934016203704</v>
      </c>
      <c r="AH70">
        <v>0</v>
      </c>
      <c r="AI70">
        <v>1</v>
      </c>
      <c r="AJ70">
        <v>0</v>
      </c>
      <c r="AK70" t="s">
        <v>197</v>
      </c>
      <c r="AL70" t="s">
        <v>68</v>
      </c>
      <c r="AM70" t="s">
        <v>68</v>
      </c>
      <c r="AN70">
        <v>0</v>
      </c>
      <c r="AO70" s="1"/>
      <c r="AP70">
        <v>1</v>
      </c>
      <c r="AS70" t="s">
        <v>75</v>
      </c>
      <c r="AT70" t="s">
        <v>68</v>
      </c>
      <c r="AU70">
        <v>0</v>
      </c>
      <c r="AV70" t="s">
        <v>68</v>
      </c>
      <c r="AW70">
        <v>1</v>
      </c>
      <c r="AX70" s="1"/>
      <c r="AZ70" t="s">
        <v>68</v>
      </c>
      <c r="BA70" t="s">
        <v>68</v>
      </c>
      <c r="BB70" t="s">
        <v>68</v>
      </c>
      <c r="BC70" t="s">
        <v>68</v>
      </c>
      <c r="BD70">
        <v>0</v>
      </c>
      <c r="BE70" s="1"/>
      <c r="BF70" s="1">
        <v>45827.934016203704</v>
      </c>
      <c r="BG70" t="s">
        <v>68</v>
      </c>
      <c r="BH70" t="s">
        <v>68</v>
      </c>
      <c r="BI70" t="s">
        <v>68</v>
      </c>
      <c r="BJ70" t="s">
        <v>68</v>
      </c>
      <c r="BK70" t="s">
        <v>68</v>
      </c>
      <c r="BL70" t="s">
        <v>68</v>
      </c>
      <c r="BM70" t="s">
        <v>68</v>
      </c>
      <c r="BN70" t="s">
        <v>68</v>
      </c>
      <c r="BO70" t="s">
        <v>96</v>
      </c>
      <c r="BP70">
        <v>0</v>
      </c>
      <c r="BQ70" t="s">
        <v>68</v>
      </c>
      <c r="BR70" t="s">
        <v>68</v>
      </c>
      <c r="BS70" t="s">
        <v>68</v>
      </c>
    </row>
    <row r="71" spans="1:71" x14ac:dyDescent="0.35">
      <c r="A71" t="b">
        <f>ISNUMBER(MATCH(ChargentOrders[[#This Row],[Contract__c]],Contract[Id],0))</f>
        <v>1</v>
      </c>
      <c r="B71">
        <f>IFERROR(INDEX(Contract[CB_Subscription__c],MATCH(ChargentOrders[[#This Row],[Contract__c]],Contract[Id],0)),0)</f>
        <v>0</v>
      </c>
      <c r="C71" t="b">
        <f>ISNUMBER(MATCH(ChargentOrders[[#This Row],[Id]],Claude[Id],0))</f>
        <v>1</v>
      </c>
      <c r="D71" t="b">
        <f>AND(ChargentOrders[[#This Row],[_Contract]],ChargentOrders[[#This Row],[CB Subscription]]=0)</f>
        <v>1</v>
      </c>
      <c r="E71" s="38">
        <f>INDEX(Table5[CUENTA],MATCH(ChargentOrders[[#This Row],[Contract__c]],Table5[SM_Contract__c],0))</f>
        <v>46081</v>
      </c>
      <c r="F71" s="38" t="str">
        <f ca="1">INDEX(Table5[ESTADO],MATCH(ChargentOrders[[#This Row],[Contract__c]],Table5[SM_Contract__c],0))</f>
        <v>DEBE 5</v>
      </c>
      <c r="G71" t="s">
        <v>363</v>
      </c>
      <c r="H71" t="s">
        <v>79</v>
      </c>
      <c r="I71" t="s">
        <v>364</v>
      </c>
      <c r="J71" s="1">
        <v>45835.886493055557</v>
      </c>
      <c r="K71">
        <v>2</v>
      </c>
      <c r="L71">
        <v>2030</v>
      </c>
      <c r="M71" t="s">
        <v>1440</v>
      </c>
      <c r="N71">
        <v>2</v>
      </c>
      <c r="O71" t="s">
        <v>1440</v>
      </c>
      <c r="P71" t="s">
        <v>73</v>
      </c>
      <c r="Q71">
        <v>2030</v>
      </c>
      <c r="R71">
        <v>11596</v>
      </c>
      <c r="T71" t="s">
        <v>67</v>
      </c>
      <c r="U71" t="s">
        <v>68</v>
      </c>
      <c r="V71">
        <v>0</v>
      </c>
      <c r="W71" t="s">
        <v>69</v>
      </c>
      <c r="X71" s="5">
        <v>45841</v>
      </c>
      <c r="Y71" t="s">
        <v>74</v>
      </c>
      <c r="Z71" t="s">
        <v>68</v>
      </c>
      <c r="AA71">
        <v>10400</v>
      </c>
      <c r="AB71">
        <v>1196</v>
      </c>
      <c r="AC71" t="s">
        <v>240</v>
      </c>
      <c r="AD71" t="s">
        <v>68</v>
      </c>
      <c r="AE71">
        <v>0</v>
      </c>
      <c r="AF71" s="1">
        <v>45841.421423611115</v>
      </c>
      <c r="AG71" s="1">
        <v>45841.421435185184</v>
      </c>
      <c r="AH71">
        <v>1</v>
      </c>
      <c r="AI71">
        <v>2</v>
      </c>
      <c r="AJ71">
        <v>11596</v>
      </c>
      <c r="AK71" t="s">
        <v>235</v>
      </c>
      <c r="AL71" t="s">
        <v>71</v>
      </c>
      <c r="AM71" t="s">
        <v>68</v>
      </c>
      <c r="AN71">
        <v>0</v>
      </c>
      <c r="AO71" s="1"/>
      <c r="AP71">
        <v>0</v>
      </c>
      <c r="AQ71">
        <v>100</v>
      </c>
      <c r="AR71">
        <v>1050</v>
      </c>
      <c r="AS71" t="s">
        <v>72</v>
      </c>
      <c r="AT71" t="s">
        <v>68</v>
      </c>
      <c r="AU71">
        <v>1</v>
      </c>
      <c r="AV71" t="s">
        <v>365</v>
      </c>
      <c r="AW71">
        <v>0</v>
      </c>
      <c r="AX71" s="1">
        <v>45702.827997685185</v>
      </c>
      <c r="AY71">
        <v>2500</v>
      </c>
      <c r="AZ71" t="s">
        <v>68</v>
      </c>
      <c r="BA71" t="s">
        <v>65</v>
      </c>
      <c r="BB71" t="s">
        <v>68</v>
      </c>
      <c r="BC71" t="s">
        <v>68</v>
      </c>
      <c r="BD71">
        <v>0</v>
      </c>
      <c r="BE71" s="1">
        <v>45838.421215277776</v>
      </c>
      <c r="BF71" s="1">
        <v>45841.421423611115</v>
      </c>
      <c r="BG71" t="s">
        <v>68</v>
      </c>
      <c r="BH71" t="s">
        <v>68</v>
      </c>
      <c r="BI71" t="s">
        <v>68</v>
      </c>
      <c r="BJ71" t="s">
        <v>68</v>
      </c>
      <c r="BK71" t="s">
        <v>68</v>
      </c>
      <c r="BL71" t="s">
        <v>68</v>
      </c>
      <c r="BM71" t="s">
        <v>68</v>
      </c>
      <c r="BN71" t="s">
        <v>68</v>
      </c>
      <c r="BO71" t="s">
        <v>96</v>
      </c>
      <c r="BP71">
        <v>0</v>
      </c>
      <c r="BQ71" t="s">
        <v>68</v>
      </c>
      <c r="BR71" t="s">
        <v>68</v>
      </c>
      <c r="BS71" t="s">
        <v>68</v>
      </c>
    </row>
    <row r="72" spans="1:71" x14ac:dyDescent="0.35">
      <c r="A72" t="b">
        <f>ISNUMBER(MATCH(ChargentOrders[[#This Row],[Contract__c]],Contract[Id],0))</f>
        <v>1</v>
      </c>
      <c r="B72">
        <f>IFERROR(INDEX(Contract[CB_Subscription__c],MATCH(ChargentOrders[[#This Row],[Contract__c]],Contract[Id],0)),0)</f>
        <v>0</v>
      </c>
      <c r="C72" t="b">
        <f>ISNUMBER(MATCH(ChargentOrders[[#This Row],[Id]],Claude[Id],0))</f>
        <v>1</v>
      </c>
      <c r="D72" t="b">
        <f>AND(ChargentOrders[[#This Row],[_Contract]],ChargentOrders[[#This Row],[CB Subscription]]=0)</f>
        <v>1</v>
      </c>
      <c r="E72" s="38">
        <f>INDEX(Table5[CUENTA],MATCH(ChargentOrders[[#This Row],[Contract__c]],Table5[SM_Contract__c],0))</f>
        <v>46081</v>
      </c>
      <c r="F72" s="38" t="str">
        <f ca="1">INDEX(Table5[ESTADO],MATCH(ChargentOrders[[#This Row],[Contract__c]],Table5[SM_Contract__c],0))</f>
        <v>DEBE 5</v>
      </c>
      <c r="G72" t="s">
        <v>366</v>
      </c>
      <c r="H72" t="s">
        <v>79</v>
      </c>
      <c r="I72" t="s">
        <v>367</v>
      </c>
      <c r="J72" s="1">
        <v>45849.623159722221</v>
      </c>
      <c r="K72">
        <v>7</v>
      </c>
      <c r="L72">
        <v>2027</v>
      </c>
      <c r="M72" t="s">
        <v>1450</v>
      </c>
      <c r="N72">
        <v>7</v>
      </c>
      <c r="O72" t="s">
        <v>68</v>
      </c>
      <c r="P72" t="s">
        <v>66</v>
      </c>
      <c r="Q72">
        <v>2027</v>
      </c>
      <c r="R72">
        <v>0</v>
      </c>
      <c r="T72" t="s">
        <v>107</v>
      </c>
      <c r="U72" t="s">
        <v>68</v>
      </c>
      <c r="V72">
        <v>0</v>
      </c>
      <c r="W72" t="s">
        <v>69</v>
      </c>
      <c r="X72" s="5"/>
      <c r="Y72" t="s">
        <v>68</v>
      </c>
      <c r="Z72" t="s">
        <v>68</v>
      </c>
      <c r="AA72">
        <v>0</v>
      </c>
      <c r="AC72" t="s">
        <v>368</v>
      </c>
      <c r="AD72" t="s">
        <v>68</v>
      </c>
      <c r="AE72">
        <v>0</v>
      </c>
      <c r="AF72" s="1"/>
      <c r="AG72" s="1">
        <v>45849.623182870368</v>
      </c>
      <c r="AH72">
        <v>0</v>
      </c>
      <c r="AI72">
        <v>1</v>
      </c>
      <c r="AJ72">
        <v>0</v>
      </c>
      <c r="AK72" t="s">
        <v>369</v>
      </c>
      <c r="AL72" t="s">
        <v>68</v>
      </c>
      <c r="AM72" t="s">
        <v>68</v>
      </c>
      <c r="AN72">
        <v>0</v>
      </c>
      <c r="AO72" s="1"/>
      <c r="AP72">
        <v>1</v>
      </c>
      <c r="AS72" t="s">
        <v>75</v>
      </c>
      <c r="AT72" t="s">
        <v>68</v>
      </c>
      <c r="AU72">
        <v>0</v>
      </c>
      <c r="AV72" t="s">
        <v>68</v>
      </c>
      <c r="AW72">
        <v>1</v>
      </c>
      <c r="AX72" s="1"/>
      <c r="AZ72" t="s">
        <v>68</v>
      </c>
      <c r="BA72" t="s">
        <v>68</v>
      </c>
      <c r="BB72" t="s">
        <v>68</v>
      </c>
      <c r="BC72" t="s">
        <v>68</v>
      </c>
      <c r="BD72">
        <v>0</v>
      </c>
      <c r="BE72" s="1"/>
      <c r="BF72" s="1">
        <v>45849.623182870368</v>
      </c>
      <c r="BG72" t="s">
        <v>68</v>
      </c>
      <c r="BH72" t="s">
        <v>68</v>
      </c>
      <c r="BI72" t="s">
        <v>68</v>
      </c>
      <c r="BJ72" t="s">
        <v>68</v>
      </c>
      <c r="BK72" t="s">
        <v>68</v>
      </c>
      <c r="BL72" t="s">
        <v>68</v>
      </c>
      <c r="BM72" t="s">
        <v>68</v>
      </c>
      <c r="BN72" t="s">
        <v>68</v>
      </c>
      <c r="BO72" t="s">
        <v>96</v>
      </c>
      <c r="BP72">
        <v>0</v>
      </c>
      <c r="BQ72" t="s">
        <v>68</v>
      </c>
      <c r="BR72" t="s">
        <v>68</v>
      </c>
      <c r="BS72" t="s">
        <v>68</v>
      </c>
    </row>
    <row r="73" spans="1:71" x14ac:dyDescent="0.35">
      <c r="A73" t="b">
        <f>ISNUMBER(MATCH(ChargentOrders[[#This Row],[Contract__c]],Contract[Id],0))</f>
        <v>1</v>
      </c>
      <c r="B73">
        <f>IFERROR(INDEX(Contract[CB_Subscription__c],MATCH(ChargentOrders[[#This Row],[Contract__c]],Contract[Id],0)),0)</f>
        <v>0</v>
      </c>
      <c r="C73" t="b">
        <f>ISNUMBER(MATCH(ChargentOrders[[#This Row],[Id]],Claude[Id],0))</f>
        <v>1</v>
      </c>
      <c r="D73" t="b">
        <f>AND(ChargentOrders[[#This Row],[_Contract]],ChargentOrders[[#This Row],[CB Subscription]]=0)</f>
        <v>1</v>
      </c>
      <c r="E73" s="38">
        <f>INDEX(Table5[CUENTA],MATCH(ChargentOrders[[#This Row],[Contract__c]],Table5[SM_Contract__c],0))</f>
        <v>46081</v>
      </c>
      <c r="F73" s="38" t="str">
        <f ca="1">INDEX(Table5[ESTADO],MATCH(ChargentOrders[[#This Row],[Contract__c]],Table5[SM_Contract__c],0))</f>
        <v>DEBE 5</v>
      </c>
      <c r="G73" t="s">
        <v>370</v>
      </c>
      <c r="H73" t="s">
        <v>79</v>
      </c>
      <c r="I73" t="s">
        <v>371</v>
      </c>
      <c r="J73" s="1">
        <v>45849.623749999999</v>
      </c>
      <c r="K73">
        <v>7</v>
      </c>
      <c r="L73">
        <v>2027</v>
      </c>
      <c r="M73" t="s">
        <v>1450</v>
      </c>
      <c r="N73">
        <v>7</v>
      </c>
      <c r="O73" t="s">
        <v>68</v>
      </c>
      <c r="P73" t="s">
        <v>66</v>
      </c>
      <c r="Q73">
        <v>2027</v>
      </c>
      <c r="R73">
        <v>11039</v>
      </c>
      <c r="T73" t="s">
        <v>107</v>
      </c>
      <c r="U73" t="s">
        <v>68</v>
      </c>
      <c r="V73">
        <v>0</v>
      </c>
      <c r="W73" t="s">
        <v>69</v>
      </c>
      <c r="X73" s="5">
        <v>45849</v>
      </c>
      <c r="Y73" t="s">
        <v>74</v>
      </c>
      <c r="Z73" t="s">
        <v>68</v>
      </c>
      <c r="AA73">
        <v>9900</v>
      </c>
      <c r="AB73">
        <v>11385</v>
      </c>
      <c r="AC73" t="s">
        <v>368</v>
      </c>
      <c r="AD73" t="s">
        <v>68</v>
      </c>
      <c r="AE73">
        <v>0</v>
      </c>
      <c r="AF73" s="1">
        <v>45849.62394675926</v>
      </c>
      <c r="AG73" s="1">
        <v>45849.62394675926</v>
      </c>
      <c r="AH73">
        <v>1</v>
      </c>
      <c r="AI73">
        <v>1</v>
      </c>
      <c r="AJ73">
        <v>11039</v>
      </c>
      <c r="AK73" t="s">
        <v>369</v>
      </c>
      <c r="AL73" t="s">
        <v>77</v>
      </c>
      <c r="AM73" t="s">
        <v>68</v>
      </c>
      <c r="AN73">
        <v>0</v>
      </c>
      <c r="AO73" s="1"/>
      <c r="AP73">
        <v>1</v>
      </c>
      <c r="AQ73">
        <v>100</v>
      </c>
      <c r="AR73">
        <v>1050</v>
      </c>
      <c r="AS73" t="s">
        <v>75</v>
      </c>
      <c r="AT73" t="s">
        <v>68</v>
      </c>
      <c r="AU73">
        <v>0</v>
      </c>
      <c r="AV73" t="s">
        <v>68</v>
      </c>
      <c r="AW73">
        <v>0</v>
      </c>
      <c r="AX73" s="1"/>
      <c r="AZ73" t="s">
        <v>68</v>
      </c>
      <c r="BA73" t="s">
        <v>68</v>
      </c>
      <c r="BB73" t="s">
        <v>68</v>
      </c>
      <c r="BC73" t="s">
        <v>68</v>
      </c>
      <c r="BD73">
        <v>0</v>
      </c>
      <c r="BE73" s="1"/>
      <c r="BF73" s="1">
        <v>45849.62394675926</v>
      </c>
      <c r="BG73" t="s">
        <v>68</v>
      </c>
      <c r="BH73" t="s">
        <v>68</v>
      </c>
      <c r="BI73" t="s">
        <v>68</v>
      </c>
      <c r="BJ73" t="s">
        <v>68</v>
      </c>
      <c r="BK73" t="s">
        <v>68</v>
      </c>
      <c r="BL73" t="s">
        <v>68</v>
      </c>
      <c r="BM73" t="s">
        <v>68</v>
      </c>
      <c r="BN73" t="s">
        <v>68</v>
      </c>
      <c r="BO73" t="s">
        <v>96</v>
      </c>
      <c r="BP73">
        <v>0</v>
      </c>
      <c r="BQ73" t="s">
        <v>68</v>
      </c>
      <c r="BR73" t="s">
        <v>68</v>
      </c>
      <c r="BS73" t="s">
        <v>68</v>
      </c>
    </row>
    <row r="74" spans="1:71" x14ac:dyDescent="0.35">
      <c r="A74" t="b">
        <f>ISNUMBER(MATCH(ChargentOrders[[#This Row],[Contract__c]],Contract[Id],0))</f>
        <v>1</v>
      </c>
      <c r="B74">
        <f>IFERROR(INDEX(Contract[CB_Subscription__c],MATCH(ChargentOrders[[#This Row],[Contract__c]],Contract[Id],0)),0)</f>
        <v>0</v>
      </c>
      <c r="C74" t="b">
        <f>ISNUMBER(MATCH(ChargentOrders[[#This Row],[Id]],Claude[Id],0))</f>
        <v>1</v>
      </c>
      <c r="D74" t="b">
        <f>AND(ChargentOrders[[#This Row],[_Contract]],ChargentOrders[[#This Row],[CB Subscription]]=0)</f>
        <v>1</v>
      </c>
      <c r="E74" s="38">
        <f>INDEX(Table5[CUENTA],MATCH(ChargentOrders[[#This Row],[Contract__c]],Table5[SM_Contract__c],0))</f>
        <v>46081</v>
      </c>
      <c r="F74" s="38" t="str">
        <f ca="1">INDEX(Table5[ESTADO],MATCH(ChargentOrders[[#This Row],[Contract__c]],Table5[SM_Contract__c],0))</f>
        <v>DEBE 5</v>
      </c>
      <c r="G74" t="s">
        <v>372</v>
      </c>
      <c r="H74" t="s">
        <v>79</v>
      </c>
      <c r="I74" t="s">
        <v>373</v>
      </c>
      <c r="J74" s="1">
        <v>45849.623969907407</v>
      </c>
      <c r="K74">
        <v>7</v>
      </c>
      <c r="L74">
        <v>2027</v>
      </c>
      <c r="M74" t="s">
        <v>1450</v>
      </c>
      <c r="N74">
        <v>7</v>
      </c>
      <c r="O74" t="s">
        <v>68</v>
      </c>
      <c r="P74" t="s">
        <v>66</v>
      </c>
      <c r="Q74">
        <v>2027</v>
      </c>
      <c r="R74">
        <v>790</v>
      </c>
      <c r="S74">
        <v>30</v>
      </c>
      <c r="T74" t="s">
        <v>107</v>
      </c>
      <c r="U74" t="s">
        <v>68</v>
      </c>
      <c r="V74">
        <v>0</v>
      </c>
      <c r="W74" t="s">
        <v>69</v>
      </c>
      <c r="X74" s="5">
        <v>46233</v>
      </c>
      <c r="Y74" t="s">
        <v>84</v>
      </c>
      <c r="Z74" t="s">
        <v>68</v>
      </c>
      <c r="AA74">
        <v>790</v>
      </c>
      <c r="AB74">
        <v>0</v>
      </c>
      <c r="AC74" t="s">
        <v>368</v>
      </c>
      <c r="AD74" t="s">
        <v>68</v>
      </c>
      <c r="AE74">
        <v>0</v>
      </c>
      <c r="AF74" s="1">
        <v>45987.421898148146</v>
      </c>
      <c r="AG74" s="1">
        <v>45987.421979166669</v>
      </c>
      <c r="AH74">
        <v>3</v>
      </c>
      <c r="AI74">
        <v>10</v>
      </c>
      <c r="AJ74">
        <v>25518</v>
      </c>
      <c r="AK74" t="s">
        <v>369</v>
      </c>
      <c r="AL74" t="s">
        <v>76</v>
      </c>
      <c r="AM74" t="s">
        <v>68</v>
      </c>
      <c r="AN74">
        <v>0</v>
      </c>
      <c r="AO74" s="1"/>
      <c r="AP74">
        <v>11</v>
      </c>
      <c r="AQ74">
        <v>0</v>
      </c>
      <c r="AR74">
        <v>0</v>
      </c>
      <c r="AS74" t="s">
        <v>75</v>
      </c>
      <c r="AT74" t="s">
        <v>68</v>
      </c>
      <c r="AU74">
        <v>0</v>
      </c>
      <c r="AV74" t="s">
        <v>68</v>
      </c>
      <c r="AW74">
        <v>0</v>
      </c>
      <c r="AX74" s="1"/>
      <c r="AZ74" t="s">
        <v>68</v>
      </c>
      <c r="BA74" t="s">
        <v>68</v>
      </c>
      <c r="BB74" t="s">
        <v>68</v>
      </c>
      <c r="BC74" t="s">
        <v>68</v>
      </c>
      <c r="BD74">
        <v>0</v>
      </c>
      <c r="BE74" s="1"/>
      <c r="BF74" s="1">
        <v>46202.863680555558</v>
      </c>
      <c r="BG74" t="s">
        <v>68</v>
      </c>
      <c r="BH74" t="s">
        <v>68</v>
      </c>
      <c r="BI74" t="s">
        <v>68</v>
      </c>
      <c r="BJ74" t="s">
        <v>68</v>
      </c>
      <c r="BK74" t="s">
        <v>68</v>
      </c>
      <c r="BL74" t="s">
        <v>68</v>
      </c>
      <c r="BM74" t="s">
        <v>68</v>
      </c>
      <c r="BN74" t="s">
        <v>68</v>
      </c>
      <c r="BO74" t="s">
        <v>96</v>
      </c>
      <c r="BP74">
        <v>0</v>
      </c>
      <c r="BQ74" t="s">
        <v>68</v>
      </c>
      <c r="BR74" t="s">
        <v>68</v>
      </c>
      <c r="BS74" t="s">
        <v>68</v>
      </c>
    </row>
    <row r="75" spans="1:71" x14ac:dyDescent="0.35">
      <c r="A75" t="b">
        <f>ISNUMBER(MATCH(ChargentOrders[[#This Row],[Contract__c]],Contract[Id],0))</f>
        <v>1</v>
      </c>
      <c r="B75">
        <f>IFERROR(INDEX(Contract[CB_Subscription__c],MATCH(ChargentOrders[[#This Row],[Contract__c]],Contract[Id],0)),0)</f>
        <v>0</v>
      </c>
      <c r="C75" t="b">
        <f>ISNUMBER(MATCH(ChargentOrders[[#This Row],[Id]],Claude[Id],0))</f>
        <v>1</v>
      </c>
      <c r="D75" t="b">
        <f>AND(ChargentOrders[[#This Row],[_Contract]],ChargentOrders[[#This Row],[CB Subscription]]=0)</f>
        <v>1</v>
      </c>
      <c r="E75" s="38">
        <f>INDEX(Table5[CUENTA],MATCH(ChargentOrders[[#This Row],[Contract__c]],Table5[SM_Contract__c],0))</f>
        <v>46081</v>
      </c>
      <c r="F75" s="38" t="str">
        <f ca="1">INDEX(Table5[ESTADO],MATCH(ChargentOrders[[#This Row],[Contract__c]],Table5[SM_Contract__c],0))</f>
        <v>DEBE 5</v>
      </c>
      <c r="G75" t="s">
        <v>391</v>
      </c>
      <c r="H75" t="s">
        <v>79</v>
      </c>
      <c r="I75" t="s">
        <v>392</v>
      </c>
      <c r="J75" s="1">
        <v>45868.41951388889</v>
      </c>
      <c r="K75">
        <v>3</v>
      </c>
      <c r="L75">
        <v>2027</v>
      </c>
      <c r="M75" t="s">
        <v>1432</v>
      </c>
      <c r="N75">
        <v>3</v>
      </c>
      <c r="O75" t="s">
        <v>1433</v>
      </c>
      <c r="P75" t="s">
        <v>73</v>
      </c>
      <c r="Q75">
        <v>2027</v>
      </c>
      <c r="R75">
        <v>11596</v>
      </c>
      <c r="T75" t="s">
        <v>67</v>
      </c>
      <c r="U75" t="s">
        <v>68</v>
      </c>
      <c r="V75">
        <v>0</v>
      </c>
      <c r="W75" t="s">
        <v>69</v>
      </c>
      <c r="X75" s="5">
        <v>45891</v>
      </c>
      <c r="Y75" t="s">
        <v>74</v>
      </c>
      <c r="Z75" t="s">
        <v>68</v>
      </c>
      <c r="AA75">
        <v>10400</v>
      </c>
      <c r="AB75">
        <v>1196</v>
      </c>
      <c r="AC75" t="s">
        <v>165</v>
      </c>
      <c r="AD75" t="s">
        <v>68</v>
      </c>
      <c r="AE75">
        <v>0</v>
      </c>
      <c r="AF75" s="1">
        <v>45890.991909722223</v>
      </c>
      <c r="AG75" s="1">
        <v>45890.991909722223</v>
      </c>
      <c r="AH75">
        <v>1</v>
      </c>
      <c r="AI75">
        <v>14</v>
      </c>
      <c r="AJ75">
        <v>11596</v>
      </c>
      <c r="AK75" t="s">
        <v>179</v>
      </c>
      <c r="AL75" t="s">
        <v>71</v>
      </c>
      <c r="AM75" t="s">
        <v>68</v>
      </c>
      <c r="AN75">
        <v>0</v>
      </c>
      <c r="AO75" s="1"/>
      <c r="AP75">
        <v>0</v>
      </c>
      <c r="AQ75">
        <v>100</v>
      </c>
      <c r="AR75">
        <v>1050</v>
      </c>
      <c r="AS75" t="s">
        <v>72</v>
      </c>
      <c r="AT75" t="s">
        <v>68</v>
      </c>
      <c r="AU75">
        <v>1</v>
      </c>
      <c r="AV75" t="s">
        <v>393</v>
      </c>
      <c r="AW75">
        <v>0</v>
      </c>
      <c r="AX75" s="1">
        <v>45868.950983796298</v>
      </c>
      <c r="AY75">
        <v>2500</v>
      </c>
      <c r="AZ75" t="s">
        <v>68</v>
      </c>
      <c r="BA75" t="s">
        <v>65</v>
      </c>
      <c r="BB75" t="s">
        <v>68</v>
      </c>
      <c r="BC75" t="s">
        <v>68</v>
      </c>
      <c r="BD75">
        <v>0</v>
      </c>
      <c r="BE75" s="1">
        <v>45890.421782407408</v>
      </c>
      <c r="BF75" s="1">
        <v>45890.991909722223</v>
      </c>
      <c r="BG75" t="s">
        <v>68</v>
      </c>
      <c r="BH75" t="s">
        <v>68</v>
      </c>
      <c r="BI75" t="s">
        <v>68</v>
      </c>
      <c r="BJ75" t="s">
        <v>68</v>
      </c>
      <c r="BK75" t="s">
        <v>68</v>
      </c>
      <c r="BL75" t="s">
        <v>68</v>
      </c>
      <c r="BM75" t="s">
        <v>68</v>
      </c>
      <c r="BN75" t="s">
        <v>68</v>
      </c>
      <c r="BO75" t="s">
        <v>96</v>
      </c>
      <c r="BP75">
        <v>0</v>
      </c>
      <c r="BQ75" t="s">
        <v>68</v>
      </c>
      <c r="BR75" t="s">
        <v>68</v>
      </c>
      <c r="BS75" t="s">
        <v>68</v>
      </c>
    </row>
    <row r="76" spans="1:71" x14ac:dyDescent="0.35">
      <c r="A76" t="b">
        <f>ISNUMBER(MATCH(ChargentOrders[[#This Row],[Contract__c]],Contract[Id],0))</f>
        <v>1</v>
      </c>
      <c r="B76">
        <f>IFERROR(INDEX(Contract[CB_Subscription__c],MATCH(ChargentOrders[[#This Row],[Contract__c]],Contract[Id],0)),0)</f>
        <v>0</v>
      </c>
      <c r="C76" t="b">
        <f>ISNUMBER(MATCH(ChargentOrders[[#This Row],[Id]],Claude[Id],0))</f>
        <v>1</v>
      </c>
      <c r="D76" t="b">
        <f>AND(ChargentOrders[[#This Row],[_Contract]],ChargentOrders[[#This Row],[CB Subscription]]=0)</f>
        <v>1</v>
      </c>
      <c r="E76" s="38">
        <f>INDEX(Table5[CUENTA],MATCH(ChargentOrders[[#This Row],[Contract__c]],Table5[SM_Contract__c],0))</f>
        <v>46081</v>
      </c>
      <c r="F76" s="38" t="str">
        <f ca="1">INDEX(Table5[ESTADO],MATCH(ChargentOrders[[#This Row],[Contract__c]],Table5[SM_Contract__c],0))</f>
        <v>DEBE 5</v>
      </c>
      <c r="G76" t="s">
        <v>397</v>
      </c>
      <c r="H76" t="s">
        <v>79</v>
      </c>
      <c r="I76" t="s">
        <v>398</v>
      </c>
      <c r="J76" s="1">
        <v>45868.421701388892</v>
      </c>
      <c r="K76">
        <v>2</v>
      </c>
      <c r="L76">
        <v>2030</v>
      </c>
      <c r="M76" t="s">
        <v>1440</v>
      </c>
      <c r="N76">
        <v>2</v>
      </c>
      <c r="O76" t="s">
        <v>1440</v>
      </c>
      <c r="P76" t="s">
        <v>73</v>
      </c>
      <c r="Q76">
        <v>2030</v>
      </c>
      <c r="R76">
        <v>11596</v>
      </c>
      <c r="T76" t="s">
        <v>67</v>
      </c>
      <c r="U76" t="s">
        <v>68</v>
      </c>
      <c r="V76">
        <v>0</v>
      </c>
      <c r="W76" t="s">
        <v>69</v>
      </c>
      <c r="X76" s="5">
        <v>45876</v>
      </c>
      <c r="Y76" t="s">
        <v>74</v>
      </c>
      <c r="Z76" t="s">
        <v>68</v>
      </c>
      <c r="AA76">
        <v>10400</v>
      </c>
      <c r="AB76">
        <v>1196</v>
      </c>
      <c r="AC76" t="s">
        <v>240</v>
      </c>
      <c r="AD76" t="s">
        <v>68</v>
      </c>
      <c r="AE76">
        <v>0</v>
      </c>
      <c r="AF76" s="1">
        <v>45876.424178240741</v>
      </c>
      <c r="AG76" s="1">
        <v>45876.424178240741</v>
      </c>
      <c r="AH76">
        <v>1</v>
      </c>
      <c r="AI76">
        <v>3</v>
      </c>
      <c r="AJ76">
        <v>11596</v>
      </c>
      <c r="AK76" t="s">
        <v>235</v>
      </c>
      <c r="AL76" t="s">
        <v>71</v>
      </c>
      <c r="AM76" t="s">
        <v>68</v>
      </c>
      <c r="AN76">
        <v>0</v>
      </c>
      <c r="AO76" s="1"/>
      <c r="AP76">
        <v>0</v>
      </c>
      <c r="AQ76">
        <v>100</v>
      </c>
      <c r="AR76">
        <v>1050</v>
      </c>
      <c r="AS76" t="s">
        <v>72</v>
      </c>
      <c r="AT76" t="s">
        <v>68</v>
      </c>
      <c r="AU76">
        <v>1</v>
      </c>
      <c r="AV76" t="s">
        <v>399</v>
      </c>
      <c r="AW76">
        <v>0</v>
      </c>
      <c r="AX76" s="1">
        <v>45702.827997685185</v>
      </c>
      <c r="AY76">
        <v>2500</v>
      </c>
      <c r="AZ76" t="s">
        <v>68</v>
      </c>
      <c r="BA76" t="s">
        <v>65</v>
      </c>
      <c r="BB76" t="s">
        <v>68</v>
      </c>
      <c r="BC76" t="s">
        <v>68</v>
      </c>
      <c r="BD76">
        <v>0</v>
      </c>
      <c r="BE76" s="1">
        <v>45873.424085648148</v>
      </c>
      <c r="BF76" s="1">
        <v>45876.424178240741</v>
      </c>
      <c r="BG76" t="s">
        <v>68</v>
      </c>
      <c r="BH76" t="s">
        <v>68</v>
      </c>
      <c r="BI76" t="s">
        <v>68</v>
      </c>
      <c r="BJ76" t="s">
        <v>68</v>
      </c>
      <c r="BK76" t="s">
        <v>68</v>
      </c>
      <c r="BL76" t="s">
        <v>68</v>
      </c>
      <c r="BM76" t="s">
        <v>68</v>
      </c>
      <c r="BN76" t="s">
        <v>68</v>
      </c>
      <c r="BO76" t="s">
        <v>96</v>
      </c>
      <c r="BP76">
        <v>0</v>
      </c>
      <c r="BQ76" t="s">
        <v>68</v>
      </c>
      <c r="BR76" t="s">
        <v>68</v>
      </c>
      <c r="BS76" t="s">
        <v>68</v>
      </c>
    </row>
    <row r="77" spans="1:71" x14ac:dyDescent="0.35">
      <c r="A77" t="b">
        <f>ISNUMBER(MATCH(ChargentOrders[[#This Row],[Contract__c]],Contract[Id],0))</f>
        <v>1</v>
      </c>
      <c r="B77">
        <f>IFERROR(INDEX(Contract[CB_Subscription__c],MATCH(ChargentOrders[[#This Row],[Contract__c]],Contract[Id],0)),0)</f>
        <v>0</v>
      </c>
      <c r="C77" t="b">
        <f>ISNUMBER(MATCH(ChargentOrders[[#This Row],[Id]],Claude[Id],0))</f>
        <v>1</v>
      </c>
      <c r="D77" t="b">
        <f>AND(ChargentOrders[[#This Row],[_Contract]],ChargentOrders[[#This Row],[CB Subscription]]=0)</f>
        <v>1</v>
      </c>
      <c r="E77" s="38">
        <f>INDEX(Table5[CUENTA],MATCH(ChargentOrders[[#This Row],[Contract__c]],Table5[SM_Contract__c],0))</f>
        <v>46081</v>
      </c>
      <c r="F77" s="38" t="str">
        <f ca="1">INDEX(Table5[ESTADO],MATCH(ChargentOrders[[#This Row],[Contract__c]],Table5[SM_Contract__c],0))</f>
        <v>DEBE 5</v>
      </c>
      <c r="G77" t="s">
        <v>400</v>
      </c>
      <c r="H77" t="s">
        <v>79</v>
      </c>
      <c r="I77" t="s">
        <v>401</v>
      </c>
      <c r="J77" s="1">
        <v>45868.422222222223</v>
      </c>
      <c r="K77">
        <v>2</v>
      </c>
      <c r="L77">
        <v>2026</v>
      </c>
      <c r="M77" t="s">
        <v>1407</v>
      </c>
      <c r="N77">
        <v>2</v>
      </c>
      <c r="O77" t="s">
        <v>1442</v>
      </c>
      <c r="P77" t="s">
        <v>73</v>
      </c>
      <c r="Q77">
        <v>2026</v>
      </c>
      <c r="R77">
        <v>11596</v>
      </c>
      <c r="T77" t="s">
        <v>67</v>
      </c>
      <c r="U77" t="s">
        <v>68</v>
      </c>
      <c r="V77">
        <v>0</v>
      </c>
      <c r="W77" t="s">
        <v>69</v>
      </c>
      <c r="X77" s="5">
        <v>45877</v>
      </c>
      <c r="Y77" t="s">
        <v>74</v>
      </c>
      <c r="Z77" t="s">
        <v>68</v>
      </c>
      <c r="AA77">
        <v>10400</v>
      </c>
      <c r="AB77">
        <v>1196</v>
      </c>
      <c r="AC77" t="s">
        <v>252</v>
      </c>
      <c r="AD77" t="s">
        <v>68</v>
      </c>
      <c r="AE77">
        <v>0</v>
      </c>
      <c r="AF77" s="1">
        <v>45877.424039351848</v>
      </c>
      <c r="AG77" s="1">
        <v>45877.424108796295</v>
      </c>
      <c r="AH77">
        <v>1</v>
      </c>
      <c r="AI77">
        <v>5</v>
      </c>
      <c r="AJ77">
        <v>11596</v>
      </c>
      <c r="AK77" t="s">
        <v>253</v>
      </c>
      <c r="AL77" t="s">
        <v>71</v>
      </c>
      <c r="AM77" t="s">
        <v>68</v>
      </c>
      <c r="AN77">
        <v>0</v>
      </c>
      <c r="AO77" s="1"/>
      <c r="AP77">
        <v>0</v>
      </c>
      <c r="AQ77">
        <v>100</v>
      </c>
      <c r="AR77">
        <v>1050</v>
      </c>
      <c r="AS77" t="s">
        <v>72</v>
      </c>
      <c r="AT77" t="s">
        <v>68</v>
      </c>
      <c r="AU77">
        <v>1</v>
      </c>
      <c r="AV77" t="s">
        <v>402</v>
      </c>
      <c r="AW77">
        <v>0</v>
      </c>
      <c r="AX77" s="1">
        <v>45723.426469907405</v>
      </c>
      <c r="AY77">
        <v>2500</v>
      </c>
      <c r="AZ77" t="s">
        <v>68</v>
      </c>
      <c r="BA77" t="s">
        <v>65</v>
      </c>
      <c r="BB77" t="s">
        <v>68</v>
      </c>
      <c r="BC77" t="s">
        <v>68</v>
      </c>
      <c r="BD77">
        <v>0</v>
      </c>
      <c r="BE77" s="1">
        <v>45876.424456018518</v>
      </c>
      <c r="BF77" s="1">
        <v>45877.424039351848</v>
      </c>
      <c r="BG77" t="s">
        <v>68</v>
      </c>
      <c r="BH77" t="s">
        <v>68</v>
      </c>
      <c r="BI77" t="s">
        <v>68</v>
      </c>
      <c r="BJ77" t="s">
        <v>68</v>
      </c>
      <c r="BK77" t="s">
        <v>68</v>
      </c>
      <c r="BL77" t="s">
        <v>68</v>
      </c>
      <c r="BM77" t="s">
        <v>68</v>
      </c>
      <c r="BN77" t="s">
        <v>68</v>
      </c>
      <c r="BO77" t="s">
        <v>96</v>
      </c>
      <c r="BP77">
        <v>0</v>
      </c>
      <c r="BQ77" t="s">
        <v>68</v>
      </c>
      <c r="BR77" t="s">
        <v>68</v>
      </c>
      <c r="BS77" t="s">
        <v>68</v>
      </c>
    </row>
    <row r="78" spans="1:71" x14ac:dyDescent="0.35">
      <c r="A78" t="b">
        <f>ISNUMBER(MATCH(ChargentOrders[[#This Row],[Contract__c]],Contract[Id],0))</f>
        <v>1</v>
      </c>
      <c r="B78">
        <f>IFERROR(INDEX(Contract[CB_Subscription__c],MATCH(ChargentOrders[[#This Row],[Contract__c]],Contract[Id],0)),0)</f>
        <v>0</v>
      </c>
      <c r="C78" t="b">
        <f>ISNUMBER(MATCH(ChargentOrders[[#This Row],[Id]],Claude[Id],0))</f>
        <v>1</v>
      </c>
      <c r="D78" t="b">
        <f>AND(ChargentOrders[[#This Row],[_Contract]],ChargentOrders[[#This Row],[CB Subscription]]=0)</f>
        <v>1</v>
      </c>
      <c r="E78" s="38">
        <f>INDEX(Table5[CUENTA],MATCH(ChargentOrders[[#This Row],[Contract__c]],Table5[SM_Contract__c],0))</f>
        <v>46081</v>
      </c>
      <c r="F78" s="38" t="str">
        <f ca="1">INDEX(Table5[ESTADO],MATCH(ChargentOrders[[#This Row],[Contract__c]],Table5[SM_Contract__c],0))</f>
        <v>DEBE 5</v>
      </c>
      <c r="G78" t="s">
        <v>404</v>
      </c>
      <c r="H78" t="s">
        <v>79</v>
      </c>
      <c r="I78" t="s">
        <v>405</v>
      </c>
      <c r="J78" s="1">
        <v>45874.678611111114</v>
      </c>
      <c r="K78">
        <v>1</v>
      </c>
      <c r="L78">
        <v>2027</v>
      </c>
      <c r="M78" t="s">
        <v>1453</v>
      </c>
      <c r="N78">
        <v>1</v>
      </c>
      <c r="O78" t="s">
        <v>1454</v>
      </c>
      <c r="P78" t="s">
        <v>73</v>
      </c>
      <c r="Q78">
        <v>2027</v>
      </c>
      <c r="R78">
        <v>0</v>
      </c>
      <c r="T78" t="s">
        <v>67</v>
      </c>
      <c r="U78" t="s">
        <v>68</v>
      </c>
      <c r="V78">
        <v>0</v>
      </c>
      <c r="W78" t="s">
        <v>69</v>
      </c>
      <c r="X78" s="5"/>
      <c r="Y78" t="s">
        <v>68</v>
      </c>
      <c r="Z78" t="s">
        <v>68</v>
      </c>
      <c r="AA78">
        <v>0</v>
      </c>
      <c r="AC78" t="s">
        <v>406</v>
      </c>
      <c r="AD78" t="s">
        <v>68</v>
      </c>
      <c r="AE78">
        <v>0</v>
      </c>
      <c r="AF78" s="1"/>
      <c r="AG78" s="1">
        <v>45874.678657407407</v>
      </c>
      <c r="AH78">
        <v>0</v>
      </c>
      <c r="AI78">
        <v>1</v>
      </c>
      <c r="AJ78">
        <v>0</v>
      </c>
      <c r="AK78" t="s">
        <v>407</v>
      </c>
      <c r="AL78" t="s">
        <v>68</v>
      </c>
      <c r="AM78" t="s">
        <v>68</v>
      </c>
      <c r="AN78">
        <v>0</v>
      </c>
      <c r="AO78" s="1"/>
      <c r="AP78">
        <v>1</v>
      </c>
      <c r="AS78" t="s">
        <v>75</v>
      </c>
      <c r="AT78" t="s">
        <v>68</v>
      </c>
      <c r="AU78">
        <v>0</v>
      </c>
      <c r="AV78" t="s">
        <v>68</v>
      </c>
      <c r="AW78">
        <v>1</v>
      </c>
      <c r="AX78" s="1"/>
      <c r="AZ78" t="s">
        <v>68</v>
      </c>
      <c r="BA78" t="s">
        <v>68</v>
      </c>
      <c r="BB78" t="s">
        <v>68</v>
      </c>
      <c r="BC78" t="s">
        <v>68</v>
      </c>
      <c r="BD78">
        <v>0</v>
      </c>
      <c r="BE78" s="1"/>
      <c r="BF78" s="1">
        <v>45874.67864583333</v>
      </c>
      <c r="BG78" t="s">
        <v>68</v>
      </c>
      <c r="BH78" t="s">
        <v>68</v>
      </c>
      <c r="BI78" t="s">
        <v>68</v>
      </c>
      <c r="BJ78" t="s">
        <v>68</v>
      </c>
      <c r="BK78" t="s">
        <v>68</v>
      </c>
      <c r="BL78" t="s">
        <v>68</v>
      </c>
      <c r="BM78" t="s">
        <v>68</v>
      </c>
      <c r="BN78" t="s">
        <v>68</v>
      </c>
      <c r="BO78" t="s">
        <v>96</v>
      </c>
      <c r="BP78">
        <v>0</v>
      </c>
      <c r="BQ78" t="s">
        <v>68</v>
      </c>
      <c r="BR78" t="s">
        <v>68</v>
      </c>
      <c r="BS78" t="s">
        <v>68</v>
      </c>
    </row>
    <row r="79" spans="1:71" x14ac:dyDescent="0.35">
      <c r="A79" t="b">
        <f>ISNUMBER(MATCH(ChargentOrders[[#This Row],[Contract__c]],Contract[Id],0))</f>
        <v>1</v>
      </c>
      <c r="B79">
        <f>IFERROR(INDEX(Contract[CB_Subscription__c],MATCH(ChargentOrders[[#This Row],[Contract__c]],Contract[Id],0)),0)</f>
        <v>0</v>
      </c>
      <c r="C79" t="b">
        <f>ISNUMBER(MATCH(ChargentOrders[[#This Row],[Id]],Claude[Id],0))</f>
        <v>1</v>
      </c>
      <c r="D79" t="b">
        <f>AND(ChargentOrders[[#This Row],[_Contract]],ChargentOrders[[#This Row],[CB Subscription]]=0)</f>
        <v>1</v>
      </c>
      <c r="E79" s="38">
        <f>INDEX(Table5[CUENTA],MATCH(ChargentOrders[[#This Row],[Contract__c]],Table5[SM_Contract__c],0))</f>
        <v>46081</v>
      </c>
      <c r="F79" s="38" t="str">
        <f ca="1">INDEX(Table5[ESTADO],MATCH(ChargentOrders[[#This Row],[Contract__c]],Table5[SM_Contract__c],0))</f>
        <v>DEBE 5</v>
      </c>
      <c r="G79" t="s">
        <v>408</v>
      </c>
      <c r="H79" t="s">
        <v>79</v>
      </c>
      <c r="I79" t="s">
        <v>409</v>
      </c>
      <c r="J79" s="1">
        <v>45874.679131944446</v>
      </c>
      <c r="K79">
        <v>1</v>
      </c>
      <c r="L79">
        <v>2027</v>
      </c>
      <c r="M79" t="s">
        <v>1453</v>
      </c>
      <c r="N79">
        <v>1</v>
      </c>
      <c r="O79" t="s">
        <v>1454</v>
      </c>
      <c r="P79" t="s">
        <v>73</v>
      </c>
      <c r="Q79">
        <v>2027</v>
      </c>
      <c r="R79">
        <v>17729</v>
      </c>
      <c r="T79" t="s">
        <v>67</v>
      </c>
      <c r="U79" t="s">
        <v>68</v>
      </c>
      <c r="V79">
        <v>0</v>
      </c>
      <c r="W79" t="s">
        <v>69</v>
      </c>
      <c r="X79" s="5">
        <v>45874</v>
      </c>
      <c r="Y79" t="s">
        <v>74</v>
      </c>
      <c r="Z79" t="s">
        <v>68</v>
      </c>
      <c r="AA79">
        <v>15900</v>
      </c>
      <c r="AB79">
        <v>18285</v>
      </c>
      <c r="AC79" t="s">
        <v>406</v>
      </c>
      <c r="AD79" t="s">
        <v>68</v>
      </c>
      <c r="AE79">
        <v>0</v>
      </c>
      <c r="AF79" s="1">
        <v>45874.679398148146</v>
      </c>
      <c r="AG79" s="1">
        <v>45874.679398148146</v>
      </c>
      <c r="AH79">
        <v>1</v>
      </c>
      <c r="AI79">
        <v>1</v>
      </c>
      <c r="AJ79">
        <v>17729</v>
      </c>
      <c r="AK79" t="s">
        <v>407</v>
      </c>
      <c r="AL79" t="s">
        <v>77</v>
      </c>
      <c r="AM79" t="s">
        <v>68</v>
      </c>
      <c r="AN79">
        <v>0</v>
      </c>
      <c r="AO79" s="1"/>
      <c r="AP79">
        <v>1</v>
      </c>
      <c r="AQ79">
        <v>100</v>
      </c>
      <c r="AR79">
        <v>1050</v>
      </c>
      <c r="AS79" t="s">
        <v>75</v>
      </c>
      <c r="AT79" t="s">
        <v>68</v>
      </c>
      <c r="AU79">
        <v>0</v>
      </c>
      <c r="AV79" t="s">
        <v>68</v>
      </c>
      <c r="AW79">
        <v>0</v>
      </c>
      <c r="AX79" s="1"/>
      <c r="AZ79" t="s">
        <v>68</v>
      </c>
      <c r="BA79" t="s">
        <v>68</v>
      </c>
      <c r="BB79" t="s">
        <v>68</v>
      </c>
      <c r="BC79" t="s">
        <v>68</v>
      </c>
      <c r="BD79">
        <v>0</v>
      </c>
      <c r="BE79" s="1"/>
      <c r="BF79" s="1">
        <v>45874.679398148146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68</v>
      </c>
      <c r="BN79" t="s">
        <v>68</v>
      </c>
      <c r="BO79" t="s">
        <v>96</v>
      </c>
      <c r="BP79">
        <v>0</v>
      </c>
      <c r="BQ79" t="s">
        <v>68</v>
      </c>
      <c r="BR79" t="s">
        <v>68</v>
      </c>
      <c r="BS79" t="s">
        <v>68</v>
      </c>
    </row>
    <row r="80" spans="1:71" x14ac:dyDescent="0.35">
      <c r="A80" t="b">
        <f>ISNUMBER(MATCH(ChargentOrders[[#This Row],[Contract__c]],Contract[Id],0))</f>
        <v>1</v>
      </c>
      <c r="B80">
        <f>IFERROR(INDEX(Contract[CB_Subscription__c],MATCH(ChargentOrders[[#This Row],[Contract__c]],Contract[Id],0)),0)</f>
        <v>0</v>
      </c>
      <c r="C80" t="b">
        <f>ISNUMBER(MATCH(ChargentOrders[[#This Row],[Id]],Claude[Id],0))</f>
        <v>1</v>
      </c>
      <c r="D80" t="b">
        <f>AND(ChargentOrders[[#This Row],[_Contract]],ChargentOrders[[#This Row],[CB Subscription]]=0)</f>
        <v>1</v>
      </c>
      <c r="E80" s="38">
        <f>INDEX(Table5[CUENTA],MATCH(ChargentOrders[[#This Row],[Contract__c]],Table5[SM_Contract__c],0))</f>
        <v>46081</v>
      </c>
      <c r="F80" s="38" t="str">
        <f ca="1">INDEX(Table5[ESTADO],MATCH(ChargentOrders[[#This Row],[Contract__c]],Table5[SM_Contract__c],0))</f>
        <v>DEBE 5</v>
      </c>
      <c r="G80" t="s">
        <v>410</v>
      </c>
      <c r="H80" t="s">
        <v>79</v>
      </c>
      <c r="I80" t="s">
        <v>411</v>
      </c>
      <c r="J80" s="1">
        <v>45874.6794212963</v>
      </c>
      <c r="K80">
        <v>1</v>
      </c>
      <c r="L80">
        <v>2027</v>
      </c>
      <c r="M80" t="s">
        <v>1453</v>
      </c>
      <c r="N80">
        <v>1</v>
      </c>
      <c r="O80" t="s">
        <v>1453</v>
      </c>
      <c r="P80" t="s">
        <v>73</v>
      </c>
      <c r="Q80">
        <v>2027</v>
      </c>
      <c r="R80">
        <v>7900</v>
      </c>
      <c r="S80">
        <v>30</v>
      </c>
      <c r="T80" t="s">
        <v>67</v>
      </c>
      <c r="U80" t="s">
        <v>68</v>
      </c>
      <c r="V80">
        <v>0</v>
      </c>
      <c r="W80" t="s">
        <v>69</v>
      </c>
      <c r="X80" s="5">
        <v>46233</v>
      </c>
      <c r="Y80" t="s">
        <v>84</v>
      </c>
      <c r="Z80" t="s">
        <v>68</v>
      </c>
      <c r="AA80">
        <v>7900</v>
      </c>
      <c r="AB80">
        <v>0</v>
      </c>
      <c r="AC80" t="s">
        <v>406</v>
      </c>
      <c r="AD80" t="s">
        <v>68</v>
      </c>
      <c r="AE80">
        <v>0</v>
      </c>
      <c r="AF80" s="1">
        <v>46048.418877314813</v>
      </c>
      <c r="AG80" s="1">
        <v>46048.418900462966</v>
      </c>
      <c r="AH80">
        <v>5</v>
      </c>
      <c r="AI80">
        <v>10</v>
      </c>
      <c r="AJ80">
        <v>41318</v>
      </c>
      <c r="AK80" t="s">
        <v>407</v>
      </c>
      <c r="AL80" t="s">
        <v>76</v>
      </c>
      <c r="AM80" t="s">
        <v>68</v>
      </c>
      <c r="AN80">
        <v>0</v>
      </c>
      <c r="AO80" s="1"/>
      <c r="AP80">
        <v>11</v>
      </c>
      <c r="AQ80">
        <v>0</v>
      </c>
      <c r="AR80">
        <v>0</v>
      </c>
      <c r="AS80" t="s">
        <v>75</v>
      </c>
      <c r="AT80" t="s">
        <v>68</v>
      </c>
      <c r="AU80">
        <v>0</v>
      </c>
      <c r="AV80" t="s">
        <v>68</v>
      </c>
      <c r="AW80">
        <v>0</v>
      </c>
      <c r="AX80" s="1"/>
      <c r="AZ80" t="s">
        <v>68</v>
      </c>
      <c r="BA80" t="s">
        <v>68</v>
      </c>
      <c r="BB80" t="s">
        <v>68</v>
      </c>
      <c r="BC80" t="s">
        <v>68</v>
      </c>
      <c r="BD80">
        <v>0</v>
      </c>
      <c r="BE80" s="1">
        <v>46203.417060185187</v>
      </c>
      <c r="BF80" s="1">
        <v>46203.417060185187</v>
      </c>
      <c r="BG80" t="s">
        <v>68</v>
      </c>
      <c r="BH80" t="s">
        <v>68</v>
      </c>
      <c r="BI80" t="s">
        <v>68</v>
      </c>
      <c r="BJ80" t="s">
        <v>68</v>
      </c>
      <c r="BK80" t="s">
        <v>68</v>
      </c>
      <c r="BL80" t="s">
        <v>68</v>
      </c>
      <c r="BM80" t="s">
        <v>68</v>
      </c>
      <c r="BN80" t="s">
        <v>68</v>
      </c>
      <c r="BO80" t="s">
        <v>96</v>
      </c>
      <c r="BP80">
        <v>0</v>
      </c>
      <c r="BQ80" t="s">
        <v>68</v>
      </c>
      <c r="BR80" t="s">
        <v>68</v>
      </c>
      <c r="BS80" t="s">
        <v>68</v>
      </c>
    </row>
    <row r="81" spans="1:71" x14ac:dyDescent="0.35">
      <c r="A81" t="b">
        <f>ISNUMBER(MATCH(ChargentOrders[[#This Row],[Contract__c]],Contract[Id],0))</f>
        <v>1</v>
      </c>
      <c r="B81">
        <f>IFERROR(INDEX(Contract[CB_Subscription__c],MATCH(ChargentOrders[[#This Row],[Contract__c]],Contract[Id],0)),0)</f>
        <v>0</v>
      </c>
      <c r="C81" t="b">
        <f>ISNUMBER(MATCH(ChargentOrders[[#This Row],[Id]],Claude[Id],0))</f>
        <v>1</v>
      </c>
      <c r="D81" t="b">
        <f>AND(ChargentOrders[[#This Row],[_Contract]],ChargentOrders[[#This Row],[CB Subscription]]=0)</f>
        <v>1</v>
      </c>
      <c r="E81" s="38">
        <f>INDEX(Table5[CUENTA],MATCH(ChargentOrders[[#This Row],[Contract__c]],Table5[SM_Contract__c],0))</f>
        <v>46081</v>
      </c>
      <c r="F81" s="38" t="str">
        <f ca="1">INDEX(Table5[ESTADO],MATCH(ChargentOrders[[#This Row],[Contract__c]],Table5[SM_Contract__c],0))</f>
        <v>DEBE 5</v>
      </c>
      <c r="G81" t="s">
        <v>433</v>
      </c>
      <c r="H81" t="s">
        <v>79</v>
      </c>
      <c r="I81" t="s">
        <v>434</v>
      </c>
      <c r="J81" s="1">
        <v>45898.419571759259</v>
      </c>
      <c r="K81">
        <v>3</v>
      </c>
      <c r="L81">
        <v>2027</v>
      </c>
      <c r="M81" t="s">
        <v>1432</v>
      </c>
      <c r="N81">
        <v>3</v>
      </c>
      <c r="O81" t="s">
        <v>1433</v>
      </c>
      <c r="P81" t="s">
        <v>73</v>
      </c>
      <c r="Q81">
        <v>2027</v>
      </c>
      <c r="R81">
        <v>11596</v>
      </c>
      <c r="T81" t="s">
        <v>67</v>
      </c>
      <c r="U81" t="s">
        <v>68</v>
      </c>
      <c r="V81">
        <v>0</v>
      </c>
      <c r="W81" t="s">
        <v>69</v>
      </c>
      <c r="X81" s="5">
        <v>45908</v>
      </c>
      <c r="Y81" t="s">
        <v>74</v>
      </c>
      <c r="Z81" t="s">
        <v>68</v>
      </c>
      <c r="AA81">
        <v>10400</v>
      </c>
      <c r="AB81">
        <v>1196</v>
      </c>
      <c r="AC81" t="s">
        <v>165</v>
      </c>
      <c r="AD81" t="s">
        <v>68</v>
      </c>
      <c r="AE81">
        <v>0</v>
      </c>
      <c r="AF81" s="1">
        <v>45905.991087962961</v>
      </c>
      <c r="AG81" s="1">
        <v>45905.991087962961</v>
      </c>
      <c r="AH81">
        <v>1</v>
      </c>
      <c r="AI81">
        <v>6</v>
      </c>
      <c r="AJ81">
        <v>11596</v>
      </c>
      <c r="AK81" t="s">
        <v>179</v>
      </c>
      <c r="AL81" t="s">
        <v>71</v>
      </c>
      <c r="AM81" t="s">
        <v>68</v>
      </c>
      <c r="AN81">
        <v>0</v>
      </c>
      <c r="AO81" s="1"/>
      <c r="AP81">
        <v>0</v>
      </c>
      <c r="AQ81">
        <v>100</v>
      </c>
      <c r="AR81">
        <v>1050</v>
      </c>
      <c r="AS81" t="s">
        <v>72</v>
      </c>
      <c r="AT81" t="s">
        <v>68</v>
      </c>
      <c r="AU81">
        <v>1</v>
      </c>
      <c r="AV81" t="s">
        <v>435</v>
      </c>
      <c r="AW81">
        <v>0</v>
      </c>
      <c r="AX81" s="1">
        <v>45898.98296296296</v>
      </c>
      <c r="AY81">
        <v>2500</v>
      </c>
      <c r="AZ81" t="s">
        <v>68</v>
      </c>
      <c r="BA81" t="s">
        <v>65</v>
      </c>
      <c r="BB81" t="s">
        <v>68</v>
      </c>
      <c r="BC81" t="s">
        <v>68</v>
      </c>
      <c r="BD81">
        <v>0</v>
      </c>
      <c r="BE81" s="1">
        <v>45905.427361111113</v>
      </c>
      <c r="BF81" s="1">
        <v>45905.991087962961</v>
      </c>
      <c r="BG81" t="s">
        <v>68</v>
      </c>
      <c r="BH81" t="s">
        <v>68</v>
      </c>
      <c r="BI81" t="s">
        <v>68</v>
      </c>
      <c r="BJ81" t="s">
        <v>68</v>
      </c>
      <c r="BK81" t="s">
        <v>68</v>
      </c>
      <c r="BL81" t="s">
        <v>68</v>
      </c>
      <c r="BM81" t="s">
        <v>68</v>
      </c>
      <c r="BN81" t="s">
        <v>68</v>
      </c>
      <c r="BO81" t="s">
        <v>96</v>
      </c>
      <c r="BP81">
        <v>0</v>
      </c>
      <c r="BQ81" t="s">
        <v>68</v>
      </c>
      <c r="BR81" t="s">
        <v>68</v>
      </c>
      <c r="BS81" t="s">
        <v>68</v>
      </c>
    </row>
    <row r="82" spans="1:71" x14ac:dyDescent="0.35">
      <c r="A82" t="b">
        <f>ISNUMBER(MATCH(ChargentOrders[[#This Row],[Contract__c]],Contract[Id],0))</f>
        <v>1</v>
      </c>
      <c r="B82">
        <f>IFERROR(INDEX(Contract[CB_Subscription__c],MATCH(ChargentOrders[[#This Row],[Contract__c]],Contract[Id],0)),0)</f>
        <v>0</v>
      </c>
      <c r="C82" t="b">
        <f>ISNUMBER(MATCH(ChargentOrders[[#This Row],[Id]],Claude[Id],0))</f>
        <v>1</v>
      </c>
      <c r="D82" t="b">
        <f>AND(ChargentOrders[[#This Row],[_Contract]],ChargentOrders[[#This Row],[CB Subscription]]=0)</f>
        <v>1</v>
      </c>
      <c r="E82" s="38">
        <f>INDEX(Table5[CUENTA],MATCH(ChargentOrders[[#This Row],[Contract__c]],Table5[SM_Contract__c],0))</f>
        <v>46081</v>
      </c>
      <c r="F82" s="38" t="str">
        <f ca="1">INDEX(Table5[ESTADO],MATCH(ChargentOrders[[#This Row],[Contract__c]],Table5[SM_Contract__c],0))</f>
        <v>DEBE 5</v>
      </c>
      <c r="G82" t="s">
        <v>436</v>
      </c>
      <c r="H82" t="s">
        <v>79</v>
      </c>
      <c r="I82" t="s">
        <v>437</v>
      </c>
      <c r="J82" s="1">
        <v>45898.421712962961</v>
      </c>
      <c r="K82">
        <v>2</v>
      </c>
      <c r="L82">
        <v>2030</v>
      </c>
      <c r="M82" t="s">
        <v>1440</v>
      </c>
      <c r="N82">
        <v>2</v>
      </c>
      <c r="O82" t="s">
        <v>1440</v>
      </c>
      <c r="P82" t="s">
        <v>73</v>
      </c>
      <c r="Q82">
        <v>2030</v>
      </c>
      <c r="R82">
        <v>11596</v>
      </c>
      <c r="T82" t="s">
        <v>67</v>
      </c>
      <c r="U82" t="s">
        <v>68</v>
      </c>
      <c r="V82">
        <v>0</v>
      </c>
      <c r="W82" t="s">
        <v>69</v>
      </c>
      <c r="X82" s="5">
        <v>45918</v>
      </c>
      <c r="Y82" t="s">
        <v>74</v>
      </c>
      <c r="Z82" t="s">
        <v>68</v>
      </c>
      <c r="AA82">
        <v>10400</v>
      </c>
      <c r="AB82">
        <v>1196</v>
      </c>
      <c r="AC82" t="s">
        <v>240</v>
      </c>
      <c r="AD82" t="s">
        <v>68</v>
      </c>
      <c r="AE82">
        <v>0</v>
      </c>
      <c r="AF82" s="1">
        <v>45918.422025462962</v>
      </c>
      <c r="AG82" s="1">
        <v>45918.422106481485</v>
      </c>
      <c r="AH82">
        <v>1</v>
      </c>
      <c r="AI82">
        <v>8</v>
      </c>
      <c r="AJ82">
        <v>11596</v>
      </c>
      <c r="AK82" t="s">
        <v>235</v>
      </c>
      <c r="AL82" t="s">
        <v>71</v>
      </c>
      <c r="AM82" t="s">
        <v>68</v>
      </c>
      <c r="AN82">
        <v>0</v>
      </c>
      <c r="AO82" s="1"/>
      <c r="AP82">
        <v>0</v>
      </c>
      <c r="AQ82">
        <v>100</v>
      </c>
      <c r="AR82">
        <v>1050</v>
      </c>
      <c r="AS82" t="s">
        <v>72</v>
      </c>
      <c r="AT82" t="s">
        <v>68</v>
      </c>
      <c r="AU82">
        <v>1</v>
      </c>
      <c r="AV82" t="s">
        <v>438</v>
      </c>
      <c r="AW82">
        <v>0</v>
      </c>
      <c r="AX82" s="1">
        <v>45702.827997685185</v>
      </c>
      <c r="AY82">
        <v>2500</v>
      </c>
      <c r="AZ82" t="s">
        <v>68</v>
      </c>
      <c r="BA82" t="s">
        <v>65</v>
      </c>
      <c r="BB82" t="s">
        <v>68</v>
      </c>
      <c r="BC82" t="s">
        <v>68</v>
      </c>
      <c r="BD82">
        <v>0</v>
      </c>
      <c r="BE82" s="1">
        <v>45915.425636574073</v>
      </c>
      <c r="BF82" s="1">
        <v>45918.422025462962</v>
      </c>
      <c r="BG82" t="s">
        <v>68</v>
      </c>
      <c r="BH82" t="s">
        <v>68</v>
      </c>
      <c r="BI82" t="s">
        <v>68</v>
      </c>
      <c r="BJ82" t="s">
        <v>68</v>
      </c>
      <c r="BK82" t="s">
        <v>68</v>
      </c>
      <c r="BL82" t="s">
        <v>68</v>
      </c>
      <c r="BM82" t="s">
        <v>68</v>
      </c>
      <c r="BN82" t="s">
        <v>68</v>
      </c>
      <c r="BO82" t="s">
        <v>96</v>
      </c>
      <c r="BP82">
        <v>0</v>
      </c>
      <c r="BQ82" t="s">
        <v>68</v>
      </c>
      <c r="BR82" t="s">
        <v>68</v>
      </c>
      <c r="BS82" t="s">
        <v>68</v>
      </c>
    </row>
    <row r="83" spans="1:71" x14ac:dyDescent="0.35">
      <c r="A83" t="b">
        <f>ISNUMBER(MATCH(ChargentOrders[[#This Row],[Contract__c]],Contract[Id],0))</f>
        <v>1</v>
      </c>
      <c r="B83">
        <f>IFERROR(INDEX(Contract[CB_Subscription__c],MATCH(ChargentOrders[[#This Row],[Contract__c]],Contract[Id],0)),0)</f>
        <v>0</v>
      </c>
      <c r="C83" t="b">
        <f>ISNUMBER(MATCH(ChargentOrders[[#This Row],[Id]],Claude[Id],0))</f>
        <v>1</v>
      </c>
      <c r="D83" t="b">
        <f>AND(ChargentOrders[[#This Row],[_Contract]],ChargentOrders[[#This Row],[CB Subscription]]=0)</f>
        <v>1</v>
      </c>
      <c r="E83" s="38">
        <f>INDEX(Table5[CUENTA],MATCH(ChargentOrders[[#This Row],[Contract__c]],Table5[SM_Contract__c],0))</f>
        <v>46081</v>
      </c>
      <c r="F83" s="38" t="str">
        <f ca="1">INDEX(Table5[ESTADO],MATCH(ChargentOrders[[#This Row],[Contract__c]],Table5[SM_Contract__c],0))</f>
        <v>DEBE 5</v>
      </c>
      <c r="G83" t="s">
        <v>439</v>
      </c>
      <c r="H83" t="s">
        <v>79</v>
      </c>
      <c r="I83" t="s">
        <v>440</v>
      </c>
      <c r="J83" s="1">
        <v>45898.4221412037</v>
      </c>
      <c r="K83">
        <v>2</v>
      </c>
      <c r="L83">
        <v>2026</v>
      </c>
      <c r="M83" t="s">
        <v>1407</v>
      </c>
      <c r="N83">
        <v>2</v>
      </c>
      <c r="O83" t="s">
        <v>1442</v>
      </c>
      <c r="P83" t="s">
        <v>73</v>
      </c>
      <c r="Q83">
        <v>2026</v>
      </c>
      <c r="R83">
        <v>11596</v>
      </c>
      <c r="T83" t="s">
        <v>67</v>
      </c>
      <c r="U83" t="s">
        <v>68</v>
      </c>
      <c r="V83">
        <v>0</v>
      </c>
      <c r="W83" t="s">
        <v>69</v>
      </c>
      <c r="X83" s="5">
        <v>45940</v>
      </c>
      <c r="Y83" t="s">
        <v>74</v>
      </c>
      <c r="Z83" t="s">
        <v>68</v>
      </c>
      <c r="AA83">
        <v>10400</v>
      </c>
      <c r="AB83">
        <v>1196</v>
      </c>
      <c r="AC83" t="s">
        <v>252</v>
      </c>
      <c r="AD83" t="s">
        <v>68</v>
      </c>
      <c r="AE83">
        <v>0</v>
      </c>
      <c r="AF83" s="1">
        <v>45940.422476851854</v>
      </c>
      <c r="AG83" s="1">
        <v>45940.422511574077</v>
      </c>
      <c r="AH83">
        <v>1</v>
      </c>
      <c r="AI83">
        <v>22</v>
      </c>
      <c r="AJ83">
        <v>11596</v>
      </c>
      <c r="AK83" t="s">
        <v>253</v>
      </c>
      <c r="AL83" t="s">
        <v>71</v>
      </c>
      <c r="AM83" t="s">
        <v>68</v>
      </c>
      <c r="AN83">
        <v>0</v>
      </c>
      <c r="AO83" s="1"/>
      <c r="AP83">
        <v>0</v>
      </c>
      <c r="AQ83">
        <v>100</v>
      </c>
      <c r="AR83">
        <v>1050</v>
      </c>
      <c r="AS83" t="s">
        <v>72</v>
      </c>
      <c r="AT83" t="s">
        <v>68</v>
      </c>
      <c r="AU83">
        <v>1</v>
      </c>
      <c r="AV83" t="s">
        <v>441</v>
      </c>
      <c r="AW83">
        <v>0</v>
      </c>
      <c r="AX83" s="1">
        <v>45723.426469907405</v>
      </c>
      <c r="AY83">
        <v>2500</v>
      </c>
      <c r="AZ83" t="s">
        <v>68</v>
      </c>
      <c r="BA83" t="s">
        <v>65</v>
      </c>
      <c r="BB83" t="s">
        <v>68</v>
      </c>
      <c r="BC83" t="s">
        <v>68</v>
      </c>
      <c r="BD83">
        <v>0</v>
      </c>
      <c r="BE83" s="1">
        <v>45930.973356481481</v>
      </c>
      <c r="BF83" s="1">
        <v>45940.422476851854</v>
      </c>
      <c r="BG83" t="s">
        <v>68</v>
      </c>
      <c r="BH83" t="s">
        <v>68</v>
      </c>
      <c r="BI83" t="s">
        <v>68</v>
      </c>
      <c r="BJ83" t="s">
        <v>68</v>
      </c>
      <c r="BK83" t="s">
        <v>68</v>
      </c>
      <c r="BL83" t="s">
        <v>68</v>
      </c>
      <c r="BM83" t="s">
        <v>68</v>
      </c>
      <c r="BN83" t="s">
        <v>68</v>
      </c>
      <c r="BO83" t="s">
        <v>96</v>
      </c>
      <c r="BP83">
        <v>0</v>
      </c>
      <c r="BQ83" t="s">
        <v>68</v>
      </c>
      <c r="BR83" t="s">
        <v>68</v>
      </c>
      <c r="BS83" t="s">
        <v>403</v>
      </c>
    </row>
    <row r="84" spans="1:71" x14ac:dyDescent="0.35">
      <c r="A84" t="b">
        <f>ISNUMBER(MATCH(ChargentOrders[[#This Row],[Contract__c]],Contract[Id],0))</f>
        <v>1</v>
      </c>
      <c r="B84">
        <f>IFERROR(INDEX(Contract[CB_Subscription__c],MATCH(ChargentOrders[[#This Row],[Contract__c]],Contract[Id],0)),0)</f>
        <v>0</v>
      </c>
      <c r="C84" t="b">
        <f>ISNUMBER(MATCH(ChargentOrders[[#This Row],[Id]],Claude[Id],0))</f>
        <v>1</v>
      </c>
      <c r="D84" t="b">
        <f>AND(ChargentOrders[[#This Row],[_Contract]],ChargentOrders[[#This Row],[CB Subscription]]=0)</f>
        <v>1</v>
      </c>
      <c r="E84" s="38">
        <f>INDEX(Table5[CUENTA],MATCH(ChargentOrders[[#This Row],[Contract__c]],Table5[SM_Contract__c],0))</f>
        <v>46081</v>
      </c>
      <c r="F84" s="38" t="str">
        <f ca="1">INDEX(Table5[ESTADO],MATCH(ChargentOrders[[#This Row],[Contract__c]],Table5[SM_Contract__c],0))</f>
        <v>DEBE 5</v>
      </c>
      <c r="G84" t="s">
        <v>457</v>
      </c>
      <c r="H84" t="s">
        <v>79</v>
      </c>
      <c r="I84" t="s">
        <v>458</v>
      </c>
      <c r="J84" s="1">
        <v>45930.419085648151</v>
      </c>
      <c r="K84">
        <v>3</v>
      </c>
      <c r="L84">
        <v>2027</v>
      </c>
      <c r="M84" t="s">
        <v>1432</v>
      </c>
      <c r="N84">
        <v>3</v>
      </c>
      <c r="O84" t="s">
        <v>1433</v>
      </c>
      <c r="P84" t="s">
        <v>73</v>
      </c>
      <c r="Q84">
        <v>2027</v>
      </c>
      <c r="R84">
        <v>11596</v>
      </c>
      <c r="T84" t="s">
        <v>67</v>
      </c>
      <c r="U84" t="s">
        <v>68</v>
      </c>
      <c r="V84">
        <v>0</v>
      </c>
      <c r="W84" t="s">
        <v>69</v>
      </c>
      <c r="X84" s="5">
        <v>45936</v>
      </c>
      <c r="Y84" t="s">
        <v>74</v>
      </c>
      <c r="Z84" t="s">
        <v>68</v>
      </c>
      <c r="AA84">
        <v>10400</v>
      </c>
      <c r="AB84">
        <v>1196</v>
      </c>
      <c r="AC84" t="s">
        <v>165</v>
      </c>
      <c r="AD84" t="s">
        <v>68</v>
      </c>
      <c r="AE84">
        <v>0</v>
      </c>
      <c r="AF84" s="1">
        <v>45933.993472222224</v>
      </c>
      <c r="AG84" s="1">
        <v>45933.993472222224</v>
      </c>
      <c r="AH84">
        <v>1</v>
      </c>
      <c r="AI84">
        <v>4</v>
      </c>
      <c r="AJ84">
        <v>11596</v>
      </c>
      <c r="AK84" t="s">
        <v>179</v>
      </c>
      <c r="AL84" t="s">
        <v>71</v>
      </c>
      <c r="AM84" t="s">
        <v>68</v>
      </c>
      <c r="AN84">
        <v>0</v>
      </c>
      <c r="AO84" s="1"/>
      <c r="AP84">
        <v>0</v>
      </c>
      <c r="AQ84">
        <v>100</v>
      </c>
      <c r="AR84">
        <v>1050</v>
      </c>
      <c r="AS84" t="s">
        <v>72</v>
      </c>
      <c r="AT84" t="s">
        <v>68</v>
      </c>
      <c r="AU84">
        <v>1</v>
      </c>
      <c r="AV84" t="s">
        <v>459</v>
      </c>
      <c r="AW84">
        <v>0</v>
      </c>
      <c r="AX84" s="1">
        <v>45546.777881944443</v>
      </c>
      <c r="AY84">
        <v>2500</v>
      </c>
      <c r="AZ84" t="s">
        <v>68</v>
      </c>
      <c r="BA84" t="s">
        <v>65</v>
      </c>
      <c r="BB84" t="s">
        <v>68</v>
      </c>
      <c r="BC84" t="s">
        <v>68</v>
      </c>
      <c r="BD84">
        <v>0</v>
      </c>
      <c r="BE84" s="1">
        <v>45933.426307870373</v>
      </c>
      <c r="BF84" s="1">
        <v>45933.993472222224</v>
      </c>
      <c r="BG84" t="s">
        <v>68</v>
      </c>
      <c r="BH84" t="s">
        <v>68</v>
      </c>
      <c r="BI84" t="s">
        <v>68</v>
      </c>
      <c r="BJ84" t="s">
        <v>68</v>
      </c>
      <c r="BK84" t="s">
        <v>68</v>
      </c>
      <c r="BL84" t="s">
        <v>68</v>
      </c>
      <c r="BM84" t="s">
        <v>68</v>
      </c>
      <c r="BN84" t="s">
        <v>68</v>
      </c>
      <c r="BO84" t="s">
        <v>96</v>
      </c>
      <c r="BP84">
        <v>0</v>
      </c>
      <c r="BQ84" t="s">
        <v>68</v>
      </c>
      <c r="BR84" t="s">
        <v>68</v>
      </c>
      <c r="BS84" t="s">
        <v>68</v>
      </c>
    </row>
    <row r="85" spans="1:71" x14ac:dyDescent="0.35">
      <c r="A85" t="b">
        <f>ISNUMBER(MATCH(ChargentOrders[[#This Row],[Contract__c]],Contract[Id],0))</f>
        <v>1</v>
      </c>
      <c r="B85">
        <f>IFERROR(INDEX(Contract[CB_Subscription__c],MATCH(ChargentOrders[[#This Row],[Contract__c]],Contract[Id],0)),0)</f>
        <v>0</v>
      </c>
      <c r="C85" t="b">
        <f>ISNUMBER(MATCH(ChargentOrders[[#This Row],[Id]],Claude[Id],0))</f>
        <v>1</v>
      </c>
      <c r="D85" t="b">
        <f>AND(ChargentOrders[[#This Row],[_Contract]],ChargentOrders[[#This Row],[CB Subscription]]=0)</f>
        <v>1</v>
      </c>
      <c r="E85" s="38">
        <f>INDEX(Table5[CUENTA],MATCH(ChargentOrders[[#This Row],[Contract__c]],Table5[SM_Contract__c],0))</f>
        <v>46081</v>
      </c>
      <c r="F85" s="38" t="str">
        <f ca="1">INDEX(Table5[ESTADO],MATCH(ChargentOrders[[#This Row],[Contract__c]],Table5[SM_Contract__c],0))</f>
        <v>DEBE 5</v>
      </c>
      <c r="G85" t="s">
        <v>460</v>
      </c>
      <c r="H85" t="s">
        <v>79</v>
      </c>
      <c r="I85" t="s">
        <v>461</v>
      </c>
      <c r="J85" s="1">
        <v>45930.420856481483</v>
      </c>
      <c r="K85">
        <v>2</v>
      </c>
      <c r="L85">
        <v>2026</v>
      </c>
      <c r="M85" t="s">
        <v>1407</v>
      </c>
      <c r="N85">
        <v>2</v>
      </c>
      <c r="O85" t="s">
        <v>1442</v>
      </c>
      <c r="P85" t="s">
        <v>73</v>
      </c>
      <c r="Q85">
        <v>2026</v>
      </c>
      <c r="R85">
        <v>11596</v>
      </c>
      <c r="T85" t="s">
        <v>67</v>
      </c>
      <c r="U85" t="s">
        <v>68</v>
      </c>
      <c r="V85">
        <v>0</v>
      </c>
      <c r="W85" t="s">
        <v>69</v>
      </c>
      <c r="X85" s="5">
        <v>45940</v>
      </c>
      <c r="Y85" t="s">
        <v>74</v>
      </c>
      <c r="Z85" t="s">
        <v>68</v>
      </c>
      <c r="AA85">
        <v>10400</v>
      </c>
      <c r="AB85">
        <v>1196</v>
      </c>
      <c r="AC85" t="s">
        <v>252</v>
      </c>
      <c r="AD85" t="s">
        <v>68</v>
      </c>
      <c r="AE85">
        <v>0</v>
      </c>
      <c r="AF85" s="1">
        <v>45940.426180555558</v>
      </c>
      <c r="AG85" s="1">
        <v>45940.426203703704</v>
      </c>
      <c r="AH85">
        <v>1</v>
      </c>
      <c r="AI85">
        <v>1</v>
      </c>
      <c r="AJ85">
        <v>11596</v>
      </c>
      <c r="AK85" t="s">
        <v>253</v>
      </c>
      <c r="AL85" t="s">
        <v>71</v>
      </c>
      <c r="AM85" t="s">
        <v>68</v>
      </c>
      <c r="AN85">
        <v>0</v>
      </c>
      <c r="AO85" s="1"/>
      <c r="AP85">
        <v>0</v>
      </c>
      <c r="AQ85">
        <v>100</v>
      </c>
      <c r="AR85">
        <v>1050</v>
      </c>
      <c r="AS85" t="s">
        <v>72</v>
      </c>
      <c r="AT85" t="s">
        <v>68</v>
      </c>
      <c r="AU85">
        <v>1</v>
      </c>
      <c r="AV85" t="s">
        <v>462</v>
      </c>
      <c r="AW85">
        <v>0</v>
      </c>
      <c r="AX85" s="1">
        <v>45723.426469907405</v>
      </c>
      <c r="AY85">
        <v>2500</v>
      </c>
      <c r="AZ85" t="s">
        <v>68</v>
      </c>
      <c r="BA85" t="s">
        <v>65</v>
      </c>
      <c r="BB85" t="s">
        <v>68</v>
      </c>
      <c r="BC85" t="s">
        <v>68</v>
      </c>
      <c r="BD85">
        <v>0</v>
      </c>
      <c r="BE85" s="1"/>
      <c r="BF85" s="1">
        <v>45940.426180555558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68</v>
      </c>
      <c r="BN85" t="s">
        <v>68</v>
      </c>
      <c r="BO85" t="s">
        <v>96</v>
      </c>
      <c r="BP85">
        <v>0</v>
      </c>
      <c r="BQ85" t="s">
        <v>68</v>
      </c>
      <c r="BR85" t="s">
        <v>68</v>
      </c>
      <c r="BS85" t="s">
        <v>192</v>
      </c>
    </row>
    <row r="86" spans="1:71" x14ac:dyDescent="0.35">
      <c r="A86" t="b">
        <f>ISNUMBER(MATCH(ChargentOrders[[#This Row],[Contract__c]],Contract[Id],0))</f>
        <v>1</v>
      </c>
      <c r="B86">
        <f>IFERROR(INDEX(Contract[CB_Subscription__c],MATCH(ChargentOrders[[#This Row],[Contract__c]],Contract[Id],0)),0)</f>
        <v>0</v>
      </c>
      <c r="C86" t="b">
        <f>ISNUMBER(MATCH(ChargentOrders[[#This Row],[Id]],Claude[Id],0))</f>
        <v>1</v>
      </c>
      <c r="D86" t="b">
        <f>AND(ChargentOrders[[#This Row],[_Contract]],ChargentOrders[[#This Row],[CB Subscription]]=0)</f>
        <v>1</v>
      </c>
      <c r="E86" s="38">
        <f>INDEX(Table5[CUENTA],MATCH(ChargentOrders[[#This Row],[Contract__c]],Table5[SM_Contract__c],0))</f>
        <v>46081</v>
      </c>
      <c r="F86" s="38" t="str">
        <f ca="1">INDEX(Table5[ESTADO],MATCH(ChargentOrders[[#This Row],[Contract__c]],Table5[SM_Contract__c],0))</f>
        <v>DEBE 5</v>
      </c>
      <c r="G86" t="s">
        <v>463</v>
      </c>
      <c r="H86" t="s">
        <v>81</v>
      </c>
      <c r="I86" t="s">
        <v>464</v>
      </c>
      <c r="J86" s="1">
        <v>45930.421261574076</v>
      </c>
      <c r="K86">
        <v>11</v>
      </c>
      <c r="L86">
        <v>2029</v>
      </c>
      <c r="M86" t="s">
        <v>1444</v>
      </c>
      <c r="N86">
        <v>11</v>
      </c>
      <c r="O86" t="s">
        <v>1445</v>
      </c>
      <c r="P86" t="s">
        <v>73</v>
      </c>
      <c r="Q86">
        <v>2029</v>
      </c>
      <c r="R86">
        <v>11596</v>
      </c>
      <c r="T86" t="s">
        <v>67</v>
      </c>
      <c r="U86" t="s">
        <v>68</v>
      </c>
      <c r="V86">
        <v>0</v>
      </c>
      <c r="W86" t="s">
        <v>69</v>
      </c>
      <c r="X86" s="5">
        <v>45943</v>
      </c>
      <c r="Y86" t="s">
        <v>74</v>
      </c>
      <c r="Z86" t="s">
        <v>68</v>
      </c>
      <c r="AA86">
        <v>10400</v>
      </c>
      <c r="AB86">
        <v>1196</v>
      </c>
      <c r="AC86" t="s">
        <v>264</v>
      </c>
      <c r="AD86" t="s">
        <v>68</v>
      </c>
      <c r="AE86">
        <v>0</v>
      </c>
      <c r="AF86" s="1">
        <v>45943.425486111111</v>
      </c>
      <c r="AG86" s="1">
        <v>45943.425509259258</v>
      </c>
      <c r="AH86">
        <v>1</v>
      </c>
      <c r="AI86">
        <v>13</v>
      </c>
      <c r="AJ86">
        <v>11596</v>
      </c>
      <c r="AK86" t="s">
        <v>265</v>
      </c>
      <c r="AL86" t="s">
        <v>71</v>
      </c>
      <c r="AM86" t="s">
        <v>68</v>
      </c>
      <c r="AN86">
        <v>0</v>
      </c>
      <c r="AO86" s="1"/>
      <c r="AP86">
        <v>0</v>
      </c>
      <c r="AQ86">
        <v>100</v>
      </c>
      <c r="AR86">
        <v>1050</v>
      </c>
      <c r="AS86" t="s">
        <v>72</v>
      </c>
      <c r="AT86" t="s">
        <v>68</v>
      </c>
      <c r="AU86">
        <v>1</v>
      </c>
      <c r="AV86" t="s">
        <v>465</v>
      </c>
      <c r="AW86">
        <v>0</v>
      </c>
      <c r="AX86" s="1">
        <v>45744.431817129633</v>
      </c>
      <c r="AY86">
        <v>2500</v>
      </c>
      <c r="AZ86" t="s">
        <v>68</v>
      </c>
      <c r="BA86" t="s">
        <v>65</v>
      </c>
      <c r="BB86" t="s">
        <v>68</v>
      </c>
      <c r="BC86" t="s">
        <v>68</v>
      </c>
      <c r="BD86">
        <v>0</v>
      </c>
      <c r="BE86" s="1">
        <v>45940.999884259261</v>
      </c>
      <c r="BF86" s="1">
        <v>45943.425486111111</v>
      </c>
      <c r="BG86" t="s">
        <v>68</v>
      </c>
      <c r="BH86" t="s">
        <v>68</v>
      </c>
      <c r="BI86" t="s">
        <v>68</v>
      </c>
      <c r="BJ86" t="s">
        <v>68</v>
      </c>
      <c r="BK86" t="s">
        <v>68</v>
      </c>
      <c r="BL86" t="s">
        <v>68</v>
      </c>
      <c r="BM86" t="s">
        <v>68</v>
      </c>
      <c r="BN86" t="s">
        <v>68</v>
      </c>
      <c r="BO86" t="s">
        <v>96</v>
      </c>
      <c r="BP86">
        <v>0</v>
      </c>
      <c r="BQ86" t="s">
        <v>68</v>
      </c>
      <c r="BR86" t="s">
        <v>68</v>
      </c>
      <c r="BS86" t="s">
        <v>68</v>
      </c>
    </row>
    <row r="87" spans="1:71" x14ac:dyDescent="0.35">
      <c r="A87" t="b">
        <f>ISNUMBER(MATCH(ChargentOrders[[#This Row],[Contract__c]],Contract[Id],0))</f>
        <v>1</v>
      </c>
      <c r="B87">
        <f>IFERROR(INDEX(Contract[CB_Subscription__c],MATCH(ChargentOrders[[#This Row],[Contract__c]],Contract[Id],0)),0)</f>
        <v>0</v>
      </c>
      <c r="C87" t="b">
        <f>ISNUMBER(MATCH(ChargentOrders[[#This Row],[Id]],Claude[Id],0))</f>
        <v>1</v>
      </c>
      <c r="D87" t="b">
        <f>AND(ChargentOrders[[#This Row],[_Contract]],ChargentOrders[[#This Row],[CB Subscription]]=0)</f>
        <v>1</v>
      </c>
      <c r="E87" s="38">
        <f>INDEX(Table5[CUENTA],MATCH(ChargentOrders[[#This Row],[Contract__c]],Table5[SM_Contract__c],0))</f>
        <v>46081</v>
      </c>
      <c r="F87" s="38" t="str">
        <f ca="1">INDEX(Table5[ESTADO],MATCH(ChargentOrders[[#This Row],[Contract__c]],Table5[SM_Contract__c],0))</f>
        <v>DEBE 5</v>
      </c>
      <c r="G87" t="s">
        <v>474</v>
      </c>
      <c r="H87" t="s">
        <v>78</v>
      </c>
      <c r="I87" t="s">
        <v>475</v>
      </c>
      <c r="J87" s="1">
        <v>45933.414282407408</v>
      </c>
      <c r="K87">
        <v>2</v>
      </c>
      <c r="L87">
        <v>2026</v>
      </c>
      <c r="M87" t="s">
        <v>1407</v>
      </c>
      <c r="N87">
        <v>2</v>
      </c>
      <c r="O87" t="s">
        <v>1462</v>
      </c>
      <c r="P87" t="s">
        <v>73</v>
      </c>
      <c r="Q87">
        <v>2026</v>
      </c>
      <c r="R87">
        <v>11596</v>
      </c>
      <c r="T87" t="s">
        <v>67</v>
      </c>
      <c r="U87" t="s">
        <v>68</v>
      </c>
      <c r="V87">
        <v>0</v>
      </c>
      <c r="W87" t="s">
        <v>69</v>
      </c>
      <c r="X87" s="5">
        <v>45940</v>
      </c>
      <c r="Y87" t="s">
        <v>74</v>
      </c>
      <c r="Z87" t="s">
        <v>68</v>
      </c>
      <c r="AA87">
        <v>10400</v>
      </c>
      <c r="AB87">
        <v>1196</v>
      </c>
      <c r="AC87" t="s">
        <v>252</v>
      </c>
      <c r="AD87" t="s">
        <v>68</v>
      </c>
      <c r="AE87">
        <v>0</v>
      </c>
      <c r="AF87" s="1">
        <v>45940.427025462966</v>
      </c>
      <c r="AG87" s="1">
        <v>45940.427106481482</v>
      </c>
      <c r="AH87">
        <v>1</v>
      </c>
      <c r="AI87">
        <v>1</v>
      </c>
      <c r="AJ87">
        <v>11596</v>
      </c>
      <c r="AK87" t="s">
        <v>253</v>
      </c>
      <c r="AL87" t="s">
        <v>71</v>
      </c>
      <c r="AM87" t="s">
        <v>476</v>
      </c>
      <c r="AN87">
        <v>0</v>
      </c>
      <c r="AO87" s="1"/>
      <c r="AP87">
        <v>1</v>
      </c>
      <c r="AQ87">
        <v>1</v>
      </c>
      <c r="AR87">
        <v>105</v>
      </c>
      <c r="AS87" t="s">
        <v>75</v>
      </c>
      <c r="AT87" t="s">
        <v>68</v>
      </c>
      <c r="AU87">
        <v>1</v>
      </c>
      <c r="AV87" t="s">
        <v>68</v>
      </c>
      <c r="AW87">
        <v>0</v>
      </c>
      <c r="AX87" s="1"/>
      <c r="AY87">
        <v>2500</v>
      </c>
      <c r="AZ87" t="s">
        <v>68</v>
      </c>
      <c r="BA87" t="s">
        <v>68</v>
      </c>
      <c r="BB87" t="s">
        <v>68</v>
      </c>
      <c r="BC87" t="s">
        <v>68</v>
      </c>
      <c r="BD87">
        <v>0</v>
      </c>
      <c r="BE87" s="1"/>
      <c r="BF87" s="1">
        <v>45940.427025462966</v>
      </c>
      <c r="BG87" t="s">
        <v>68</v>
      </c>
      <c r="BH87" t="s">
        <v>68</v>
      </c>
      <c r="BI87" t="s">
        <v>68</v>
      </c>
      <c r="BJ87" t="s">
        <v>68</v>
      </c>
      <c r="BK87" t="s">
        <v>68</v>
      </c>
      <c r="BL87" t="s">
        <v>68</v>
      </c>
      <c r="BM87" t="s">
        <v>68</v>
      </c>
      <c r="BN87" t="s">
        <v>68</v>
      </c>
      <c r="BO87" t="s">
        <v>96</v>
      </c>
      <c r="BP87">
        <v>0</v>
      </c>
      <c r="BQ87" t="s">
        <v>68</v>
      </c>
      <c r="BR87" t="s">
        <v>68</v>
      </c>
      <c r="BS87" t="s">
        <v>346</v>
      </c>
    </row>
    <row r="88" spans="1:71" x14ac:dyDescent="0.35">
      <c r="A88" t="b">
        <f>ISNUMBER(MATCH(ChargentOrders[[#This Row],[Contract__c]],Contract[Id],0))</f>
        <v>1</v>
      </c>
      <c r="B88">
        <f>IFERROR(INDEX(Contract[CB_Subscription__c],MATCH(ChargentOrders[[#This Row],[Contract__c]],Contract[Id],0)),0)</f>
        <v>0</v>
      </c>
      <c r="C88" t="b">
        <f>ISNUMBER(MATCH(ChargentOrders[[#This Row],[Id]],Claude[Id],0))</f>
        <v>1</v>
      </c>
      <c r="D88" t="b">
        <f>AND(ChargentOrders[[#This Row],[_Contract]],ChargentOrders[[#This Row],[CB Subscription]]=0)</f>
        <v>1</v>
      </c>
      <c r="E88" s="38">
        <f>INDEX(Table5[CUENTA],MATCH(ChargentOrders[[#This Row],[Contract__c]],Table5[SM_Contract__c],0))</f>
        <v>46081</v>
      </c>
      <c r="F88" s="38" t="str">
        <f ca="1">INDEX(Table5[ESTADO],MATCH(ChargentOrders[[#This Row],[Contract__c]],Table5[SM_Contract__c],0))</f>
        <v>DEBE 5</v>
      </c>
      <c r="G88" t="s">
        <v>477</v>
      </c>
      <c r="H88" t="s">
        <v>79</v>
      </c>
      <c r="I88" t="s">
        <v>478</v>
      </c>
      <c r="J88" s="1">
        <v>45944.638067129628</v>
      </c>
      <c r="K88">
        <v>9</v>
      </c>
      <c r="L88">
        <v>2030</v>
      </c>
      <c r="M88" t="s">
        <v>1463</v>
      </c>
      <c r="N88">
        <v>9</v>
      </c>
      <c r="O88" t="s">
        <v>1464</v>
      </c>
      <c r="P88" t="s">
        <v>73</v>
      </c>
      <c r="Q88">
        <v>2030</v>
      </c>
      <c r="R88">
        <v>0</v>
      </c>
      <c r="T88" t="s">
        <v>67</v>
      </c>
      <c r="U88" t="s">
        <v>68</v>
      </c>
      <c r="V88">
        <v>0</v>
      </c>
      <c r="W88" t="s">
        <v>69</v>
      </c>
      <c r="X88" s="5"/>
      <c r="Y88" t="s">
        <v>68</v>
      </c>
      <c r="Z88" t="s">
        <v>68</v>
      </c>
      <c r="AA88">
        <v>0</v>
      </c>
      <c r="AC88" t="s">
        <v>479</v>
      </c>
      <c r="AD88" t="s">
        <v>68</v>
      </c>
      <c r="AE88">
        <v>0</v>
      </c>
      <c r="AF88" s="1"/>
      <c r="AG88" s="1">
        <v>45944.638090277775</v>
      </c>
      <c r="AH88">
        <v>0</v>
      </c>
      <c r="AI88">
        <v>1</v>
      </c>
      <c r="AJ88">
        <v>0</v>
      </c>
      <c r="AK88" t="s">
        <v>480</v>
      </c>
      <c r="AL88" t="s">
        <v>68</v>
      </c>
      <c r="AM88" t="s">
        <v>68</v>
      </c>
      <c r="AN88">
        <v>0</v>
      </c>
      <c r="AO88" s="1"/>
      <c r="AP88">
        <v>1</v>
      </c>
      <c r="AS88" t="s">
        <v>75</v>
      </c>
      <c r="AT88" t="s">
        <v>68</v>
      </c>
      <c r="AU88">
        <v>0</v>
      </c>
      <c r="AV88" t="s">
        <v>68</v>
      </c>
      <c r="AW88">
        <v>1</v>
      </c>
      <c r="AX88" s="1"/>
      <c r="AZ88" t="s">
        <v>68</v>
      </c>
      <c r="BA88" t="s">
        <v>68</v>
      </c>
      <c r="BB88" t="s">
        <v>68</v>
      </c>
      <c r="BC88" t="s">
        <v>68</v>
      </c>
      <c r="BD88">
        <v>0</v>
      </c>
      <c r="BE88" s="1"/>
      <c r="BF88" s="1">
        <v>45944.638090277775</v>
      </c>
      <c r="BG88" t="s">
        <v>68</v>
      </c>
      <c r="BH88" t="s">
        <v>68</v>
      </c>
      <c r="BI88" t="s">
        <v>68</v>
      </c>
      <c r="BJ88" t="s">
        <v>68</v>
      </c>
      <c r="BK88" t="s">
        <v>68</v>
      </c>
      <c r="BL88" t="s">
        <v>68</v>
      </c>
      <c r="BM88" t="s">
        <v>68</v>
      </c>
      <c r="BN88" t="s">
        <v>68</v>
      </c>
      <c r="BO88" t="s">
        <v>96</v>
      </c>
      <c r="BP88">
        <v>0</v>
      </c>
      <c r="BQ88" t="s">
        <v>68</v>
      </c>
      <c r="BR88" t="s">
        <v>68</v>
      </c>
      <c r="BS88" t="s">
        <v>68</v>
      </c>
    </row>
    <row r="89" spans="1:71" x14ac:dyDescent="0.35">
      <c r="A89" t="b">
        <f>ISNUMBER(MATCH(ChargentOrders[[#This Row],[Contract__c]],Contract[Id],0))</f>
        <v>1</v>
      </c>
      <c r="B89">
        <f>IFERROR(INDEX(Contract[CB_Subscription__c],MATCH(ChargentOrders[[#This Row],[Contract__c]],Contract[Id],0)),0)</f>
        <v>0</v>
      </c>
      <c r="C89" t="b">
        <f>ISNUMBER(MATCH(ChargentOrders[[#This Row],[Id]],Claude[Id],0))</f>
        <v>1</v>
      </c>
      <c r="D89" t="b">
        <f>AND(ChargentOrders[[#This Row],[_Contract]],ChargentOrders[[#This Row],[CB Subscription]]=0)</f>
        <v>1</v>
      </c>
      <c r="E89" s="38">
        <f>INDEX(Table5[CUENTA],MATCH(ChargentOrders[[#This Row],[Contract__c]],Table5[SM_Contract__c],0))</f>
        <v>46081</v>
      </c>
      <c r="F89" s="38" t="str">
        <f ca="1">INDEX(Table5[ESTADO],MATCH(ChargentOrders[[#This Row],[Contract__c]],Table5[SM_Contract__c],0))</f>
        <v>DEBE 5</v>
      </c>
      <c r="G89" t="s">
        <v>481</v>
      </c>
      <c r="H89" t="s">
        <v>79</v>
      </c>
      <c r="I89" t="s">
        <v>482</v>
      </c>
      <c r="J89" s="1">
        <v>45944.639305555553</v>
      </c>
      <c r="K89">
        <v>9</v>
      </c>
      <c r="L89">
        <v>2030</v>
      </c>
      <c r="M89" t="s">
        <v>1463</v>
      </c>
      <c r="N89">
        <v>9</v>
      </c>
      <c r="O89" t="s">
        <v>1464</v>
      </c>
      <c r="P89" t="s">
        <v>73</v>
      </c>
      <c r="Q89">
        <v>2030</v>
      </c>
      <c r="R89">
        <v>1490</v>
      </c>
      <c r="T89" t="s">
        <v>67</v>
      </c>
      <c r="U89" t="s">
        <v>68</v>
      </c>
      <c r="V89">
        <v>0</v>
      </c>
      <c r="W89" t="s">
        <v>69</v>
      </c>
      <c r="X89" s="5">
        <v>45944</v>
      </c>
      <c r="Y89" t="s">
        <v>74</v>
      </c>
      <c r="Z89" t="s">
        <v>68</v>
      </c>
      <c r="AA89">
        <v>14900</v>
      </c>
      <c r="AB89">
        <v>0</v>
      </c>
      <c r="AC89" t="s">
        <v>479</v>
      </c>
      <c r="AD89" t="s">
        <v>68</v>
      </c>
      <c r="AE89">
        <v>0</v>
      </c>
      <c r="AF89" s="1">
        <v>45944.639513888891</v>
      </c>
      <c r="AG89" s="1">
        <v>45944.639513888891</v>
      </c>
      <c r="AH89">
        <v>1</v>
      </c>
      <c r="AI89">
        <v>1</v>
      </c>
      <c r="AJ89">
        <v>1490</v>
      </c>
      <c r="AK89" t="s">
        <v>480</v>
      </c>
      <c r="AL89" t="s">
        <v>77</v>
      </c>
      <c r="AM89" t="s">
        <v>68</v>
      </c>
      <c r="AN89">
        <v>0</v>
      </c>
      <c r="AO89" s="1"/>
      <c r="AP89">
        <v>1</v>
      </c>
      <c r="AQ89">
        <v>0</v>
      </c>
      <c r="AR89">
        <v>0</v>
      </c>
      <c r="AS89" t="s">
        <v>75</v>
      </c>
      <c r="AT89" t="s">
        <v>68</v>
      </c>
      <c r="AU89">
        <v>0</v>
      </c>
      <c r="AV89" t="s">
        <v>68</v>
      </c>
      <c r="AW89">
        <v>0</v>
      </c>
      <c r="AX89" s="1"/>
      <c r="AZ89" t="s">
        <v>68</v>
      </c>
      <c r="BA89" t="s">
        <v>68</v>
      </c>
      <c r="BB89" t="s">
        <v>68</v>
      </c>
      <c r="BC89" t="s">
        <v>68</v>
      </c>
      <c r="BD89">
        <v>0</v>
      </c>
      <c r="BE89" s="1"/>
      <c r="BF89" s="1">
        <v>45944.639513888891</v>
      </c>
      <c r="BG89" t="s">
        <v>68</v>
      </c>
      <c r="BH89" t="s">
        <v>68</v>
      </c>
      <c r="BI89" t="s">
        <v>68</v>
      </c>
      <c r="BJ89" t="s">
        <v>68</v>
      </c>
      <c r="BK89" t="s">
        <v>68</v>
      </c>
      <c r="BL89" t="s">
        <v>68</v>
      </c>
      <c r="BM89" t="s">
        <v>68</v>
      </c>
      <c r="BN89" t="s">
        <v>68</v>
      </c>
      <c r="BO89" t="s">
        <v>96</v>
      </c>
      <c r="BP89">
        <v>0</v>
      </c>
      <c r="BQ89" t="s">
        <v>68</v>
      </c>
      <c r="BR89" t="s">
        <v>68</v>
      </c>
      <c r="BS89" t="s">
        <v>68</v>
      </c>
    </row>
    <row r="90" spans="1:71" x14ac:dyDescent="0.35">
      <c r="A90" t="b">
        <f>ISNUMBER(MATCH(ChargentOrders[[#This Row],[Contract__c]],Contract[Id],0))</f>
        <v>1</v>
      </c>
      <c r="B90">
        <f>IFERROR(INDEX(Contract[CB_Subscription__c],MATCH(ChargentOrders[[#This Row],[Contract__c]],Contract[Id],0)),0)</f>
        <v>0</v>
      </c>
      <c r="C90" t="b">
        <f>ISNUMBER(MATCH(ChargentOrders[[#This Row],[Id]],Claude[Id],0))</f>
        <v>1</v>
      </c>
      <c r="D90" t="b">
        <f>AND(ChargentOrders[[#This Row],[_Contract]],ChargentOrders[[#This Row],[CB Subscription]]=0)</f>
        <v>1</v>
      </c>
      <c r="E90" s="38">
        <f>INDEX(Table5[CUENTA],MATCH(ChargentOrders[[#This Row],[Contract__c]],Table5[SM_Contract__c],0))</f>
        <v>46081</v>
      </c>
      <c r="F90" s="38" t="str">
        <f ca="1">INDEX(Table5[ESTADO],MATCH(ChargentOrders[[#This Row],[Contract__c]],Table5[SM_Contract__c],0))</f>
        <v>DEBE 5</v>
      </c>
      <c r="G90" t="s">
        <v>483</v>
      </c>
      <c r="H90" t="s">
        <v>79</v>
      </c>
      <c r="I90" t="s">
        <v>484</v>
      </c>
      <c r="J90" s="1">
        <v>45944.639537037037</v>
      </c>
      <c r="K90">
        <v>9</v>
      </c>
      <c r="L90">
        <v>2030</v>
      </c>
      <c r="M90" t="s">
        <v>1463</v>
      </c>
      <c r="N90">
        <v>9</v>
      </c>
      <c r="O90" t="s">
        <v>1463</v>
      </c>
      <c r="P90" t="s">
        <v>73</v>
      </c>
      <c r="Q90">
        <v>2030</v>
      </c>
      <c r="R90">
        <v>6900</v>
      </c>
      <c r="S90">
        <v>30</v>
      </c>
      <c r="T90" t="s">
        <v>67</v>
      </c>
      <c r="U90" t="s">
        <v>68</v>
      </c>
      <c r="V90">
        <v>0</v>
      </c>
      <c r="W90" t="s">
        <v>69</v>
      </c>
      <c r="X90" s="5">
        <v>46233</v>
      </c>
      <c r="Y90" t="s">
        <v>84</v>
      </c>
      <c r="Z90" t="s">
        <v>68</v>
      </c>
      <c r="AA90">
        <v>6900</v>
      </c>
      <c r="AB90">
        <v>0</v>
      </c>
      <c r="AC90" t="s">
        <v>479</v>
      </c>
      <c r="AD90" t="s">
        <v>68</v>
      </c>
      <c r="AE90">
        <v>0</v>
      </c>
      <c r="AF90" s="1"/>
      <c r="AG90" s="1"/>
      <c r="AH90">
        <v>0</v>
      </c>
      <c r="AI90">
        <v>8</v>
      </c>
      <c r="AJ90">
        <v>0</v>
      </c>
      <c r="AK90" t="s">
        <v>480</v>
      </c>
      <c r="AL90" t="s">
        <v>76</v>
      </c>
      <c r="AM90" t="s">
        <v>68</v>
      </c>
      <c r="AN90">
        <v>0</v>
      </c>
      <c r="AO90" s="1"/>
      <c r="AP90">
        <v>8</v>
      </c>
      <c r="AQ90">
        <v>0</v>
      </c>
      <c r="AR90">
        <v>0</v>
      </c>
      <c r="AS90" t="s">
        <v>75</v>
      </c>
      <c r="AT90" t="s">
        <v>68</v>
      </c>
      <c r="AU90">
        <v>0</v>
      </c>
      <c r="AV90" t="s">
        <v>68</v>
      </c>
      <c r="AW90">
        <v>0</v>
      </c>
      <c r="AX90" s="1"/>
      <c r="AZ90" t="s">
        <v>68</v>
      </c>
      <c r="BA90" t="s">
        <v>68</v>
      </c>
      <c r="BB90" t="s">
        <v>68</v>
      </c>
      <c r="BC90" t="s">
        <v>68</v>
      </c>
      <c r="BD90">
        <v>0</v>
      </c>
      <c r="BE90" s="1">
        <v>46203.417094907411</v>
      </c>
      <c r="BF90" s="1">
        <v>46203.417094907411</v>
      </c>
      <c r="BG90" t="s">
        <v>68</v>
      </c>
      <c r="BH90" t="s">
        <v>68</v>
      </c>
      <c r="BI90" t="s">
        <v>68</v>
      </c>
      <c r="BJ90" t="s">
        <v>68</v>
      </c>
      <c r="BK90" t="s">
        <v>68</v>
      </c>
      <c r="BL90" t="s">
        <v>68</v>
      </c>
      <c r="BM90" t="s">
        <v>68</v>
      </c>
      <c r="BN90" t="s">
        <v>68</v>
      </c>
      <c r="BO90" t="s">
        <v>96</v>
      </c>
      <c r="BP90">
        <v>0</v>
      </c>
      <c r="BQ90" t="s">
        <v>68</v>
      </c>
      <c r="BR90" t="s">
        <v>68</v>
      </c>
      <c r="BS90" t="s">
        <v>68</v>
      </c>
    </row>
    <row r="91" spans="1:71" x14ac:dyDescent="0.35">
      <c r="A91" t="b">
        <f>ISNUMBER(MATCH(ChargentOrders[[#This Row],[Contract__c]],Contract[Id],0))</f>
        <v>1</v>
      </c>
      <c r="B91">
        <f>IFERROR(INDEX(Contract[CB_Subscription__c],MATCH(ChargentOrders[[#This Row],[Contract__c]],Contract[Id],0)),0)</f>
        <v>0</v>
      </c>
      <c r="C91" t="b">
        <f>ISNUMBER(MATCH(ChargentOrders[[#This Row],[Id]],Claude[Id],0))</f>
        <v>1</v>
      </c>
      <c r="D91" t="b">
        <f>AND(ChargentOrders[[#This Row],[_Contract]],ChargentOrders[[#This Row],[CB Subscription]]=0)</f>
        <v>1</v>
      </c>
      <c r="E91" s="38">
        <f>INDEX(Table5[CUENTA],MATCH(ChargentOrders[[#This Row],[Contract__c]],Table5[SM_Contract__c],0))</f>
        <v>46081</v>
      </c>
      <c r="F91" s="38" t="str">
        <f ca="1">INDEX(Table5[ESTADO],MATCH(ChargentOrders[[#This Row],[Contract__c]],Table5[SM_Contract__c],0))</f>
        <v>DEBE 5</v>
      </c>
      <c r="G91" t="s">
        <v>487</v>
      </c>
      <c r="H91" t="s">
        <v>155</v>
      </c>
      <c r="I91" t="s">
        <v>488</v>
      </c>
      <c r="J91" s="1">
        <v>45953.587141203701</v>
      </c>
      <c r="K91">
        <v>10</v>
      </c>
      <c r="L91">
        <v>2030</v>
      </c>
      <c r="M91" t="s">
        <v>1461</v>
      </c>
      <c r="N91">
        <v>10</v>
      </c>
      <c r="O91" t="s">
        <v>68</v>
      </c>
      <c r="P91" t="s">
        <v>73</v>
      </c>
      <c r="Q91">
        <v>2030</v>
      </c>
      <c r="R91">
        <v>0</v>
      </c>
      <c r="T91" t="s">
        <v>107</v>
      </c>
      <c r="U91" t="s">
        <v>68</v>
      </c>
      <c r="V91">
        <v>0</v>
      </c>
      <c r="W91" t="s">
        <v>69</v>
      </c>
      <c r="X91" s="5"/>
      <c r="Y91" t="s">
        <v>68</v>
      </c>
      <c r="Z91" t="s">
        <v>68</v>
      </c>
      <c r="AA91">
        <v>0</v>
      </c>
      <c r="AC91" t="s">
        <v>489</v>
      </c>
      <c r="AD91" t="s">
        <v>68</v>
      </c>
      <c r="AE91">
        <v>0</v>
      </c>
      <c r="AF91" s="1"/>
      <c r="AG91" s="1">
        <v>45953.587175925924</v>
      </c>
      <c r="AH91">
        <v>0</v>
      </c>
      <c r="AI91">
        <v>1</v>
      </c>
      <c r="AJ91">
        <v>0</v>
      </c>
      <c r="AK91" t="s">
        <v>490</v>
      </c>
      <c r="AL91" t="s">
        <v>68</v>
      </c>
      <c r="AM91" t="s">
        <v>68</v>
      </c>
      <c r="AN91">
        <v>0</v>
      </c>
      <c r="AO91" s="1"/>
      <c r="AP91">
        <v>1</v>
      </c>
      <c r="AS91" t="s">
        <v>75</v>
      </c>
      <c r="AT91" t="s">
        <v>68</v>
      </c>
      <c r="AU91">
        <v>0</v>
      </c>
      <c r="AV91" t="s">
        <v>68</v>
      </c>
      <c r="AW91">
        <v>1</v>
      </c>
      <c r="AX91" s="1"/>
      <c r="AZ91" t="s">
        <v>68</v>
      </c>
      <c r="BA91" t="s">
        <v>68</v>
      </c>
      <c r="BB91" t="s">
        <v>68</v>
      </c>
      <c r="BC91" t="s">
        <v>68</v>
      </c>
      <c r="BD91">
        <v>0</v>
      </c>
      <c r="BE91" s="1"/>
      <c r="BF91" s="1">
        <v>45953.587175925924</v>
      </c>
      <c r="BG91" t="s">
        <v>68</v>
      </c>
      <c r="BH91" t="s">
        <v>68</v>
      </c>
      <c r="BI91" t="s">
        <v>68</v>
      </c>
      <c r="BJ91" t="s">
        <v>68</v>
      </c>
      <c r="BK91" t="s">
        <v>68</v>
      </c>
      <c r="BL91" t="s">
        <v>68</v>
      </c>
      <c r="BM91" t="s">
        <v>68</v>
      </c>
      <c r="BN91" t="s">
        <v>68</v>
      </c>
      <c r="BO91" t="s">
        <v>96</v>
      </c>
      <c r="BP91">
        <v>0</v>
      </c>
      <c r="BQ91" t="s">
        <v>68</v>
      </c>
      <c r="BR91" t="s">
        <v>68</v>
      </c>
      <c r="BS91" t="s">
        <v>68</v>
      </c>
    </row>
    <row r="92" spans="1:71" x14ac:dyDescent="0.35">
      <c r="A92" t="b">
        <f>ISNUMBER(MATCH(ChargentOrders[[#This Row],[Contract__c]],Contract[Id],0))</f>
        <v>1</v>
      </c>
      <c r="B92">
        <f>IFERROR(INDEX(Contract[CB_Subscription__c],MATCH(ChargentOrders[[#This Row],[Contract__c]],Contract[Id],0)),0)</f>
        <v>0</v>
      </c>
      <c r="C92" t="b">
        <f>ISNUMBER(MATCH(ChargentOrders[[#This Row],[Id]],Claude[Id],0))</f>
        <v>1</v>
      </c>
      <c r="D92" t="b">
        <f>AND(ChargentOrders[[#This Row],[_Contract]],ChargentOrders[[#This Row],[CB Subscription]]=0)</f>
        <v>1</v>
      </c>
      <c r="E92" s="38">
        <f>INDEX(Table5[CUENTA],MATCH(ChargentOrders[[#This Row],[Contract__c]],Table5[SM_Contract__c],0))</f>
        <v>46081</v>
      </c>
      <c r="F92" s="38" t="str">
        <f ca="1">INDEX(Table5[ESTADO],MATCH(ChargentOrders[[#This Row],[Contract__c]],Table5[SM_Contract__c],0))</f>
        <v>DEBE 5</v>
      </c>
      <c r="G92" t="s">
        <v>491</v>
      </c>
      <c r="H92" t="s">
        <v>155</v>
      </c>
      <c r="I92" t="s">
        <v>492</v>
      </c>
      <c r="J92" s="1">
        <v>45953.587361111109</v>
      </c>
      <c r="K92">
        <v>10</v>
      </c>
      <c r="L92">
        <v>2030</v>
      </c>
      <c r="M92" t="s">
        <v>1461</v>
      </c>
      <c r="N92">
        <v>10</v>
      </c>
      <c r="O92" t="s">
        <v>68</v>
      </c>
      <c r="P92" t="s">
        <v>73</v>
      </c>
      <c r="Q92">
        <v>2030</v>
      </c>
      <c r="R92">
        <v>14900</v>
      </c>
      <c r="T92" t="s">
        <v>107</v>
      </c>
      <c r="U92" t="s">
        <v>68</v>
      </c>
      <c r="V92">
        <v>0</v>
      </c>
      <c r="W92" t="s">
        <v>69</v>
      </c>
      <c r="X92" s="5">
        <v>45961</v>
      </c>
      <c r="Y92" t="s">
        <v>74</v>
      </c>
      <c r="Z92" t="s">
        <v>68</v>
      </c>
      <c r="AA92">
        <v>14900</v>
      </c>
      <c r="AB92">
        <v>0</v>
      </c>
      <c r="AC92" t="s">
        <v>489</v>
      </c>
      <c r="AD92" t="s">
        <v>68</v>
      </c>
      <c r="AE92">
        <v>0</v>
      </c>
      <c r="AF92" s="1">
        <v>45961.424884259257</v>
      </c>
      <c r="AG92" s="1">
        <v>45961.42491898148</v>
      </c>
      <c r="AH92">
        <v>1</v>
      </c>
      <c r="AI92">
        <v>1</v>
      </c>
      <c r="AJ92">
        <v>1490</v>
      </c>
      <c r="AK92" t="s">
        <v>490</v>
      </c>
      <c r="AL92" t="s">
        <v>77</v>
      </c>
      <c r="AM92" t="s">
        <v>68</v>
      </c>
      <c r="AN92">
        <v>0</v>
      </c>
      <c r="AO92" s="1"/>
      <c r="AP92">
        <v>1</v>
      </c>
      <c r="AQ92">
        <v>0</v>
      </c>
      <c r="AR92">
        <v>0</v>
      </c>
      <c r="AS92" t="s">
        <v>75</v>
      </c>
      <c r="AT92" t="s">
        <v>68</v>
      </c>
      <c r="AU92">
        <v>0</v>
      </c>
      <c r="AV92" t="s">
        <v>68</v>
      </c>
      <c r="AW92">
        <v>0</v>
      </c>
      <c r="AX92" s="1"/>
      <c r="AZ92" t="s">
        <v>68</v>
      </c>
      <c r="BA92" t="s">
        <v>68</v>
      </c>
      <c r="BB92" t="s">
        <v>68</v>
      </c>
      <c r="BC92" t="s">
        <v>68</v>
      </c>
      <c r="BD92">
        <v>0</v>
      </c>
      <c r="BE92" s="1"/>
      <c r="BF92" s="1">
        <v>45961.424884259257</v>
      </c>
      <c r="BG92" t="s">
        <v>68</v>
      </c>
      <c r="BH92" t="s">
        <v>68</v>
      </c>
      <c r="BI92" t="s">
        <v>68</v>
      </c>
      <c r="BJ92" t="s">
        <v>68</v>
      </c>
      <c r="BK92" t="s">
        <v>68</v>
      </c>
      <c r="BL92" t="s">
        <v>68</v>
      </c>
      <c r="BM92" t="s">
        <v>68</v>
      </c>
      <c r="BN92" t="s">
        <v>68</v>
      </c>
      <c r="BO92" t="s">
        <v>96</v>
      </c>
      <c r="BP92">
        <v>0</v>
      </c>
      <c r="BQ92" t="s">
        <v>68</v>
      </c>
      <c r="BR92" t="s">
        <v>68</v>
      </c>
      <c r="BS92" t="s">
        <v>68</v>
      </c>
    </row>
    <row r="93" spans="1:71" x14ac:dyDescent="0.35">
      <c r="A93" t="b">
        <f>ISNUMBER(MATCH(ChargentOrders[[#This Row],[Contract__c]],Contract[Id],0))</f>
        <v>1</v>
      </c>
      <c r="B93">
        <f>IFERROR(INDEX(Contract[CB_Subscription__c],MATCH(ChargentOrders[[#This Row],[Contract__c]],Contract[Id],0)),0)</f>
        <v>0</v>
      </c>
      <c r="C93" t="b">
        <f>ISNUMBER(MATCH(ChargentOrders[[#This Row],[Id]],Claude[Id],0))</f>
        <v>1</v>
      </c>
      <c r="D93" t="b">
        <f>AND(ChargentOrders[[#This Row],[_Contract]],ChargentOrders[[#This Row],[CB Subscription]]=0)</f>
        <v>1</v>
      </c>
      <c r="E93" s="38">
        <f>INDEX(Table5[CUENTA],MATCH(ChargentOrders[[#This Row],[Contract__c]],Table5[SM_Contract__c],0))</f>
        <v>46081</v>
      </c>
      <c r="F93" s="38" t="str">
        <f ca="1">INDEX(Table5[ESTADO],MATCH(ChargentOrders[[#This Row],[Contract__c]],Table5[SM_Contract__c],0))</f>
        <v>DEBE 5</v>
      </c>
      <c r="G93" t="s">
        <v>496</v>
      </c>
      <c r="H93" t="s">
        <v>79</v>
      </c>
      <c r="I93" t="s">
        <v>497</v>
      </c>
      <c r="J93" s="1">
        <v>45960.420543981483</v>
      </c>
      <c r="K93">
        <v>2</v>
      </c>
      <c r="L93">
        <v>2030</v>
      </c>
      <c r="M93" t="s">
        <v>1440</v>
      </c>
      <c r="N93">
        <v>2</v>
      </c>
      <c r="O93" t="s">
        <v>1440</v>
      </c>
      <c r="P93" t="s">
        <v>73</v>
      </c>
      <c r="Q93">
        <v>2030</v>
      </c>
      <c r="R93">
        <v>1040</v>
      </c>
      <c r="T93" t="s">
        <v>67</v>
      </c>
      <c r="U93" t="s">
        <v>68</v>
      </c>
      <c r="V93">
        <v>0</v>
      </c>
      <c r="W93" t="s">
        <v>69</v>
      </c>
      <c r="X93" s="5">
        <v>45981</v>
      </c>
      <c r="Y93" t="s">
        <v>74</v>
      </c>
      <c r="Z93" t="s">
        <v>68</v>
      </c>
      <c r="AA93">
        <v>10400</v>
      </c>
      <c r="AB93">
        <v>0</v>
      </c>
      <c r="AC93" t="s">
        <v>240</v>
      </c>
      <c r="AD93" t="s">
        <v>68</v>
      </c>
      <c r="AE93">
        <v>0</v>
      </c>
      <c r="AF93" s="1">
        <v>45979.7028587963</v>
      </c>
      <c r="AG93" s="1">
        <v>45979.7028587963</v>
      </c>
      <c r="AH93">
        <v>1</v>
      </c>
      <c r="AI93">
        <v>9</v>
      </c>
      <c r="AJ93">
        <v>1040</v>
      </c>
      <c r="AK93" t="s">
        <v>235</v>
      </c>
      <c r="AL93" t="s">
        <v>71</v>
      </c>
      <c r="AM93" t="s">
        <v>68</v>
      </c>
      <c r="AN93">
        <v>0</v>
      </c>
      <c r="AO93" s="1"/>
      <c r="AP93">
        <v>0</v>
      </c>
      <c r="AQ93">
        <v>0</v>
      </c>
      <c r="AR93">
        <v>0</v>
      </c>
      <c r="AS93" t="s">
        <v>72</v>
      </c>
      <c r="AT93" t="s">
        <v>68</v>
      </c>
      <c r="AU93">
        <v>1</v>
      </c>
      <c r="AV93" t="s">
        <v>498</v>
      </c>
      <c r="AW93">
        <v>0</v>
      </c>
      <c r="AX93" s="1">
        <v>45702.827997685185</v>
      </c>
      <c r="AY93">
        <v>2500</v>
      </c>
      <c r="AZ93" t="s">
        <v>68</v>
      </c>
      <c r="BA93" t="s">
        <v>65</v>
      </c>
      <c r="BB93" t="s">
        <v>68</v>
      </c>
      <c r="BC93" t="s">
        <v>68</v>
      </c>
      <c r="BD93">
        <v>0</v>
      </c>
      <c r="BE93" s="1">
        <v>45978.424560185187</v>
      </c>
      <c r="BF93" s="1">
        <v>45979.7028587963</v>
      </c>
      <c r="BG93" t="s">
        <v>68</v>
      </c>
      <c r="BH93" t="s">
        <v>68</v>
      </c>
      <c r="BI93" t="s">
        <v>68</v>
      </c>
      <c r="BJ93" t="s">
        <v>68</v>
      </c>
      <c r="BK93" t="s">
        <v>68</v>
      </c>
      <c r="BL93" t="s">
        <v>68</v>
      </c>
      <c r="BM93" t="s">
        <v>68</v>
      </c>
      <c r="BN93" t="s">
        <v>68</v>
      </c>
      <c r="BO93" t="s">
        <v>96</v>
      </c>
      <c r="BP93">
        <v>0</v>
      </c>
      <c r="BQ93" t="s">
        <v>68</v>
      </c>
      <c r="BR93" t="s">
        <v>68</v>
      </c>
      <c r="BS93" t="s">
        <v>68</v>
      </c>
    </row>
    <row r="94" spans="1:71" x14ac:dyDescent="0.35">
      <c r="A94" t="b">
        <f>ISNUMBER(MATCH(ChargentOrders[[#This Row],[Contract__c]],Contract[Id],0))</f>
        <v>1</v>
      </c>
      <c r="B94">
        <f>IFERROR(INDEX(Contract[CB_Subscription__c],MATCH(ChargentOrders[[#This Row],[Contract__c]],Contract[Id],0)),0)</f>
        <v>0</v>
      </c>
      <c r="C94" t="b">
        <f>ISNUMBER(MATCH(ChargentOrders[[#This Row],[Id]],Claude[Id],0))</f>
        <v>1</v>
      </c>
      <c r="D94" t="b">
        <f>AND(ChargentOrders[[#This Row],[_Contract]],ChargentOrders[[#This Row],[CB Subscription]]=0)</f>
        <v>1</v>
      </c>
      <c r="E94" s="38">
        <f>INDEX(Table5[CUENTA],MATCH(ChargentOrders[[#This Row],[Contract__c]],Table5[SM_Contract__c],0))</f>
        <v>46081</v>
      </c>
      <c r="F94" s="38" t="str">
        <f ca="1">INDEX(Table5[ESTADO],MATCH(ChargentOrders[[#This Row],[Contract__c]],Table5[SM_Contract__c],0))</f>
        <v>DEBE 5</v>
      </c>
      <c r="G94" t="s">
        <v>499</v>
      </c>
      <c r="H94" t="s">
        <v>79</v>
      </c>
      <c r="I94" t="s">
        <v>500</v>
      </c>
      <c r="J94" s="1">
        <v>45960.420694444445</v>
      </c>
      <c r="K94">
        <v>7</v>
      </c>
      <c r="L94">
        <v>2029</v>
      </c>
      <c r="M94" t="s">
        <v>1422</v>
      </c>
      <c r="N94">
        <v>7</v>
      </c>
      <c r="O94" t="s">
        <v>1439</v>
      </c>
      <c r="P94" t="s">
        <v>66</v>
      </c>
      <c r="Q94">
        <v>2029</v>
      </c>
      <c r="R94">
        <v>10400</v>
      </c>
      <c r="T94" t="s">
        <v>67</v>
      </c>
      <c r="U94" t="s">
        <v>68</v>
      </c>
      <c r="V94">
        <v>0</v>
      </c>
      <c r="W94" t="s">
        <v>69</v>
      </c>
      <c r="X94" s="5">
        <v>45982</v>
      </c>
      <c r="Y94" t="s">
        <v>74</v>
      </c>
      <c r="Z94" t="s">
        <v>68</v>
      </c>
      <c r="AA94">
        <v>10400</v>
      </c>
      <c r="AB94">
        <v>0</v>
      </c>
      <c r="AC94" t="s">
        <v>219</v>
      </c>
      <c r="AD94" t="s">
        <v>68</v>
      </c>
      <c r="AE94">
        <v>0</v>
      </c>
      <c r="AF94" s="1">
        <v>45982.424641203703</v>
      </c>
      <c r="AG94" s="1">
        <v>45982.424641203703</v>
      </c>
      <c r="AH94">
        <v>1</v>
      </c>
      <c r="AI94">
        <v>10</v>
      </c>
      <c r="AJ94">
        <v>1040</v>
      </c>
      <c r="AK94" t="s">
        <v>220</v>
      </c>
      <c r="AL94" t="s">
        <v>71</v>
      </c>
      <c r="AM94" t="s">
        <v>68</v>
      </c>
      <c r="AN94">
        <v>0</v>
      </c>
      <c r="AO94" s="1"/>
      <c r="AP94">
        <v>0</v>
      </c>
      <c r="AQ94">
        <v>0</v>
      </c>
      <c r="AR94">
        <v>0</v>
      </c>
      <c r="AS94" t="s">
        <v>72</v>
      </c>
      <c r="AT94" t="s">
        <v>68</v>
      </c>
      <c r="AU94">
        <v>1</v>
      </c>
      <c r="AV94" t="s">
        <v>501</v>
      </c>
      <c r="AW94">
        <v>0</v>
      </c>
      <c r="AX94" s="1">
        <v>45716.429675925923</v>
      </c>
      <c r="AY94">
        <v>2500</v>
      </c>
      <c r="AZ94" t="s">
        <v>68</v>
      </c>
      <c r="BA94" t="s">
        <v>65</v>
      </c>
      <c r="BB94" t="s">
        <v>68</v>
      </c>
      <c r="BC94" t="s">
        <v>68</v>
      </c>
      <c r="BD94">
        <v>0</v>
      </c>
      <c r="BE94" s="1">
        <v>45981.424629629626</v>
      </c>
      <c r="BF94" s="1">
        <v>45982.424641203703</v>
      </c>
      <c r="BG94" t="s">
        <v>68</v>
      </c>
      <c r="BH94" t="s">
        <v>68</v>
      </c>
      <c r="BI94" t="s">
        <v>68</v>
      </c>
      <c r="BJ94" t="s">
        <v>68</v>
      </c>
      <c r="BK94" t="s">
        <v>68</v>
      </c>
      <c r="BL94" t="s">
        <v>68</v>
      </c>
      <c r="BM94" t="s">
        <v>68</v>
      </c>
      <c r="BN94" t="s">
        <v>68</v>
      </c>
      <c r="BO94" t="s">
        <v>96</v>
      </c>
      <c r="BP94">
        <v>0</v>
      </c>
      <c r="BQ94" t="s">
        <v>68</v>
      </c>
      <c r="BR94" t="s">
        <v>68</v>
      </c>
      <c r="BS94" t="s">
        <v>68</v>
      </c>
    </row>
    <row r="95" spans="1:71" x14ac:dyDescent="0.35">
      <c r="A95" t="b">
        <f>ISNUMBER(MATCH(ChargentOrders[[#This Row],[Contract__c]],Contract[Id],0))</f>
        <v>1</v>
      </c>
      <c r="B95">
        <f>IFERROR(INDEX(Contract[CB_Subscription__c],MATCH(ChargentOrders[[#This Row],[Contract__c]],Contract[Id],0)),0)</f>
        <v>0</v>
      </c>
      <c r="C95" t="b">
        <f>ISNUMBER(MATCH(ChargentOrders[[#This Row],[Id]],Claude[Id],0))</f>
        <v>1</v>
      </c>
      <c r="D95" t="b">
        <f>AND(ChargentOrders[[#This Row],[_Contract]],ChargentOrders[[#This Row],[CB Subscription]]=0)</f>
        <v>1</v>
      </c>
      <c r="E95" s="38">
        <f>INDEX(Table5[CUENTA],MATCH(ChargentOrders[[#This Row],[Contract__c]],Table5[SM_Contract__c],0))</f>
        <v>46081</v>
      </c>
      <c r="F95" s="38" t="str">
        <f ca="1">INDEX(Table5[ESTADO],MATCH(ChargentOrders[[#This Row],[Contract__c]],Table5[SM_Contract__c],0))</f>
        <v>DEBE 5</v>
      </c>
      <c r="G95" t="s">
        <v>502</v>
      </c>
      <c r="H95" t="s">
        <v>79</v>
      </c>
      <c r="I95" t="s">
        <v>503</v>
      </c>
      <c r="J95" s="1">
        <v>45960.420856481483</v>
      </c>
      <c r="K95">
        <v>2</v>
      </c>
      <c r="L95">
        <v>2026</v>
      </c>
      <c r="M95" t="s">
        <v>1407</v>
      </c>
      <c r="N95">
        <v>2</v>
      </c>
      <c r="O95" t="s">
        <v>1442</v>
      </c>
      <c r="P95" t="s">
        <v>73</v>
      </c>
      <c r="Q95">
        <v>2026</v>
      </c>
      <c r="R95">
        <v>10400</v>
      </c>
      <c r="T95" t="s">
        <v>67</v>
      </c>
      <c r="U95" t="s">
        <v>68</v>
      </c>
      <c r="V95">
        <v>0</v>
      </c>
      <c r="W95" t="s">
        <v>69</v>
      </c>
      <c r="X95" s="5">
        <v>45989</v>
      </c>
      <c r="Y95" t="s">
        <v>74</v>
      </c>
      <c r="Z95" t="s">
        <v>68</v>
      </c>
      <c r="AA95">
        <v>10400</v>
      </c>
      <c r="AB95">
        <v>0</v>
      </c>
      <c r="AC95" t="s">
        <v>252</v>
      </c>
      <c r="AD95" t="s">
        <v>68</v>
      </c>
      <c r="AE95">
        <v>0</v>
      </c>
      <c r="AF95" s="1">
        <v>45989.423784722225</v>
      </c>
      <c r="AG95" s="1">
        <v>45989.423854166664</v>
      </c>
      <c r="AH95">
        <v>1</v>
      </c>
      <c r="AI95">
        <v>26</v>
      </c>
      <c r="AJ95">
        <v>1040</v>
      </c>
      <c r="AK95" t="s">
        <v>253</v>
      </c>
      <c r="AL95" t="s">
        <v>71</v>
      </c>
      <c r="AM95" t="s">
        <v>68</v>
      </c>
      <c r="AN95">
        <v>0</v>
      </c>
      <c r="AO95" s="1"/>
      <c r="AP95">
        <v>0</v>
      </c>
      <c r="AQ95">
        <v>0</v>
      </c>
      <c r="AR95">
        <v>0</v>
      </c>
      <c r="AS95" t="s">
        <v>72</v>
      </c>
      <c r="AT95" t="s">
        <v>68</v>
      </c>
      <c r="AU95">
        <v>1</v>
      </c>
      <c r="AV95" t="s">
        <v>504</v>
      </c>
      <c r="AW95">
        <v>0</v>
      </c>
      <c r="AX95" s="1">
        <v>45723.426469907405</v>
      </c>
      <c r="AY95">
        <v>2500</v>
      </c>
      <c r="AZ95" t="s">
        <v>68</v>
      </c>
      <c r="BA95" t="s">
        <v>65</v>
      </c>
      <c r="BB95" t="s">
        <v>68</v>
      </c>
      <c r="BC95" t="s">
        <v>68</v>
      </c>
      <c r="BD95">
        <v>0</v>
      </c>
      <c r="BE95" s="1">
        <v>45987.923449074071</v>
      </c>
      <c r="BF95" s="1">
        <v>45989.423784722225</v>
      </c>
      <c r="BG95" t="s">
        <v>68</v>
      </c>
      <c r="BH95" t="s">
        <v>68</v>
      </c>
      <c r="BI95" t="s">
        <v>68</v>
      </c>
      <c r="BJ95" t="s">
        <v>68</v>
      </c>
      <c r="BK95" t="s">
        <v>68</v>
      </c>
      <c r="BL95" t="s">
        <v>68</v>
      </c>
      <c r="BM95" t="s">
        <v>68</v>
      </c>
      <c r="BN95" t="s">
        <v>68</v>
      </c>
      <c r="BO95" t="s">
        <v>96</v>
      </c>
      <c r="BP95">
        <v>0</v>
      </c>
      <c r="BQ95" t="s">
        <v>68</v>
      </c>
      <c r="BR95" t="s">
        <v>68</v>
      </c>
      <c r="BS95" t="s">
        <v>68</v>
      </c>
    </row>
    <row r="96" spans="1:71" x14ac:dyDescent="0.35">
      <c r="A96" t="b">
        <f>ISNUMBER(MATCH(ChargentOrders[[#This Row],[Contract__c]],Contract[Id],0))</f>
        <v>1</v>
      </c>
      <c r="B96">
        <f>IFERROR(INDEX(Contract[CB_Subscription__c],MATCH(ChargentOrders[[#This Row],[Contract__c]],Contract[Id],0)),0)</f>
        <v>0</v>
      </c>
      <c r="C96" t="b">
        <f>ISNUMBER(MATCH(ChargentOrders[[#This Row],[Id]],Claude[Id],0))</f>
        <v>1</v>
      </c>
      <c r="D96" t="b">
        <f>AND(ChargentOrders[[#This Row],[_Contract]],ChargentOrders[[#This Row],[CB Subscription]]=0)</f>
        <v>1</v>
      </c>
      <c r="E96" s="38">
        <f>INDEX(Table5[CUENTA],MATCH(ChargentOrders[[#This Row],[Contract__c]],Table5[SM_Contract__c],0))</f>
        <v>46081</v>
      </c>
      <c r="F96" s="38" t="str">
        <f ca="1">INDEX(Table5[ESTADO],MATCH(ChargentOrders[[#This Row],[Contract__c]],Table5[SM_Contract__c],0))</f>
        <v>DEBE 5</v>
      </c>
      <c r="G96" t="s">
        <v>505</v>
      </c>
      <c r="H96" t="s">
        <v>81</v>
      </c>
      <c r="I96" t="s">
        <v>506</v>
      </c>
      <c r="J96" s="1">
        <v>45960.421157407407</v>
      </c>
      <c r="K96">
        <v>11</v>
      </c>
      <c r="L96">
        <v>2029</v>
      </c>
      <c r="M96" t="s">
        <v>1444</v>
      </c>
      <c r="N96">
        <v>11</v>
      </c>
      <c r="O96" t="s">
        <v>1445</v>
      </c>
      <c r="P96" t="s">
        <v>73</v>
      </c>
      <c r="Q96">
        <v>2029</v>
      </c>
      <c r="R96">
        <v>11596</v>
      </c>
      <c r="T96" t="s">
        <v>67</v>
      </c>
      <c r="U96" t="s">
        <v>68</v>
      </c>
      <c r="V96">
        <v>0</v>
      </c>
      <c r="W96" t="s">
        <v>69</v>
      </c>
      <c r="X96" s="5">
        <v>45968</v>
      </c>
      <c r="Y96" t="s">
        <v>74</v>
      </c>
      <c r="Z96" t="s">
        <v>68</v>
      </c>
      <c r="AA96">
        <v>10400</v>
      </c>
      <c r="AB96">
        <v>1196</v>
      </c>
      <c r="AC96" t="s">
        <v>264</v>
      </c>
      <c r="AD96" t="s">
        <v>68</v>
      </c>
      <c r="AE96">
        <v>0</v>
      </c>
      <c r="AF96" s="1">
        <v>45968.425474537034</v>
      </c>
      <c r="AG96" s="1">
        <v>45968.425543981481</v>
      </c>
      <c r="AH96">
        <v>1</v>
      </c>
      <c r="AI96">
        <v>4</v>
      </c>
      <c r="AJ96">
        <v>11596</v>
      </c>
      <c r="AK96" t="s">
        <v>265</v>
      </c>
      <c r="AL96" t="s">
        <v>71</v>
      </c>
      <c r="AM96" t="s">
        <v>68</v>
      </c>
      <c r="AN96">
        <v>0</v>
      </c>
      <c r="AO96" s="1"/>
      <c r="AP96">
        <v>0</v>
      </c>
      <c r="AQ96">
        <v>100</v>
      </c>
      <c r="AR96">
        <v>1050</v>
      </c>
      <c r="AS96" t="s">
        <v>72</v>
      </c>
      <c r="AT96" t="s">
        <v>68</v>
      </c>
      <c r="AU96">
        <v>1</v>
      </c>
      <c r="AV96" t="s">
        <v>507</v>
      </c>
      <c r="AW96">
        <v>0</v>
      </c>
      <c r="AX96" s="1">
        <v>45744.431817129633</v>
      </c>
      <c r="AY96">
        <v>2500</v>
      </c>
      <c r="AZ96" t="s">
        <v>68</v>
      </c>
      <c r="BA96" t="s">
        <v>65</v>
      </c>
      <c r="BB96" t="s">
        <v>68</v>
      </c>
      <c r="BC96" t="s">
        <v>68</v>
      </c>
      <c r="BD96">
        <v>0</v>
      </c>
      <c r="BE96" s="1">
        <v>45967.424259259256</v>
      </c>
      <c r="BF96" s="1">
        <v>45968.425474537034</v>
      </c>
      <c r="BG96" t="s">
        <v>68</v>
      </c>
      <c r="BH96" t="s">
        <v>68</v>
      </c>
      <c r="BI96" t="s">
        <v>68</v>
      </c>
      <c r="BJ96" t="s">
        <v>68</v>
      </c>
      <c r="BK96" t="s">
        <v>68</v>
      </c>
      <c r="BL96" t="s">
        <v>68</v>
      </c>
      <c r="BM96" t="s">
        <v>68</v>
      </c>
      <c r="BN96" t="s">
        <v>68</v>
      </c>
      <c r="BO96" t="s">
        <v>96</v>
      </c>
      <c r="BP96">
        <v>0</v>
      </c>
      <c r="BQ96" t="s">
        <v>68</v>
      </c>
      <c r="BR96" t="s">
        <v>68</v>
      </c>
      <c r="BS96" t="s">
        <v>68</v>
      </c>
    </row>
    <row r="97" spans="1:71" x14ac:dyDescent="0.35">
      <c r="A97" t="b">
        <f>ISNUMBER(MATCH(ChargentOrders[[#This Row],[Contract__c]],Contract[Id],0))</f>
        <v>1</v>
      </c>
      <c r="B97">
        <f>IFERROR(INDEX(Contract[CB_Subscription__c],MATCH(ChargentOrders[[#This Row],[Contract__c]],Contract[Id],0)),0)</f>
        <v>0</v>
      </c>
      <c r="C97" t="b">
        <f>ISNUMBER(MATCH(ChargentOrders[[#This Row],[Id]],Claude[Id],0))</f>
        <v>1</v>
      </c>
      <c r="D97" t="b">
        <f>AND(ChargentOrders[[#This Row],[_Contract]],ChargentOrders[[#This Row],[CB Subscription]]=0)</f>
        <v>1</v>
      </c>
      <c r="E97" s="38">
        <f>INDEX(Table5[CUENTA],MATCH(ChargentOrders[[#This Row],[Contract__c]],Table5[SM_Contract__c],0))</f>
        <v>46081</v>
      </c>
      <c r="F97" s="38" t="str">
        <f ca="1">INDEX(Table5[ESTADO],MATCH(ChargentOrders[[#This Row],[Contract__c]],Table5[SM_Contract__c],0))</f>
        <v>DEBE 5</v>
      </c>
      <c r="G97" t="s">
        <v>508</v>
      </c>
      <c r="H97" t="s">
        <v>79</v>
      </c>
      <c r="I97" t="s">
        <v>509</v>
      </c>
      <c r="J97" s="1">
        <v>45960.423148148147</v>
      </c>
      <c r="K97">
        <v>7</v>
      </c>
      <c r="L97">
        <v>2027</v>
      </c>
      <c r="M97" t="s">
        <v>1450</v>
      </c>
      <c r="N97">
        <v>7</v>
      </c>
      <c r="O97" t="s">
        <v>68</v>
      </c>
      <c r="P97" t="s">
        <v>66</v>
      </c>
      <c r="Q97">
        <v>2027</v>
      </c>
      <c r="R97">
        <v>11596</v>
      </c>
      <c r="T97" t="s">
        <v>107</v>
      </c>
      <c r="U97" t="s">
        <v>68</v>
      </c>
      <c r="V97">
        <v>0</v>
      </c>
      <c r="W97" t="s">
        <v>69</v>
      </c>
      <c r="X97" s="5">
        <v>45968</v>
      </c>
      <c r="Y97" t="s">
        <v>74</v>
      </c>
      <c r="Z97" t="s">
        <v>68</v>
      </c>
      <c r="AA97">
        <v>10400</v>
      </c>
      <c r="AB97">
        <v>1196</v>
      </c>
      <c r="AC97" t="s">
        <v>368</v>
      </c>
      <c r="AD97" t="s">
        <v>68</v>
      </c>
      <c r="AE97">
        <v>0</v>
      </c>
      <c r="AF97" s="1">
        <v>45968.425543981481</v>
      </c>
      <c r="AG97" s="1">
        <v>45968.425543981481</v>
      </c>
      <c r="AH97">
        <v>1</v>
      </c>
      <c r="AI97">
        <v>4</v>
      </c>
      <c r="AJ97">
        <v>11596</v>
      </c>
      <c r="AK97" t="s">
        <v>369</v>
      </c>
      <c r="AL97" t="s">
        <v>71</v>
      </c>
      <c r="AM97" t="s">
        <v>68</v>
      </c>
      <c r="AN97">
        <v>0</v>
      </c>
      <c r="AO97" s="1"/>
      <c r="AP97">
        <v>0</v>
      </c>
      <c r="AQ97">
        <v>100</v>
      </c>
      <c r="AR97">
        <v>1050</v>
      </c>
      <c r="AS97" t="s">
        <v>72</v>
      </c>
      <c r="AT97" t="s">
        <v>68</v>
      </c>
      <c r="AU97">
        <v>1</v>
      </c>
      <c r="AV97" t="s">
        <v>510</v>
      </c>
      <c r="AW97">
        <v>0</v>
      </c>
      <c r="AX97" s="1">
        <v>45849.623969907407</v>
      </c>
      <c r="AY97">
        <v>2500</v>
      </c>
      <c r="AZ97" t="s">
        <v>68</v>
      </c>
      <c r="BA97" t="s">
        <v>65</v>
      </c>
      <c r="BB97" t="s">
        <v>68</v>
      </c>
      <c r="BC97" t="s">
        <v>68</v>
      </c>
      <c r="BD97">
        <v>0</v>
      </c>
      <c r="BE97" s="1"/>
      <c r="BF97" s="1">
        <v>45968.425543981481</v>
      </c>
      <c r="BG97" t="s">
        <v>68</v>
      </c>
      <c r="BH97" t="s">
        <v>68</v>
      </c>
      <c r="BI97" t="s">
        <v>68</v>
      </c>
      <c r="BJ97" t="s">
        <v>68</v>
      </c>
      <c r="BK97" t="s">
        <v>68</v>
      </c>
      <c r="BL97" t="s">
        <v>68</v>
      </c>
      <c r="BM97" t="s">
        <v>68</v>
      </c>
      <c r="BN97" t="s">
        <v>68</v>
      </c>
      <c r="BO97" t="s">
        <v>96</v>
      </c>
      <c r="BP97">
        <v>0</v>
      </c>
      <c r="BQ97" t="s">
        <v>68</v>
      </c>
      <c r="BR97" t="s">
        <v>68</v>
      </c>
      <c r="BS97" t="s">
        <v>68</v>
      </c>
    </row>
    <row r="98" spans="1:71" x14ac:dyDescent="0.35">
      <c r="A98" t="b">
        <f>ISNUMBER(MATCH(ChargentOrders[[#This Row],[Contract__c]],Contract[Id],0))</f>
        <v>1</v>
      </c>
      <c r="B98">
        <f>IFERROR(INDEX(Contract[CB_Subscription__c],MATCH(ChargentOrders[[#This Row],[Contract__c]],Contract[Id],0)),0)</f>
        <v>0</v>
      </c>
      <c r="C98" t="b">
        <f>ISNUMBER(MATCH(ChargentOrders[[#This Row],[Id]],Claude[Id],0))</f>
        <v>1</v>
      </c>
      <c r="D98" t="b">
        <f>AND(ChargentOrders[[#This Row],[_Contract]],ChargentOrders[[#This Row],[CB Subscription]]=0)</f>
        <v>1</v>
      </c>
      <c r="E98" s="38">
        <f>INDEX(Table5[CUENTA],MATCH(ChargentOrders[[#This Row],[Contract__c]],Table5[SM_Contract__c],0))</f>
        <v>46081</v>
      </c>
      <c r="F98" s="38" t="str">
        <f ca="1">INDEX(Table5[ESTADO],MATCH(ChargentOrders[[#This Row],[Contract__c]],Table5[SM_Contract__c],0))</f>
        <v>DEBE 5</v>
      </c>
      <c r="G98" t="s">
        <v>511</v>
      </c>
      <c r="H98" t="s">
        <v>155</v>
      </c>
      <c r="I98" t="s">
        <v>512</v>
      </c>
      <c r="J98" s="1">
        <v>45961.424942129626</v>
      </c>
      <c r="K98">
        <v>10</v>
      </c>
      <c r="L98">
        <v>2030</v>
      </c>
      <c r="M98" t="s">
        <v>1461</v>
      </c>
      <c r="N98">
        <v>10</v>
      </c>
      <c r="O98" t="s">
        <v>68</v>
      </c>
      <c r="P98" t="s">
        <v>73</v>
      </c>
      <c r="Q98">
        <v>2030</v>
      </c>
      <c r="R98">
        <v>6900</v>
      </c>
      <c r="S98">
        <v>30</v>
      </c>
      <c r="T98" t="s">
        <v>107</v>
      </c>
      <c r="U98" t="s">
        <v>68</v>
      </c>
      <c r="V98">
        <v>0</v>
      </c>
      <c r="W98" t="s">
        <v>69</v>
      </c>
      <c r="X98" s="5">
        <v>46233</v>
      </c>
      <c r="Y98" t="s">
        <v>84</v>
      </c>
      <c r="Z98" t="s">
        <v>68</v>
      </c>
      <c r="AA98">
        <v>6900</v>
      </c>
      <c r="AB98">
        <v>0</v>
      </c>
      <c r="AC98" t="s">
        <v>489</v>
      </c>
      <c r="AD98" t="s">
        <v>68</v>
      </c>
      <c r="AE98">
        <v>0</v>
      </c>
      <c r="AF98" s="1">
        <v>46048.422662037039</v>
      </c>
      <c r="AG98" s="1">
        <v>46048.422685185185</v>
      </c>
      <c r="AH98">
        <v>3</v>
      </c>
      <c r="AI98">
        <v>8</v>
      </c>
      <c r="AJ98">
        <v>2070</v>
      </c>
      <c r="AK98" t="s">
        <v>490</v>
      </c>
      <c r="AL98" t="s">
        <v>76</v>
      </c>
      <c r="AM98" t="s">
        <v>68</v>
      </c>
      <c r="AN98">
        <v>0</v>
      </c>
      <c r="AO98" s="1"/>
      <c r="AP98">
        <v>9</v>
      </c>
      <c r="AQ98">
        <v>0</v>
      </c>
      <c r="AR98">
        <v>0</v>
      </c>
      <c r="AS98" t="s">
        <v>75</v>
      </c>
      <c r="AT98" t="s">
        <v>68</v>
      </c>
      <c r="AU98">
        <v>0</v>
      </c>
      <c r="AV98" t="s">
        <v>68</v>
      </c>
      <c r="AW98">
        <v>0</v>
      </c>
      <c r="AX98" s="1"/>
      <c r="AZ98" t="s">
        <v>68</v>
      </c>
      <c r="BA98" t="s">
        <v>68</v>
      </c>
      <c r="BB98" t="s">
        <v>68</v>
      </c>
      <c r="BC98" t="s">
        <v>68</v>
      </c>
      <c r="BD98">
        <v>0</v>
      </c>
      <c r="BE98" s="1"/>
      <c r="BF98" s="1">
        <v>46203.417233796295</v>
      </c>
      <c r="BG98" t="s">
        <v>68</v>
      </c>
      <c r="BH98" t="s">
        <v>68</v>
      </c>
      <c r="BI98" t="s">
        <v>68</v>
      </c>
      <c r="BJ98" t="s">
        <v>68</v>
      </c>
      <c r="BK98" t="s">
        <v>68</v>
      </c>
      <c r="BL98" t="s">
        <v>68</v>
      </c>
      <c r="BM98" t="s">
        <v>68</v>
      </c>
      <c r="BN98" t="s">
        <v>68</v>
      </c>
      <c r="BO98" t="s">
        <v>96</v>
      </c>
      <c r="BP98">
        <v>0</v>
      </c>
      <c r="BQ98" t="s">
        <v>68</v>
      </c>
      <c r="BR98" t="s">
        <v>68</v>
      </c>
      <c r="BS98" t="s">
        <v>68</v>
      </c>
    </row>
    <row r="99" spans="1:71" x14ac:dyDescent="0.35">
      <c r="A99" t="b">
        <f>ISNUMBER(MATCH(ChargentOrders[[#This Row],[Contract__c]],Contract[Id],0))</f>
        <v>1</v>
      </c>
      <c r="B99">
        <f>IFERROR(INDEX(Contract[CB_Subscription__c],MATCH(ChargentOrders[[#This Row],[Contract__c]],Contract[Id],0)),0)</f>
        <v>0</v>
      </c>
      <c r="C99" t="b">
        <f>ISNUMBER(MATCH(ChargentOrders[[#This Row],[Id]],Claude[Id],0))</f>
        <v>1</v>
      </c>
      <c r="D99" t="b">
        <f>AND(ChargentOrders[[#This Row],[_Contract]],ChargentOrders[[#This Row],[CB Subscription]]=0)</f>
        <v>1</v>
      </c>
      <c r="E99" s="38">
        <f>INDEX(Table5[CUENTA],MATCH(ChargentOrders[[#This Row],[Contract__c]],Table5[SM_Contract__c],0))</f>
        <v>46081</v>
      </c>
      <c r="F99" s="38" t="str">
        <f ca="1">INDEX(Table5[ESTADO],MATCH(ChargentOrders[[#This Row],[Contract__c]],Table5[SM_Contract__c],0))</f>
        <v>DEBE 5</v>
      </c>
      <c r="G99" t="s">
        <v>513</v>
      </c>
      <c r="H99" t="s">
        <v>81</v>
      </c>
      <c r="I99" t="s">
        <v>514</v>
      </c>
      <c r="J99" s="1">
        <v>45974.562164351853</v>
      </c>
      <c r="K99">
        <v>10</v>
      </c>
      <c r="L99">
        <v>2029</v>
      </c>
      <c r="M99" t="s">
        <v>1412</v>
      </c>
      <c r="N99">
        <v>10</v>
      </c>
      <c r="O99" t="s">
        <v>1466</v>
      </c>
      <c r="P99" t="s">
        <v>73</v>
      </c>
      <c r="Q99">
        <v>2029</v>
      </c>
      <c r="R99">
        <v>0</v>
      </c>
      <c r="T99" t="s">
        <v>67</v>
      </c>
      <c r="U99" t="s">
        <v>68</v>
      </c>
      <c r="V99">
        <v>0</v>
      </c>
      <c r="W99" t="s">
        <v>69</v>
      </c>
      <c r="X99" s="5"/>
      <c r="Y99" t="s">
        <v>68</v>
      </c>
      <c r="Z99" t="s">
        <v>68</v>
      </c>
      <c r="AA99">
        <v>0</v>
      </c>
      <c r="AC99" t="s">
        <v>515</v>
      </c>
      <c r="AD99" t="s">
        <v>68</v>
      </c>
      <c r="AE99">
        <v>0</v>
      </c>
      <c r="AF99" s="1"/>
      <c r="AG99" s="1">
        <v>45974.5621875</v>
      </c>
      <c r="AH99">
        <v>0</v>
      </c>
      <c r="AI99">
        <v>1</v>
      </c>
      <c r="AJ99">
        <v>0</v>
      </c>
      <c r="AK99" t="s">
        <v>516</v>
      </c>
      <c r="AL99" t="s">
        <v>68</v>
      </c>
      <c r="AM99" t="s">
        <v>68</v>
      </c>
      <c r="AN99">
        <v>0</v>
      </c>
      <c r="AO99" s="1"/>
      <c r="AP99">
        <v>1</v>
      </c>
      <c r="AS99" t="s">
        <v>75</v>
      </c>
      <c r="AT99" t="s">
        <v>68</v>
      </c>
      <c r="AU99">
        <v>0</v>
      </c>
      <c r="AV99" t="s">
        <v>68</v>
      </c>
      <c r="AW99">
        <v>1</v>
      </c>
      <c r="AX99" s="1"/>
      <c r="AZ99" t="s">
        <v>68</v>
      </c>
      <c r="BA99" t="s">
        <v>68</v>
      </c>
      <c r="BB99" t="s">
        <v>68</v>
      </c>
      <c r="BC99" t="s">
        <v>68</v>
      </c>
      <c r="BD99">
        <v>0</v>
      </c>
      <c r="BE99" s="1"/>
      <c r="BF99" s="1">
        <v>45974.5621875</v>
      </c>
      <c r="BG99" t="s">
        <v>68</v>
      </c>
      <c r="BH99" t="s">
        <v>68</v>
      </c>
      <c r="BI99" t="s">
        <v>68</v>
      </c>
      <c r="BJ99" t="s">
        <v>68</v>
      </c>
      <c r="BK99" t="s">
        <v>68</v>
      </c>
      <c r="BL99" t="s">
        <v>68</v>
      </c>
      <c r="BM99" t="s">
        <v>68</v>
      </c>
      <c r="BN99" t="s">
        <v>68</v>
      </c>
      <c r="BO99" t="s">
        <v>96</v>
      </c>
      <c r="BP99">
        <v>0</v>
      </c>
      <c r="BQ99" t="s">
        <v>68</v>
      </c>
      <c r="BR99" t="s">
        <v>68</v>
      </c>
      <c r="BS99" t="s">
        <v>68</v>
      </c>
    </row>
    <row r="100" spans="1:71" x14ac:dyDescent="0.35">
      <c r="A100" t="b">
        <f>ISNUMBER(MATCH(ChargentOrders[[#This Row],[Contract__c]],Contract[Id],0))</f>
        <v>1</v>
      </c>
      <c r="B100">
        <f>IFERROR(INDEX(Contract[CB_Subscription__c],MATCH(ChargentOrders[[#This Row],[Contract__c]],Contract[Id],0)),0)</f>
        <v>0</v>
      </c>
      <c r="C100" t="b">
        <f>ISNUMBER(MATCH(ChargentOrders[[#This Row],[Id]],Claude[Id],0))</f>
        <v>1</v>
      </c>
      <c r="D100" t="b">
        <f>AND(ChargentOrders[[#This Row],[_Contract]],ChargentOrders[[#This Row],[CB Subscription]]=0)</f>
        <v>1</v>
      </c>
      <c r="E100" s="38">
        <f>INDEX(Table5[CUENTA],MATCH(ChargentOrders[[#This Row],[Contract__c]],Table5[SM_Contract__c],0))</f>
        <v>46081</v>
      </c>
      <c r="F100" s="38" t="str">
        <f ca="1">INDEX(Table5[ESTADO],MATCH(ChargentOrders[[#This Row],[Contract__c]],Table5[SM_Contract__c],0))</f>
        <v>DEBE 5</v>
      </c>
      <c r="G100" t="s">
        <v>517</v>
      </c>
      <c r="H100" t="s">
        <v>81</v>
      </c>
      <c r="I100" t="s">
        <v>518</v>
      </c>
      <c r="J100" s="1">
        <v>45974.566770833335</v>
      </c>
      <c r="K100">
        <v>10</v>
      </c>
      <c r="L100">
        <v>2029</v>
      </c>
      <c r="M100" t="s">
        <v>1412</v>
      </c>
      <c r="N100">
        <v>10</v>
      </c>
      <c r="O100" t="s">
        <v>1466</v>
      </c>
      <c r="P100" t="s">
        <v>73</v>
      </c>
      <c r="Q100">
        <v>2029</v>
      </c>
      <c r="R100">
        <v>745</v>
      </c>
      <c r="T100" t="s">
        <v>67</v>
      </c>
      <c r="U100" t="s">
        <v>68</v>
      </c>
      <c r="V100">
        <v>0</v>
      </c>
      <c r="W100" t="s">
        <v>69</v>
      </c>
      <c r="X100" s="5">
        <v>45974</v>
      </c>
      <c r="Y100" t="s">
        <v>74</v>
      </c>
      <c r="Z100" t="s">
        <v>68</v>
      </c>
      <c r="AA100">
        <v>745</v>
      </c>
      <c r="AB100">
        <v>0</v>
      </c>
      <c r="AC100" t="s">
        <v>515</v>
      </c>
      <c r="AD100" t="s">
        <v>68</v>
      </c>
      <c r="AE100">
        <v>0</v>
      </c>
      <c r="AF100" s="1">
        <v>45974.567094907405</v>
      </c>
      <c r="AG100" s="1">
        <v>45974.567094907405</v>
      </c>
      <c r="AH100">
        <v>1</v>
      </c>
      <c r="AI100">
        <v>1</v>
      </c>
      <c r="AJ100">
        <v>745</v>
      </c>
      <c r="AK100" t="s">
        <v>516</v>
      </c>
      <c r="AL100" t="s">
        <v>77</v>
      </c>
      <c r="AM100" t="s">
        <v>68</v>
      </c>
      <c r="AN100">
        <v>0</v>
      </c>
      <c r="AO100" s="1"/>
      <c r="AP100">
        <v>1</v>
      </c>
      <c r="AQ100">
        <v>0</v>
      </c>
      <c r="AR100">
        <v>0</v>
      </c>
      <c r="AS100" t="s">
        <v>75</v>
      </c>
      <c r="AT100" t="s">
        <v>68</v>
      </c>
      <c r="AU100">
        <v>0</v>
      </c>
      <c r="AV100" t="s">
        <v>68</v>
      </c>
      <c r="AW100">
        <v>0</v>
      </c>
      <c r="AX100" s="1"/>
      <c r="AZ100" t="s">
        <v>68</v>
      </c>
      <c r="BA100" t="s">
        <v>68</v>
      </c>
      <c r="BB100" t="s">
        <v>68</v>
      </c>
      <c r="BC100" t="s">
        <v>68</v>
      </c>
      <c r="BD100">
        <v>0</v>
      </c>
      <c r="BE100" s="1"/>
      <c r="BF100" s="1">
        <v>45974.567094907405</v>
      </c>
      <c r="BG100" t="s">
        <v>68</v>
      </c>
      <c r="BH100" t="s">
        <v>68</v>
      </c>
      <c r="BI100" t="s">
        <v>68</v>
      </c>
      <c r="BJ100" t="s">
        <v>68</v>
      </c>
      <c r="BK100" t="s">
        <v>68</v>
      </c>
      <c r="BL100" t="s">
        <v>68</v>
      </c>
      <c r="BM100" t="s">
        <v>68</v>
      </c>
      <c r="BN100" t="s">
        <v>68</v>
      </c>
      <c r="BO100" t="s">
        <v>96</v>
      </c>
      <c r="BP100">
        <v>0</v>
      </c>
      <c r="BQ100" t="s">
        <v>68</v>
      </c>
      <c r="BR100" t="s">
        <v>68</v>
      </c>
      <c r="BS100" t="s">
        <v>68</v>
      </c>
    </row>
    <row r="101" spans="1:71" x14ac:dyDescent="0.35">
      <c r="A101" t="b">
        <f>ISNUMBER(MATCH(ChargentOrders[[#This Row],[Contract__c]],Contract[Id],0))</f>
        <v>1</v>
      </c>
      <c r="B101">
        <f>IFERROR(INDEX(Contract[CB_Subscription__c],MATCH(ChargentOrders[[#This Row],[Contract__c]],Contract[Id],0)),0)</f>
        <v>0</v>
      </c>
      <c r="C101" t="b">
        <f>ISNUMBER(MATCH(ChargentOrders[[#This Row],[Id]],Claude[Id],0))</f>
        <v>1</v>
      </c>
      <c r="D101" t="b">
        <f>AND(ChargentOrders[[#This Row],[_Contract]],ChargentOrders[[#This Row],[CB Subscription]]=0)</f>
        <v>1</v>
      </c>
      <c r="E101" s="38">
        <f>INDEX(Table5[CUENTA],MATCH(ChargentOrders[[#This Row],[Contract__c]],Table5[SM_Contract__c],0))</f>
        <v>46081</v>
      </c>
      <c r="F101" s="38" t="str">
        <f ca="1">INDEX(Table5[ESTADO],MATCH(ChargentOrders[[#This Row],[Contract__c]],Table5[SM_Contract__c],0))</f>
        <v>DEBE 5</v>
      </c>
      <c r="G101" t="s">
        <v>519</v>
      </c>
      <c r="H101" t="s">
        <v>81</v>
      </c>
      <c r="I101" t="s">
        <v>520</v>
      </c>
      <c r="J101" s="1">
        <v>45974.566770833335</v>
      </c>
      <c r="K101">
        <v>10</v>
      </c>
      <c r="L101">
        <v>2029</v>
      </c>
      <c r="M101" t="s">
        <v>1412</v>
      </c>
      <c r="N101">
        <v>10</v>
      </c>
      <c r="O101" t="s">
        <v>1466</v>
      </c>
      <c r="P101" t="s">
        <v>73</v>
      </c>
      <c r="Q101">
        <v>2029</v>
      </c>
      <c r="R101">
        <v>745</v>
      </c>
      <c r="T101" t="s">
        <v>67</v>
      </c>
      <c r="U101" t="s">
        <v>68</v>
      </c>
      <c r="V101">
        <v>0</v>
      </c>
      <c r="W101" t="s">
        <v>69</v>
      </c>
      <c r="X101" s="5">
        <v>45988</v>
      </c>
      <c r="Y101" t="s">
        <v>74</v>
      </c>
      <c r="Z101" t="s">
        <v>68</v>
      </c>
      <c r="AA101">
        <v>745</v>
      </c>
      <c r="AB101">
        <v>0</v>
      </c>
      <c r="AC101" t="s">
        <v>515</v>
      </c>
      <c r="AD101" t="s">
        <v>68</v>
      </c>
      <c r="AE101">
        <v>0</v>
      </c>
      <c r="AF101" s="1">
        <v>45982.878912037035</v>
      </c>
      <c r="AG101" s="1">
        <v>45982.878923611112</v>
      </c>
      <c r="AH101">
        <v>1</v>
      </c>
      <c r="AI101">
        <v>1</v>
      </c>
      <c r="AJ101">
        <v>745</v>
      </c>
      <c r="AK101" t="s">
        <v>516</v>
      </c>
      <c r="AL101" t="s">
        <v>77</v>
      </c>
      <c r="AM101" t="s">
        <v>68</v>
      </c>
      <c r="AN101">
        <v>0</v>
      </c>
      <c r="AO101" s="1"/>
      <c r="AP101">
        <v>1</v>
      </c>
      <c r="AQ101">
        <v>0</v>
      </c>
      <c r="AR101">
        <v>0</v>
      </c>
      <c r="AS101" t="s">
        <v>75</v>
      </c>
      <c r="AT101" t="s">
        <v>68</v>
      </c>
      <c r="AU101">
        <v>0</v>
      </c>
      <c r="AV101" t="s">
        <v>68</v>
      </c>
      <c r="AW101">
        <v>0</v>
      </c>
      <c r="AX101" s="1"/>
      <c r="AZ101" t="s">
        <v>68</v>
      </c>
      <c r="BA101" t="s">
        <v>68</v>
      </c>
      <c r="BB101" t="s">
        <v>68</v>
      </c>
      <c r="BC101" t="s">
        <v>68</v>
      </c>
      <c r="BD101">
        <v>0</v>
      </c>
      <c r="BE101" s="1"/>
      <c r="BF101" s="1">
        <v>45982.878912037035</v>
      </c>
      <c r="BG101" t="s">
        <v>68</v>
      </c>
      <c r="BH101" t="s">
        <v>68</v>
      </c>
      <c r="BI101" t="s">
        <v>68</v>
      </c>
      <c r="BJ101" t="s">
        <v>68</v>
      </c>
      <c r="BK101" t="s">
        <v>68</v>
      </c>
      <c r="BL101" t="s">
        <v>68</v>
      </c>
      <c r="BM101" t="s">
        <v>68</v>
      </c>
      <c r="BN101" t="s">
        <v>68</v>
      </c>
      <c r="BO101" t="s">
        <v>96</v>
      </c>
      <c r="BP101">
        <v>0</v>
      </c>
      <c r="BQ101" t="s">
        <v>68</v>
      </c>
      <c r="BR101" t="s">
        <v>68</v>
      </c>
      <c r="BS101" t="s">
        <v>68</v>
      </c>
    </row>
    <row r="102" spans="1:71" x14ac:dyDescent="0.35">
      <c r="A102" t="b">
        <f>ISNUMBER(MATCH(ChargentOrders[[#This Row],[Contract__c]],Contract[Id],0))</f>
        <v>1</v>
      </c>
      <c r="B102">
        <f>IFERROR(INDEX(Contract[CB_Subscription__c],MATCH(ChargentOrders[[#This Row],[Contract__c]],Contract[Id],0)),0)</f>
        <v>0</v>
      </c>
      <c r="C102" t="b">
        <f>ISNUMBER(MATCH(ChargentOrders[[#This Row],[Id]],Claude[Id],0))</f>
        <v>1</v>
      </c>
      <c r="D102" t="b">
        <f>AND(ChargentOrders[[#This Row],[_Contract]],ChargentOrders[[#This Row],[CB Subscription]]=0)</f>
        <v>1</v>
      </c>
      <c r="E102" s="38">
        <f>INDEX(Table5[CUENTA],MATCH(ChargentOrders[[#This Row],[Contract__c]],Table5[SM_Contract__c],0))</f>
        <v>46081</v>
      </c>
      <c r="F102" s="38" t="str">
        <f ca="1">INDEX(Table5[ESTADO],MATCH(ChargentOrders[[#This Row],[Contract__c]],Table5[SM_Contract__c],0))</f>
        <v>DEBE 5</v>
      </c>
      <c r="G102" t="s">
        <v>532</v>
      </c>
      <c r="H102" t="s">
        <v>81</v>
      </c>
      <c r="I102" t="s">
        <v>533</v>
      </c>
      <c r="J102" s="1">
        <v>45982.878946759258</v>
      </c>
      <c r="K102">
        <v>10</v>
      </c>
      <c r="L102">
        <v>2029</v>
      </c>
      <c r="M102" t="s">
        <v>1412</v>
      </c>
      <c r="N102">
        <v>10</v>
      </c>
      <c r="O102" t="s">
        <v>1466</v>
      </c>
      <c r="P102" t="s">
        <v>73</v>
      </c>
      <c r="Q102">
        <v>2029</v>
      </c>
      <c r="R102">
        <v>6900</v>
      </c>
      <c r="S102">
        <v>30</v>
      </c>
      <c r="T102" t="s">
        <v>67</v>
      </c>
      <c r="U102" t="s">
        <v>68</v>
      </c>
      <c r="V102">
        <v>0</v>
      </c>
      <c r="W102" t="s">
        <v>69</v>
      </c>
      <c r="X102" s="5">
        <v>46233</v>
      </c>
      <c r="Y102" t="s">
        <v>84</v>
      </c>
      <c r="Z102" t="s">
        <v>68</v>
      </c>
      <c r="AA102">
        <v>6900</v>
      </c>
      <c r="AB102">
        <v>0</v>
      </c>
      <c r="AC102" t="s">
        <v>515</v>
      </c>
      <c r="AD102" t="s">
        <v>68</v>
      </c>
      <c r="AE102">
        <v>0</v>
      </c>
      <c r="AF102" s="1"/>
      <c r="AG102" s="1"/>
      <c r="AH102">
        <v>0</v>
      </c>
      <c r="AI102">
        <v>6</v>
      </c>
      <c r="AJ102">
        <v>0</v>
      </c>
      <c r="AK102" t="s">
        <v>516</v>
      </c>
      <c r="AL102" t="s">
        <v>76</v>
      </c>
      <c r="AM102" t="s">
        <v>68</v>
      </c>
      <c r="AN102">
        <v>0</v>
      </c>
      <c r="AO102" s="1"/>
      <c r="AP102">
        <v>7</v>
      </c>
      <c r="AQ102">
        <v>0</v>
      </c>
      <c r="AR102">
        <v>0</v>
      </c>
      <c r="AS102" t="s">
        <v>75</v>
      </c>
      <c r="AT102" t="s">
        <v>68</v>
      </c>
      <c r="AU102">
        <v>0</v>
      </c>
      <c r="AV102" t="s">
        <v>68</v>
      </c>
      <c r="AW102">
        <v>0</v>
      </c>
      <c r="AX102" s="1"/>
      <c r="AZ102" t="s">
        <v>68</v>
      </c>
      <c r="BA102" t="s">
        <v>68</v>
      </c>
      <c r="BB102" t="s">
        <v>68</v>
      </c>
      <c r="BC102" t="s">
        <v>68</v>
      </c>
      <c r="BD102">
        <v>0</v>
      </c>
      <c r="BE102" s="1">
        <v>46203.417268518519</v>
      </c>
      <c r="BF102" s="1">
        <v>46203.417268518519</v>
      </c>
      <c r="BG102" t="s">
        <v>68</v>
      </c>
      <c r="BH102" t="s">
        <v>68</v>
      </c>
      <c r="BI102" t="s">
        <v>68</v>
      </c>
      <c r="BJ102" t="s">
        <v>68</v>
      </c>
      <c r="BK102" t="s">
        <v>68</v>
      </c>
      <c r="BL102" t="s">
        <v>68</v>
      </c>
      <c r="BM102" t="s">
        <v>68</v>
      </c>
      <c r="BN102" t="s">
        <v>68</v>
      </c>
      <c r="BO102" t="s">
        <v>96</v>
      </c>
      <c r="BP102">
        <v>0</v>
      </c>
      <c r="BQ102" t="s">
        <v>68</v>
      </c>
      <c r="BR102" t="s">
        <v>68</v>
      </c>
      <c r="BS102" t="s">
        <v>68</v>
      </c>
    </row>
    <row r="103" spans="1:71" x14ac:dyDescent="0.35">
      <c r="A103" t="b">
        <f>ISNUMBER(MATCH(ChargentOrders[[#This Row],[Contract__c]],Contract[Id],0))</f>
        <v>1</v>
      </c>
      <c r="B103">
        <f>IFERROR(INDEX(Contract[CB_Subscription__c],MATCH(ChargentOrders[[#This Row],[Contract__c]],Contract[Id],0)),0)</f>
        <v>0</v>
      </c>
      <c r="C103" t="b">
        <f>ISNUMBER(MATCH(ChargentOrders[[#This Row],[Id]],Claude[Id],0))</f>
        <v>1</v>
      </c>
      <c r="D103" t="b">
        <f>AND(ChargentOrders[[#This Row],[_Contract]],ChargentOrders[[#This Row],[CB Subscription]]=0)</f>
        <v>1</v>
      </c>
      <c r="E103" s="38">
        <f>INDEX(Table5[CUENTA],MATCH(ChargentOrders[[#This Row],[Contract__c]],Table5[SM_Contract__c],0))</f>
        <v>46081</v>
      </c>
      <c r="F103" s="38" t="str">
        <f ca="1">INDEX(Table5[ESTADO],MATCH(ChargentOrders[[#This Row],[Contract__c]],Table5[SM_Contract__c],0))</f>
        <v>DEBE 5</v>
      </c>
      <c r="G103" t="s">
        <v>537</v>
      </c>
      <c r="H103" t="s">
        <v>79</v>
      </c>
      <c r="I103" t="s">
        <v>538</v>
      </c>
      <c r="J103" s="1">
        <v>45987.418842592589</v>
      </c>
      <c r="K103">
        <v>3</v>
      </c>
      <c r="L103">
        <v>2027</v>
      </c>
      <c r="M103" t="s">
        <v>1432</v>
      </c>
      <c r="N103">
        <v>3</v>
      </c>
      <c r="O103" t="s">
        <v>1433</v>
      </c>
      <c r="P103" t="s">
        <v>73</v>
      </c>
      <c r="Q103">
        <v>2027</v>
      </c>
      <c r="R103">
        <v>790</v>
      </c>
      <c r="T103" t="s">
        <v>67</v>
      </c>
      <c r="U103" t="s">
        <v>68</v>
      </c>
      <c r="V103">
        <v>0</v>
      </c>
      <c r="W103" t="s">
        <v>69</v>
      </c>
      <c r="X103" s="5">
        <v>45992</v>
      </c>
      <c r="Y103" t="s">
        <v>74</v>
      </c>
      <c r="Z103" t="s">
        <v>68</v>
      </c>
      <c r="AA103">
        <v>7900</v>
      </c>
      <c r="AB103">
        <v>0</v>
      </c>
      <c r="AC103" t="s">
        <v>165</v>
      </c>
      <c r="AD103" t="s">
        <v>68</v>
      </c>
      <c r="AE103">
        <v>0</v>
      </c>
      <c r="AF103" s="1">
        <v>45989.741111111114</v>
      </c>
      <c r="AG103" s="1">
        <v>45989.741111111114</v>
      </c>
      <c r="AH103">
        <v>1</v>
      </c>
      <c r="AI103">
        <v>4</v>
      </c>
      <c r="AJ103">
        <v>790</v>
      </c>
      <c r="AK103" t="s">
        <v>179</v>
      </c>
      <c r="AL103" t="s">
        <v>71</v>
      </c>
      <c r="AM103" t="s">
        <v>68</v>
      </c>
      <c r="AN103">
        <v>0</v>
      </c>
      <c r="AO103" s="1"/>
      <c r="AP103">
        <v>0</v>
      </c>
      <c r="AQ103">
        <v>0</v>
      </c>
      <c r="AR103">
        <v>0</v>
      </c>
      <c r="AS103" t="s">
        <v>72</v>
      </c>
      <c r="AT103" t="s">
        <v>68</v>
      </c>
      <c r="AU103">
        <v>0</v>
      </c>
      <c r="AV103" t="s">
        <v>539</v>
      </c>
      <c r="AW103">
        <v>0</v>
      </c>
      <c r="AX103" s="1">
        <v>45989.73982638889</v>
      </c>
      <c r="AY103">
        <v>0</v>
      </c>
      <c r="AZ103" t="s">
        <v>68</v>
      </c>
      <c r="BA103" t="s">
        <v>65</v>
      </c>
      <c r="BB103" t="s">
        <v>68</v>
      </c>
      <c r="BC103" t="s">
        <v>68</v>
      </c>
      <c r="BD103">
        <v>0</v>
      </c>
      <c r="BE103" s="1">
        <v>45989.667662037034</v>
      </c>
      <c r="BF103" s="1">
        <v>45989.741111111114</v>
      </c>
      <c r="BG103" t="s">
        <v>68</v>
      </c>
      <c r="BH103" t="s">
        <v>68</v>
      </c>
      <c r="BI103" t="s">
        <v>68</v>
      </c>
      <c r="BJ103" t="s">
        <v>68</v>
      </c>
      <c r="BK103" t="s">
        <v>68</v>
      </c>
      <c r="BL103" t="s">
        <v>68</v>
      </c>
      <c r="BM103" t="s">
        <v>68</v>
      </c>
      <c r="BN103" t="s">
        <v>68</v>
      </c>
      <c r="BO103" t="s">
        <v>96</v>
      </c>
      <c r="BP103">
        <v>0</v>
      </c>
      <c r="BQ103" t="s">
        <v>68</v>
      </c>
      <c r="BR103" t="s">
        <v>68</v>
      </c>
      <c r="BS103" t="s">
        <v>68</v>
      </c>
    </row>
    <row r="104" spans="1:71" x14ac:dyDescent="0.35">
      <c r="A104" t="b">
        <f>ISNUMBER(MATCH(ChargentOrders[[#This Row],[Contract__c]],Contract[Id],0))</f>
        <v>1</v>
      </c>
      <c r="B104">
        <f>IFERROR(INDEX(Contract[CB_Subscription__c],MATCH(ChargentOrders[[#This Row],[Contract__c]],Contract[Id],0)),0)</f>
        <v>0</v>
      </c>
      <c r="C104" t="b">
        <f>ISNUMBER(MATCH(ChargentOrders[[#This Row],[Id]],Claude[Id],0))</f>
        <v>1</v>
      </c>
      <c r="D104" t="b">
        <f>AND(ChargentOrders[[#This Row],[_Contract]],ChargentOrders[[#This Row],[CB Subscription]]=0)</f>
        <v>1</v>
      </c>
      <c r="E104" s="38">
        <f>INDEX(Table5[CUENTA],MATCH(ChargentOrders[[#This Row],[Contract__c]],Table5[SM_Contract__c],0))</f>
        <v>46081</v>
      </c>
      <c r="F104" s="38" t="str">
        <f ca="1">INDEX(Table5[ESTADO],MATCH(ChargentOrders[[#This Row],[Contract__c]],Table5[SM_Contract__c],0))</f>
        <v>DEBE 5</v>
      </c>
      <c r="G104" t="s">
        <v>540</v>
      </c>
      <c r="H104" t="s">
        <v>79</v>
      </c>
      <c r="I104" t="s">
        <v>541</v>
      </c>
      <c r="J104" s="1">
        <v>45987.420162037037</v>
      </c>
      <c r="K104">
        <v>2</v>
      </c>
      <c r="L104">
        <v>2030</v>
      </c>
      <c r="M104" t="s">
        <v>1440</v>
      </c>
      <c r="N104">
        <v>2</v>
      </c>
      <c r="O104" t="s">
        <v>1440</v>
      </c>
      <c r="P104" t="s">
        <v>73</v>
      </c>
      <c r="Q104">
        <v>2030</v>
      </c>
      <c r="R104">
        <v>10400</v>
      </c>
      <c r="T104" t="s">
        <v>67</v>
      </c>
      <c r="U104" t="s">
        <v>68</v>
      </c>
      <c r="V104">
        <v>0</v>
      </c>
      <c r="W104" t="s">
        <v>69</v>
      </c>
      <c r="X104" s="5">
        <v>45992</v>
      </c>
      <c r="Y104" t="s">
        <v>74</v>
      </c>
      <c r="Z104" t="s">
        <v>68</v>
      </c>
      <c r="AA104">
        <v>10400</v>
      </c>
      <c r="AB104">
        <v>0</v>
      </c>
      <c r="AC104" t="s">
        <v>240</v>
      </c>
      <c r="AD104" t="s">
        <v>68</v>
      </c>
      <c r="AE104">
        <v>0</v>
      </c>
      <c r="AF104" s="1">
        <v>45992.428819444445</v>
      </c>
      <c r="AG104" s="1">
        <v>45992.428819444445</v>
      </c>
      <c r="AH104">
        <v>1</v>
      </c>
      <c r="AI104">
        <v>2</v>
      </c>
      <c r="AJ104">
        <v>1040</v>
      </c>
      <c r="AK104" t="s">
        <v>235</v>
      </c>
      <c r="AL104" t="s">
        <v>71</v>
      </c>
      <c r="AM104" t="s">
        <v>68</v>
      </c>
      <c r="AN104">
        <v>0</v>
      </c>
      <c r="AO104" s="1"/>
      <c r="AP104">
        <v>0</v>
      </c>
      <c r="AQ104">
        <v>0</v>
      </c>
      <c r="AR104">
        <v>0</v>
      </c>
      <c r="AS104" t="s">
        <v>72</v>
      </c>
      <c r="AT104" t="s">
        <v>68</v>
      </c>
      <c r="AU104">
        <v>1</v>
      </c>
      <c r="AV104" t="s">
        <v>542</v>
      </c>
      <c r="AW104">
        <v>0</v>
      </c>
      <c r="AX104" s="1">
        <v>45702.827997685185</v>
      </c>
      <c r="AY104">
        <v>2500</v>
      </c>
      <c r="AZ104" t="s">
        <v>68</v>
      </c>
      <c r="BA104" t="s">
        <v>65</v>
      </c>
      <c r="BB104" t="s">
        <v>68</v>
      </c>
      <c r="BC104" t="s">
        <v>68</v>
      </c>
      <c r="BD104">
        <v>0</v>
      </c>
      <c r="BE104" s="1">
        <v>45989.427905092591</v>
      </c>
      <c r="BF104" s="1">
        <v>45992.428819444445</v>
      </c>
      <c r="BG104" t="s">
        <v>68</v>
      </c>
      <c r="BH104" t="s">
        <v>68</v>
      </c>
      <c r="BI104" t="s">
        <v>68</v>
      </c>
      <c r="BJ104" t="s">
        <v>68</v>
      </c>
      <c r="BK104" t="s">
        <v>68</v>
      </c>
      <c r="BL104" t="s">
        <v>68</v>
      </c>
      <c r="BM104" t="s">
        <v>68</v>
      </c>
      <c r="BN104" t="s">
        <v>68</v>
      </c>
      <c r="BO104" t="s">
        <v>96</v>
      </c>
      <c r="BP104">
        <v>0</v>
      </c>
      <c r="BQ104" t="s">
        <v>68</v>
      </c>
      <c r="BR104" t="s">
        <v>68</v>
      </c>
      <c r="BS104" t="s">
        <v>68</v>
      </c>
    </row>
    <row r="105" spans="1:71" x14ac:dyDescent="0.35">
      <c r="A105" t="b">
        <f>ISNUMBER(MATCH(ChargentOrders[[#This Row],[Contract__c]],Contract[Id],0))</f>
        <v>1</v>
      </c>
      <c r="B105">
        <f>IFERROR(INDEX(Contract[CB_Subscription__c],MATCH(ChargentOrders[[#This Row],[Contract__c]],Contract[Id],0)),0)</f>
        <v>0</v>
      </c>
      <c r="C105" t="b">
        <f>ISNUMBER(MATCH(ChargentOrders[[#This Row],[Id]],Claude[Id],0))</f>
        <v>1</v>
      </c>
      <c r="D105" t="b">
        <f>AND(ChargentOrders[[#This Row],[_Contract]],ChargentOrders[[#This Row],[CB Subscription]]=0)</f>
        <v>1</v>
      </c>
      <c r="E105" s="38">
        <f>INDEX(Table5[CUENTA],MATCH(ChargentOrders[[#This Row],[Contract__c]],Table5[SM_Contract__c],0))</f>
        <v>46081</v>
      </c>
      <c r="F105" s="38" t="str">
        <f ca="1">INDEX(Table5[ESTADO],MATCH(ChargentOrders[[#This Row],[Contract__c]],Table5[SM_Contract__c],0))</f>
        <v>DEBE 5</v>
      </c>
      <c r="G105" t="s">
        <v>543</v>
      </c>
      <c r="H105" t="s">
        <v>79</v>
      </c>
      <c r="I105" t="s">
        <v>544</v>
      </c>
      <c r="J105" s="1">
        <v>45987.420300925929</v>
      </c>
      <c r="K105">
        <v>7</v>
      </c>
      <c r="L105">
        <v>2029</v>
      </c>
      <c r="M105" t="s">
        <v>1422</v>
      </c>
      <c r="N105">
        <v>7</v>
      </c>
      <c r="O105" t="s">
        <v>1439</v>
      </c>
      <c r="P105" t="s">
        <v>66</v>
      </c>
      <c r="Q105">
        <v>2029</v>
      </c>
      <c r="R105">
        <v>10400</v>
      </c>
      <c r="T105" t="s">
        <v>67</v>
      </c>
      <c r="U105" t="s">
        <v>68</v>
      </c>
      <c r="V105">
        <v>0</v>
      </c>
      <c r="W105" t="s">
        <v>69</v>
      </c>
      <c r="X105" s="5">
        <v>46023</v>
      </c>
      <c r="Y105" t="s">
        <v>74</v>
      </c>
      <c r="Z105" t="s">
        <v>68</v>
      </c>
      <c r="AA105">
        <v>10400</v>
      </c>
      <c r="AB105">
        <v>0</v>
      </c>
      <c r="AC105" t="s">
        <v>219</v>
      </c>
      <c r="AD105" t="s">
        <v>68</v>
      </c>
      <c r="AE105">
        <v>0</v>
      </c>
      <c r="AF105" s="1">
        <v>46023.423194444447</v>
      </c>
      <c r="AG105" s="1">
        <v>46023.423263888886</v>
      </c>
      <c r="AH105">
        <v>1</v>
      </c>
      <c r="AI105">
        <v>15</v>
      </c>
      <c r="AJ105">
        <v>1040</v>
      </c>
      <c r="AK105" t="s">
        <v>220</v>
      </c>
      <c r="AL105" t="s">
        <v>71</v>
      </c>
      <c r="AM105" t="s">
        <v>68</v>
      </c>
      <c r="AN105">
        <v>0</v>
      </c>
      <c r="AO105" s="1"/>
      <c r="AP105">
        <v>0</v>
      </c>
      <c r="AQ105">
        <v>0</v>
      </c>
      <c r="AR105">
        <v>0</v>
      </c>
      <c r="AS105" t="s">
        <v>72</v>
      </c>
      <c r="AT105" t="s">
        <v>68</v>
      </c>
      <c r="AU105">
        <v>1</v>
      </c>
      <c r="AV105" t="s">
        <v>545</v>
      </c>
      <c r="AW105">
        <v>0</v>
      </c>
      <c r="AX105" s="1">
        <v>45716.429675925923</v>
      </c>
      <c r="AY105">
        <v>2500</v>
      </c>
      <c r="AZ105" t="s">
        <v>68</v>
      </c>
      <c r="BA105" t="s">
        <v>65</v>
      </c>
      <c r="BB105" t="s">
        <v>68</v>
      </c>
      <c r="BC105" t="s">
        <v>68</v>
      </c>
      <c r="BD105">
        <v>0</v>
      </c>
      <c r="BE105" s="1">
        <v>46020.422673611109</v>
      </c>
      <c r="BF105" s="1">
        <v>46023.423194444447</v>
      </c>
      <c r="BG105" t="s">
        <v>68</v>
      </c>
      <c r="BH105" t="s">
        <v>68</v>
      </c>
      <c r="BI105" t="s">
        <v>68</v>
      </c>
      <c r="BJ105" t="s">
        <v>68</v>
      </c>
      <c r="BK105" t="s">
        <v>68</v>
      </c>
      <c r="BL105" t="s">
        <v>68</v>
      </c>
      <c r="BM105" t="s">
        <v>68</v>
      </c>
      <c r="BN105" t="s">
        <v>68</v>
      </c>
      <c r="BO105" t="s">
        <v>96</v>
      </c>
      <c r="BP105">
        <v>0</v>
      </c>
      <c r="BQ105" t="s">
        <v>68</v>
      </c>
      <c r="BR105" t="s">
        <v>68</v>
      </c>
      <c r="BS105" t="s">
        <v>68</v>
      </c>
    </row>
    <row r="106" spans="1:71" x14ac:dyDescent="0.35">
      <c r="A106" t="b">
        <f>ISNUMBER(MATCH(ChargentOrders[[#This Row],[Contract__c]],Contract[Id],0))</f>
        <v>1</v>
      </c>
      <c r="B106">
        <f>IFERROR(INDEX(Contract[CB_Subscription__c],MATCH(ChargentOrders[[#This Row],[Contract__c]],Contract[Id],0)),0)</f>
        <v>0</v>
      </c>
      <c r="C106" t="b">
        <f>ISNUMBER(MATCH(ChargentOrders[[#This Row],[Id]],Claude[Id],0))</f>
        <v>1</v>
      </c>
      <c r="D106" t="b">
        <f>AND(ChargentOrders[[#This Row],[_Contract]],ChargentOrders[[#This Row],[CB Subscription]]=0)</f>
        <v>1</v>
      </c>
      <c r="E106" s="38">
        <f>INDEX(Table5[CUENTA],MATCH(ChargentOrders[[#This Row],[Contract__c]],Table5[SM_Contract__c],0))</f>
        <v>46081</v>
      </c>
      <c r="F106" s="38" t="str">
        <f ca="1">INDEX(Table5[ESTADO],MATCH(ChargentOrders[[#This Row],[Contract__c]],Table5[SM_Contract__c],0))</f>
        <v>DEBE 5</v>
      </c>
      <c r="G106" t="s">
        <v>546</v>
      </c>
      <c r="H106" t="s">
        <v>79</v>
      </c>
      <c r="I106" t="s">
        <v>547</v>
      </c>
      <c r="J106" s="1">
        <v>45987.420416666668</v>
      </c>
      <c r="K106">
        <v>2</v>
      </c>
      <c r="L106">
        <v>2026</v>
      </c>
      <c r="M106" t="s">
        <v>1407</v>
      </c>
      <c r="N106">
        <v>2</v>
      </c>
      <c r="O106" t="s">
        <v>1442</v>
      </c>
      <c r="P106" t="s">
        <v>73</v>
      </c>
      <c r="Q106">
        <v>2026</v>
      </c>
      <c r="R106">
        <v>7900</v>
      </c>
      <c r="T106" t="s">
        <v>67</v>
      </c>
      <c r="U106" t="s">
        <v>68</v>
      </c>
      <c r="V106">
        <v>0</v>
      </c>
      <c r="W106" t="s">
        <v>69</v>
      </c>
      <c r="X106" s="5">
        <v>46023</v>
      </c>
      <c r="Y106" t="s">
        <v>74</v>
      </c>
      <c r="Z106" t="s">
        <v>68</v>
      </c>
      <c r="AA106">
        <v>7900</v>
      </c>
      <c r="AB106">
        <v>0</v>
      </c>
      <c r="AC106" t="s">
        <v>252</v>
      </c>
      <c r="AD106" t="s">
        <v>68</v>
      </c>
      <c r="AE106">
        <v>0</v>
      </c>
      <c r="AF106" s="1">
        <v>46023.423206018517</v>
      </c>
      <c r="AG106" s="1">
        <v>46023.423263888886</v>
      </c>
      <c r="AH106">
        <v>1</v>
      </c>
      <c r="AI106">
        <v>30</v>
      </c>
      <c r="AJ106">
        <v>790</v>
      </c>
      <c r="AK106" t="s">
        <v>253</v>
      </c>
      <c r="AL106" t="s">
        <v>71</v>
      </c>
      <c r="AM106" t="s">
        <v>68</v>
      </c>
      <c r="AN106">
        <v>0</v>
      </c>
      <c r="AO106" s="1"/>
      <c r="AP106">
        <v>0</v>
      </c>
      <c r="AQ106">
        <v>0</v>
      </c>
      <c r="AR106">
        <v>0</v>
      </c>
      <c r="AS106" t="s">
        <v>72</v>
      </c>
      <c r="AT106" t="s">
        <v>68</v>
      </c>
      <c r="AU106">
        <v>0</v>
      </c>
      <c r="AV106" t="s">
        <v>548</v>
      </c>
      <c r="AW106">
        <v>0</v>
      </c>
      <c r="AX106" s="1">
        <v>46017.909988425927</v>
      </c>
      <c r="AY106">
        <v>0</v>
      </c>
      <c r="AZ106" t="s">
        <v>68</v>
      </c>
      <c r="BA106" t="s">
        <v>65</v>
      </c>
      <c r="BB106" t="s">
        <v>68</v>
      </c>
      <c r="BC106" t="s">
        <v>68</v>
      </c>
      <c r="BD106">
        <v>0</v>
      </c>
      <c r="BE106" s="1">
        <v>46020.834247685183</v>
      </c>
      <c r="BF106" s="1">
        <v>46023.423206018517</v>
      </c>
      <c r="BG106" t="s">
        <v>68</v>
      </c>
      <c r="BH106" t="s">
        <v>68</v>
      </c>
      <c r="BI106" t="s">
        <v>68</v>
      </c>
      <c r="BJ106" t="s">
        <v>68</v>
      </c>
      <c r="BK106" t="s">
        <v>68</v>
      </c>
      <c r="BL106" t="s">
        <v>68</v>
      </c>
      <c r="BM106" t="s">
        <v>68</v>
      </c>
      <c r="BN106" t="s">
        <v>68</v>
      </c>
      <c r="BO106" t="s">
        <v>96</v>
      </c>
      <c r="BP106">
        <v>0</v>
      </c>
      <c r="BQ106" t="s">
        <v>68</v>
      </c>
      <c r="BR106" t="s">
        <v>68</v>
      </c>
      <c r="BS106" t="s">
        <v>68</v>
      </c>
    </row>
    <row r="107" spans="1:71" x14ac:dyDescent="0.35">
      <c r="A107" t="b">
        <f>ISNUMBER(MATCH(ChargentOrders[[#This Row],[Contract__c]],Contract[Id],0))</f>
        <v>1</v>
      </c>
      <c r="B107">
        <f>IFERROR(INDEX(Contract[CB_Subscription__c],MATCH(ChargentOrders[[#This Row],[Contract__c]],Contract[Id],0)),0)</f>
        <v>0</v>
      </c>
      <c r="C107" t="b">
        <f>ISNUMBER(MATCH(ChargentOrders[[#This Row],[Id]],Claude[Id],0))</f>
        <v>1</v>
      </c>
      <c r="D107" t="b">
        <f>AND(ChargentOrders[[#This Row],[_Contract]],ChargentOrders[[#This Row],[CB Subscription]]=0)</f>
        <v>1</v>
      </c>
      <c r="E107" s="38">
        <f>INDEX(Table5[CUENTA],MATCH(ChargentOrders[[#This Row],[Contract__c]],Table5[SM_Contract__c],0))</f>
        <v>46081</v>
      </c>
      <c r="F107" s="38" t="str">
        <f ca="1">INDEX(Table5[ESTADO],MATCH(ChargentOrders[[#This Row],[Contract__c]],Table5[SM_Contract__c],0))</f>
        <v>DEBE 5</v>
      </c>
      <c r="G107" t="s">
        <v>552</v>
      </c>
      <c r="H107" t="s">
        <v>79</v>
      </c>
      <c r="I107" t="s">
        <v>553</v>
      </c>
      <c r="J107" s="1">
        <v>45987.423298611109</v>
      </c>
      <c r="K107">
        <v>9</v>
      </c>
      <c r="L107">
        <v>2030</v>
      </c>
      <c r="M107" t="s">
        <v>1463</v>
      </c>
      <c r="N107">
        <v>9</v>
      </c>
      <c r="O107" t="s">
        <v>1464</v>
      </c>
      <c r="P107" t="s">
        <v>73</v>
      </c>
      <c r="Q107">
        <v>2030</v>
      </c>
      <c r="R107">
        <v>940</v>
      </c>
      <c r="T107" t="s">
        <v>67</v>
      </c>
      <c r="U107" t="s">
        <v>68</v>
      </c>
      <c r="V107">
        <v>0</v>
      </c>
      <c r="W107" t="s">
        <v>69</v>
      </c>
      <c r="X107" s="5">
        <v>46041</v>
      </c>
      <c r="Y107" t="s">
        <v>74</v>
      </c>
      <c r="Z107" t="s">
        <v>68</v>
      </c>
      <c r="AA107">
        <v>9400</v>
      </c>
      <c r="AB107">
        <v>0</v>
      </c>
      <c r="AC107" t="s">
        <v>479</v>
      </c>
      <c r="AD107" t="s">
        <v>68</v>
      </c>
      <c r="AE107">
        <v>0</v>
      </c>
      <c r="AF107" s="1">
        <v>46038.921990740739</v>
      </c>
      <c r="AG107" s="1">
        <v>46038.921990740739</v>
      </c>
      <c r="AH107">
        <v>1</v>
      </c>
      <c r="AI107">
        <v>23</v>
      </c>
      <c r="AJ107">
        <v>940</v>
      </c>
      <c r="AK107" t="s">
        <v>480</v>
      </c>
      <c r="AL107" t="s">
        <v>71</v>
      </c>
      <c r="AM107" t="s">
        <v>68</v>
      </c>
      <c r="AN107">
        <v>0</v>
      </c>
      <c r="AO107" s="1"/>
      <c r="AP107">
        <v>0</v>
      </c>
      <c r="AQ107">
        <v>0</v>
      </c>
      <c r="AR107">
        <v>0</v>
      </c>
      <c r="AS107" t="s">
        <v>72</v>
      </c>
      <c r="AT107" t="s">
        <v>68</v>
      </c>
      <c r="AU107">
        <v>1</v>
      </c>
      <c r="AV107" t="s">
        <v>554</v>
      </c>
      <c r="AW107">
        <v>0</v>
      </c>
      <c r="AX107" s="1">
        <v>45944.639537037037</v>
      </c>
      <c r="AY107">
        <v>2500</v>
      </c>
      <c r="AZ107" t="s">
        <v>68</v>
      </c>
      <c r="BA107" t="s">
        <v>65</v>
      </c>
      <c r="BB107" t="s">
        <v>68</v>
      </c>
      <c r="BC107" t="s">
        <v>68</v>
      </c>
      <c r="BD107">
        <v>0</v>
      </c>
      <c r="BE107" s="1">
        <v>46038.423726851855</v>
      </c>
      <c r="BF107" s="1">
        <v>46038.921990740739</v>
      </c>
      <c r="BG107" t="s">
        <v>68</v>
      </c>
      <c r="BH107" t="s">
        <v>68</v>
      </c>
      <c r="BI107" t="s">
        <v>68</v>
      </c>
      <c r="BJ107" t="s">
        <v>68</v>
      </c>
      <c r="BK107" t="s">
        <v>68</v>
      </c>
      <c r="BL107" t="s">
        <v>68</v>
      </c>
      <c r="BM107" t="s">
        <v>68</v>
      </c>
      <c r="BN107" t="s">
        <v>68</v>
      </c>
      <c r="BO107" t="s">
        <v>96</v>
      </c>
      <c r="BP107">
        <v>0</v>
      </c>
      <c r="BQ107" t="s">
        <v>68</v>
      </c>
      <c r="BR107" t="s">
        <v>68</v>
      </c>
      <c r="BS107" t="s">
        <v>68</v>
      </c>
    </row>
    <row r="108" spans="1:71" x14ac:dyDescent="0.35">
      <c r="A108" t="b">
        <f>ISNUMBER(MATCH(ChargentOrders[[#This Row],[Contract__c]],Contract[Id],0))</f>
        <v>1</v>
      </c>
      <c r="B108">
        <f>IFERROR(INDEX(Contract[CB_Subscription__c],MATCH(ChargentOrders[[#This Row],[Contract__c]],Contract[Id],0)),0)</f>
        <v>0</v>
      </c>
      <c r="C108" t="b">
        <f>ISNUMBER(MATCH(ChargentOrders[[#This Row],[Id]],Claude[Id],0))</f>
        <v>1</v>
      </c>
      <c r="D108" t="b">
        <f>AND(ChargentOrders[[#This Row],[_Contract]],ChargentOrders[[#This Row],[CB Subscription]]=0)</f>
        <v>1</v>
      </c>
      <c r="E108" s="38">
        <f>INDEX(Table5[CUENTA],MATCH(ChargentOrders[[#This Row],[Contract__c]],Table5[SM_Contract__c],0))</f>
        <v>46081</v>
      </c>
      <c r="F108" s="38" t="str">
        <f ca="1">INDEX(Table5[ESTADO],MATCH(ChargentOrders[[#This Row],[Contract__c]],Table5[SM_Contract__c],0))</f>
        <v>DEBE 5</v>
      </c>
      <c r="G108" t="s">
        <v>657</v>
      </c>
      <c r="H108" t="s">
        <v>81</v>
      </c>
      <c r="I108" t="s">
        <v>658</v>
      </c>
      <c r="J108" s="1">
        <v>46017.418877314813</v>
      </c>
      <c r="K108">
        <v>11</v>
      </c>
      <c r="L108">
        <v>2029</v>
      </c>
      <c r="M108" t="s">
        <v>1444</v>
      </c>
      <c r="N108">
        <v>11</v>
      </c>
      <c r="O108" t="s">
        <v>1445</v>
      </c>
      <c r="P108" t="s">
        <v>73</v>
      </c>
      <c r="Q108">
        <v>2029</v>
      </c>
      <c r="R108">
        <v>10400</v>
      </c>
      <c r="T108" t="s">
        <v>67</v>
      </c>
      <c r="U108" t="s">
        <v>68</v>
      </c>
      <c r="V108">
        <v>0</v>
      </c>
      <c r="W108" t="s">
        <v>69</v>
      </c>
      <c r="X108" s="5">
        <v>46038</v>
      </c>
      <c r="Y108" t="s">
        <v>74</v>
      </c>
      <c r="Z108" t="s">
        <v>68</v>
      </c>
      <c r="AA108">
        <v>10400</v>
      </c>
      <c r="AB108">
        <v>0</v>
      </c>
      <c r="AC108" t="s">
        <v>264</v>
      </c>
      <c r="AD108" t="s">
        <v>68</v>
      </c>
      <c r="AE108">
        <v>0</v>
      </c>
      <c r="AF108" s="1">
        <v>46038.426377314812</v>
      </c>
      <c r="AG108" s="1">
        <v>46038.426423611112</v>
      </c>
      <c r="AH108">
        <v>1</v>
      </c>
      <c r="AI108">
        <v>9</v>
      </c>
      <c r="AJ108">
        <v>1040</v>
      </c>
      <c r="AK108" t="s">
        <v>265</v>
      </c>
      <c r="AL108" t="s">
        <v>71</v>
      </c>
      <c r="AM108" t="s">
        <v>68</v>
      </c>
      <c r="AN108">
        <v>0</v>
      </c>
      <c r="AO108" s="1"/>
      <c r="AP108">
        <v>0</v>
      </c>
      <c r="AQ108">
        <v>0</v>
      </c>
      <c r="AR108">
        <v>0</v>
      </c>
      <c r="AS108" t="s">
        <v>72</v>
      </c>
      <c r="AT108" t="s">
        <v>68</v>
      </c>
      <c r="AU108">
        <v>1</v>
      </c>
      <c r="AV108" t="s">
        <v>659</v>
      </c>
      <c r="AW108">
        <v>0</v>
      </c>
      <c r="AX108" s="1">
        <v>45744.431817129633</v>
      </c>
      <c r="AY108">
        <v>2500</v>
      </c>
      <c r="AZ108" t="s">
        <v>68</v>
      </c>
      <c r="BA108" t="s">
        <v>65</v>
      </c>
      <c r="BB108" t="s">
        <v>68</v>
      </c>
      <c r="BC108" t="s">
        <v>68</v>
      </c>
      <c r="BD108">
        <v>0</v>
      </c>
      <c r="BE108" s="1">
        <v>46037.428541666668</v>
      </c>
      <c r="BF108" s="1">
        <v>46038.426377314812</v>
      </c>
      <c r="BG108" t="s">
        <v>68</v>
      </c>
      <c r="BH108" t="s">
        <v>68</v>
      </c>
      <c r="BI108" t="s">
        <v>68</v>
      </c>
      <c r="BJ108" t="s">
        <v>68</v>
      </c>
      <c r="BK108" t="s">
        <v>68</v>
      </c>
      <c r="BL108" t="s">
        <v>68</v>
      </c>
      <c r="BM108" t="s">
        <v>68</v>
      </c>
      <c r="BN108" t="s">
        <v>68</v>
      </c>
      <c r="BO108" t="s">
        <v>96</v>
      </c>
      <c r="BP108">
        <v>0</v>
      </c>
      <c r="BQ108" t="s">
        <v>68</v>
      </c>
      <c r="BR108" t="s">
        <v>68</v>
      </c>
      <c r="BS108" t="s">
        <v>68</v>
      </c>
    </row>
    <row r="109" spans="1:71" x14ac:dyDescent="0.35">
      <c r="A109" t="b">
        <f>ISNUMBER(MATCH(ChargentOrders[[#This Row],[Contract__c]],Contract[Id],0))</f>
        <v>1</v>
      </c>
      <c r="B109">
        <f>IFERROR(INDEX(Contract[CB_Subscription__c],MATCH(ChargentOrders[[#This Row],[Contract__c]],Contract[Id],0)),0)</f>
        <v>0</v>
      </c>
      <c r="C109" t="b">
        <f>ISNUMBER(MATCH(ChargentOrders[[#This Row],[Id]],Claude[Id],0))</f>
        <v>1</v>
      </c>
      <c r="D109" t="b">
        <f>AND(ChargentOrders[[#This Row],[_Contract]],ChargentOrders[[#This Row],[CB Subscription]]=0)</f>
        <v>1</v>
      </c>
      <c r="E109" s="38">
        <f>INDEX(Table5[CUENTA],MATCH(ChargentOrders[[#This Row],[Contract__c]],Table5[SM_Contract__c],0))</f>
        <v>46081</v>
      </c>
      <c r="F109" s="38" t="str">
        <f ca="1">INDEX(Table5[ESTADO],MATCH(ChargentOrders[[#This Row],[Contract__c]],Table5[SM_Contract__c],0))</f>
        <v>DEBE 5</v>
      </c>
      <c r="G109" t="s">
        <v>663</v>
      </c>
      <c r="H109" t="s">
        <v>79</v>
      </c>
      <c r="I109" t="s">
        <v>664</v>
      </c>
      <c r="J109" s="1">
        <v>46017.419479166667</v>
      </c>
      <c r="K109">
        <v>7</v>
      </c>
      <c r="L109">
        <v>2027</v>
      </c>
      <c r="M109" t="s">
        <v>1450</v>
      </c>
      <c r="N109">
        <v>7</v>
      </c>
      <c r="O109" t="s">
        <v>68</v>
      </c>
      <c r="P109" t="s">
        <v>66</v>
      </c>
      <c r="Q109">
        <v>2027</v>
      </c>
      <c r="R109">
        <v>1040</v>
      </c>
      <c r="T109" t="s">
        <v>107</v>
      </c>
      <c r="U109" t="s">
        <v>68</v>
      </c>
      <c r="V109">
        <v>0</v>
      </c>
      <c r="W109" t="s">
        <v>69</v>
      </c>
      <c r="X109" s="5">
        <v>46072</v>
      </c>
      <c r="Y109" t="s">
        <v>74</v>
      </c>
      <c r="Z109" t="s">
        <v>68</v>
      </c>
      <c r="AA109">
        <v>10400</v>
      </c>
      <c r="AB109">
        <v>0</v>
      </c>
      <c r="AC109" t="s">
        <v>368</v>
      </c>
      <c r="AD109" t="s">
        <v>68</v>
      </c>
      <c r="AE109">
        <v>0</v>
      </c>
      <c r="AF109" s="1">
        <v>46071.92765046296</v>
      </c>
      <c r="AG109" s="1">
        <v>46071.92765046296</v>
      </c>
      <c r="AH109">
        <v>1</v>
      </c>
      <c r="AI109">
        <v>22</v>
      </c>
      <c r="AJ109">
        <v>1040</v>
      </c>
      <c r="AK109" t="s">
        <v>369</v>
      </c>
      <c r="AL109" t="s">
        <v>71</v>
      </c>
      <c r="AM109" t="s">
        <v>68</v>
      </c>
      <c r="AN109">
        <v>0</v>
      </c>
      <c r="AO109" s="1"/>
      <c r="AP109">
        <v>0</v>
      </c>
      <c r="AQ109">
        <v>0</v>
      </c>
      <c r="AR109">
        <v>0</v>
      </c>
      <c r="AS109" t="s">
        <v>72</v>
      </c>
      <c r="AT109" t="s">
        <v>68</v>
      </c>
      <c r="AU109">
        <v>1</v>
      </c>
      <c r="AV109" t="s">
        <v>665</v>
      </c>
      <c r="AW109">
        <v>0</v>
      </c>
      <c r="AX109" s="1">
        <v>45849.623969907407</v>
      </c>
      <c r="AY109">
        <v>2500</v>
      </c>
      <c r="AZ109" t="s">
        <v>68</v>
      </c>
      <c r="BA109" t="s">
        <v>65</v>
      </c>
      <c r="BB109" t="s">
        <v>68</v>
      </c>
      <c r="BC109" t="s">
        <v>68</v>
      </c>
      <c r="BD109">
        <v>0</v>
      </c>
      <c r="BE109" s="1"/>
      <c r="BF109" s="1">
        <v>46071.92765046296</v>
      </c>
      <c r="BG109" t="s">
        <v>68</v>
      </c>
      <c r="BH109" t="s">
        <v>68</v>
      </c>
      <c r="BI109" t="s">
        <v>68</v>
      </c>
      <c r="BJ109" t="s">
        <v>68</v>
      </c>
      <c r="BK109" t="s">
        <v>68</v>
      </c>
      <c r="BL109" t="s">
        <v>68</v>
      </c>
      <c r="BM109" t="s">
        <v>68</v>
      </c>
      <c r="BN109" t="s">
        <v>68</v>
      </c>
      <c r="BO109" t="s">
        <v>96</v>
      </c>
      <c r="BP109">
        <v>0</v>
      </c>
      <c r="BQ109" t="s">
        <v>68</v>
      </c>
      <c r="BR109" t="s">
        <v>68</v>
      </c>
      <c r="BS109" t="s">
        <v>68</v>
      </c>
    </row>
    <row r="110" spans="1:71" x14ac:dyDescent="0.35">
      <c r="A110" t="b">
        <f>ISNUMBER(MATCH(ChargentOrders[[#This Row],[Contract__c]],Contract[Id],0))</f>
        <v>1</v>
      </c>
      <c r="B110">
        <f>IFERROR(INDEX(Contract[CB_Subscription__c],MATCH(ChargentOrders[[#This Row],[Contract__c]],Contract[Id],0)),0)</f>
        <v>0</v>
      </c>
      <c r="C110" t="b">
        <f>ISNUMBER(MATCH(ChargentOrders[[#This Row],[Id]],Claude[Id],0))</f>
        <v>1</v>
      </c>
      <c r="D110" t="b">
        <f>AND(ChargentOrders[[#This Row],[_Contract]],ChargentOrders[[#This Row],[CB Subscription]]=0)</f>
        <v>1</v>
      </c>
      <c r="E110" s="38">
        <f>INDEX(Table5[CUENTA],MATCH(ChargentOrders[[#This Row],[Contract__c]],Table5[SM_Contract__c],0))</f>
        <v>46081</v>
      </c>
      <c r="F110" s="38" t="str">
        <f ca="1">INDEX(Table5[ESTADO],MATCH(ChargentOrders[[#This Row],[Contract__c]],Table5[SM_Contract__c],0))</f>
        <v>DEBE 5</v>
      </c>
      <c r="G110" t="s">
        <v>671</v>
      </c>
      <c r="H110" t="s">
        <v>79</v>
      </c>
      <c r="I110" t="s">
        <v>672</v>
      </c>
      <c r="J110" s="1">
        <v>46017.909814814811</v>
      </c>
      <c r="K110">
        <v>2</v>
      </c>
      <c r="L110">
        <v>2026</v>
      </c>
      <c r="M110" t="s">
        <v>1407</v>
      </c>
      <c r="N110">
        <v>2</v>
      </c>
      <c r="O110" t="s">
        <v>1442</v>
      </c>
      <c r="P110" t="s">
        <v>73</v>
      </c>
      <c r="Q110">
        <v>2026</v>
      </c>
      <c r="R110">
        <v>1.04E+20</v>
      </c>
      <c r="T110" t="s">
        <v>67</v>
      </c>
      <c r="U110" t="s">
        <v>68</v>
      </c>
      <c r="V110">
        <v>0</v>
      </c>
      <c r="W110" t="s">
        <v>69</v>
      </c>
      <c r="X110" s="5">
        <v>46031</v>
      </c>
      <c r="Y110" t="s">
        <v>74</v>
      </c>
      <c r="Z110" t="s">
        <v>68</v>
      </c>
      <c r="AA110">
        <v>10400</v>
      </c>
      <c r="AB110">
        <v>0</v>
      </c>
      <c r="AC110" t="s">
        <v>252</v>
      </c>
      <c r="AD110" t="s">
        <v>68</v>
      </c>
      <c r="AE110">
        <v>0</v>
      </c>
      <c r="AF110" s="1">
        <v>46031.426076388889</v>
      </c>
      <c r="AG110" s="1">
        <v>46031.426099537035</v>
      </c>
      <c r="AH110">
        <v>1</v>
      </c>
      <c r="AI110">
        <v>8</v>
      </c>
      <c r="AJ110">
        <v>1040</v>
      </c>
      <c r="AK110" t="s">
        <v>253</v>
      </c>
      <c r="AL110" t="s">
        <v>71</v>
      </c>
      <c r="AM110" t="s">
        <v>68</v>
      </c>
      <c r="AN110">
        <v>0</v>
      </c>
      <c r="AO110" s="1"/>
      <c r="AP110">
        <v>9</v>
      </c>
      <c r="AQ110">
        <v>0</v>
      </c>
      <c r="AR110">
        <v>0</v>
      </c>
      <c r="AS110" t="s">
        <v>72</v>
      </c>
      <c r="AT110" t="s">
        <v>68</v>
      </c>
      <c r="AU110">
        <v>1</v>
      </c>
      <c r="AV110" t="s">
        <v>673</v>
      </c>
      <c r="AW110">
        <v>0</v>
      </c>
      <c r="AX110" s="1">
        <v>45723.426469907405</v>
      </c>
      <c r="AY110">
        <v>2500</v>
      </c>
      <c r="AZ110" t="s">
        <v>68</v>
      </c>
      <c r="BA110" t="s">
        <v>101</v>
      </c>
      <c r="BB110" t="s">
        <v>68</v>
      </c>
      <c r="BC110" t="s">
        <v>68</v>
      </c>
      <c r="BD110">
        <v>0</v>
      </c>
      <c r="BE110" s="1">
        <v>46029.950972222221</v>
      </c>
      <c r="BF110" s="1">
        <v>46031.426076388889</v>
      </c>
      <c r="BG110" t="s">
        <v>68</v>
      </c>
      <c r="BH110" t="s">
        <v>68</v>
      </c>
      <c r="BI110" t="s">
        <v>68</v>
      </c>
      <c r="BJ110" t="s">
        <v>68</v>
      </c>
      <c r="BK110" t="s">
        <v>68</v>
      </c>
      <c r="BL110" t="s">
        <v>68</v>
      </c>
      <c r="BM110" t="s">
        <v>68</v>
      </c>
      <c r="BN110" t="s">
        <v>68</v>
      </c>
      <c r="BO110" t="s">
        <v>96</v>
      </c>
      <c r="BP110">
        <v>0</v>
      </c>
      <c r="BQ110" t="s">
        <v>68</v>
      </c>
      <c r="BR110" t="s">
        <v>68</v>
      </c>
      <c r="BS110" t="s">
        <v>68</v>
      </c>
    </row>
    <row r="111" spans="1:71" x14ac:dyDescent="0.35">
      <c r="A111" t="b">
        <f>ISNUMBER(MATCH(ChargentOrders[[#This Row],[Contract__c]],Contract[Id],0))</f>
        <v>1</v>
      </c>
      <c r="B111">
        <f>IFERROR(INDEX(Contract[CB_Subscription__c],MATCH(ChargentOrders[[#This Row],[Contract__c]],Contract[Id],0)),0)</f>
        <v>0</v>
      </c>
      <c r="C111" t="b">
        <f>ISNUMBER(MATCH(ChargentOrders[[#This Row],[Id]],Claude[Id],0))</f>
        <v>1</v>
      </c>
      <c r="D111" t="b">
        <f>AND(ChargentOrders[[#This Row],[_Contract]],ChargentOrders[[#This Row],[CB Subscription]]=0)</f>
        <v>1</v>
      </c>
      <c r="E111" s="38">
        <f>INDEX(Table5[CUENTA],MATCH(ChargentOrders[[#This Row],[Contract__c]],Table5[SM_Contract__c],0))</f>
        <v>46081</v>
      </c>
      <c r="F111" s="38" t="str">
        <f ca="1">INDEX(Table5[ESTADO],MATCH(ChargentOrders[[#This Row],[Contract__c]],Table5[SM_Contract__c],0))</f>
        <v>DEBE 5</v>
      </c>
      <c r="G111" t="s">
        <v>674</v>
      </c>
      <c r="H111" t="s">
        <v>79</v>
      </c>
      <c r="I111" t="s">
        <v>675</v>
      </c>
      <c r="J111" s="1">
        <v>46020.990624999999</v>
      </c>
      <c r="K111">
        <v>3</v>
      </c>
      <c r="L111">
        <v>2027</v>
      </c>
      <c r="M111" t="s">
        <v>1432</v>
      </c>
      <c r="N111">
        <v>3</v>
      </c>
      <c r="O111" t="s">
        <v>1433</v>
      </c>
      <c r="P111" t="s">
        <v>73</v>
      </c>
      <c r="Q111">
        <v>2027</v>
      </c>
      <c r="R111">
        <v>7900</v>
      </c>
      <c r="T111" t="s">
        <v>67</v>
      </c>
      <c r="U111" t="s">
        <v>68</v>
      </c>
      <c r="V111">
        <v>0</v>
      </c>
      <c r="W111" t="s">
        <v>69</v>
      </c>
      <c r="X111" s="5">
        <v>46024</v>
      </c>
      <c r="Y111" t="s">
        <v>74</v>
      </c>
      <c r="Z111" t="s">
        <v>68</v>
      </c>
      <c r="AA111">
        <v>7900</v>
      </c>
      <c r="AB111">
        <v>0</v>
      </c>
      <c r="AC111" t="s">
        <v>165</v>
      </c>
      <c r="AD111" t="s">
        <v>68</v>
      </c>
      <c r="AE111">
        <v>0</v>
      </c>
      <c r="AF111" s="1">
        <v>46024.427118055559</v>
      </c>
      <c r="AG111" s="1">
        <v>46024.427152777775</v>
      </c>
      <c r="AH111">
        <v>1</v>
      </c>
      <c r="AI111">
        <v>3</v>
      </c>
      <c r="AJ111">
        <v>790</v>
      </c>
      <c r="AK111" t="s">
        <v>179</v>
      </c>
      <c r="AL111" t="s">
        <v>71</v>
      </c>
      <c r="AM111" t="s">
        <v>68</v>
      </c>
      <c r="AN111">
        <v>0</v>
      </c>
      <c r="AO111" s="1"/>
      <c r="AP111">
        <v>16</v>
      </c>
      <c r="AQ111">
        <v>0</v>
      </c>
      <c r="AR111">
        <v>0</v>
      </c>
      <c r="AS111" t="s">
        <v>72</v>
      </c>
      <c r="AT111" t="s">
        <v>68</v>
      </c>
      <c r="AU111">
        <v>0</v>
      </c>
      <c r="AV111" t="s">
        <v>676</v>
      </c>
      <c r="AW111">
        <v>0</v>
      </c>
      <c r="AX111" s="1">
        <v>46020.990810185183</v>
      </c>
      <c r="AY111">
        <v>0</v>
      </c>
      <c r="AZ111" t="s">
        <v>68</v>
      </c>
      <c r="BA111" t="s">
        <v>101</v>
      </c>
      <c r="BB111" t="s">
        <v>68</v>
      </c>
      <c r="BC111" t="s">
        <v>68</v>
      </c>
      <c r="BD111">
        <v>0</v>
      </c>
      <c r="BE111" s="1">
        <v>46022.765706018516</v>
      </c>
      <c r="BF111" s="1">
        <v>46024.427118055559</v>
      </c>
      <c r="BG111" t="s">
        <v>68</v>
      </c>
      <c r="BH111" t="s">
        <v>68</v>
      </c>
      <c r="BI111" t="s">
        <v>68</v>
      </c>
      <c r="BJ111" t="s">
        <v>68</v>
      </c>
      <c r="BK111" t="s">
        <v>68</v>
      </c>
      <c r="BL111" t="s">
        <v>68</v>
      </c>
      <c r="BM111" t="s">
        <v>68</v>
      </c>
      <c r="BN111" t="s">
        <v>68</v>
      </c>
      <c r="BO111" t="s">
        <v>96</v>
      </c>
      <c r="BP111">
        <v>0</v>
      </c>
      <c r="BQ111" t="s">
        <v>68</v>
      </c>
      <c r="BR111" t="s">
        <v>68</v>
      </c>
      <c r="BS111" t="s">
        <v>68</v>
      </c>
    </row>
    <row r="112" spans="1:71" x14ac:dyDescent="0.35">
      <c r="A112" t="b">
        <f>ISNUMBER(MATCH(ChargentOrders[[#This Row],[Contract__c]],Contract[Id],0))</f>
        <v>1</v>
      </c>
      <c r="B112">
        <f>IFERROR(INDEX(Contract[CB_Subscription__c],MATCH(ChargentOrders[[#This Row],[Contract__c]],Contract[Id],0)),0)</f>
        <v>0</v>
      </c>
      <c r="C112" t="b">
        <f>ISNUMBER(MATCH(ChargentOrders[[#This Row],[Id]],Claude[Id],0))</f>
        <v>1</v>
      </c>
      <c r="D112" t="b">
        <f>AND(ChargentOrders[[#This Row],[_Contract]],ChargentOrders[[#This Row],[CB Subscription]]=0)</f>
        <v>1</v>
      </c>
      <c r="E112" s="38">
        <f>INDEX(Table5[CUENTA],MATCH(ChargentOrders[[#This Row],[Contract__c]],Table5[SM_Contract__c],0))</f>
        <v>46081</v>
      </c>
      <c r="F112" s="38" t="str">
        <f ca="1">INDEX(Table5[ESTADO],MATCH(ChargentOrders[[#This Row],[Contract__c]],Table5[SM_Contract__c],0))</f>
        <v>DEBE 5</v>
      </c>
      <c r="G112" t="s">
        <v>680</v>
      </c>
      <c r="H112" t="s">
        <v>79</v>
      </c>
      <c r="I112" t="s">
        <v>681</v>
      </c>
      <c r="J112" s="1">
        <v>46021.418402777781</v>
      </c>
      <c r="K112">
        <v>2</v>
      </c>
      <c r="L112">
        <v>2030</v>
      </c>
      <c r="M112" t="s">
        <v>1440</v>
      </c>
      <c r="N112">
        <v>2</v>
      </c>
      <c r="O112" t="s">
        <v>1440</v>
      </c>
      <c r="P112" t="s">
        <v>73</v>
      </c>
      <c r="Q112">
        <v>2030</v>
      </c>
      <c r="R112">
        <v>10400</v>
      </c>
      <c r="T112" t="s">
        <v>67</v>
      </c>
      <c r="U112" t="s">
        <v>68</v>
      </c>
      <c r="V112">
        <v>0</v>
      </c>
      <c r="W112" t="s">
        <v>69</v>
      </c>
      <c r="X112" s="5">
        <v>46213</v>
      </c>
      <c r="Y112" t="s">
        <v>84</v>
      </c>
      <c r="Z112" t="s">
        <v>68</v>
      </c>
      <c r="AA112">
        <v>10400</v>
      </c>
      <c r="AB112">
        <v>0</v>
      </c>
      <c r="AC112" t="s">
        <v>240</v>
      </c>
      <c r="AD112" t="s">
        <v>68</v>
      </c>
      <c r="AE112">
        <v>0</v>
      </c>
      <c r="AF112" s="1"/>
      <c r="AG112" s="1"/>
      <c r="AH112">
        <v>0</v>
      </c>
      <c r="AI112">
        <v>86</v>
      </c>
      <c r="AJ112">
        <v>0</v>
      </c>
      <c r="AK112" t="s">
        <v>235</v>
      </c>
      <c r="AL112" t="s">
        <v>71</v>
      </c>
      <c r="AM112" t="s">
        <v>68</v>
      </c>
      <c r="AN112">
        <v>0</v>
      </c>
      <c r="AO112" s="1"/>
      <c r="AQ112">
        <v>0</v>
      </c>
      <c r="AR112">
        <v>0</v>
      </c>
      <c r="AS112" t="s">
        <v>72</v>
      </c>
      <c r="AT112" t="s">
        <v>68</v>
      </c>
      <c r="AU112">
        <v>1</v>
      </c>
      <c r="AV112" t="s">
        <v>682</v>
      </c>
      <c r="AW112">
        <v>0</v>
      </c>
      <c r="AX112" s="1">
        <v>45702.827997685185</v>
      </c>
      <c r="AY112">
        <v>2500</v>
      </c>
      <c r="AZ112" t="s">
        <v>68</v>
      </c>
      <c r="BA112" t="s">
        <v>65</v>
      </c>
      <c r="BB112" t="s">
        <v>68</v>
      </c>
      <c r="BC112" t="s">
        <v>68</v>
      </c>
      <c r="BD112">
        <v>0</v>
      </c>
      <c r="BE112" s="1">
        <v>46210.417222222219</v>
      </c>
      <c r="BF112" s="1">
        <v>46210.417222222219</v>
      </c>
      <c r="BG112" t="s">
        <v>68</v>
      </c>
      <c r="BH112" t="s">
        <v>68</v>
      </c>
      <c r="BI112" t="s">
        <v>68</v>
      </c>
      <c r="BJ112" t="s">
        <v>68</v>
      </c>
      <c r="BK112" t="s">
        <v>68</v>
      </c>
      <c r="BL112" t="s">
        <v>68</v>
      </c>
      <c r="BM112" t="s">
        <v>68</v>
      </c>
      <c r="BN112" t="s">
        <v>68</v>
      </c>
      <c r="BO112" t="s">
        <v>96</v>
      </c>
      <c r="BP112">
        <v>0</v>
      </c>
      <c r="BQ112" t="s">
        <v>68</v>
      </c>
      <c r="BR112" t="s">
        <v>68</v>
      </c>
      <c r="BS112" t="s">
        <v>68</v>
      </c>
    </row>
    <row r="113" spans="1:71" x14ac:dyDescent="0.35">
      <c r="A113" t="b">
        <f>ISNUMBER(MATCH(ChargentOrders[[#This Row],[Contract__c]],Contract[Id],0))</f>
        <v>1</v>
      </c>
      <c r="B113">
        <f>IFERROR(INDEX(Contract[CB_Subscription__c],MATCH(ChargentOrders[[#This Row],[Contract__c]],Contract[Id],0)),0)</f>
        <v>0</v>
      </c>
      <c r="C113" t="b">
        <f>ISNUMBER(MATCH(ChargentOrders[[#This Row],[Id]],Claude[Id],0))</f>
        <v>1</v>
      </c>
      <c r="D113" t="b">
        <f>AND(ChargentOrders[[#This Row],[_Contract]],ChargentOrders[[#This Row],[CB Subscription]]=0)</f>
        <v>1</v>
      </c>
      <c r="E113" s="38">
        <f>INDEX(Table5[CUENTA],MATCH(ChargentOrders[[#This Row],[Contract__c]],Table5[SM_Contract__c],0))</f>
        <v>46081</v>
      </c>
      <c r="F113" s="38" t="str">
        <f ca="1">INDEX(Table5[ESTADO],MATCH(ChargentOrders[[#This Row],[Contract__c]],Table5[SM_Contract__c],0))</f>
        <v>DEBE 5</v>
      </c>
      <c r="G113" t="s">
        <v>683</v>
      </c>
      <c r="H113" t="s">
        <v>79</v>
      </c>
      <c r="I113" t="s">
        <v>684</v>
      </c>
      <c r="J113" s="1">
        <v>46021.418402777781</v>
      </c>
      <c r="K113">
        <v>7</v>
      </c>
      <c r="L113">
        <v>2029</v>
      </c>
      <c r="M113" t="s">
        <v>1422</v>
      </c>
      <c r="N113">
        <v>7</v>
      </c>
      <c r="O113" t="s">
        <v>1422</v>
      </c>
      <c r="P113" t="s">
        <v>66</v>
      </c>
      <c r="Q113">
        <v>2029</v>
      </c>
      <c r="R113">
        <v>10400</v>
      </c>
      <c r="T113" t="s">
        <v>67</v>
      </c>
      <c r="U113" t="s">
        <v>68</v>
      </c>
      <c r="V113">
        <v>0</v>
      </c>
      <c r="W113" t="s">
        <v>69</v>
      </c>
      <c r="X113" s="5">
        <v>46122</v>
      </c>
      <c r="Y113" t="s">
        <v>74</v>
      </c>
      <c r="Z113" t="s">
        <v>68</v>
      </c>
      <c r="AA113">
        <v>10400</v>
      </c>
      <c r="AB113">
        <v>0</v>
      </c>
      <c r="AC113" t="s">
        <v>219</v>
      </c>
      <c r="AD113" t="s">
        <v>68</v>
      </c>
      <c r="AE113">
        <v>0</v>
      </c>
      <c r="AF113" s="1">
        <v>46122.419398148151</v>
      </c>
      <c r="AG113" s="1">
        <v>46122.419432870367</v>
      </c>
      <c r="AH113">
        <v>1</v>
      </c>
      <c r="AI113">
        <v>28</v>
      </c>
      <c r="AJ113">
        <v>1040</v>
      </c>
      <c r="AK113" t="s">
        <v>220</v>
      </c>
      <c r="AL113" t="s">
        <v>71</v>
      </c>
      <c r="AM113" t="s">
        <v>68</v>
      </c>
      <c r="AN113">
        <v>0</v>
      </c>
      <c r="AO113" s="1"/>
      <c r="AP113">
        <v>0</v>
      </c>
      <c r="AQ113">
        <v>0</v>
      </c>
      <c r="AR113">
        <v>0</v>
      </c>
      <c r="AS113" t="s">
        <v>72</v>
      </c>
      <c r="AT113" t="s">
        <v>68</v>
      </c>
      <c r="AU113">
        <v>1</v>
      </c>
      <c r="AV113" t="s">
        <v>685</v>
      </c>
      <c r="AW113">
        <v>0</v>
      </c>
      <c r="AX113" s="1">
        <v>45716.429675925923</v>
      </c>
      <c r="AY113">
        <v>2500</v>
      </c>
      <c r="AZ113" t="s">
        <v>68</v>
      </c>
      <c r="BA113" t="s">
        <v>65</v>
      </c>
      <c r="BB113" t="s">
        <v>68</v>
      </c>
      <c r="BC113" t="s">
        <v>68</v>
      </c>
      <c r="BD113">
        <v>0</v>
      </c>
      <c r="BE113" s="1">
        <v>46121.418541666666</v>
      </c>
      <c r="BF113" s="1">
        <v>46122.419398148151</v>
      </c>
      <c r="BG113" t="s">
        <v>68</v>
      </c>
      <c r="BH113" t="s">
        <v>68</v>
      </c>
      <c r="BI113" t="s">
        <v>68</v>
      </c>
      <c r="BJ113" t="s">
        <v>68</v>
      </c>
      <c r="BK113" t="s">
        <v>68</v>
      </c>
      <c r="BL113" t="s">
        <v>68</v>
      </c>
      <c r="BM113" t="s">
        <v>68</v>
      </c>
      <c r="BN113" t="s">
        <v>68</v>
      </c>
      <c r="BO113" t="s">
        <v>96</v>
      </c>
      <c r="BP113">
        <v>0</v>
      </c>
      <c r="BQ113" t="s">
        <v>68</v>
      </c>
      <c r="BR113" t="s">
        <v>68</v>
      </c>
      <c r="BS113" t="s">
        <v>68</v>
      </c>
    </row>
    <row r="114" spans="1:71" x14ac:dyDescent="0.35">
      <c r="A114" t="b">
        <f>ISNUMBER(MATCH(ChargentOrders[[#This Row],[Contract__c]],Contract[Id],0))</f>
        <v>1</v>
      </c>
      <c r="B114">
        <f>IFERROR(INDEX(Contract[CB_Subscription__c],MATCH(ChargentOrders[[#This Row],[Contract__c]],Contract[Id],0)),0)</f>
        <v>0</v>
      </c>
      <c r="C114" t="b">
        <f>ISNUMBER(MATCH(ChargentOrders[[#This Row],[Id]],Claude[Id],0))</f>
        <v>1</v>
      </c>
      <c r="D114" t="b">
        <f>AND(ChargentOrders[[#This Row],[_Contract]],ChargentOrders[[#This Row],[CB Subscription]]=0)</f>
        <v>1</v>
      </c>
      <c r="E114" s="38">
        <f>INDEX(Table5[CUENTA],MATCH(ChargentOrders[[#This Row],[Contract__c]],Table5[SM_Contract__c],0))</f>
        <v>46081</v>
      </c>
      <c r="F114" s="38" t="str">
        <f ca="1">INDEX(Table5[ESTADO],MATCH(ChargentOrders[[#This Row],[Contract__c]],Table5[SM_Contract__c],0))</f>
        <v>DEBE 5</v>
      </c>
      <c r="G114" t="s">
        <v>686</v>
      </c>
      <c r="H114" t="s">
        <v>79</v>
      </c>
      <c r="I114" t="s">
        <v>687</v>
      </c>
      <c r="J114" s="1">
        <v>46021.419722222221</v>
      </c>
      <c r="K114">
        <v>9</v>
      </c>
      <c r="L114">
        <v>2030</v>
      </c>
      <c r="M114" t="s">
        <v>1463</v>
      </c>
      <c r="N114">
        <v>9</v>
      </c>
      <c r="O114" t="s">
        <v>1464</v>
      </c>
      <c r="P114" t="s">
        <v>73</v>
      </c>
      <c r="Q114">
        <v>2030</v>
      </c>
      <c r="R114">
        <v>940</v>
      </c>
      <c r="T114" t="s">
        <v>67</v>
      </c>
      <c r="U114" t="s">
        <v>68</v>
      </c>
      <c r="V114">
        <v>0</v>
      </c>
      <c r="W114" t="s">
        <v>69</v>
      </c>
      <c r="X114" s="5">
        <v>46041</v>
      </c>
      <c r="Y114" t="s">
        <v>74</v>
      </c>
      <c r="Z114" t="s">
        <v>68</v>
      </c>
      <c r="AA114">
        <v>9400</v>
      </c>
      <c r="AB114">
        <v>0</v>
      </c>
      <c r="AC114" t="s">
        <v>479</v>
      </c>
      <c r="AD114" t="s">
        <v>68</v>
      </c>
      <c r="AE114">
        <v>0</v>
      </c>
      <c r="AF114" s="1">
        <v>46038.921666666669</v>
      </c>
      <c r="AG114" s="1">
        <v>46038.921666666669</v>
      </c>
      <c r="AH114">
        <v>1</v>
      </c>
      <c r="AI114">
        <v>9</v>
      </c>
      <c r="AJ114">
        <v>940</v>
      </c>
      <c r="AK114" t="s">
        <v>480</v>
      </c>
      <c r="AL114" t="s">
        <v>71</v>
      </c>
      <c r="AM114" t="s">
        <v>68</v>
      </c>
      <c r="AN114">
        <v>0</v>
      </c>
      <c r="AO114" s="1"/>
      <c r="AP114">
        <v>0</v>
      </c>
      <c r="AQ114">
        <v>0</v>
      </c>
      <c r="AR114">
        <v>0</v>
      </c>
      <c r="AS114" t="s">
        <v>72</v>
      </c>
      <c r="AT114" t="s">
        <v>68</v>
      </c>
      <c r="AU114">
        <v>1</v>
      </c>
      <c r="AV114" t="s">
        <v>688</v>
      </c>
      <c r="AW114">
        <v>0</v>
      </c>
      <c r="AX114" s="1">
        <v>45944.639537037037</v>
      </c>
      <c r="AY114">
        <v>2500</v>
      </c>
      <c r="AZ114" t="s">
        <v>68</v>
      </c>
      <c r="BA114" t="s">
        <v>65</v>
      </c>
      <c r="BB114" t="s">
        <v>68</v>
      </c>
      <c r="BC114" t="s">
        <v>68</v>
      </c>
      <c r="BD114">
        <v>0</v>
      </c>
      <c r="BE114" s="1">
        <v>46038.427951388891</v>
      </c>
      <c r="BF114" s="1">
        <v>46038.921666666669</v>
      </c>
      <c r="BG114" t="s">
        <v>68</v>
      </c>
      <c r="BH114" t="s">
        <v>68</v>
      </c>
      <c r="BI114" t="s">
        <v>68</v>
      </c>
      <c r="BJ114" t="s">
        <v>68</v>
      </c>
      <c r="BK114" t="s">
        <v>68</v>
      </c>
      <c r="BL114" t="s">
        <v>68</v>
      </c>
      <c r="BM114" t="s">
        <v>68</v>
      </c>
      <c r="BN114" t="s">
        <v>68</v>
      </c>
      <c r="BO114" t="s">
        <v>96</v>
      </c>
      <c r="BP114">
        <v>0</v>
      </c>
      <c r="BQ114" t="s">
        <v>68</v>
      </c>
      <c r="BR114" t="s">
        <v>68</v>
      </c>
      <c r="BS114" t="s">
        <v>68</v>
      </c>
    </row>
    <row r="115" spans="1:71" x14ac:dyDescent="0.35">
      <c r="A115" t="b">
        <f>ISNUMBER(MATCH(ChargentOrders[[#This Row],[Contract__c]],Contract[Id],0))</f>
        <v>1</v>
      </c>
      <c r="B115">
        <f>IFERROR(INDEX(Contract[CB_Subscription__c],MATCH(ChargentOrders[[#This Row],[Contract__c]],Contract[Id],0)),0)</f>
        <v>0</v>
      </c>
      <c r="C115" t="b">
        <f>ISNUMBER(MATCH(ChargentOrders[[#This Row],[Id]],Claude[Id],0))</f>
        <v>1</v>
      </c>
      <c r="D115" t="b">
        <f>AND(ChargentOrders[[#This Row],[_Contract]],ChargentOrders[[#This Row],[CB Subscription]]=0)</f>
        <v>1</v>
      </c>
      <c r="E115" s="38">
        <f>INDEX(Table5[CUENTA],MATCH(ChargentOrders[[#This Row],[Contract__c]],Table5[SM_Contract__c],0))</f>
        <v>46081</v>
      </c>
      <c r="F115" s="38" t="str">
        <f ca="1">INDEX(Table5[ESTADO],MATCH(ChargentOrders[[#This Row],[Contract__c]],Table5[SM_Contract__c],0))</f>
        <v>DEBE 5</v>
      </c>
      <c r="G115" t="s">
        <v>689</v>
      </c>
      <c r="H115" t="s">
        <v>81</v>
      </c>
      <c r="I115" t="s">
        <v>690</v>
      </c>
      <c r="J115" s="1">
        <v>46021.420312499999</v>
      </c>
      <c r="K115">
        <v>10</v>
      </c>
      <c r="L115">
        <v>2029</v>
      </c>
      <c r="M115" t="s">
        <v>1412</v>
      </c>
      <c r="N115">
        <v>10</v>
      </c>
      <c r="O115" t="s">
        <v>1466</v>
      </c>
      <c r="P115" t="s">
        <v>73</v>
      </c>
      <c r="Q115">
        <v>2029</v>
      </c>
      <c r="R115">
        <v>9400</v>
      </c>
      <c r="T115" t="s">
        <v>67</v>
      </c>
      <c r="U115" t="s">
        <v>68</v>
      </c>
      <c r="V115">
        <v>0</v>
      </c>
      <c r="W115" t="s">
        <v>69</v>
      </c>
      <c r="X115" s="5">
        <v>46031</v>
      </c>
      <c r="Y115" t="s">
        <v>74</v>
      </c>
      <c r="Z115" t="s">
        <v>68</v>
      </c>
      <c r="AA115">
        <v>9400</v>
      </c>
      <c r="AB115">
        <v>0</v>
      </c>
      <c r="AC115" t="s">
        <v>515</v>
      </c>
      <c r="AD115" t="s">
        <v>68</v>
      </c>
      <c r="AE115">
        <v>0</v>
      </c>
      <c r="AF115" s="1">
        <v>46031.427453703705</v>
      </c>
      <c r="AG115" s="1">
        <v>46031.427453703705</v>
      </c>
      <c r="AH115">
        <v>1</v>
      </c>
      <c r="AI115">
        <v>4</v>
      </c>
      <c r="AJ115">
        <v>940</v>
      </c>
      <c r="AK115" t="s">
        <v>516</v>
      </c>
      <c r="AL115" t="s">
        <v>71</v>
      </c>
      <c r="AM115" t="s">
        <v>68</v>
      </c>
      <c r="AN115">
        <v>0</v>
      </c>
      <c r="AO115" s="1"/>
      <c r="AP115">
        <v>0</v>
      </c>
      <c r="AQ115">
        <v>0</v>
      </c>
      <c r="AR115">
        <v>0</v>
      </c>
      <c r="AS115" t="s">
        <v>72</v>
      </c>
      <c r="AT115" t="s">
        <v>68</v>
      </c>
      <c r="AU115">
        <v>1</v>
      </c>
      <c r="AV115" t="s">
        <v>691</v>
      </c>
      <c r="AW115">
        <v>0</v>
      </c>
      <c r="AX115" s="1">
        <v>45982.878946759258</v>
      </c>
      <c r="AY115">
        <v>2500</v>
      </c>
      <c r="AZ115" t="s">
        <v>68</v>
      </c>
      <c r="BA115" t="s">
        <v>65</v>
      </c>
      <c r="BB115" t="s">
        <v>68</v>
      </c>
      <c r="BC115" t="s">
        <v>68</v>
      </c>
      <c r="BD115">
        <v>0</v>
      </c>
      <c r="BE115" s="1">
        <v>46030.426655092589</v>
      </c>
      <c r="BF115" s="1">
        <v>46031.427453703705</v>
      </c>
      <c r="BG115" t="s">
        <v>68</v>
      </c>
      <c r="BH115" t="s">
        <v>68</v>
      </c>
      <c r="BI115" t="s">
        <v>68</v>
      </c>
      <c r="BJ115" t="s">
        <v>68</v>
      </c>
      <c r="BK115" t="s">
        <v>68</v>
      </c>
      <c r="BL115" t="s">
        <v>68</v>
      </c>
      <c r="BM115" t="s">
        <v>68</v>
      </c>
      <c r="BN115" t="s">
        <v>68</v>
      </c>
      <c r="BO115" t="s">
        <v>96</v>
      </c>
      <c r="BP115">
        <v>0</v>
      </c>
      <c r="BQ115" t="s">
        <v>68</v>
      </c>
      <c r="BR115" t="s">
        <v>68</v>
      </c>
      <c r="BS115" t="s">
        <v>68</v>
      </c>
    </row>
    <row r="116" spans="1:71" x14ac:dyDescent="0.35">
      <c r="A116" t="b">
        <f>ISNUMBER(MATCH(ChargentOrders[[#This Row],[Contract__c]],Contract[Id],0))</f>
        <v>1</v>
      </c>
      <c r="B116">
        <f>IFERROR(INDEX(Contract[CB_Subscription__c],MATCH(ChargentOrders[[#This Row],[Contract__c]],Contract[Id],0)),0)</f>
        <v>0</v>
      </c>
      <c r="C116" t="b">
        <f>ISNUMBER(MATCH(ChargentOrders[[#This Row],[Id]],Claude[Id],0))</f>
        <v>1</v>
      </c>
      <c r="D116" t="b">
        <f>AND(ChargentOrders[[#This Row],[_Contract]],ChargentOrders[[#This Row],[CB Subscription]]=0)</f>
        <v>1</v>
      </c>
      <c r="E116" s="38">
        <f>INDEX(Table5[CUENTA],MATCH(ChargentOrders[[#This Row],[Contract__c]],Table5[SM_Contract__c],0))</f>
        <v>46081</v>
      </c>
      <c r="F116" s="38" t="str">
        <f ca="1">INDEX(Table5[ESTADO],MATCH(ChargentOrders[[#This Row],[Contract__c]],Table5[SM_Contract__c],0))</f>
        <v>DEBE 5</v>
      </c>
      <c r="G116" t="s">
        <v>870</v>
      </c>
      <c r="H116" t="s">
        <v>79</v>
      </c>
      <c r="I116" t="s">
        <v>871</v>
      </c>
      <c r="J116" s="1">
        <v>46052.418483796297</v>
      </c>
      <c r="K116">
        <v>3</v>
      </c>
      <c r="L116">
        <v>2027</v>
      </c>
      <c r="M116" t="s">
        <v>1432</v>
      </c>
      <c r="N116">
        <v>3</v>
      </c>
      <c r="O116" t="s">
        <v>1433</v>
      </c>
      <c r="P116" t="s">
        <v>73</v>
      </c>
      <c r="Q116">
        <v>2027</v>
      </c>
      <c r="R116">
        <v>1040</v>
      </c>
      <c r="T116" t="s">
        <v>67</v>
      </c>
      <c r="U116" t="s">
        <v>68</v>
      </c>
      <c r="V116">
        <v>0</v>
      </c>
      <c r="W116" t="s">
        <v>69</v>
      </c>
      <c r="X116" s="5">
        <v>46058</v>
      </c>
      <c r="Y116" t="s">
        <v>74</v>
      </c>
      <c r="Z116" t="s">
        <v>68</v>
      </c>
      <c r="AA116">
        <v>10400</v>
      </c>
      <c r="AB116">
        <v>0</v>
      </c>
      <c r="AC116" t="s">
        <v>165</v>
      </c>
      <c r="AD116" t="s">
        <v>68</v>
      </c>
      <c r="AE116">
        <v>0</v>
      </c>
      <c r="AF116" s="1">
        <v>46058.020671296297</v>
      </c>
      <c r="AG116" s="1">
        <v>46058.020671296297</v>
      </c>
      <c r="AH116">
        <v>1</v>
      </c>
      <c r="AI116">
        <v>3</v>
      </c>
      <c r="AJ116">
        <v>1040</v>
      </c>
      <c r="AK116" t="s">
        <v>179</v>
      </c>
      <c r="AL116" t="s">
        <v>71</v>
      </c>
      <c r="AM116" t="s">
        <v>68</v>
      </c>
      <c r="AN116">
        <v>0</v>
      </c>
      <c r="AO116" s="1"/>
      <c r="AP116">
        <v>0</v>
      </c>
      <c r="AQ116">
        <v>0</v>
      </c>
      <c r="AR116">
        <v>0</v>
      </c>
      <c r="AS116" t="s">
        <v>72</v>
      </c>
      <c r="AT116" t="s">
        <v>68</v>
      </c>
      <c r="AU116">
        <v>1</v>
      </c>
      <c r="AV116" t="s">
        <v>872</v>
      </c>
      <c r="AW116">
        <v>0</v>
      </c>
      <c r="AX116" s="1">
        <v>45546.777881944443</v>
      </c>
      <c r="AY116">
        <v>2500</v>
      </c>
      <c r="AZ116" t="s">
        <v>68</v>
      </c>
      <c r="BA116" t="s">
        <v>65</v>
      </c>
      <c r="BB116" t="s">
        <v>68</v>
      </c>
      <c r="BC116" t="s">
        <v>68</v>
      </c>
      <c r="BD116">
        <v>0</v>
      </c>
      <c r="BE116" s="1">
        <v>46055.937835648147</v>
      </c>
      <c r="BF116" s="1">
        <v>46058.020671296297</v>
      </c>
      <c r="BG116" t="s">
        <v>68</v>
      </c>
      <c r="BH116" t="s">
        <v>68</v>
      </c>
      <c r="BI116" t="s">
        <v>68</v>
      </c>
      <c r="BJ116" t="s">
        <v>68</v>
      </c>
      <c r="BK116" t="s">
        <v>68</v>
      </c>
      <c r="BL116" t="s">
        <v>68</v>
      </c>
      <c r="BM116" t="s">
        <v>68</v>
      </c>
      <c r="BN116" t="s">
        <v>68</v>
      </c>
      <c r="BO116" t="s">
        <v>96</v>
      </c>
      <c r="BP116">
        <v>0</v>
      </c>
      <c r="BQ116" t="s">
        <v>68</v>
      </c>
      <c r="BR116" t="s">
        <v>68</v>
      </c>
      <c r="BS116" t="s">
        <v>68</v>
      </c>
    </row>
    <row r="117" spans="1:71" x14ac:dyDescent="0.35">
      <c r="A117" t="b">
        <f>ISNUMBER(MATCH(ChargentOrders[[#This Row],[Contract__c]],Contract[Id],0))</f>
        <v>1</v>
      </c>
      <c r="B117">
        <f>IFERROR(INDEX(Contract[CB_Subscription__c],MATCH(ChargentOrders[[#This Row],[Contract__c]],Contract[Id],0)),0)</f>
        <v>0</v>
      </c>
      <c r="C117" t="b">
        <f>ISNUMBER(MATCH(ChargentOrders[[#This Row],[Id]],Claude[Id],0))</f>
        <v>1</v>
      </c>
      <c r="D117" t="b">
        <f>AND(ChargentOrders[[#This Row],[_Contract]],ChargentOrders[[#This Row],[CB Subscription]]=0)</f>
        <v>1</v>
      </c>
      <c r="E117" s="38">
        <f>INDEX(Table5[CUENTA],MATCH(ChargentOrders[[#This Row],[Contract__c]],Table5[SM_Contract__c],0))</f>
        <v>46081</v>
      </c>
      <c r="F117" s="38" t="str">
        <f ca="1">INDEX(Table5[ESTADO],MATCH(ChargentOrders[[#This Row],[Contract__c]],Table5[SM_Contract__c],0))</f>
        <v>DEBE 5</v>
      </c>
      <c r="G117" t="s">
        <v>876</v>
      </c>
      <c r="H117" t="s">
        <v>79</v>
      </c>
      <c r="I117" t="s">
        <v>877</v>
      </c>
      <c r="J117" s="1">
        <v>46052.419456018521</v>
      </c>
      <c r="K117">
        <v>2</v>
      </c>
      <c r="L117">
        <v>2030</v>
      </c>
      <c r="M117" t="s">
        <v>1440</v>
      </c>
      <c r="N117">
        <v>2</v>
      </c>
      <c r="O117" t="s">
        <v>1440</v>
      </c>
      <c r="P117" t="s">
        <v>73</v>
      </c>
      <c r="Q117">
        <v>2030</v>
      </c>
      <c r="R117">
        <v>1040</v>
      </c>
      <c r="T117" t="s">
        <v>67</v>
      </c>
      <c r="U117" t="s">
        <v>68</v>
      </c>
      <c r="V117">
        <v>0</v>
      </c>
      <c r="W117" t="s">
        <v>69</v>
      </c>
      <c r="X117" s="5">
        <v>46114</v>
      </c>
      <c r="Y117" t="s">
        <v>74</v>
      </c>
      <c r="Z117" t="s">
        <v>68</v>
      </c>
      <c r="AA117">
        <v>10400</v>
      </c>
      <c r="AB117">
        <v>0</v>
      </c>
      <c r="AC117" t="s">
        <v>240</v>
      </c>
      <c r="AD117" t="s">
        <v>68</v>
      </c>
      <c r="AE117">
        <v>0</v>
      </c>
      <c r="AF117" s="1">
        <v>46113.063587962963</v>
      </c>
      <c r="AG117" s="1">
        <v>46113.063587962963</v>
      </c>
      <c r="AH117">
        <v>1</v>
      </c>
      <c r="AI117">
        <v>32</v>
      </c>
      <c r="AJ117">
        <v>1040</v>
      </c>
      <c r="AK117" t="s">
        <v>235</v>
      </c>
      <c r="AL117" t="s">
        <v>71</v>
      </c>
      <c r="AM117" t="s">
        <v>68</v>
      </c>
      <c r="AN117">
        <v>0</v>
      </c>
      <c r="AO117" s="1"/>
      <c r="AP117">
        <v>0</v>
      </c>
      <c r="AQ117">
        <v>0</v>
      </c>
      <c r="AR117">
        <v>0</v>
      </c>
      <c r="AS117" t="s">
        <v>72</v>
      </c>
      <c r="AT117" t="s">
        <v>68</v>
      </c>
      <c r="AU117">
        <v>1</v>
      </c>
      <c r="AV117" t="s">
        <v>878</v>
      </c>
      <c r="AW117">
        <v>0</v>
      </c>
      <c r="AX117" s="1">
        <v>45702.827997685185</v>
      </c>
      <c r="AY117">
        <v>2500</v>
      </c>
      <c r="AZ117" t="s">
        <v>68</v>
      </c>
      <c r="BA117" t="s">
        <v>65</v>
      </c>
      <c r="BB117" t="s">
        <v>68</v>
      </c>
      <c r="BC117" t="s">
        <v>68</v>
      </c>
      <c r="BD117">
        <v>0</v>
      </c>
      <c r="BE117" s="1">
        <v>46111.427071759259</v>
      </c>
      <c r="BF117" s="1">
        <v>46113.063587962963</v>
      </c>
      <c r="BG117" t="s">
        <v>68</v>
      </c>
      <c r="BH117" t="s">
        <v>68</v>
      </c>
      <c r="BI117" t="s">
        <v>68</v>
      </c>
      <c r="BJ117" t="s">
        <v>68</v>
      </c>
      <c r="BK117" t="s">
        <v>68</v>
      </c>
      <c r="BL117" t="s">
        <v>68</v>
      </c>
      <c r="BM117" t="s">
        <v>68</v>
      </c>
      <c r="BN117" t="s">
        <v>68</v>
      </c>
      <c r="BO117" t="s">
        <v>96</v>
      </c>
      <c r="BP117">
        <v>0</v>
      </c>
      <c r="BQ117" t="s">
        <v>68</v>
      </c>
      <c r="BR117" t="s">
        <v>68</v>
      </c>
      <c r="BS117" t="s">
        <v>68</v>
      </c>
    </row>
    <row r="118" spans="1:71" x14ac:dyDescent="0.35">
      <c r="A118" t="b">
        <f>ISNUMBER(MATCH(ChargentOrders[[#This Row],[Contract__c]],Contract[Id],0))</f>
        <v>1</v>
      </c>
      <c r="B118">
        <f>IFERROR(INDEX(Contract[CB_Subscription__c],MATCH(ChargentOrders[[#This Row],[Contract__c]],Contract[Id],0)),0)</f>
        <v>0</v>
      </c>
      <c r="C118" t="b">
        <f>ISNUMBER(MATCH(ChargentOrders[[#This Row],[Id]],Claude[Id],0))</f>
        <v>1</v>
      </c>
      <c r="D118" t="b">
        <f>AND(ChargentOrders[[#This Row],[_Contract]],ChargentOrders[[#This Row],[CB Subscription]]=0)</f>
        <v>1</v>
      </c>
      <c r="E118" s="38">
        <f>INDEX(Table5[CUENTA],MATCH(ChargentOrders[[#This Row],[Contract__c]],Table5[SM_Contract__c],0))</f>
        <v>46081</v>
      </c>
      <c r="F118" s="38" t="str">
        <f ca="1">INDEX(Table5[ESTADO],MATCH(ChargentOrders[[#This Row],[Contract__c]],Table5[SM_Contract__c],0))</f>
        <v>DEBE 5</v>
      </c>
      <c r="G118" t="s">
        <v>879</v>
      </c>
      <c r="H118" t="s">
        <v>79</v>
      </c>
      <c r="I118" t="s">
        <v>880</v>
      </c>
      <c r="J118" s="1">
        <v>46052.419745370367</v>
      </c>
      <c r="K118">
        <v>7</v>
      </c>
      <c r="L118">
        <v>2029</v>
      </c>
      <c r="M118" t="s">
        <v>1422</v>
      </c>
      <c r="N118">
        <v>7</v>
      </c>
      <c r="O118" t="s">
        <v>1422</v>
      </c>
      <c r="P118" t="s">
        <v>66</v>
      </c>
      <c r="Q118">
        <v>2029</v>
      </c>
      <c r="R118">
        <v>10400</v>
      </c>
      <c r="T118" t="s">
        <v>67</v>
      </c>
      <c r="U118" t="s">
        <v>68</v>
      </c>
      <c r="V118">
        <v>0</v>
      </c>
      <c r="W118" t="s">
        <v>69</v>
      </c>
      <c r="X118" s="5">
        <v>46191</v>
      </c>
      <c r="Y118" t="s">
        <v>74</v>
      </c>
      <c r="Z118" t="s">
        <v>68</v>
      </c>
      <c r="AA118">
        <v>10400</v>
      </c>
      <c r="AB118">
        <v>0</v>
      </c>
      <c r="AC118" t="s">
        <v>219</v>
      </c>
      <c r="AD118" t="s">
        <v>68</v>
      </c>
      <c r="AE118">
        <v>0</v>
      </c>
      <c r="AF118" s="1">
        <v>46191.417337962965</v>
      </c>
      <c r="AG118" s="1">
        <v>46191.417384259257</v>
      </c>
      <c r="AH118">
        <v>1</v>
      </c>
      <c r="AI118">
        <v>54</v>
      </c>
      <c r="AJ118">
        <v>1040</v>
      </c>
      <c r="AK118" t="s">
        <v>220</v>
      </c>
      <c r="AL118" t="s">
        <v>71</v>
      </c>
      <c r="AM118" t="s">
        <v>68</v>
      </c>
      <c r="AN118">
        <v>0</v>
      </c>
      <c r="AO118" s="1"/>
      <c r="AP118">
        <v>0</v>
      </c>
      <c r="AQ118">
        <v>0</v>
      </c>
      <c r="AR118">
        <v>0</v>
      </c>
      <c r="AS118" t="s">
        <v>72</v>
      </c>
      <c r="AT118" t="s">
        <v>68</v>
      </c>
      <c r="AU118">
        <v>1</v>
      </c>
      <c r="AV118" t="s">
        <v>881</v>
      </c>
      <c r="AW118">
        <v>0</v>
      </c>
      <c r="AX118" s="1">
        <v>45716.429675925923</v>
      </c>
      <c r="AY118">
        <v>2500</v>
      </c>
      <c r="AZ118" t="s">
        <v>68</v>
      </c>
      <c r="BA118" t="s">
        <v>65</v>
      </c>
      <c r="BB118" t="s">
        <v>68</v>
      </c>
      <c r="BC118" t="s">
        <v>68</v>
      </c>
      <c r="BD118">
        <v>0</v>
      </c>
      <c r="BE118" s="1">
        <v>46188.417569444442</v>
      </c>
      <c r="BF118" s="1">
        <v>46191.417337962965</v>
      </c>
      <c r="BG118" t="s">
        <v>68</v>
      </c>
      <c r="BH118" t="s">
        <v>68</v>
      </c>
      <c r="BI118" t="s">
        <v>68</v>
      </c>
      <c r="BJ118" t="s">
        <v>68</v>
      </c>
      <c r="BK118" t="s">
        <v>68</v>
      </c>
      <c r="BL118" t="s">
        <v>68</v>
      </c>
      <c r="BM118" t="s">
        <v>68</v>
      </c>
      <c r="BN118" t="s">
        <v>68</v>
      </c>
      <c r="BO118" t="s">
        <v>96</v>
      </c>
      <c r="BP118">
        <v>0</v>
      </c>
      <c r="BQ118" t="s">
        <v>68</v>
      </c>
      <c r="BR118" t="s">
        <v>68</v>
      </c>
      <c r="BS118" t="s">
        <v>68</v>
      </c>
    </row>
    <row r="119" spans="1:71" x14ac:dyDescent="0.35">
      <c r="A119" t="b">
        <f>ISNUMBER(MATCH(ChargentOrders[[#This Row],[Contract__c]],Contract[Id],0))</f>
        <v>1</v>
      </c>
      <c r="B119">
        <f>IFERROR(INDEX(Contract[CB_Subscription__c],MATCH(ChargentOrders[[#This Row],[Contract__c]],Contract[Id],0)),0)</f>
        <v>0</v>
      </c>
      <c r="C119" t="b">
        <f>ISNUMBER(MATCH(ChargentOrders[[#This Row],[Id]],Claude[Id],0))</f>
        <v>1</v>
      </c>
      <c r="D119" t="b">
        <f>AND(ChargentOrders[[#This Row],[_Contract]],ChargentOrders[[#This Row],[CB Subscription]]=0)</f>
        <v>1</v>
      </c>
      <c r="E119" s="38">
        <f>INDEX(Table5[CUENTA],MATCH(ChargentOrders[[#This Row],[Contract__c]],Table5[SM_Contract__c],0))</f>
        <v>46081</v>
      </c>
      <c r="F119" s="38" t="str">
        <f ca="1">INDEX(Table5[ESTADO],MATCH(ChargentOrders[[#This Row],[Contract__c]],Table5[SM_Contract__c],0))</f>
        <v>DEBE 5</v>
      </c>
      <c r="G119" t="s">
        <v>882</v>
      </c>
      <c r="H119" t="s">
        <v>79</v>
      </c>
      <c r="I119" t="s">
        <v>883</v>
      </c>
      <c r="J119" s="1">
        <v>46052.419745370367</v>
      </c>
      <c r="K119">
        <v>2</v>
      </c>
      <c r="L119">
        <v>2026</v>
      </c>
      <c r="M119" t="s">
        <v>1407</v>
      </c>
      <c r="N119">
        <v>2</v>
      </c>
      <c r="O119" t="s">
        <v>1442</v>
      </c>
      <c r="P119" t="s">
        <v>73</v>
      </c>
      <c r="Q119">
        <v>2026</v>
      </c>
      <c r="R119">
        <v>1040</v>
      </c>
      <c r="T119" t="s">
        <v>67</v>
      </c>
      <c r="U119" t="s">
        <v>68</v>
      </c>
      <c r="V119">
        <v>0</v>
      </c>
      <c r="W119" t="s">
        <v>69</v>
      </c>
      <c r="X119" s="5">
        <v>46056</v>
      </c>
      <c r="Y119" t="s">
        <v>74</v>
      </c>
      <c r="Z119" t="s">
        <v>68</v>
      </c>
      <c r="AA119">
        <v>10400</v>
      </c>
      <c r="AB119">
        <v>0</v>
      </c>
      <c r="AC119" t="s">
        <v>252</v>
      </c>
      <c r="AD119" t="s">
        <v>68</v>
      </c>
      <c r="AE119">
        <v>0</v>
      </c>
      <c r="AF119" s="1">
        <v>46055.934201388889</v>
      </c>
      <c r="AG119" s="1">
        <v>46055.934201388889</v>
      </c>
      <c r="AH119">
        <v>1</v>
      </c>
      <c r="AI119">
        <v>2</v>
      </c>
      <c r="AJ119">
        <v>1040</v>
      </c>
      <c r="AK119" t="s">
        <v>253</v>
      </c>
      <c r="AL119" t="s">
        <v>71</v>
      </c>
      <c r="AM119" t="s">
        <v>68</v>
      </c>
      <c r="AN119">
        <v>0</v>
      </c>
      <c r="AO119" s="1"/>
      <c r="AP119">
        <v>0</v>
      </c>
      <c r="AQ119">
        <v>0</v>
      </c>
      <c r="AR119">
        <v>0</v>
      </c>
      <c r="AS119" t="s">
        <v>72</v>
      </c>
      <c r="AT119" t="s">
        <v>68</v>
      </c>
      <c r="AU119">
        <v>1</v>
      </c>
      <c r="AV119" t="s">
        <v>884</v>
      </c>
      <c r="AW119">
        <v>0</v>
      </c>
      <c r="AX119" s="1">
        <v>45723.426469907405</v>
      </c>
      <c r="AY119">
        <v>2500</v>
      </c>
      <c r="AZ119" t="s">
        <v>68</v>
      </c>
      <c r="BA119" t="s">
        <v>65</v>
      </c>
      <c r="BB119" t="s">
        <v>68</v>
      </c>
      <c r="BC119" t="s">
        <v>68</v>
      </c>
      <c r="BD119">
        <v>0</v>
      </c>
      <c r="BE119" s="1">
        <v>46053.592928240738</v>
      </c>
      <c r="BF119" s="1">
        <v>46055.934201388889</v>
      </c>
      <c r="BG119" t="s">
        <v>68</v>
      </c>
      <c r="BH119" t="s">
        <v>68</v>
      </c>
      <c r="BI119" t="s">
        <v>68</v>
      </c>
      <c r="BJ119" t="s">
        <v>68</v>
      </c>
      <c r="BK119" t="s">
        <v>68</v>
      </c>
      <c r="BL119" t="s">
        <v>68</v>
      </c>
      <c r="BM119" t="s">
        <v>68</v>
      </c>
      <c r="BN119" t="s">
        <v>68</v>
      </c>
      <c r="BO119" t="s">
        <v>96</v>
      </c>
      <c r="BP119">
        <v>0</v>
      </c>
      <c r="BQ119" t="s">
        <v>68</v>
      </c>
      <c r="BR119" t="s">
        <v>68</v>
      </c>
      <c r="BS119" t="s">
        <v>68</v>
      </c>
    </row>
    <row r="120" spans="1:71" x14ac:dyDescent="0.35">
      <c r="A120" t="b">
        <f>ISNUMBER(MATCH(ChargentOrders[[#This Row],[Contract__c]],Contract[Id],0))</f>
        <v>1</v>
      </c>
      <c r="B120">
        <f>IFERROR(INDEX(Contract[CB_Subscription__c],MATCH(ChargentOrders[[#This Row],[Contract__c]],Contract[Id],0)),0)</f>
        <v>0</v>
      </c>
      <c r="C120" t="b">
        <f>ISNUMBER(MATCH(ChargentOrders[[#This Row],[Id]],Claude[Id],0))</f>
        <v>1</v>
      </c>
      <c r="D120" t="b">
        <f>AND(ChargentOrders[[#This Row],[_Contract]],ChargentOrders[[#This Row],[CB Subscription]]=0)</f>
        <v>1</v>
      </c>
      <c r="E120" s="38">
        <f>INDEX(Table5[CUENTA],MATCH(ChargentOrders[[#This Row],[Contract__c]],Table5[SM_Contract__c],0))</f>
        <v>46081</v>
      </c>
      <c r="F120" s="38" t="str">
        <f ca="1">INDEX(Table5[ESTADO],MATCH(ChargentOrders[[#This Row],[Contract__c]],Table5[SM_Contract__c],0))</f>
        <v>DEBE 5</v>
      </c>
      <c r="G120" t="s">
        <v>885</v>
      </c>
      <c r="H120" t="s">
        <v>81</v>
      </c>
      <c r="I120" t="s">
        <v>886</v>
      </c>
      <c r="J120" s="1">
        <v>46052.419872685183</v>
      </c>
      <c r="K120">
        <v>11</v>
      </c>
      <c r="L120">
        <v>2029</v>
      </c>
      <c r="M120" t="s">
        <v>1444</v>
      </c>
      <c r="N120">
        <v>11</v>
      </c>
      <c r="O120" t="s">
        <v>1444</v>
      </c>
      <c r="P120" t="s">
        <v>73</v>
      </c>
      <c r="Q120">
        <v>2029</v>
      </c>
      <c r="R120">
        <v>10400</v>
      </c>
      <c r="T120" t="s">
        <v>67</v>
      </c>
      <c r="U120" t="s">
        <v>68</v>
      </c>
      <c r="V120">
        <v>0</v>
      </c>
      <c r="W120" t="s">
        <v>69</v>
      </c>
      <c r="X120" s="5">
        <v>46170</v>
      </c>
      <c r="Y120" t="s">
        <v>74</v>
      </c>
      <c r="Z120" t="s">
        <v>68</v>
      </c>
      <c r="AA120">
        <v>10400</v>
      </c>
      <c r="AB120">
        <v>0</v>
      </c>
      <c r="AC120" t="s">
        <v>264</v>
      </c>
      <c r="AD120" t="s">
        <v>68</v>
      </c>
      <c r="AE120">
        <v>0</v>
      </c>
      <c r="AF120" s="1">
        <v>46170.418530092589</v>
      </c>
      <c r="AG120" s="1">
        <v>46170.418564814812</v>
      </c>
      <c r="AH120">
        <v>1</v>
      </c>
      <c r="AI120">
        <v>72</v>
      </c>
      <c r="AJ120">
        <v>1040</v>
      </c>
      <c r="AK120" t="s">
        <v>265</v>
      </c>
      <c r="AL120" t="s">
        <v>71</v>
      </c>
      <c r="AM120" t="s">
        <v>68</v>
      </c>
      <c r="AN120">
        <v>0</v>
      </c>
      <c r="AO120" s="1"/>
      <c r="AP120">
        <v>0</v>
      </c>
      <c r="AQ120">
        <v>0</v>
      </c>
      <c r="AR120">
        <v>0</v>
      </c>
      <c r="AS120" t="s">
        <v>72</v>
      </c>
      <c r="AT120" t="s">
        <v>68</v>
      </c>
      <c r="AU120">
        <v>1</v>
      </c>
      <c r="AV120" t="s">
        <v>887</v>
      </c>
      <c r="AW120">
        <v>0</v>
      </c>
      <c r="AX120" s="1">
        <v>46081.815428240741</v>
      </c>
      <c r="AY120">
        <v>2500</v>
      </c>
      <c r="AZ120" t="s">
        <v>68</v>
      </c>
      <c r="BA120" t="s">
        <v>65</v>
      </c>
      <c r="BB120" t="s">
        <v>68</v>
      </c>
      <c r="BC120" t="s">
        <v>68</v>
      </c>
      <c r="BD120">
        <v>0</v>
      </c>
      <c r="BE120" s="1">
        <v>46167.419016203705</v>
      </c>
      <c r="BF120" s="1">
        <v>46170.418530092589</v>
      </c>
      <c r="BG120" t="s">
        <v>68</v>
      </c>
      <c r="BH120" t="s">
        <v>68</v>
      </c>
      <c r="BI120" t="s">
        <v>68</v>
      </c>
      <c r="BJ120" t="s">
        <v>68</v>
      </c>
      <c r="BK120" t="s">
        <v>68</v>
      </c>
      <c r="BL120" t="s">
        <v>68</v>
      </c>
      <c r="BM120" t="s">
        <v>68</v>
      </c>
      <c r="BN120" t="s">
        <v>68</v>
      </c>
      <c r="BO120" t="s">
        <v>96</v>
      </c>
      <c r="BP120">
        <v>0</v>
      </c>
      <c r="BQ120" t="s">
        <v>68</v>
      </c>
      <c r="BR120" t="s">
        <v>68</v>
      </c>
      <c r="BS120" t="s">
        <v>68</v>
      </c>
    </row>
    <row r="121" spans="1:71" x14ac:dyDescent="0.35">
      <c r="A121" t="b">
        <f>ISNUMBER(MATCH(ChargentOrders[[#This Row],[Contract__c]],Contract[Id],0))</f>
        <v>1</v>
      </c>
      <c r="B121">
        <f>IFERROR(INDEX(Contract[CB_Subscription__c],MATCH(ChargentOrders[[#This Row],[Contract__c]],Contract[Id],0)),0)</f>
        <v>0</v>
      </c>
      <c r="C121" t="b">
        <f>ISNUMBER(MATCH(ChargentOrders[[#This Row],[Id]],Claude[Id],0))</f>
        <v>1</v>
      </c>
      <c r="D121" t="b">
        <f>AND(ChargentOrders[[#This Row],[_Contract]],ChargentOrders[[#This Row],[CB Subscription]]=0)</f>
        <v>1</v>
      </c>
      <c r="E121" s="38">
        <f>INDEX(Table5[CUENTA],MATCH(ChargentOrders[[#This Row],[Contract__c]],Table5[SM_Contract__c],0))</f>
        <v>46081</v>
      </c>
      <c r="F121" s="38" t="str">
        <f ca="1">INDEX(Table5[ESTADO],MATCH(ChargentOrders[[#This Row],[Contract__c]],Table5[SM_Contract__c],0))</f>
        <v>DEBE 5</v>
      </c>
      <c r="G121" t="s">
        <v>891</v>
      </c>
      <c r="H121" t="s">
        <v>79</v>
      </c>
      <c r="I121" t="s">
        <v>892</v>
      </c>
      <c r="J121" s="1">
        <v>46052.421168981484</v>
      </c>
      <c r="K121">
        <v>7</v>
      </c>
      <c r="L121">
        <v>2027</v>
      </c>
      <c r="M121" t="s">
        <v>1450</v>
      </c>
      <c r="N121">
        <v>7</v>
      </c>
      <c r="O121" t="s">
        <v>68</v>
      </c>
      <c r="P121" t="s">
        <v>66</v>
      </c>
      <c r="Q121">
        <v>2027</v>
      </c>
      <c r="R121">
        <v>1040</v>
      </c>
      <c r="T121" t="s">
        <v>107</v>
      </c>
      <c r="U121" t="s">
        <v>68</v>
      </c>
      <c r="V121">
        <v>0</v>
      </c>
      <c r="W121" t="s">
        <v>69</v>
      </c>
      <c r="X121" s="5">
        <v>46073</v>
      </c>
      <c r="Y121" t="s">
        <v>74</v>
      </c>
      <c r="Z121" t="s">
        <v>68</v>
      </c>
      <c r="AA121">
        <v>10400</v>
      </c>
      <c r="AB121">
        <v>0</v>
      </c>
      <c r="AC121" t="s">
        <v>368</v>
      </c>
      <c r="AD121" t="s">
        <v>68</v>
      </c>
      <c r="AE121">
        <v>0</v>
      </c>
      <c r="AF121" s="1">
        <v>46073.029803240737</v>
      </c>
      <c r="AG121" s="1">
        <v>46073.029803240737</v>
      </c>
      <c r="AH121">
        <v>1</v>
      </c>
      <c r="AI121">
        <v>12</v>
      </c>
      <c r="AJ121">
        <v>1040</v>
      </c>
      <c r="AK121" t="s">
        <v>369</v>
      </c>
      <c r="AL121" t="s">
        <v>71</v>
      </c>
      <c r="AM121" t="s">
        <v>68</v>
      </c>
      <c r="AN121">
        <v>0</v>
      </c>
      <c r="AO121" s="1"/>
      <c r="AP121">
        <v>0</v>
      </c>
      <c r="AQ121">
        <v>0</v>
      </c>
      <c r="AR121">
        <v>0</v>
      </c>
      <c r="AS121" t="s">
        <v>72</v>
      </c>
      <c r="AT121" t="s">
        <v>68</v>
      </c>
      <c r="AU121">
        <v>1</v>
      </c>
      <c r="AV121" t="s">
        <v>893</v>
      </c>
      <c r="AW121">
        <v>0</v>
      </c>
      <c r="AX121" s="1">
        <v>45849.623969907407</v>
      </c>
      <c r="AY121">
        <v>2500</v>
      </c>
      <c r="AZ121" t="s">
        <v>68</v>
      </c>
      <c r="BA121" t="s">
        <v>65</v>
      </c>
      <c r="BB121" t="s">
        <v>68</v>
      </c>
      <c r="BC121" t="s">
        <v>68</v>
      </c>
      <c r="BD121">
        <v>0</v>
      </c>
      <c r="BE121" s="1">
        <v>46071.928310185183</v>
      </c>
      <c r="BF121" s="1">
        <v>46073.029803240737</v>
      </c>
      <c r="BG121" t="s">
        <v>68</v>
      </c>
      <c r="BH121" t="s">
        <v>68</v>
      </c>
      <c r="BI121" t="s">
        <v>68</v>
      </c>
      <c r="BJ121" t="s">
        <v>68</v>
      </c>
      <c r="BK121" t="s">
        <v>68</v>
      </c>
      <c r="BL121" t="s">
        <v>68</v>
      </c>
      <c r="BM121" t="s">
        <v>68</v>
      </c>
      <c r="BN121" t="s">
        <v>68</v>
      </c>
      <c r="BO121" t="s">
        <v>96</v>
      </c>
      <c r="BP121">
        <v>0</v>
      </c>
      <c r="BQ121" t="s">
        <v>68</v>
      </c>
      <c r="BR121" t="s">
        <v>68</v>
      </c>
      <c r="BS121" t="s">
        <v>68</v>
      </c>
    </row>
    <row r="122" spans="1:71" x14ac:dyDescent="0.35">
      <c r="A122" t="b">
        <f>ISNUMBER(MATCH(ChargentOrders[[#This Row],[Contract__c]],Contract[Id],0))</f>
        <v>1</v>
      </c>
      <c r="B122">
        <f>IFERROR(INDEX(Contract[CB_Subscription__c],MATCH(ChargentOrders[[#This Row],[Contract__c]],Contract[Id],0)),0)</f>
        <v>0</v>
      </c>
      <c r="C122" t="b">
        <f>ISNUMBER(MATCH(ChargentOrders[[#This Row],[Id]],Claude[Id],0))</f>
        <v>1</v>
      </c>
      <c r="D122" t="b">
        <f>AND(ChargentOrders[[#This Row],[_Contract]],ChargentOrders[[#This Row],[CB Subscription]]=0)</f>
        <v>1</v>
      </c>
      <c r="E122" s="38">
        <f>INDEX(Table5[CUENTA],MATCH(ChargentOrders[[#This Row],[Contract__c]],Table5[SM_Contract__c],0))</f>
        <v>46081</v>
      </c>
      <c r="F122" s="38" t="str">
        <f ca="1">INDEX(Table5[ESTADO],MATCH(ChargentOrders[[#This Row],[Contract__c]],Table5[SM_Contract__c],0))</f>
        <v>DEBE 5</v>
      </c>
      <c r="G122" t="s">
        <v>894</v>
      </c>
      <c r="H122" t="s">
        <v>79</v>
      </c>
      <c r="I122" t="s">
        <v>895</v>
      </c>
      <c r="J122" s="1">
        <v>46052.424432870372</v>
      </c>
      <c r="K122">
        <v>9</v>
      </c>
      <c r="L122">
        <v>2030</v>
      </c>
      <c r="M122" t="s">
        <v>1463</v>
      </c>
      <c r="N122">
        <v>9</v>
      </c>
      <c r="O122" t="s">
        <v>1464</v>
      </c>
      <c r="P122" t="s">
        <v>73</v>
      </c>
      <c r="Q122">
        <v>2030</v>
      </c>
      <c r="R122">
        <v>940</v>
      </c>
      <c r="T122" t="s">
        <v>67</v>
      </c>
      <c r="U122" t="s">
        <v>68</v>
      </c>
      <c r="V122">
        <v>0</v>
      </c>
      <c r="W122" t="s">
        <v>69</v>
      </c>
      <c r="X122" s="5">
        <v>46058</v>
      </c>
      <c r="Y122" t="s">
        <v>74</v>
      </c>
      <c r="Z122" t="s">
        <v>68</v>
      </c>
      <c r="AA122">
        <v>9400</v>
      </c>
      <c r="AB122">
        <v>0</v>
      </c>
      <c r="AC122" t="s">
        <v>479</v>
      </c>
      <c r="AD122" t="s">
        <v>68</v>
      </c>
      <c r="AE122">
        <v>0</v>
      </c>
      <c r="AF122" s="1">
        <v>46058.044629629629</v>
      </c>
      <c r="AG122" s="1">
        <v>46058.044629629629</v>
      </c>
      <c r="AH122">
        <v>1</v>
      </c>
      <c r="AI122">
        <v>3</v>
      </c>
      <c r="AJ122">
        <v>940</v>
      </c>
      <c r="AK122" t="s">
        <v>480</v>
      </c>
      <c r="AL122" t="s">
        <v>71</v>
      </c>
      <c r="AM122" t="s">
        <v>68</v>
      </c>
      <c r="AN122">
        <v>0</v>
      </c>
      <c r="AO122" s="1"/>
      <c r="AP122">
        <v>0</v>
      </c>
      <c r="AQ122">
        <v>0</v>
      </c>
      <c r="AR122">
        <v>0</v>
      </c>
      <c r="AS122" t="s">
        <v>72</v>
      </c>
      <c r="AT122" t="s">
        <v>68</v>
      </c>
      <c r="AU122">
        <v>1</v>
      </c>
      <c r="AV122" t="s">
        <v>896</v>
      </c>
      <c r="AW122">
        <v>0</v>
      </c>
      <c r="AX122" s="1">
        <v>46052.983761574076</v>
      </c>
      <c r="AY122">
        <v>2500</v>
      </c>
      <c r="AZ122" t="s">
        <v>68</v>
      </c>
      <c r="BA122" t="s">
        <v>65</v>
      </c>
      <c r="BB122" t="s">
        <v>68</v>
      </c>
      <c r="BC122" t="s">
        <v>68</v>
      </c>
      <c r="BD122">
        <v>0</v>
      </c>
      <c r="BE122" s="1">
        <v>46055.596770833334</v>
      </c>
      <c r="BF122" s="1">
        <v>46058.044629629629</v>
      </c>
      <c r="BG122" t="s">
        <v>68</v>
      </c>
      <c r="BH122" t="s">
        <v>68</v>
      </c>
      <c r="BI122" t="s">
        <v>68</v>
      </c>
      <c r="BJ122" t="s">
        <v>68</v>
      </c>
      <c r="BK122" t="s">
        <v>68</v>
      </c>
      <c r="BL122" t="s">
        <v>68</v>
      </c>
      <c r="BM122" t="s">
        <v>68</v>
      </c>
      <c r="BN122" t="s">
        <v>68</v>
      </c>
      <c r="BO122" t="s">
        <v>96</v>
      </c>
      <c r="BP122">
        <v>0</v>
      </c>
      <c r="BQ122" t="s">
        <v>68</v>
      </c>
      <c r="BR122" t="s">
        <v>68</v>
      </c>
      <c r="BS122" t="s">
        <v>68</v>
      </c>
    </row>
    <row r="123" spans="1:71" x14ac:dyDescent="0.35">
      <c r="A123" t="b">
        <f>ISNUMBER(MATCH(ChargentOrders[[#This Row],[Contract__c]],Contract[Id],0))</f>
        <v>1</v>
      </c>
      <c r="B123">
        <f>IFERROR(INDEX(Contract[CB_Subscription__c],MATCH(ChargentOrders[[#This Row],[Contract__c]],Contract[Id],0)),0)</f>
        <v>0</v>
      </c>
      <c r="C123" t="b">
        <f>ISNUMBER(MATCH(ChargentOrders[[#This Row],[Id]],Claude[Id],0))</f>
        <v>1</v>
      </c>
      <c r="D123" t="b">
        <f>AND(ChargentOrders[[#This Row],[_Contract]],ChargentOrders[[#This Row],[CB Subscription]]=0)</f>
        <v>1</v>
      </c>
      <c r="E123" s="38">
        <f>INDEX(Table5[CUENTA],MATCH(ChargentOrders[[#This Row],[Contract__c]],Table5[SM_Contract__c],0))</f>
        <v>46081</v>
      </c>
      <c r="F123" s="38" t="str">
        <f ca="1">INDEX(Table5[ESTADO],MATCH(ChargentOrders[[#This Row],[Contract__c]],Table5[SM_Contract__c],0))</f>
        <v>DEBE 5</v>
      </c>
      <c r="G123" t="s">
        <v>899</v>
      </c>
      <c r="H123" t="s">
        <v>81</v>
      </c>
      <c r="I123" t="s">
        <v>900</v>
      </c>
      <c r="J123" s="1">
        <v>46052.428530092591</v>
      </c>
      <c r="K123">
        <v>10</v>
      </c>
      <c r="L123">
        <v>2029</v>
      </c>
      <c r="M123" t="s">
        <v>1412</v>
      </c>
      <c r="N123">
        <v>10</v>
      </c>
      <c r="O123" t="s">
        <v>1466</v>
      </c>
      <c r="P123" t="s">
        <v>73</v>
      </c>
      <c r="Q123">
        <v>2029</v>
      </c>
      <c r="R123">
        <v>9400</v>
      </c>
      <c r="T123" t="s">
        <v>67</v>
      </c>
      <c r="U123" t="s">
        <v>68</v>
      </c>
      <c r="V123">
        <v>0</v>
      </c>
      <c r="W123" t="s">
        <v>69</v>
      </c>
      <c r="X123" s="5">
        <v>46072</v>
      </c>
      <c r="Y123" t="s">
        <v>74</v>
      </c>
      <c r="Z123" t="s">
        <v>68</v>
      </c>
      <c r="AA123">
        <v>9400</v>
      </c>
      <c r="AB123">
        <v>0</v>
      </c>
      <c r="AC123" t="s">
        <v>515</v>
      </c>
      <c r="AD123" t="s">
        <v>68</v>
      </c>
      <c r="AE123">
        <v>0</v>
      </c>
      <c r="AF123" s="1">
        <v>46072.422951388886</v>
      </c>
      <c r="AG123" s="1">
        <v>46072.422962962963</v>
      </c>
      <c r="AH123">
        <v>1</v>
      </c>
      <c r="AI123">
        <v>8</v>
      </c>
      <c r="AJ123">
        <v>940</v>
      </c>
      <c r="AK123" t="s">
        <v>516</v>
      </c>
      <c r="AL123" t="s">
        <v>71</v>
      </c>
      <c r="AM123" t="s">
        <v>68</v>
      </c>
      <c r="AN123">
        <v>0</v>
      </c>
      <c r="AO123" s="1"/>
      <c r="AP123">
        <v>0</v>
      </c>
      <c r="AQ123">
        <v>0</v>
      </c>
      <c r="AR123">
        <v>0</v>
      </c>
      <c r="AS123" t="s">
        <v>72</v>
      </c>
      <c r="AT123" t="s">
        <v>68</v>
      </c>
      <c r="AU123">
        <v>1</v>
      </c>
      <c r="AV123" t="s">
        <v>901</v>
      </c>
      <c r="AW123">
        <v>0</v>
      </c>
      <c r="AX123" s="1">
        <v>45982.878946759258</v>
      </c>
      <c r="AY123">
        <v>2500</v>
      </c>
      <c r="AZ123" t="s">
        <v>68</v>
      </c>
      <c r="BA123" t="s">
        <v>65</v>
      </c>
      <c r="BB123" t="s">
        <v>68</v>
      </c>
      <c r="BC123" t="s">
        <v>68</v>
      </c>
      <c r="BD123">
        <v>0</v>
      </c>
      <c r="BE123" s="1">
        <v>46069.42392361111</v>
      </c>
      <c r="BF123" s="1">
        <v>46072.422951388886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68</v>
      </c>
      <c r="BN123" t="s">
        <v>68</v>
      </c>
      <c r="BO123" t="s">
        <v>96</v>
      </c>
      <c r="BP123">
        <v>0</v>
      </c>
      <c r="BQ123" t="s">
        <v>68</v>
      </c>
      <c r="BR123" t="s">
        <v>68</v>
      </c>
      <c r="BS123" t="s">
        <v>68</v>
      </c>
    </row>
    <row r="124" spans="1:71" x14ac:dyDescent="0.35">
      <c r="A124" t="b">
        <f>ISNUMBER(MATCH(ChargentOrders[[#This Row],[Contract__c]],Contract[Id],0))</f>
        <v>1</v>
      </c>
      <c r="B124">
        <f>IFERROR(INDEX(Contract[CB_Subscription__c],MATCH(ChargentOrders[[#This Row],[Contract__c]],Contract[Id],0)),0)</f>
        <v>0</v>
      </c>
      <c r="C124" t="b">
        <f>ISNUMBER(MATCH(ChargentOrders[[#This Row],[Id]],Claude[Id],0))</f>
        <v>1</v>
      </c>
      <c r="D124" t="b">
        <f>AND(ChargentOrders[[#This Row],[_Contract]],ChargentOrders[[#This Row],[CB Subscription]]=0)</f>
        <v>1</v>
      </c>
      <c r="E124" s="38">
        <f>INDEX(Table5[CUENTA],MATCH(ChargentOrders[[#This Row],[Contract__c]],Table5[SM_Contract__c],0))</f>
        <v>46081</v>
      </c>
      <c r="F124" s="38" t="str">
        <f ca="1">INDEX(Table5[ESTADO],MATCH(ChargentOrders[[#This Row],[Contract__c]],Table5[SM_Contract__c],0))</f>
        <v>DEBE 5</v>
      </c>
      <c r="G124" t="s">
        <v>939</v>
      </c>
      <c r="H124" t="s">
        <v>79</v>
      </c>
      <c r="I124" t="s">
        <v>940</v>
      </c>
      <c r="J124" s="1">
        <v>46070.654791666668</v>
      </c>
      <c r="K124">
        <v>9</v>
      </c>
      <c r="L124">
        <v>2030</v>
      </c>
      <c r="M124" t="s">
        <v>1463</v>
      </c>
      <c r="N124">
        <v>9</v>
      </c>
      <c r="O124" t="s">
        <v>1463</v>
      </c>
      <c r="P124" t="s">
        <v>73</v>
      </c>
      <c r="Q124">
        <v>2030</v>
      </c>
      <c r="R124">
        <v>9400</v>
      </c>
      <c r="T124" t="s">
        <v>67</v>
      </c>
      <c r="U124" t="s">
        <v>68</v>
      </c>
      <c r="V124">
        <v>0</v>
      </c>
      <c r="W124" t="s">
        <v>69</v>
      </c>
      <c r="X124" s="5">
        <v>46212</v>
      </c>
      <c r="Y124" t="s">
        <v>84</v>
      </c>
      <c r="Z124" t="s">
        <v>68</v>
      </c>
      <c r="AA124">
        <v>9400</v>
      </c>
      <c r="AB124">
        <v>0</v>
      </c>
      <c r="AC124" t="s">
        <v>479</v>
      </c>
      <c r="AD124" t="s">
        <v>68</v>
      </c>
      <c r="AE124">
        <v>0</v>
      </c>
      <c r="AF124" s="1"/>
      <c r="AG124" s="1"/>
      <c r="AH124">
        <v>0</v>
      </c>
      <c r="AI124">
        <v>70</v>
      </c>
      <c r="AJ124">
        <v>0</v>
      </c>
      <c r="AK124" t="s">
        <v>480</v>
      </c>
      <c r="AL124" t="s">
        <v>71</v>
      </c>
      <c r="AM124" t="s">
        <v>68</v>
      </c>
      <c r="AN124">
        <v>0</v>
      </c>
      <c r="AO124" s="1"/>
      <c r="AP124">
        <v>4</v>
      </c>
      <c r="AQ124">
        <v>0</v>
      </c>
      <c r="AR124">
        <v>0</v>
      </c>
      <c r="AS124" t="s">
        <v>72</v>
      </c>
      <c r="AT124" t="s">
        <v>68</v>
      </c>
      <c r="AU124">
        <v>1</v>
      </c>
      <c r="AV124" t="s">
        <v>941</v>
      </c>
      <c r="AW124">
        <v>0</v>
      </c>
      <c r="AX124" s="1">
        <v>46081.8</v>
      </c>
      <c r="AY124">
        <v>2500</v>
      </c>
      <c r="AZ124" t="s">
        <v>68</v>
      </c>
      <c r="BA124" t="s">
        <v>78</v>
      </c>
      <c r="BB124" t="s">
        <v>68</v>
      </c>
      <c r="BC124" t="s">
        <v>68</v>
      </c>
      <c r="BD124">
        <v>0</v>
      </c>
      <c r="BE124" s="1">
        <v>46209.417870370373</v>
      </c>
      <c r="BF124" s="1">
        <v>46209.417870370373</v>
      </c>
      <c r="BG124" t="s">
        <v>68</v>
      </c>
      <c r="BH124" t="s">
        <v>68</v>
      </c>
      <c r="BI124" t="s">
        <v>68</v>
      </c>
      <c r="BJ124" t="s">
        <v>68</v>
      </c>
      <c r="BK124" t="s">
        <v>68</v>
      </c>
      <c r="BL124" t="s">
        <v>68</v>
      </c>
      <c r="BM124" t="s">
        <v>68</v>
      </c>
      <c r="BN124" t="s">
        <v>68</v>
      </c>
      <c r="BO124" t="s">
        <v>96</v>
      </c>
      <c r="BP124">
        <v>0</v>
      </c>
      <c r="BQ124" t="s">
        <v>68</v>
      </c>
      <c r="BR124" t="s">
        <v>68</v>
      </c>
      <c r="BS124" t="s">
        <v>68</v>
      </c>
    </row>
    <row r="125" spans="1:71" x14ac:dyDescent="0.35">
      <c r="A125" t="b">
        <f>ISNUMBER(MATCH(ChargentOrders[[#This Row],[Contract__c]],Contract[Id],0))</f>
        <v>1</v>
      </c>
      <c r="B125">
        <f>IFERROR(INDEX(Contract[CB_Subscription__c],MATCH(ChargentOrders[[#This Row],[Contract__c]],Contract[Id],0)),0)</f>
        <v>0</v>
      </c>
      <c r="C125" t="b">
        <f>ISNUMBER(MATCH(ChargentOrders[[#This Row],[Id]],Claude[Id],0))</f>
        <v>1</v>
      </c>
      <c r="D125" t="b">
        <f>AND(ChargentOrders[[#This Row],[_Contract]],ChargentOrders[[#This Row],[CB Subscription]]=0)</f>
        <v>1</v>
      </c>
      <c r="E125" s="38">
        <f>INDEX(Table5[CUENTA],MATCH(ChargentOrders[[#This Row],[Contract__c]],Table5[SM_Contract__c],0))</f>
        <v>46081</v>
      </c>
      <c r="F125" s="38" t="str">
        <f ca="1">INDEX(Table5[ESTADO],MATCH(ChargentOrders[[#This Row],[Contract__c]],Table5[SM_Contract__c],0))</f>
        <v>DEBE 5</v>
      </c>
      <c r="G125" t="s">
        <v>945</v>
      </c>
      <c r="H125" t="s">
        <v>79</v>
      </c>
      <c r="I125" t="s">
        <v>946</v>
      </c>
      <c r="J125" s="1">
        <v>46070.654791666668</v>
      </c>
      <c r="K125">
        <v>2</v>
      </c>
      <c r="L125">
        <v>2026</v>
      </c>
      <c r="M125" t="s">
        <v>1407</v>
      </c>
      <c r="N125">
        <v>2</v>
      </c>
      <c r="O125" t="s">
        <v>1407</v>
      </c>
      <c r="P125" t="s">
        <v>73</v>
      </c>
      <c r="Q125">
        <v>2026</v>
      </c>
      <c r="R125">
        <v>10400</v>
      </c>
      <c r="T125" t="s">
        <v>67</v>
      </c>
      <c r="U125" t="s">
        <v>68</v>
      </c>
      <c r="V125">
        <v>0</v>
      </c>
      <c r="W125" t="s">
        <v>69</v>
      </c>
      <c r="X125" s="5">
        <v>46212</v>
      </c>
      <c r="Y125" t="s">
        <v>84</v>
      </c>
      <c r="Z125" t="s">
        <v>68</v>
      </c>
      <c r="AA125">
        <v>10400</v>
      </c>
      <c r="AB125">
        <v>0</v>
      </c>
      <c r="AC125" t="s">
        <v>252</v>
      </c>
      <c r="AD125" t="s">
        <v>68</v>
      </c>
      <c r="AE125">
        <v>0</v>
      </c>
      <c r="AF125" s="1"/>
      <c r="AG125" s="1"/>
      <c r="AH125">
        <v>0</v>
      </c>
      <c r="AI125">
        <v>63</v>
      </c>
      <c r="AJ125">
        <v>0</v>
      </c>
      <c r="AK125" t="s">
        <v>253</v>
      </c>
      <c r="AL125" t="s">
        <v>71</v>
      </c>
      <c r="AM125" t="s">
        <v>68</v>
      </c>
      <c r="AN125">
        <v>0</v>
      </c>
      <c r="AO125" s="1"/>
      <c r="AP125">
        <v>10</v>
      </c>
      <c r="AQ125">
        <v>0</v>
      </c>
      <c r="AR125">
        <v>0</v>
      </c>
      <c r="AS125" t="s">
        <v>72</v>
      </c>
      <c r="AT125" t="s">
        <v>68</v>
      </c>
      <c r="AU125">
        <v>1</v>
      </c>
      <c r="AV125" t="s">
        <v>947</v>
      </c>
      <c r="AW125">
        <v>0</v>
      </c>
      <c r="AX125" s="1">
        <v>45723.426469907405</v>
      </c>
      <c r="AY125">
        <v>2500</v>
      </c>
      <c r="AZ125" t="s">
        <v>68</v>
      </c>
      <c r="BA125" t="s">
        <v>78</v>
      </c>
      <c r="BB125" t="s">
        <v>68</v>
      </c>
      <c r="BC125" t="s">
        <v>68</v>
      </c>
      <c r="BD125">
        <v>0</v>
      </c>
      <c r="BE125" s="1">
        <v>46209.417939814812</v>
      </c>
      <c r="BF125" s="1">
        <v>46209.417939814812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68</v>
      </c>
      <c r="BN125" t="s">
        <v>68</v>
      </c>
      <c r="BO125" t="s">
        <v>96</v>
      </c>
      <c r="BP125">
        <v>0</v>
      </c>
      <c r="BQ125" t="s">
        <v>68</v>
      </c>
      <c r="BR125" t="s">
        <v>68</v>
      </c>
      <c r="BS125" t="s">
        <v>68</v>
      </c>
    </row>
    <row r="126" spans="1:71" x14ac:dyDescent="0.35">
      <c r="A126" t="b">
        <f>ISNUMBER(MATCH(ChargentOrders[[#This Row],[Contract__c]],Contract[Id],0))</f>
        <v>1</v>
      </c>
      <c r="B126">
        <f>IFERROR(INDEX(Contract[CB_Subscription__c],MATCH(ChargentOrders[[#This Row],[Contract__c]],Contract[Id],0)),0)</f>
        <v>0</v>
      </c>
      <c r="C126" t="b">
        <f>ISNUMBER(MATCH(ChargentOrders[[#This Row],[Id]],Claude[Id],0))</f>
        <v>1</v>
      </c>
      <c r="D126" t="b">
        <f>AND(ChargentOrders[[#This Row],[_Contract]],ChargentOrders[[#This Row],[CB Subscription]]=0)</f>
        <v>1</v>
      </c>
      <c r="E126" s="38">
        <f>INDEX(Table5[CUENTA],MATCH(ChargentOrders[[#This Row],[Contract__c]],Table5[SM_Contract__c],0))</f>
        <v>46081</v>
      </c>
      <c r="F126" s="38" t="str">
        <f ca="1">INDEX(Table5[ESTADO],MATCH(ChargentOrders[[#This Row],[Contract__c]],Table5[SM_Contract__c],0))</f>
        <v>DEBE 5</v>
      </c>
      <c r="G126" t="s">
        <v>965</v>
      </c>
      <c r="H126" t="s">
        <v>79</v>
      </c>
      <c r="I126" t="s">
        <v>966</v>
      </c>
      <c r="J126" s="1">
        <v>46080.418043981481</v>
      </c>
      <c r="K126">
        <v>8</v>
      </c>
      <c r="L126">
        <v>2028</v>
      </c>
      <c r="M126" t="s">
        <v>1438</v>
      </c>
      <c r="N126">
        <v>8</v>
      </c>
      <c r="O126" t="s">
        <v>1438</v>
      </c>
      <c r="P126" t="s">
        <v>73</v>
      </c>
      <c r="Q126">
        <v>2028</v>
      </c>
      <c r="R126">
        <v>10000</v>
      </c>
      <c r="T126" t="s">
        <v>67</v>
      </c>
      <c r="U126" t="s">
        <v>68</v>
      </c>
      <c r="V126">
        <v>0</v>
      </c>
      <c r="W126" t="s">
        <v>69</v>
      </c>
      <c r="X126" s="5">
        <v>46212</v>
      </c>
      <c r="Y126" t="s">
        <v>84</v>
      </c>
      <c r="Z126" t="s">
        <v>68</v>
      </c>
      <c r="AA126">
        <v>10000</v>
      </c>
      <c r="AB126">
        <v>0</v>
      </c>
      <c r="AC126" t="s">
        <v>202</v>
      </c>
      <c r="AD126" t="s">
        <v>68</v>
      </c>
      <c r="AE126">
        <v>0</v>
      </c>
      <c r="AF126" s="1"/>
      <c r="AG126" s="1"/>
      <c r="AH126">
        <v>0</v>
      </c>
      <c r="AI126">
        <v>56</v>
      </c>
      <c r="AJ126">
        <v>0</v>
      </c>
      <c r="AK126" t="s">
        <v>197</v>
      </c>
      <c r="AL126" t="s">
        <v>71</v>
      </c>
      <c r="AM126" t="s">
        <v>68</v>
      </c>
      <c r="AN126">
        <v>0</v>
      </c>
      <c r="AO126" s="1"/>
      <c r="AQ126">
        <v>0</v>
      </c>
      <c r="AR126">
        <v>0</v>
      </c>
      <c r="AS126" t="s">
        <v>72</v>
      </c>
      <c r="AT126" t="s">
        <v>68</v>
      </c>
      <c r="AU126">
        <v>1</v>
      </c>
      <c r="AV126" t="s">
        <v>967</v>
      </c>
      <c r="AW126">
        <v>0</v>
      </c>
      <c r="AX126" s="1">
        <v>46081.821712962963</v>
      </c>
      <c r="AY126">
        <v>2500</v>
      </c>
      <c r="AZ126" t="s">
        <v>68</v>
      </c>
      <c r="BA126" t="s">
        <v>65</v>
      </c>
      <c r="BB126" t="s">
        <v>68</v>
      </c>
      <c r="BC126" t="s">
        <v>68</v>
      </c>
      <c r="BD126">
        <v>0</v>
      </c>
      <c r="BE126" s="1">
        <v>46209.418124999997</v>
      </c>
      <c r="BF126" s="1">
        <v>46209.418124999997</v>
      </c>
      <c r="BG126" t="s">
        <v>68</v>
      </c>
      <c r="BH126" t="s">
        <v>68</v>
      </c>
      <c r="BI126" t="s">
        <v>68</v>
      </c>
      <c r="BJ126" t="s">
        <v>68</v>
      </c>
      <c r="BK126" t="s">
        <v>68</v>
      </c>
      <c r="BL126" t="s">
        <v>68</v>
      </c>
      <c r="BM126" t="s">
        <v>68</v>
      </c>
      <c r="BN126" t="s">
        <v>68</v>
      </c>
      <c r="BO126" t="s">
        <v>96</v>
      </c>
      <c r="BP126">
        <v>0</v>
      </c>
      <c r="BQ126" t="s">
        <v>68</v>
      </c>
      <c r="BR126" t="s">
        <v>68</v>
      </c>
      <c r="BS126" t="s">
        <v>68</v>
      </c>
    </row>
    <row r="127" spans="1:71" x14ac:dyDescent="0.35">
      <c r="A127" t="b">
        <f>ISNUMBER(MATCH(ChargentOrders[[#This Row],[Contract__c]],Contract[Id],0))</f>
        <v>1</v>
      </c>
      <c r="B127">
        <f>IFERROR(INDEX(Contract[CB_Subscription__c],MATCH(ChargentOrders[[#This Row],[Contract__c]],Contract[Id],0)),0)</f>
        <v>0</v>
      </c>
      <c r="C127" t="b">
        <f>ISNUMBER(MATCH(ChargentOrders[[#This Row],[Id]],Claude[Id],0))</f>
        <v>1</v>
      </c>
      <c r="D127" t="b">
        <f>AND(ChargentOrders[[#This Row],[_Contract]],ChargentOrders[[#This Row],[CB Subscription]]=0)</f>
        <v>1</v>
      </c>
      <c r="E127" s="38">
        <f>INDEX(Table5[CUENTA],MATCH(ChargentOrders[[#This Row],[Contract__c]],Table5[SM_Contract__c],0))</f>
        <v>46081</v>
      </c>
      <c r="F127" s="38" t="str">
        <f ca="1">INDEX(Table5[ESTADO],MATCH(ChargentOrders[[#This Row],[Contract__c]],Table5[SM_Contract__c],0))</f>
        <v>DEBE 5</v>
      </c>
      <c r="G127" t="s">
        <v>968</v>
      </c>
      <c r="H127" t="s">
        <v>79</v>
      </c>
      <c r="I127" t="s">
        <v>969</v>
      </c>
      <c r="J127" s="1">
        <v>46080.419537037036</v>
      </c>
      <c r="K127">
        <v>1</v>
      </c>
      <c r="L127">
        <v>2027</v>
      </c>
      <c r="M127" t="s">
        <v>1453</v>
      </c>
      <c r="N127">
        <v>1</v>
      </c>
      <c r="O127" t="s">
        <v>1453</v>
      </c>
      <c r="P127" t="s">
        <v>73</v>
      </c>
      <c r="Q127">
        <v>2027</v>
      </c>
      <c r="R127">
        <v>10400</v>
      </c>
      <c r="T127" t="s">
        <v>67</v>
      </c>
      <c r="U127" t="s">
        <v>68</v>
      </c>
      <c r="V127">
        <v>0</v>
      </c>
      <c r="W127" t="s">
        <v>69</v>
      </c>
      <c r="X127" s="5">
        <v>46212</v>
      </c>
      <c r="Y127" t="s">
        <v>84</v>
      </c>
      <c r="Z127" t="s">
        <v>68</v>
      </c>
      <c r="AA127">
        <v>10400</v>
      </c>
      <c r="AB127">
        <v>0</v>
      </c>
      <c r="AC127" t="s">
        <v>406</v>
      </c>
      <c r="AD127" t="s">
        <v>68</v>
      </c>
      <c r="AE127">
        <v>0</v>
      </c>
      <c r="AF127" s="1"/>
      <c r="AG127" s="1"/>
      <c r="AH127">
        <v>0</v>
      </c>
      <c r="AI127">
        <v>55</v>
      </c>
      <c r="AJ127">
        <v>0</v>
      </c>
      <c r="AK127" t="s">
        <v>407</v>
      </c>
      <c r="AL127" t="s">
        <v>71</v>
      </c>
      <c r="AM127" t="s">
        <v>68</v>
      </c>
      <c r="AN127">
        <v>0</v>
      </c>
      <c r="AO127" s="1"/>
      <c r="AQ127">
        <v>0</v>
      </c>
      <c r="AR127">
        <v>0</v>
      </c>
      <c r="AS127" t="s">
        <v>72</v>
      </c>
      <c r="AT127" t="s">
        <v>68</v>
      </c>
      <c r="AU127">
        <v>1</v>
      </c>
      <c r="AV127" t="s">
        <v>970</v>
      </c>
      <c r="AW127">
        <v>0</v>
      </c>
      <c r="AX127" s="1">
        <v>45874.6794212963</v>
      </c>
      <c r="AY127">
        <v>2500</v>
      </c>
      <c r="AZ127" t="s">
        <v>68</v>
      </c>
      <c r="BA127" t="s">
        <v>65</v>
      </c>
      <c r="BB127" t="s">
        <v>68</v>
      </c>
      <c r="BC127" t="s">
        <v>68</v>
      </c>
      <c r="BD127">
        <v>0</v>
      </c>
      <c r="BE127" s="1">
        <v>46209.41814814815</v>
      </c>
      <c r="BF127" s="1">
        <v>46209.41814814815</v>
      </c>
      <c r="BG127" t="s">
        <v>68</v>
      </c>
      <c r="BH127" t="s">
        <v>68</v>
      </c>
      <c r="BI127" t="s">
        <v>68</v>
      </c>
      <c r="BJ127" t="s">
        <v>68</v>
      </c>
      <c r="BK127" t="s">
        <v>68</v>
      </c>
      <c r="BL127" t="s">
        <v>68</v>
      </c>
      <c r="BM127" t="s">
        <v>68</v>
      </c>
      <c r="BN127" t="s">
        <v>68</v>
      </c>
      <c r="BO127" t="s">
        <v>96</v>
      </c>
      <c r="BP127">
        <v>0</v>
      </c>
      <c r="BQ127" t="s">
        <v>68</v>
      </c>
      <c r="BR127" t="s">
        <v>68</v>
      </c>
      <c r="BS127" t="s">
        <v>68</v>
      </c>
    </row>
    <row r="128" spans="1:71" x14ac:dyDescent="0.35">
      <c r="A128" t="b">
        <f>ISNUMBER(MATCH(ChargentOrders[[#This Row],[Contract__c]],Contract[Id],0))</f>
        <v>1</v>
      </c>
      <c r="B128">
        <f>IFERROR(INDEX(Contract[CB_Subscription__c],MATCH(ChargentOrders[[#This Row],[Contract__c]],Contract[Id],0)),0)</f>
        <v>0</v>
      </c>
      <c r="C128" t="b">
        <f>ISNUMBER(MATCH(ChargentOrders[[#This Row],[Id]],Claude[Id],0))</f>
        <v>1</v>
      </c>
      <c r="D128" t="b">
        <f>AND(ChargentOrders[[#This Row],[_Contract]],ChargentOrders[[#This Row],[CB Subscription]]=0)</f>
        <v>1</v>
      </c>
      <c r="E128" s="38">
        <f>INDEX(Table5[CUENTA],MATCH(ChargentOrders[[#This Row],[Contract__c]],Table5[SM_Contract__c],0))</f>
        <v>46081</v>
      </c>
      <c r="F128" s="38" t="str">
        <f ca="1">INDEX(Table5[ESTADO],MATCH(ChargentOrders[[#This Row],[Contract__c]],Table5[SM_Contract__c],0))</f>
        <v>DEBE 5</v>
      </c>
      <c r="G128" t="s">
        <v>971</v>
      </c>
      <c r="H128" t="s">
        <v>155</v>
      </c>
      <c r="I128" t="s">
        <v>972</v>
      </c>
      <c r="J128" s="1">
        <v>46080.42150462963</v>
      </c>
      <c r="K128">
        <v>10</v>
      </c>
      <c r="L128">
        <v>2030</v>
      </c>
      <c r="M128" t="s">
        <v>1461</v>
      </c>
      <c r="N128">
        <v>10</v>
      </c>
      <c r="O128" t="s">
        <v>68</v>
      </c>
      <c r="P128" t="s">
        <v>73</v>
      </c>
      <c r="Q128">
        <v>2030</v>
      </c>
      <c r="R128">
        <v>9400</v>
      </c>
      <c r="T128" t="s">
        <v>107</v>
      </c>
      <c r="U128" t="s">
        <v>68</v>
      </c>
      <c r="V128">
        <v>0</v>
      </c>
      <c r="W128" t="s">
        <v>69</v>
      </c>
      <c r="X128" s="5">
        <v>46212</v>
      </c>
      <c r="Y128" t="s">
        <v>84</v>
      </c>
      <c r="Z128" t="s">
        <v>68</v>
      </c>
      <c r="AA128">
        <v>9400</v>
      </c>
      <c r="AB128">
        <v>0</v>
      </c>
      <c r="AC128" t="s">
        <v>489</v>
      </c>
      <c r="AD128" t="s">
        <v>68</v>
      </c>
      <c r="AE128">
        <v>0</v>
      </c>
      <c r="AF128" s="1"/>
      <c r="AG128" s="1"/>
      <c r="AH128">
        <v>0</v>
      </c>
      <c r="AI128">
        <v>55</v>
      </c>
      <c r="AJ128">
        <v>0</v>
      </c>
      <c r="AK128" t="s">
        <v>490</v>
      </c>
      <c r="AL128" t="s">
        <v>71</v>
      </c>
      <c r="AM128" t="s">
        <v>68</v>
      </c>
      <c r="AN128">
        <v>0</v>
      </c>
      <c r="AO128" s="1"/>
      <c r="AQ128">
        <v>0</v>
      </c>
      <c r="AR128">
        <v>0</v>
      </c>
      <c r="AS128" t="s">
        <v>72</v>
      </c>
      <c r="AT128" t="s">
        <v>68</v>
      </c>
      <c r="AU128">
        <v>1</v>
      </c>
      <c r="AV128" t="s">
        <v>973</v>
      </c>
      <c r="AW128">
        <v>0</v>
      </c>
      <c r="AX128" s="1">
        <v>45961.424942129626</v>
      </c>
      <c r="AY128">
        <v>2500</v>
      </c>
      <c r="AZ128" t="s">
        <v>68</v>
      </c>
      <c r="BA128" t="s">
        <v>65</v>
      </c>
      <c r="BB128" t="s">
        <v>68</v>
      </c>
      <c r="BC128" t="s">
        <v>68</v>
      </c>
      <c r="BD128">
        <v>0</v>
      </c>
      <c r="BE128" s="1"/>
      <c r="BF128" s="1">
        <v>46209.418229166666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68</v>
      </c>
      <c r="BN128" t="s">
        <v>68</v>
      </c>
      <c r="BO128" t="s">
        <v>96</v>
      </c>
      <c r="BP128">
        <v>0</v>
      </c>
      <c r="BQ128" t="s">
        <v>68</v>
      </c>
      <c r="BR128" t="s">
        <v>68</v>
      </c>
      <c r="BS128" t="s">
        <v>68</v>
      </c>
    </row>
    <row r="129" spans="1:71" x14ac:dyDescent="0.35">
      <c r="A129" t="b">
        <f>ISNUMBER(MATCH(ChargentOrders[[#This Row],[Contract__c]],Contract[Id],0))</f>
        <v>1</v>
      </c>
      <c r="B129">
        <f>IFERROR(INDEX(Contract[CB_Subscription__c],MATCH(ChargentOrders[[#This Row],[Contract__c]],Contract[Id],0)),0)</f>
        <v>0</v>
      </c>
      <c r="C129" t="b">
        <f>ISNUMBER(MATCH(ChargentOrders[[#This Row],[Id]],Claude[Id],0))</f>
        <v>1</v>
      </c>
      <c r="D129" t="b">
        <f>AND(ChargentOrders[[#This Row],[_Contract]],ChargentOrders[[#This Row],[CB Subscription]]=0)</f>
        <v>1</v>
      </c>
      <c r="E129" s="38">
        <f>INDEX(Table5[CUENTA],MATCH(ChargentOrders[[#This Row],[Contract__c]],Table5[SM_Contract__c],0))</f>
        <v>46081</v>
      </c>
      <c r="F129" s="38" t="str">
        <f ca="1">INDEX(Table5[ESTADO],MATCH(ChargentOrders[[#This Row],[Contract__c]],Table5[SM_Contract__c],0))</f>
        <v>DEBE 5</v>
      </c>
      <c r="G129" t="s">
        <v>988</v>
      </c>
      <c r="H129" t="s">
        <v>79</v>
      </c>
      <c r="I129" t="s">
        <v>989</v>
      </c>
      <c r="J129" s="1">
        <v>46080.913402777776</v>
      </c>
      <c r="K129">
        <v>3</v>
      </c>
      <c r="L129">
        <v>2027</v>
      </c>
      <c r="M129" t="s">
        <v>1432</v>
      </c>
      <c r="N129">
        <v>3</v>
      </c>
      <c r="O129" t="s">
        <v>1432</v>
      </c>
      <c r="P129" t="s">
        <v>73</v>
      </c>
      <c r="Q129">
        <v>2027</v>
      </c>
      <c r="R129">
        <v>10400</v>
      </c>
      <c r="T129" t="s">
        <v>67</v>
      </c>
      <c r="U129" t="s">
        <v>68</v>
      </c>
      <c r="V129">
        <v>0</v>
      </c>
      <c r="W129" t="s">
        <v>69</v>
      </c>
      <c r="X129" s="5">
        <v>46212</v>
      </c>
      <c r="Y129" t="s">
        <v>84</v>
      </c>
      <c r="Z129" t="s">
        <v>68</v>
      </c>
      <c r="AA129">
        <v>10400</v>
      </c>
      <c r="AB129">
        <v>0</v>
      </c>
      <c r="AC129" t="s">
        <v>165</v>
      </c>
      <c r="AD129" t="s">
        <v>68</v>
      </c>
      <c r="AE129">
        <v>0</v>
      </c>
      <c r="AF129" s="1"/>
      <c r="AG129" s="1"/>
      <c r="AH129">
        <v>0</v>
      </c>
      <c r="AI129">
        <v>60</v>
      </c>
      <c r="AJ129">
        <v>0</v>
      </c>
      <c r="AK129" t="s">
        <v>179</v>
      </c>
      <c r="AL129" t="s">
        <v>71</v>
      </c>
      <c r="AM129" t="s">
        <v>68</v>
      </c>
      <c r="AN129">
        <v>0</v>
      </c>
      <c r="AO129" s="1"/>
      <c r="AP129">
        <v>17</v>
      </c>
      <c r="AQ129">
        <v>0</v>
      </c>
      <c r="AR129">
        <v>0</v>
      </c>
      <c r="AS129" t="s">
        <v>72</v>
      </c>
      <c r="AT129" t="s">
        <v>68</v>
      </c>
      <c r="AU129">
        <v>1</v>
      </c>
      <c r="AV129" t="s">
        <v>990</v>
      </c>
      <c r="AW129">
        <v>0</v>
      </c>
      <c r="AX129" s="1">
        <v>46081.820520833331</v>
      </c>
      <c r="AY129">
        <v>2500</v>
      </c>
      <c r="AZ129" t="s">
        <v>68</v>
      </c>
      <c r="BA129" t="s">
        <v>101</v>
      </c>
      <c r="BB129" t="s">
        <v>68</v>
      </c>
      <c r="BC129" t="s">
        <v>68</v>
      </c>
      <c r="BD129">
        <v>0</v>
      </c>
      <c r="BE129" s="1">
        <v>46209.418252314812</v>
      </c>
      <c r="BF129" s="1">
        <v>46209.418252314812</v>
      </c>
      <c r="BG129" t="s">
        <v>68</v>
      </c>
      <c r="BH129" t="s">
        <v>68</v>
      </c>
      <c r="BI129" t="s">
        <v>68</v>
      </c>
      <c r="BJ129" t="s">
        <v>68</v>
      </c>
      <c r="BK129" t="s">
        <v>68</v>
      </c>
      <c r="BL129" t="s">
        <v>68</v>
      </c>
      <c r="BM129" t="s">
        <v>68</v>
      </c>
      <c r="BN129" t="s">
        <v>68</v>
      </c>
      <c r="BO129" t="s">
        <v>96</v>
      </c>
      <c r="BP129">
        <v>0</v>
      </c>
      <c r="BQ129" t="s">
        <v>68</v>
      </c>
      <c r="BR129" t="s">
        <v>68</v>
      </c>
      <c r="BS129" t="s">
        <v>68</v>
      </c>
    </row>
    <row r="130" spans="1:71" x14ac:dyDescent="0.35">
      <c r="A130" t="b">
        <f>ISNUMBER(MATCH(ChargentOrders[[#This Row],[Contract__c]],Contract[Id],0))</f>
        <v>1</v>
      </c>
      <c r="B130">
        <f>IFERROR(INDEX(Contract[CB_Subscription__c],MATCH(ChargentOrders[[#This Row],[Contract__c]],Contract[Id],0)),0)</f>
        <v>0</v>
      </c>
      <c r="C130" t="b">
        <f>ISNUMBER(MATCH(ChargentOrders[[#This Row],[Id]],Claude[Id],0))</f>
        <v>1</v>
      </c>
      <c r="D130" t="b">
        <f>AND(ChargentOrders[[#This Row],[_Contract]],ChargentOrders[[#This Row],[CB Subscription]]=0)</f>
        <v>1</v>
      </c>
      <c r="E130" s="38">
        <f>INDEX(Table5[CUENTA],MATCH(ChargentOrders[[#This Row],[Contract__c]],Table5[SM_Contract__c],0))</f>
        <v>46081</v>
      </c>
      <c r="F130" s="38" t="str">
        <f ca="1">INDEX(Table5[ESTADO],MATCH(ChargentOrders[[#This Row],[Contract__c]],Table5[SM_Contract__c],0))</f>
        <v>DEBE 5</v>
      </c>
      <c r="G130" t="s">
        <v>994</v>
      </c>
      <c r="H130" t="s">
        <v>79</v>
      </c>
      <c r="I130" t="s">
        <v>995</v>
      </c>
      <c r="J130" s="1">
        <v>46093.015219907407</v>
      </c>
      <c r="K130">
        <v>7</v>
      </c>
      <c r="L130">
        <v>2027</v>
      </c>
      <c r="M130" t="s">
        <v>1450</v>
      </c>
      <c r="N130">
        <v>7</v>
      </c>
      <c r="O130" t="s">
        <v>68</v>
      </c>
      <c r="P130" t="s">
        <v>66</v>
      </c>
      <c r="Q130">
        <v>2027</v>
      </c>
      <c r="R130">
        <v>10400</v>
      </c>
      <c r="T130" t="s">
        <v>107</v>
      </c>
      <c r="U130" t="s">
        <v>68</v>
      </c>
      <c r="V130">
        <v>0</v>
      </c>
      <c r="W130" t="s">
        <v>69</v>
      </c>
      <c r="X130" s="5">
        <v>46212</v>
      </c>
      <c r="Y130" t="s">
        <v>84</v>
      </c>
      <c r="Z130" t="s">
        <v>68</v>
      </c>
      <c r="AA130">
        <v>10400</v>
      </c>
      <c r="AB130">
        <v>0</v>
      </c>
      <c r="AC130" t="s">
        <v>368</v>
      </c>
      <c r="AD130" t="s">
        <v>68</v>
      </c>
      <c r="AE130">
        <v>0</v>
      </c>
      <c r="AF130" s="1"/>
      <c r="AG130" s="1"/>
      <c r="AH130">
        <v>0</v>
      </c>
      <c r="AI130">
        <v>56</v>
      </c>
      <c r="AJ130">
        <v>0</v>
      </c>
      <c r="AK130" t="s">
        <v>369</v>
      </c>
      <c r="AL130" t="s">
        <v>71</v>
      </c>
      <c r="AM130" t="s">
        <v>68</v>
      </c>
      <c r="AN130">
        <v>0</v>
      </c>
      <c r="AO130" s="1"/>
      <c r="AP130">
        <v>7</v>
      </c>
      <c r="AQ130">
        <v>0</v>
      </c>
      <c r="AR130">
        <v>0</v>
      </c>
      <c r="AS130" t="s">
        <v>72</v>
      </c>
      <c r="AT130" t="s">
        <v>68</v>
      </c>
      <c r="AU130">
        <v>1</v>
      </c>
      <c r="AV130" t="s">
        <v>996</v>
      </c>
      <c r="AW130">
        <v>0</v>
      </c>
      <c r="AX130" s="1">
        <v>45849.623969907407</v>
      </c>
      <c r="AY130">
        <v>2500</v>
      </c>
      <c r="AZ130" t="s">
        <v>68</v>
      </c>
      <c r="BA130" t="s">
        <v>101</v>
      </c>
      <c r="BB130" t="s">
        <v>68</v>
      </c>
      <c r="BC130" t="s">
        <v>68</v>
      </c>
      <c r="BD130">
        <v>0</v>
      </c>
      <c r="BE130" s="1"/>
      <c r="BF130" s="1">
        <v>46209.41851851852</v>
      </c>
      <c r="BG130" t="s">
        <v>68</v>
      </c>
      <c r="BH130" t="s">
        <v>68</v>
      </c>
      <c r="BI130" t="s">
        <v>68</v>
      </c>
      <c r="BJ130" t="s">
        <v>68</v>
      </c>
      <c r="BK130" t="s">
        <v>68</v>
      </c>
      <c r="BL130" t="s">
        <v>68</v>
      </c>
      <c r="BM130" t="s">
        <v>68</v>
      </c>
      <c r="BN130" t="s">
        <v>68</v>
      </c>
      <c r="BO130" t="s">
        <v>96</v>
      </c>
      <c r="BP130">
        <v>0</v>
      </c>
      <c r="BQ130" t="s">
        <v>68</v>
      </c>
      <c r="BR130" t="s">
        <v>68</v>
      </c>
      <c r="BS130" t="s">
        <v>68</v>
      </c>
    </row>
    <row r="131" spans="1:71" x14ac:dyDescent="0.35">
      <c r="A131" t="b">
        <f>ISNUMBER(MATCH(ChargentOrders[[#This Row],[Contract__c]],Contract[Id],0))</f>
        <v>1</v>
      </c>
      <c r="B131">
        <f>IFERROR(INDEX(Contract[CB_Subscription__c],MATCH(ChargentOrders[[#This Row],[Contract__c]],Contract[Id],0)),0)</f>
        <v>0</v>
      </c>
      <c r="C131" t="b">
        <f>ISNUMBER(MATCH(ChargentOrders[[#This Row],[Id]],Claude[Id],0))</f>
        <v>1</v>
      </c>
      <c r="D131" t="b">
        <f>AND(ChargentOrders[[#This Row],[_Contract]],ChargentOrders[[#This Row],[CB Subscription]]=0)</f>
        <v>1</v>
      </c>
      <c r="E131" s="38">
        <f>INDEX(Table5[CUENTA],MATCH(ChargentOrders[[#This Row],[Contract__c]],Table5[SM_Contract__c],0))</f>
        <v>46081</v>
      </c>
      <c r="F131" s="38" t="str">
        <f ca="1">INDEX(Table5[ESTADO],MATCH(ChargentOrders[[#This Row],[Contract__c]],Table5[SM_Contract__c],0))</f>
        <v>DEBE 5</v>
      </c>
      <c r="G131" t="s">
        <v>1028</v>
      </c>
      <c r="H131" t="s">
        <v>79</v>
      </c>
      <c r="I131" t="s">
        <v>1029</v>
      </c>
      <c r="J131" s="1">
        <v>46111.418206018519</v>
      </c>
      <c r="K131">
        <v>8</v>
      </c>
      <c r="L131">
        <v>2028</v>
      </c>
      <c r="M131" t="s">
        <v>1438</v>
      </c>
      <c r="N131">
        <v>8</v>
      </c>
      <c r="O131" t="s">
        <v>1438</v>
      </c>
      <c r="P131" t="s">
        <v>73</v>
      </c>
      <c r="Q131">
        <v>2028</v>
      </c>
      <c r="R131">
        <v>10000</v>
      </c>
      <c r="T131" t="s">
        <v>67</v>
      </c>
      <c r="U131" t="s">
        <v>68</v>
      </c>
      <c r="V131">
        <v>0</v>
      </c>
      <c r="W131" t="s">
        <v>69</v>
      </c>
      <c r="X131" s="5">
        <v>46212</v>
      </c>
      <c r="Y131" t="s">
        <v>84</v>
      </c>
      <c r="Z131" t="s">
        <v>68</v>
      </c>
      <c r="AA131">
        <v>10000</v>
      </c>
      <c r="AB131">
        <v>0</v>
      </c>
      <c r="AC131" t="s">
        <v>202</v>
      </c>
      <c r="AD131" t="s">
        <v>68</v>
      </c>
      <c r="AE131">
        <v>0</v>
      </c>
      <c r="AF131" s="1"/>
      <c r="AG131" s="1"/>
      <c r="AH131">
        <v>0</v>
      </c>
      <c r="AI131">
        <v>42</v>
      </c>
      <c r="AJ131">
        <v>0</v>
      </c>
      <c r="AK131" t="s">
        <v>197</v>
      </c>
      <c r="AL131" t="s">
        <v>71</v>
      </c>
      <c r="AM131" t="s">
        <v>68</v>
      </c>
      <c r="AN131">
        <v>0</v>
      </c>
      <c r="AO131" s="1"/>
      <c r="AQ131">
        <v>0</v>
      </c>
      <c r="AR131">
        <v>0</v>
      </c>
      <c r="AS131" t="s">
        <v>72</v>
      </c>
      <c r="AT131" t="s">
        <v>68</v>
      </c>
      <c r="AU131">
        <v>1</v>
      </c>
      <c r="AV131" t="s">
        <v>1030</v>
      </c>
      <c r="AW131">
        <v>0</v>
      </c>
      <c r="AX131" s="1">
        <v>45589.952337962961</v>
      </c>
      <c r="AY131">
        <v>2500</v>
      </c>
      <c r="AZ131" t="s">
        <v>68</v>
      </c>
      <c r="BA131" t="s">
        <v>65</v>
      </c>
      <c r="BB131" t="s">
        <v>68</v>
      </c>
      <c r="BC131" t="s">
        <v>68</v>
      </c>
      <c r="BD131">
        <v>0</v>
      </c>
      <c r="BE131" s="1">
        <v>46209.41914351852</v>
      </c>
      <c r="BF131" s="1">
        <v>46209.41914351852</v>
      </c>
      <c r="BG131" t="s">
        <v>68</v>
      </c>
      <c r="BH131" t="s">
        <v>68</v>
      </c>
      <c r="BI131" t="s">
        <v>68</v>
      </c>
      <c r="BJ131" t="s">
        <v>68</v>
      </c>
      <c r="BK131" t="s">
        <v>68</v>
      </c>
      <c r="BL131" t="s">
        <v>68</v>
      </c>
      <c r="BM131" t="s">
        <v>68</v>
      </c>
      <c r="BN131" t="s">
        <v>68</v>
      </c>
      <c r="BO131" t="s">
        <v>96</v>
      </c>
      <c r="BP131">
        <v>0</v>
      </c>
      <c r="BQ131" t="s">
        <v>68</v>
      </c>
      <c r="BR131" t="s">
        <v>68</v>
      </c>
      <c r="BS131" t="s">
        <v>68</v>
      </c>
    </row>
    <row r="132" spans="1:71" x14ac:dyDescent="0.35">
      <c r="A132" t="b">
        <f>ISNUMBER(MATCH(ChargentOrders[[#This Row],[Contract__c]],Contract[Id],0))</f>
        <v>1</v>
      </c>
      <c r="B132">
        <f>IFERROR(INDEX(Contract[CB_Subscription__c],MATCH(ChargentOrders[[#This Row],[Contract__c]],Contract[Id],0)),0)</f>
        <v>0</v>
      </c>
      <c r="C132" t="b">
        <f>ISNUMBER(MATCH(ChargentOrders[[#This Row],[Id]],Claude[Id],0))</f>
        <v>1</v>
      </c>
      <c r="D132" t="b">
        <f>AND(ChargentOrders[[#This Row],[_Contract]],ChargentOrders[[#This Row],[CB Subscription]]=0)</f>
        <v>1</v>
      </c>
      <c r="E132" s="38">
        <f>INDEX(Table5[CUENTA],MATCH(ChargentOrders[[#This Row],[Contract__c]],Table5[SM_Contract__c],0))</f>
        <v>46081</v>
      </c>
      <c r="F132" s="38" t="str">
        <f ca="1">INDEX(Table5[ESTADO],MATCH(ChargentOrders[[#This Row],[Contract__c]],Table5[SM_Contract__c],0))</f>
        <v>DEBE 5</v>
      </c>
      <c r="G132" t="s">
        <v>1031</v>
      </c>
      <c r="H132" t="s">
        <v>79</v>
      </c>
      <c r="I132" t="s">
        <v>1032</v>
      </c>
      <c r="J132" s="1">
        <v>46111.418645833335</v>
      </c>
      <c r="K132">
        <v>2</v>
      </c>
      <c r="L132">
        <v>2030</v>
      </c>
      <c r="M132" t="s">
        <v>1440</v>
      </c>
      <c r="N132">
        <v>2</v>
      </c>
      <c r="O132" t="s">
        <v>1440</v>
      </c>
      <c r="P132" t="s">
        <v>73</v>
      </c>
      <c r="Q132">
        <v>2030</v>
      </c>
      <c r="R132">
        <v>1040</v>
      </c>
      <c r="T132" t="s">
        <v>67</v>
      </c>
      <c r="U132" t="s">
        <v>68</v>
      </c>
      <c r="V132">
        <v>0</v>
      </c>
      <c r="W132" t="s">
        <v>69</v>
      </c>
      <c r="X132" s="5">
        <v>46114</v>
      </c>
      <c r="Y132" t="s">
        <v>74</v>
      </c>
      <c r="Z132" t="s">
        <v>68</v>
      </c>
      <c r="AA132">
        <v>10400</v>
      </c>
      <c r="AB132">
        <v>0</v>
      </c>
      <c r="AC132" t="s">
        <v>240</v>
      </c>
      <c r="AD132" t="s">
        <v>68</v>
      </c>
      <c r="AE132">
        <v>0</v>
      </c>
      <c r="AF132" s="1">
        <v>46113.063750000001</v>
      </c>
      <c r="AG132" s="1">
        <v>46113.063750000001</v>
      </c>
      <c r="AH132">
        <v>1</v>
      </c>
      <c r="AI132">
        <v>1</v>
      </c>
      <c r="AJ132">
        <v>1040</v>
      </c>
      <c r="AK132" t="s">
        <v>235</v>
      </c>
      <c r="AL132" t="s">
        <v>71</v>
      </c>
      <c r="AM132" t="s">
        <v>68</v>
      </c>
      <c r="AN132">
        <v>0</v>
      </c>
      <c r="AO132" s="1"/>
      <c r="AP132">
        <v>0</v>
      </c>
      <c r="AQ132">
        <v>0</v>
      </c>
      <c r="AR132">
        <v>0</v>
      </c>
      <c r="AS132" t="s">
        <v>72</v>
      </c>
      <c r="AT132" t="s">
        <v>68</v>
      </c>
      <c r="AU132">
        <v>1</v>
      </c>
      <c r="AV132" t="s">
        <v>1033</v>
      </c>
      <c r="AW132">
        <v>0</v>
      </c>
      <c r="AX132" s="1">
        <v>45702.827997685185</v>
      </c>
      <c r="AY132">
        <v>2500</v>
      </c>
      <c r="AZ132" t="s">
        <v>68</v>
      </c>
      <c r="BA132" t="s">
        <v>65</v>
      </c>
      <c r="BB132" t="s">
        <v>68</v>
      </c>
      <c r="BC132" t="s">
        <v>68</v>
      </c>
      <c r="BD132">
        <v>0</v>
      </c>
      <c r="BE132" s="1"/>
      <c r="BF132" s="1">
        <v>46113.063750000001</v>
      </c>
      <c r="BG132" t="s">
        <v>68</v>
      </c>
      <c r="BH132" t="s">
        <v>68</v>
      </c>
      <c r="BI132" t="s">
        <v>68</v>
      </c>
      <c r="BJ132" t="s">
        <v>68</v>
      </c>
      <c r="BK132" t="s">
        <v>68</v>
      </c>
      <c r="BL132" t="s">
        <v>68</v>
      </c>
      <c r="BM132" t="s">
        <v>68</v>
      </c>
      <c r="BN132" t="s">
        <v>68</v>
      </c>
      <c r="BO132" t="s">
        <v>96</v>
      </c>
      <c r="BP132">
        <v>0</v>
      </c>
      <c r="BQ132" t="s">
        <v>68</v>
      </c>
      <c r="BR132" t="s">
        <v>68</v>
      </c>
      <c r="BS132" t="s">
        <v>68</v>
      </c>
    </row>
    <row r="133" spans="1:71" x14ac:dyDescent="0.35">
      <c r="A133" t="b">
        <f>ISNUMBER(MATCH(ChargentOrders[[#This Row],[Contract__c]],Contract[Id],0))</f>
        <v>1</v>
      </c>
      <c r="B133">
        <f>IFERROR(INDEX(Contract[CB_Subscription__c],MATCH(ChargentOrders[[#This Row],[Contract__c]],Contract[Id],0)),0)</f>
        <v>0</v>
      </c>
      <c r="C133" t="b">
        <f>ISNUMBER(MATCH(ChargentOrders[[#This Row],[Id]],Claude[Id],0))</f>
        <v>1</v>
      </c>
      <c r="D133" t="b">
        <f>AND(ChargentOrders[[#This Row],[_Contract]],ChargentOrders[[#This Row],[CB Subscription]]=0)</f>
        <v>1</v>
      </c>
      <c r="E133" s="38">
        <f>INDEX(Table5[CUENTA],MATCH(ChargentOrders[[#This Row],[Contract__c]],Table5[SM_Contract__c],0))</f>
        <v>46081</v>
      </c>
      <c r="F133" s="38" t="str">
        <f ca="1">INDEX(Table5[ESTADO],MATCH(ChargentOrders[[#This Row],[Contract__c]],Table5[SM_Contract__c],0))</f>
        <v>DEBE 5</v>
      </c>
      <c r="G133" t="s">
        <v>1034</v>
      </c>
      <c r="H133" t="s">
        <v>79</v>
      </c>
      <c r="I133" t="s">
        <v>1035</v>
      </c>
      <c r="J133" s="1">
        <v>46111.418807870374</v>
      </c>
      <c r="K133">
        <v>7</v>
      </c>
      <c r="L133">
        <v>2029</v>
      </c>
      <c r="M133" t="s">
        <v>1422</v>
      </c>
      <c r="N133">
        <v>7</v>
      </c>
      <c r="O133" t="s">
        <v>1422</v>
      </c>
      <c r="P133" t="s">
        <v>66</v>
      </c>
      <c r="Q133">
        <v>2029</v>
      </c>
      <c r="R133">
        <v>10400</v>
      </c>
      <c r="T133" t="s">
        <v>67</v>
      </c>
      <c r="U133" t="s">
        <v>68</v>
      </c>
      <c r="V133">
        <v>0</v>
      </c>
      <c r="W133" t="s">
        <v>69</v>
      </c>
      <c r="X133" s="5">
        <v>46212</v>
      </c>
      <c r="Y133" t="s">
        <v>84</v>
      </c>
      <c r="Z133" t="s">
        <v>68</v>
      </c>
      <c r="AA133">
        <v>10400</v>
      </c>
      <c r="AB133">
        <v>0</v>
      </c>
      <c r="AC133" t="s">
        <v>219</v>
      </c>
      <c r="AD133" t="s">
        <v>68</v>
      </c>
      <c r="AE133">
        <v>0</v>
      </c>
      <c r="AF133" s="1"/>
      <c r="AG133" s="1"/>
      <c r="AH133">
        <v>0</v>
      </c>
      <c r="AI133">
        <v>43</v>
      </c>
      <c r="AJ133">
        <v>0</v>
      </c>
      <c r="AK133" t="s">
        <v>220</v>
      </c>
      <c r="AL133" t="s">
        <v>71</v>
      </c>
      <c r="AM133" t="s">
        <v>68</v>
      </c>
      <c r="AN133">
        <v>0</v>
      </c>
      <c r="AO133" s="1"/>
      <c r="AQ133">
        <v>0</v>
      </c>
      <c r="AR133">
        <v>0</v>
      </c>
      <c r="AS133" t="s">
        <v>72</v>
      </c>
      <c r="AT133" t="s">
        <v>68</v>
      </c>
      <c r="AU133">
        <v>1</v>
      </c>
      <c r="AV133" t="s">
        <v>1036</v>
      </c>
      <c r="AW133">
        <v>0</v>
      </c>
      <c r="AX133" s="1">
        <v>45716.429675925923</v>
      </c>
      <c r="AY133">
        <v>2500</v>
      </c>
      <c r="AZ133" t="s">
        <v>68</v>
      </c>
      <c r="BA133" t="s">
        <v>65</v>
      </c>
      <c r="BB133" t="s">
        <v>68</v>
      </c>
      <c r="BC133" t="s">
        <v>68</v>
      </c>
      <c r="BD133">
        <v>0</v>
      </c>
      <c r="BE133" s="1">
        <v>46209.419166666667</v>
      </c>
      <c r="BF133" s="1">
        <v>46209.419166666667</v>
      </c>
      <c r="BG133" t="s">
        <v>68</v>
      </c>
      <c r="BH133" t="s">
        <v>68</v>
      </c>
      <c r="BI133" t="s">
        <v>68</v>
      </c>
      <c r="BJ133" t="s">
        <v>68</v>
      </c>
      <c r="BK133" t="s">
        <v>68</v>
      </c>
      <c r="BL133" t="s">
        <v>68</v>
      </c>
      <c r="BM133" t="s">
        <v>68</v>
      </c>
      <c r="BN133" t="s">
        <v>68</v>
      </c>
      <c r="BO133" t="s">
        <v>96</v>
      </c>
      <c r="BP133">
        <v>0</v>
      </c>
      <c r="BQ133" t="s">
        <v>68</v>
      </c>
      <c r="BR133" t="s">
        <v>68</v>
      </c>
      <c r="BS133" t="s">
        <v>68</v>
      </c>
    </row>
    <row r="134" spans="1:71" x14ac:dyDescent="0.35">
      <c r="A134" t="b">
        <f>ISNUMBER(MATCH(ChargentOrders[[#This Row],[Contract__c]],Contract[Id],0))</f>
        <v>1</v>
      </c>
      <c r="B134">
        <f>IFERROR(INDEX(Contract[CB_Subscription__c],MATCH(ChargentOrders[[#This Row],[Contract__c]],Contract[Id],0)),0)</f>
        <v>0</v>
      </c>
      <c r="C134" t="b">
        <f>ISNUMBER(MATCH(ChargentOrders[[#This Row],[Id]],Claude[Id],0))</f>
        <v>1</v>
      </c>
      <c r="D134" t="b">
        <f>AND(ChargentOrders[[#This Row],[_Contract]],ChargentOrders[[#This Row],[CB Subscription]]=0)</f>
        <v>1</v>
      </c>
      <c r="E134" s="38">
        <f>INDEX(Table5[CUENTA],MATCH(ChargentOrders[[#This Row],[Contract__c]],Table5[SM_Contract__c],0))</f>
        <v>46081</v>
      </c>
      <c r="F134" s="38" t="str">
        <f ca="1">INDEX(Table5[ESTADO],MATCH(ChargentOrders[[#This Row],[Contract__c]],Table5[SM_Contract__c],0))</f>
        <v>DEBE 5</v>
      </c>
      <c r="G134" t="s">
        <v>1037</v>
      </c>
      <c r="H134" t="s">
        <v>79</v>
      </c>
      <c r="I134" t="s">
        <v>1038</v>
      </c>
      <c r="J134" s="1">
        <v>46111.418807870374</v>
      </c>
      <c r="K134">
        <v>2</v>
      </c>
      <c r="L134">
        <v>2026</v>
      </c>
      <c r="M134" t="s">
        <v>1407</v>
      </c>
      <c r="N134">
        <v>2</v>
      </c>
      <c r="O134" t="s">
        <v>1407</v>
      </c>
      <c r="P134" t="s">
        <v>73</v>
      </c>
      <c r="Q134">
        <v>2026</v>
      </c>
      <c r="R134">
        <v>10400</v>
      </c>
      <c r="T134" t="s">
        <v>67</v>
      </c>
      <c r="U134" t="s">
        <v>68</v>
      </c>
      <c r="V134">
        <v>0</v>
      </c>
      <c r="W134" t="s">
        <v>69</v>
      </c>
      <c r="X134" s="5">
        <v>46212</v>
      </c>
      <c r="Y134" t="s">
        <v>84</v>
      </c>
      <c r="Z134" t="s">
        <v>68</v>
      </c>
      <c r="AA134">
        <v>10400</v>
      </c>
      <c r="AB134">
        <v>0</v>
      </c>
      <c r="AC134" t="s">
        <v>252</v>
      </c>
      <c r="AD134" t="s">
        <v>68</v>
      </c>
      <c r="AE134">
        <v>0</v>
      </c>
      <c r="AF134" s="1"/>
      <c r="AG134" s="1"/>
      <c r="AH134">
        <v>0</v>
      </c>
      <c r="AI134">
        <v>44</v>
      </c>
      <c r="AJ134">
        <v>0</v>
      </c>
      <c r="AK134" t="s">
        <v>253</v>
      </c>
      <c r="AL134" t="s">
        <v>71</v>
      </c>
      <c r="AM134" t="s">
        <v>68</v>
      </c>
      <c r="AN134">
        <v>0</v>
      </c>
      <c r="AO134" s="1"/>
      <c r="AQ134">
        <v>0</v>
      </c>
      <c r="AR134">
        <v>0</v>
      </c>
      <c r="AS134" t="s">
        <v>72</v>
      </c>
      <c r="AT134" t="s">
        <v>68</v>
      </c>
      <c r="AU134">
        <v>1</v>
      </c>
      <c r="AV134" t="s">
        <v>1039</v>
      </c>
      <c r="AW134">
        <v>0</v>
      </c>
      <c r="AX134" s="1">
        <v>45723.426469907405</v>
      </c>
      <c r="AY134">
        <v>2500</v>
      </c>
      <c r="AZ134" t="s">
        <v>68</v>
      </c>
      <c r="BA134" t="s">
        <v>65</v>
      </c>
      <c r="BB134" t="s">
        <v>68</v>
      </c>
      <c r="BC134" t="s">
        <v>68</v>
      </c>
      <c r="BD134">
        <v>0</v>
      </c>
      <c r="BE134" s="1">
        <v>46209.419236111113</v>
      </c>
      <c r="BF134" s="1">
        <v>46209.419236111113</v>
      </c>
      <c r="BG134" t="s">
        <v>68</v>
      </c>
      <c r="BH134" t="s">
        <v>68</v>
      </c>
      <c r="BI134" t="s">
        <v>68</v>
      </c>
      <c r="BJ134" t="s">
        <v>68</v>
      </c>
      <c r="BK134" t="s">
        <v>68</v>
      </c>
      <c r="BL134" t="s">
        <v>68</v>
      </c>
      <c r="BM134" t="s">
        <v>68</v>
      </c>
      <c r="BN134" t="s">
        <v>68</v>
      </c>
      <c r="BO134" t="s">
        <v>96</v>
      </c>
      <c r="BP134">
        <v>0</v>
      </c>
      <c r="BQ134" t="s">
        <v>68</v>
      </c>
      <c r="BR134" t="s">
        <v>68</v>
      </c>
      <c r="BS134" t="s">
        <v>68</v>
      </c>
    </row>
    <row r="135" spans="1:71" x14ac:dyDescent="0.35">
      <c r="A135" t="b">
        <f>ISNUMBER(MATCH(ChargentOrders[[#This Row],[Contract__c]],Contract[Id],0))</f>
        <v>1</v>
      </c>
      <c r="B135">
        <f>IFERROR(INDEX(Contract[CB_Subscription__c],MATCH(ChargentOrders[[#This Row],[Contract__c]],Contract[Id],0)),0)</f>
        <v>0</v>
      </c>
      <c r="C135" t="b">
        <f>ISNUMBER(MATCH(ChargentOrders[[#This Row],[Id]],Claude[Id],0))</f>
        <v>1</v>
      </c>
      <c r="D135" t="b">
        <f>AND(ChargentOrders[[#This Row],[_Contract]],ChargentOrders[[#This Row],[CB Subscription]]=0)</f>
        <v>1</v>
      </c>
      <c r="E135" s="38">
        <f>INDEX(Table5[CUENTA],MATCH(ChargentOrders[[#This Row],[Contract__c]],Table5[SM_Contract__c],0))</f>
        <v>46081</v>
      </c>
      <c r="F135" s="38" t="str">
        <f ca="1">INDEX(Table5[ESTADO],MATCH(ChargentOrders[[#This Row],[Contract__c]],Table5[SM_Contract__c],0))</f>
        <v>DEBE 5</v>
      </c>
      <c r="G135" t="s">
        <v>1040</v>
      </c>
      <c r="H135" t="s">
        <v>81</v>
      </c>
      <c r="I135" t="s">
        <v>1041</v>
      </c>
      <c r="J135" s="1">
        <v>46111.419062499997</v>
      </c>
      <c r="K135">
        <v>11</v>
      </c>
      <c r="L135">
        <v>2029</v>
      </c>
      <c r="M135" t="s">
        <v>1444</v>
      </c>
      <c r="N135">
        <v>11</v>
      </c>
      <c r="O135" t="s">
        <v>1444</v>
      </c>
      <c r="P135" t="s">
        <v>73</v>
      </c>
      <c r="Q135">
        <v>2029</v>
      </c>
      <c r="R135">
        <v>1040</v>
      </c>
      <c r="T135" t="s">
        <v>67</v>
      </c>
      <c r="U135" t="s">
        <v>68</v>
      </c>
      <c r="V135">
        <v>0</v>
      </c>
      <c r="W135" t="s">
        <v>69</v>
      </c>
      <c r="X135" s="5">
        <v>46212</v>
      </c>
      <c r="Y135" t="s">
        <v>90</v>
      </c>
      <c r="Z135" t="s">
        <v>68</v>
      </c>
      <c r="AA135">
        <v>10400</v>
      </c>
      <c r="AB135">
        <v>0</v>
      </c>
      <c r="AC135" t="s">
        <v>264</v>
      </c>
      <c r="AD135" t="s">
        <v>68</v>
      </c>
      <c r="AE135">
        <v>0</v>
      </c>
      <c r="AF135" s="1"/>
      <c r="AG135" s="1"/>
      <c r="AH135">
        <v>0</v>
      </c>
      <c r="AI135">
        <v>52</v>
      </c>
      <c r="AJ135">
        <v>0</v>
      </c>
      <c r="AK135" t="s">
        <v>265</v>
      </c>
      <c r="AL135" t="s">
        <v>71</v>
      </c>
      <c r="AM135" t="s">
        <v>68</v>
      </c>
      <c r="AN135">
        <v>0</v>
      </c>
      <c r="AO135" s="1"/>
      <c r="AQ135">
        <v>0</v>
      </c>
      <c r="AR135">
        <v>0</v>
      </c>
      <c r="AS135" t="s">
        <v>72</v>
      </c>
      <c r="AT135" t="s">
        <v>68</v>
      </c>
      <c r="AU135">
        <v>1</v>
      </c>
      <c r="AV135" t="s">
        <v>1042</v>
      </c>
      <c r="AW135">
        <v>0</v>
      </c>
      <c r="AX135" s="1">
        <v>45744.431817129633</v>
      </c>
      <c r="AY135">
        <v>2500</v>
      </c>
      <c r="AZ135" t="s">
        <v>68</v>
      </c>
      <c r="BA135" t="s">
        <v>65</v>
      </c>
      <c r="BB135" t="s">
        <v>68</v>
      </c>
      <c r="BC135" t="s">
        <v>68</v>
      </c>
      <c r="BD135">
        <v>0</v>
      </c>
      <c r="BE135" s="1">
        <v>46217.008402777778</v>
      </c>
      <c r="BF135" s="1">
        <v>46217.008402777778</v>
      </c>
      <c r="BG135" t="s">
        <v>68</v>
      </c>
      <c r="BH135" t="s">
        <v>68</v>
      </c>
      <c r="BI135" t="s">
        <v>68</v>
      </c>
      <c r="BJ135" t="s">
        <v>68</v>
      </c>
      <c r="BK135" t="s">
        <v>68</v>
      </c>
      <c r="BL135" t="s">
        <v>68</v>
      </c>
      <c r="BM135" t="s">
        <v>68</v>
      </c>
      <c r="BN135" t="s">
        <v>68</v>
      </c>
      <c r="BO135" t="s">
        <v>96</v>
      </c>
      <c r="BP135">
        <v>0</v>
      </c>
      <c r="BQ135" t="s">
        <v>68</v>
      </c>
      <c r="BR135" t="s">
        <v>68</v>
      </c>
      <c r="BS135" t="s">
        <v>68</v>
      </c>
    </row>
    <row r="136" spans="1:71" x14ac:dyDescent="0.35">
      <c r="A136" t="b">
        <f>ISNUMBER(MATCH(ChargentOrders[[#This Row],[Contract__c]],Contract[Id],0))</f>
        <v>1</v>
      </c>
      <c r="B136">
        <f>IFERROR(INDEX(Contract[CB_Subscription__c],MATCH(ChargentOrders[[#This Row],[Contract__c]],Contract[Id],0)),0)</f>
        <v>0</v>
      </c>
      <c r="C136" t="b">
        <f>ISNUMBER(MATCH(ChargentOrders[[#This Row],[Id]],Claude[Id],0))</f>
        <v>1</v>
      </c>
      <c r="D136" t="b">
        <f>AND(ChargentOrders[[#This Row],[_Contract]],ChargentOrders[[#This Row],[CB Subscription]]=0)</f>
        <v>1</v>
      </c>
      <c r="E136" s="38">
        <f>INDEX(Table5[CUENTA],MATCH(ChargentOrders[[#This Row],[Contract__c]],Table5[SM_Contract__c],0))</f>
        <v>46081</v>
      </c>
      <c r="F136" s="38" t="str">
        <f ca="1">INDEX(Table5[ESTADO],MATCH(ChargentOrders[[#This Row],[Contract__c]],Table5[SM_Contract__c],0))</f>
        <v>DEBE 5</v>
      </c>
      <c r="G136" t="s">
        <v>1046</v>
      </c>
      <c r="H136" t="s">
        <v>79</v>
      </c>
      <c r="I136" t="s">
        <v>1047</v>
      </c>
      <c r="J136" s="1">
        <v>46111.420057870368</v>
      </c>
      <c r="K136">
        <v>1</v>
      </c>
      <c r="L136">
        <v>2027</v>
      </c>
      <c r="M136" t="s">
        <v>1453</v>
      </c>
      <c r="N136">
        <v>1</v>
      </c>
      <c r="O136" t="s">
        <v>1453</v>
      </c>
      <c r="P136" t="s">
        <v>73</v>
      </c>
      <c r="Q136">
        <v>2027</v>
      </c>
      <c r="R136">
        <v>1040</v>
      </c>
      <c r="T136" t="s">
        <v>67</v>
      </c>
      <c r="U136" t="s">
        <v>68</v>
      </c>
      <c r="V136">
        <v>0</v>
      </c>
      <c r="W136" t="s">
        <v>69</v>
      </c>
      <c r="X136" s="5">
        <v>46212</v>
      </c>
      <c r="Y136" t="s">
        <v>90</v>
      </c>
      <c r="Z136" t="s">
        <v>68</v>
      </c>
      <c r="AA136">
        <v>10400</v>
      </c>
      <c r="AB136">
        <v>0</v>
      </c>
      <c r="AC136" t="s">
        <v>406</v>
      </c>
      <c r="AD136" t="s">
        <v>68</v>
      </c>
      <c r="AE136">
        <v>0</v>
      </c>
      <c r="AF136" s="1"/>
      <c r="AG136" s="1"/>
      <c r="AH136">
        <v>0</v>
      </c>
      <c r="AI136">
        <v>43</v>
      </c>
      <c r="AJ136">
        <v>0</v>
      </c>
      <c r="AK136" t="s">
        <v>407</v>
      </c>
      <c r="AL136" t="s">
        <v>71</v>
      </c>
      <c r="AM136" t="s">
        <v>68</v>
      </c>
      <c r="AN136">
        <v>0</v>
      </c>
      <c r="AO136" s="1"/>
      <c r="AQ136">
        <v>0</v>
      </c>
      <c r="AR136">
        <v>0</v>
      </c>
      <c r="AS136" t="s">
        <v>72</v>
      </c>
      <c r="AT136" t="s">
        <v>68</v>
      </c>
      <c r="AU136">
        <v>1</v>
      </c>
      <c r="AV136" t="s">
        <v>1048</v>
      </c>
      <c r="AW136">
        <v>0</v>
      </c>
      <c r="AX136" s="1">
        <v>45874.6794212963</v>
      </c>
      <c r="AY136">
        <v>2500</v>
      </c>
      <c r="AZ136" t="s">
        <v>68</v>
      </c>
      <c r="BA136" t="s">
        <v>65</v>
      </c>
      <c r="BB136" t="s">
        <v>68</v>
      </c>
      <c r="BC136" t="s">
        <v>68</v>
      </c>
      <c r="BD136">
        <v>0</v>
      </c>
      <c r="BE136" s="1">
        <v>46217.007523148146</v>
      </c>
      <c r="BF136" s="1">
        <v>46217.007523148146</v>
      </c>
      <c r="BG136" t="s">
        <v>68</v>
      </c>
      <c r="BH136" t="s">
        <v>68</v>
      </c>
      <c r="BI136" t="s">
        <v>68</v>
      </c>
      <c r="BJ136" t="s">
        <v>68</v>
      </c>
      <c r="BK136" t="s">
        <v>68</v>
      </c>
      <c r="BL136" t="s">
        <v>68</v>
      </c>
      <c r="BM136" t="s">
        <v>68</v>
      </c>
      <c r="BN136" t="s">
        <v>68</v>
      </c>
      <c r="BO136" t="s">
        <v>96</v>
      </c>
      <c r="BP136">
        <v>0</v>
      </c>
      <c r="BQ136" t="s">
        <v>68</v>
      </c>
      <c r="BR136" t="s">
        <v>68</v>
      </c>
      <c r="BS136" t="s">
        <v>68</v>
      </c>
    </row>
    <row r="137" spans="1:71" x14ac:dyDescent="0.35">
      <c r="A137" t="b">
        <f>ISNUMBER(MATCH(ChargentOrders[[#This Row],[Contract__c]],Contract[Id],0))</f>
        <v>1</v>
      </c>
      <c r="B137">
        <f>IFERROR(INDEX(Contract[CB_Subscription__c],MATCH(ChargentOrders[[#This Row],[Contract__c]],Contract[Id],0)),0)</f>
        <v>0</v>
      </c>
      <c r="C137" t="b">
        <f>ISNUMBER(MATCH(ChargentOrders[[#This Row],[Id]],Claude[Id],0))</f>
        <v>1</v>
      </c>
      <c r="D137" t="b">
        <f>AND(ChargentOrders[[#This Row],[_Contract]],ChargentOrders[[#This Row],[CB Subscription]]=0)</f>
        <v>1</v>
      </c>
      <c r="E137" s="38">
        <f>INDEX(Table5[CUENTA],MATCH(ChargentOrders[[#This Row],[Contract__c]],Table5[SM_Contract__c],0))</f>
        <v>46081</v>
      </c>
      <c r="F137" s="38" t="str">
        <f ca="1">INDEX(Table5[ESTADO],MATCH(ChargentOrders[[#This Row],[Contract__c]],Table5[SM_Contract__c],0))</f>
        <v>DEBE 5</v>
      </c>
      <c r="G137" t="s">
        <v>1049</v>
      </c>
      <c r="H137" t="s">
        <v>79</v>
      </c>
      <c r="I137" t="s">
        <v>1050</v>
      </c>
      <c r="J137" s="1">
        <v>46111.420949074076</v>
      </c>
      <c r="K137">
        <v>9</v>
      </c>
      <c r="L137">
        <v>2030</v>
      </c>
      <c r="M137" t="s">
        <v>1463</v>
      </c>
      <c r="N137">
        <v>9</v>
      </c>
      <c r="O137" t="s">
        <v>1463</v>
      </c>
      <c r="P137" t="s">
        <v>73</v>
      </c>
      <c r="Q137">
        <v>2030</v>
      </c>
      <c r="R137">
        <v>940</v>
      </c>
      <c r="T137" t="s">
        <v>67</v>
      </c>
      <c r="U137" t="s">
        <v>68</v>
      </c>
      <c r="V137">
        <v>0</v>
      </c>
      <c r="W137" t="s">
        <v>69</v>
      </c>
      <c r="X137" s="5">
        <v>46212</v>
      </c>
      <c r="Y137" t="s">
        <v>90</v>
      </c>
      <c r="Z137" t="s">
        <v>68</v>
      </c>
      <c r="AA137">
        <v>9400</v>
      </c>
      <c r="AB137">
        <v>0</v>
      </c>
      <c r="AC137" t="s">
        <v>479</v>
      </c>
      <c r="AD137" t="s">
        <v>68</v>
      </c>
      <c r="AE137">
        <v>0</v>
      </c>
      <c r="AF137" s="1"/>
      <c r="AG137" s="1"/>
      <c r="AH137">
        <v>0</v>
      </c>
      <c r="AI137">
        <v>48</v>
      </c>
      <c r="AJ137">
        <v>0</v>
      </c>
      <c r="AK137" t="s">
        <v>480</v>
      </c>
      <c r="AL137" t="s">
        <v>71</v>
      </c>
      <c r="AM137" t="s">
        <v>68</v>
      </c>
      <c r="AN137">
        <v>0</v>
      </c>
      <c r="AO137" s="1"/>
      <c r="AQ137">
        <v>0</v>
      </c>
      <c r="AR137">
        <v>0</v>
      </c>
      <c r="AS137" t="s">
        <v>72</v>
      </c>
      <c r="AT137" t="s">
        <v>68</v>
      </c>
      <c r="AU137">
        <v>1</v>
      </c>
      <c r="AV137" t="s">
        <v>1051</v>
      </c>
      <c r="AW137">
        <v>0</v>
      </c>
      <c r="AX137" s="1">
        <v>45944.639537037037</v>
      </c>
      <c r="AY137">
        <v>2500</v>
      </c>
      <c r="AZ137" t="s">
        <v>68</v>
      </c>
      <c r="BA137" t="s">
        <v>65</v>
      </c>
      <c r="BB137" t="s">
        <v>68</v>
      </c>
      <c r="BC137" t="s">
        <v>68</v>
      </c>
      <c r="BD137">
        <v>0</v>
      </c>
      <c r="BE137" s="1">
        <v>46217.006435185183</v>
      </c>
      <c r="BF137" s="1">
        <v>46217.006435185183</v>
      </c>
      <c r="BG137" t="s">
        <v>68</v>
      </c>
      <c r="BH137" t="s">
        <v>68</v>
      </c>
      <c r="BI137" t="s">
        <v>68</v>
      </c>
      <c r="BJ137" t="s">
        <v>68</v>
      </c>
      <c r="BK137" t="s">
        <v>68</v>
      </c>
      <c r="BL137" t="s">
        <v>68</v>
      </c>
      <c r="BM137" t="s">
        <v>68</v>
      </c>
      <c r="BN137" t="s">
        <v>68</v>
      </c>
      <c r="BO137" t="s">
        <v>96</v>
      </c>
      <c r="BP137">
        <v>0</v>
      </c>
      <c r="BQ137" t="s">
        <v>68</v>
      </c>
      <c r="BR137" t="s">
        <v>68</v>
      </c>
      <c r="BS137" t="s">
        <v>68</v>
      </c>
    </row>
    <row r="138" spans="1:71" x14ac:dyDescent="0.35">
      <c r="A138" t="b">
        <f>ISNUMBER(MATCH(ChargentOrders[[#This Row],[Contract__c]],Contract[Id],0))</f>
        <v>1</v>
      </c>
      <c r="B138">
        <f>IFERROR(INDEX(Contract[CB_Subscription__c],MATCH(ChargentOrders[[#This Row],[Contract__c]],Contract[Id],0)),0)</f>
        <v>0</v>
      </c>
      <c r="C138" t="b">
        <f>ISNUMBER(MATCH(ChargentOrders[[#This Row],[Id]],Claude[Id],0))</f>
        <v>1</v>
      </c>
      <c r="D138" t="b">
        <f>AND(ChargentOrders[[#This Row],[_Contract]],ChargentOrders[[#This Row],[CB Subscription]]=0)</f>
        <v>1</v>
      </c>
      <c r="E138" s="38">
        <f>INDEX(Table5[CUENTA],MATCH(ChargentOrders[[#This Row],[Contract__c]],Table5[SM_Contract__c],0))</f>
        <v>46081</v>
      </c>
      <c r="F138" s="38" t="str">
        <f ca="1">INDEX(Table5[ESTADO],MATCH(ChargentOrders[[#This Row],[Contract__c]],Table5[SM_Contract__c],0))</f>
        <v>DEBE 5</v>
      </c>
      <c r="G138" t="s">
        <v>1052</v>
      </c>
      <c r="H138" t="s">
        <v>155</v>
      </c>
      <c r="I138" t="s">
        <v>1053</v>
      </c>
      <c r="J138" s="1">
        <v>46111.421631944446</v>
      </c>
      <c r="K138">
        <v>10</v>
      </c>
      <c r="L138">
        <v>2030</v>
      </c>
      <c r="M138" t="s">
        <v>1461</v>
      </c>
      <c r="N138">
        <v>10</v>
      </c>
      <c r="O138" t="s">
        <v>68</v>
      </c>
      <c r="P138" t="s">
        <v>73</v>
      </c>
      <c r="Q138">
        <v>2030</v>
      </c>
      <c r="R138">
        <v>9400</v>
      </c>
      <c r="T138" t="s">
        <v>107</v>
      </c>
      <c r="U138" t="s">
        <v>68</v>
      </c>
      <c r="V138">
        <v>0</v>
      </c>
      <c r="W138" t="s">
        <v>69</v>
      </c>
      <c r="X138" s="5">
        <v>46212</v>
      </c>
      <c r="Y138" t="s">
        <v>84</v>
      </c>
      <c r="Z138" t="s">
        <v>68</v>
      </c>
      <c r="AA138">
        <v>9400</v>
      </c>
      <c r="AB138">
        <v>0</v>
      </c>
      <c r="AC138" t="s">
        <v>489</v>
      </c>
      <c r="AD138" t="s">
        <v>68</v>
      </c>
      <c r="AE138">
        <v>0</v>
      </c>
      <c r="AF138" s="1"/>
      <c r="AG138" s="1"/>
      <c r="AH138">
        <v>0</v>
      </c>
      <c r="AI138">
        <v>42</v>
      </c>
      <c r="AJ138">
        <v>0</v>
      </c>
      <c r="AK138" t="s">
        <v>490</v>
      </c>
      <c r="AL138" t="s">
        <v>71</v>
      </c>
      <c r="AM138" t="s">
        <v>68</v>
      </c>
      <c r="AN138">
        <v>0</v>
      </c>
      <c r="AO138" s="1"/>
      <c r="AQ138">
        <v>0</v>
      </c>
      <c r="AR138">
        <v>0</v>
      </c>
      <c r="AS138" t="s">
        <v>72</v>
      </c>
      <c r="AT138" t="s">
        <v>68</v>
      </c>
      <c r="AU138">
        <v>1</v>
      </c>
      <c r="AV138" t="s">
        <v>1054</v>
      </c>
      <c r="AW138">
        <v>0</v>
      </c>
      <c r="AX138" s="1">
        <v>45961.424942129626</v>
      </c>
      <c r="AY138">
        <v>2500</v>
      </c>
      <c r="AZ138" t="s">
        <v>68</v>
      </c>
      <c r="BA138" t="s">
        <v>65</v>
      </c>
      <c r="BB138" t="s">
        <v>68</v>
      </c>
      <c r="BC138" t="s">
        <v>68</v>
      </c>
      <c r="BD138">
        <v>0</v>
      </c>
      <c r="BE138" s="1">
        <v>46209.419363425928</v>
      </c>
      <c r="BF138" s="1">
        <v>46209.419363425928</v>
      </c>
      <c r="BG138" t="s">
        <v>68</v>
      </c>
      <c r="BH138" t="s">
        <v>68</v>
      </c>
      <c r="BI138" t="s">
        <v>68</v>
      </c>
      <c r="BJ138" t="s">
        <v>68</v>
      </c>
      <c r="BK138" t="s">
        <v>68</v>
      </c>
      <c r="BL138" t="s">
        <v>68</v>
      </c>
      <c r="BM138" t="s">
        <v>68</v>
      </c>
      <c r="BN138" t="s">
        <v>68</v>
      </c>
      <c r="BO138" t="s">
        <v>96</v>
      </c>
      <c r="BP138">
        <v>0</v>
      </c>
      <c r="BQ138" t="s">
        <v>68</v>
      </c>
      <c r="BR138" t="s">
        <v>68</v>
      </c>
      <c r="BS138" t="s">
        <v>68</v>
      </c>
    </row>
    <row r="139" spans="1:71" x14ac:dyDescent="0.35">
      <c r="A139" t="b">
        <f>ISNUMBER(MATCH(ChargentOrders[[#This Row],[Contract__c]],Contract[Id],0))</f>
        <v>1</v>
      </c>
      <c r="B139">
        <f>IFERROR(INDEX(Contract[CB_Subscription__c],MATCH(ChargentOrders[[#This Row],[Contract__c]],Contract[Id],0)),0)</f>
        <v>0</v>
      </c>
      <c r="C139" t="b">
        <f>ISNUMBER(MATCH(ChargentOrders[[#This Row],[Id]],Claude[Id],0))</f>
        <v>1</v>
      </c>
      <c r="D139" t="b">
        <f>AND(ChargentOrders[[#This Row],[_Contract]],ChargentOrders[[#This Row],[CB Subscription]]=0)</f>
        <v>1</v>
      </c>
      <c r="E139" s="38">
        <f>INDEX(Table5[CUENTA],MATCH(ChargentOrders[[#This Row],[Contract__c]],Table5[SM_Contract__c],0))</f>
        <v>46081</v>
      </c>
      <c r="F139" s="38" t="str">
        <f ca="1">INDEX(Table5[ESTADO],MATCH(ChargentOrders[[#This Row],[Contract__c]],Table5[SM_Contract__c],0))</f>
        <v>DEBE 5</v>
      </c>
      <c r="G139" t="s">
        <v>1055</v>
      </c>
      <c r="H139" t="s">
        <v>81</v>
      </c>
      <c r="I139" t="s">
        <v>1056</v>
      </c>
      <c r="J139" s="1">
        <v>46111.4221412037</v>
      </c>
      <c r="K139">
        <v>10</v>
      </c>
      <c r="L139">
        <v>2029</v>
      </c>
      <c r="M139" t="s">
        <v>1412</v>
      </c>
      <c r="N139">
        <v>10</v>
      </c>
      <c r="O139" t="s">
        <v>1466</v>
      </c>
      <c r="P139" t="s">
        <v>73</v>
      </c>
      <c r="Q139">
        <v>2029</v>
      </c>
      <c r="R139">
        <v>9400</v>
      </c>
      <c r="T139" t="s">
        <v>67</v>
      </c>
      <c r="U139" t="s">
        <v>68</v>
      </c>
      <c r="V139">
        <v>0</v>
      </c>
      <c r="W139" t="s">
        <v>69</v>
      </c>
      <c r="X139" s="5">
        <v>46212</v>
      </c>
      <c r="Y139" t="s">
        <v>84</v>
      </c>
      <c r="Z139" t="s">
        <v>68</v>
      </c>
      <c r="AA139">
        <v>9400</v>
      </c>
      <c r="AB139">
        <v>0</v>
      </c>
      <c r="AC139" t="s">
        <v>515</v>
      </c>
      <c r="AD139" t="s">
        <v>68</v>
      </c>
      <c r="AE139">
        <v>0</v>
      </c>
      <c r="AF139" s="1"/>
      <c r="AG139" s="1"/>
      <c r="AH139">
        <v>0</v>
      </c>
      <c r="AI139">
        <v>42</v>
      </c>
      <c r="AJ139">
        <v>0</v>
      </c>
      <c r="AK139" t="s">
        <v>516</v>
      </c>
      <c r="AL139" t="s">
        <v>71</v>
      </c>
      <c r="AM139" t="s">
        <v>68</v>
      </c>
      <c r="AN139">
        <v>0</v>
      </c>
      <c r="AO139" s="1"/>
      <c r="AQ139">
        <v>0</v>
      </c>
      <c r="AR139">
        <v>0</v>
      </c>
      <c r="AS139" t="s">
        <v>72</v>
      </c>
      <c r="AT139" t="s">
        <v>68</v>
      </c>
      <c r="AU139">
        <v>1</v>
      </c>
      <c r="AV139" t="s">
        <v>1057</v>
      </c>
      <c r="AW139">
        <v>0</v>
      </c>
      <c r="AX139" s="1">
        <v>45982.878946759258</v>
      </c>
      <c r="AY139">
        <v>2500</v>
      </c>
      <c r="AZ139" t="s">
        <v>68</v>
      </c>
      <c r="BA139" t="s">
        <v>65</v>
      </c>
      <c r="BB139" t="s">
        <v>68</v>
      </c>
      <c r="BC139" t="s">
        <v>68</v>
      </c>
      <c r="BD139">
        <v>0</v>
      </c>
      <c r="BE139" s="1">
        <v>46209.419386574074</v>
      </c>
      <c r="BF139" s="1">
        <v>46209.419386574074</v>
      </c>
      <c r="BG139" t="s">
        <v>68</v>
      </c>
      <c r="BH139" t="s">
        <v>68</v>
      </c>
      <c r="BI139" t="s">
        <v>68</v>
      </c>
      <c r="BJ139" t="s">
        <v>68</v>
      </c>
      <c r="BK139" t="s">
        <v>68</v>
      </c>
      <c r="BL139" t="s">
        <v>68</v>
      </c>
      <c r="BM139" t="s">
        <v>68</v>
      </c>
      <c r="BN139" t="s">
        <v>68</v>
      </c>
      <c r="BO139" t="s">
        <v>96</v>
      </c>
      <c r="BP139">
        <v>0</v>
      </c>
      <c r="BQ139" t="s">
        <v>68</v>
      </c>
      <c r="BR139" t="s">
        <v>68</v>
      </c>
      <c r="BS139" t="s">
        <v>68</v>
      </c>
    </row>
    <row r="140" spans="1:71" x14ac:dyDescent="0.35">
      <c r="A140" t="b">
        <f>ISNUMBER(MATCH(ChargentOrders[[#This Row],[Contract__c]],Contract[Id],0))</f>
        <v>1</v>
      </c>
      <c r="B140">
        <f>IFERROR(INDEX(Contract[CB_Subscription__c],MATCH(ChargentOrders[[#This Row],[Contract__c]],Contract[Id],0)),0)</f>
        <v>0</v>
      </c>
      <c r="C140" t="b">
        <f>ISNUMBER(MATCH(ChargentOrders[[#This Row],[Id]],Claude[Id],0))</f>
        <v>1</v>
      </c>
      <c r="D140" t="b">
        <f>AND(ChargentOrders[[#This Row],[_Contract]],ChargentOrders[[#This Row],[CB Subscription]]=0)</f>
        <v>1</v>
      </c>
      <c r="E140" s="38">
        <f>INDEX(Table5[CUENTA],MATCH(ChargentOrders[[#This Row],[Contract__c]],Table5[SM_Contract__c],0))</f>
        <v>46081</v>
      </c>
      <c r="F140" s="38" t="str">
        <f ca="1">INDEX(Table5[ESTADO],MATCH(ChargentOrders[[#This Row],[Contract__c]],Table5[SM_Contract__c],0))</f>
        <v>DEBE 5</v>
      </c>
      <c r="G140" t="s">
        <v>1101</v>
      </c>
      <c r="H140" t="s">
        <v>155</v>
      </c>
      <c r="I140" t="s">
        <v>1102</v>
      </c>
      <c r="J140" s="1">
        <v>46142.421261574076</v>
      </c>
      <c r="K140">
        <v>10</v>
      </c>
      <c r="L140">
        <v>2030</v>
      </c>
      <c r="M140" t="s">
        <v>1461</v>
      </c>
      <c r="N140">
        <v>10</v>
      </c>
      <c r="O140" t="s">
        <v>68</v>
      </c>
      <c r="P140" t="s">
        <v>73</v>
      </c>
      <c r="Q140">
        <v>2030</v>
      </c>
      <c r="R140">
        <v>9400</v>
      </c>
      <c r="T140" t="s">
        <v>107</v>
      </c>
      <c r="U140" t="s">
        <v>68</v>
      </c>
      <c r="V140">
        <v>0</v>
      </c>
      <c r="W140" t="s">
        <v>69</v>
      </c>
      <c r="X140" s="5">
        <v>46212</v>
      </c>
      <c r="Y140" t="s">
        <v>84</v>
      </c>
      <c r="Z140" t="s">
        <v>68</v>
      </c>
      <c r="AA140">
        <v>9400</v>
      </c>
      <c r="AB140">
        <v>0</v>
      </c>
      <c r="AC140" t="s">
        <v>489</v>
      </c>
      <c r="AD140" t="s">
        <v>68</v>
      </c>
      <c r="AE140">
        <v>0</v>
      </c>
      <c r="AF140" s="1"/>
      <c r="AG140" s="1"/>
      <c r="AH140">
        <v>0</v>
      </c>
      <c r="AI140">
        <v>29</v>
      </c>
      <c r="AJ140">
        <v>0</v>
      </c>
      <c r="AK140" t="s">
        <v>490</v>
      </c>
      <c r="AL140" t="s">
        <v>71</v>
      </c>
      <c r="AM140" t="s">
        <v>68</v>
      </c>
      <c r="AN140">
        <v>0</v>
      </c>
      <c r="AO140" s="1"/>
      <c r="AQ140">
        <v>0</v>
      </c>
      <c r="AR140">
        <v>0</v>
      </c>
      <c r="AS140" t="s">
        <v>72</v>
      </c>
      <c r="AT140" t="s">
        <v>68</v>
      </c>
      <c r="AU140">
        <v>1</v>
      </c>
      <c r="AV140" t="s">
        <v>1103</v>
      </c>
      <c r="AW140">
        <v>0</v>
      </c>
      <c r="AX140" s="1">
        <v>45961.424942129626</v>
      </c>
      <c r="AY140">
        <v>2500</v>
      </c>
      <c r="AZ140" t="s">
        <v>68</v>
      </c>
      <c r="BA140" t="s">
        <v>65</v>
      </c>
      <c r="BB140" t="s">
        <v>68</v>
      </c>
      <c r="BC140" t="s">
        <v>68</v>
      </c>
      <c r="BD140">
        <v>0</v>
      </c>
      <c r="BE140" s="1">
        <v>46181.422731481478</v>
      </c>
      <c r="BF140" s="1">
        <v>46209.42015046296</v>
      </c>
      <c r="BG140" t="s">
        <v>68</v>
      </c>
      <c r="BH140" t="s">
        <v>68</v>
      </c>
      <c r="BI140" t="s">
        <v>68</v>
      </c>
      <c r="BJ140" t="s">
        <v>68</v>
      </c>
      <c r="BK140" t="s">
        <v>68</v>
      </c>
      <c r="BL140" t="s">
        <v>68</v>
      </c>
      <c r="BM140" t="s">
        <v>68</v>
      </c>
      <c r="BN140" t="s">
        <v>68</v>
      </c>
      <c r="BO140" t="s">
        <v>96</v>
      </c>
      <c r="BP140">
        <v>0</v>
      </c>
      <c r="BQ140" t="s">
        <v>68</v>
      </c>
      <c r="BR140" t="s">
        <v>68</v>
      </c>
      <c r="BS140" t="s">
        <v>68</v>
      </c>
    </row>
    <row r="141" spans="1:71" x14ac:dyDescent="0.35">
      <c r="A141" t="b">
        <f>ISNUMBER(MATCH(ChargentOrders[[#This Row],[Contract__c]],Contract[Id],0))</f>
        <v>1</v>
      </c>
      <c r="B141">
        <f>IFERROR(INDEX(Contract[CB_Subscription__c],MATCH(ChargentOrders[[#This Row],[Contract__c]],Contract[Id],0)),0)</f>
        <v>0</v>
      </c>
      <c r="C141" t="b">
        <f>ISNUMBER(MATCH(ChargentOrders[[#This Row],[Id]],Claude[Id],0))</f>
        <v>1</v>
      </c>
      <c r="D141" t="b">
        <f>AND(ChargentOrders[[#This Row],[_Contract]],ChargentOrders[[#This Row],[CB Subscription]]=0)</f>
        <v>1</v>
      </c>
      <c r="E141" s="38">
        <f>INDEX(Table5[CUENTA],MATCH(ChargentOrders[[#This Row],[Contract__c]],Table5[SM_Contract__c],0))</f>
        <v>46081</v>
      </c>
      <c r="F141" s="38" t="str">
        <f ca="1">INDEX(Table5[ESTADO],MATCH(ChargentOrders[[#This Row],[Contract__c]],Table5[SM_Contract__c],0))</f>
        <v>DEBE 5</v>
      </c>
      <c r="G141" t="s">
        <v>1113</v>
      </c>
      <c r="H141" t="s">
        <v>79</v>
      </c>
      <c r="I141" t="s">
        <v>1114</v>
      </c>
      <c r="J141" s="1">
        <v>46142.418715277781</v>
      </c>
      <c r="K141">
        <v>2</v>
      </c>
      <c r="L141">
        <v>2030</v>
      </c>
      <c r="M141" t="s">
        <v>1440</v>
      </c>
      <c r="N141">
        <v>2</v>
      </c>
      <c r="O141" t="s">
        <v>1440</v>
      </c>
      <c r="P141" t="s">
        <v>73</v>
      </c>
      <c r="Q141">
        <v>2030</v>
      </c>
      <c r="R141">
        <v>10400</v>
      </c>
      <c r="T141" t="s">
        <v>67</v>
      </c>
      <c r="U141" t="s">
        <v>68</v>
      </c>
      <c r="V141">
        <v>0</v>
      </c>
      <c r="W141" t="s">
        <v>69</v>
      </c>
      <c r="X141" s="5">
        <v>46212</v>
      </c>
      <c r="Y141" t="s">
        <v>84</v>
      </c>
      <c r="Z141" t="s">
        <v>68</v>
      </c>
      <c r="AA141">
        <v>10400</v>
      </c>
      <c r="AB141">
        <v>0</v>
      </c>
      <c r="AC141" t="s">
        <v>240</v>
      </c>
      <c r="AD141" t="s">
        <v>68</v>
      </c>
      <c r="AE141">
        <v>0</v>
      </c>
      <c r="AF141" s="1"/>
      <c r="AG141" s="1"/>
      <c r="AH141">
        <v>0</v>
      </c>
      <c r="AI141">
        <v>29</v>
      </c>
      <c r="AJ141">
        <v>0</v>
      </c>
      <c r="AK141" t="s">
        <v>235</v>
      </c>
      <c r="AL141" t="s">
        <v>71</v>
      </c>
      <c r="AM141" t="s">
        <v>68</v>
      </c>
      <c r="AN141">
        <v>0</v>
      </c>
      <c r="AO141" s="1"/>
      <c r="AQ141">
        <v>0</v>
      </c>
      <c r="AR141">
        <v>0</v>
      </c>
      <c r="AS141" t="s">
        <v>72</v>
      </c>
      <c r="AT141" t="s">
        <v>68</v>
      </c>
      <c r="AU141">
        <v>1</v>
      </c>
      <c r="AV141" t="s">
        <v>1115</v>
      </c>
      <c r="AW141">
        <v>0</v>
      </c>
      <c r="AX141" s="1">
        <v>45702.827997685185</v>
      </c>
      <c r="AY141">
        <v>2500</v>
      </c>
      <c r="AZ141" t="s">
        <v>68</v>
      </c>
      <c r="BA141" t="s">
        <v>65</v>
      </c>
      <c r="BB141" t="s">
        <v>68</v>
      </c>
      <c r="BC141" t="s">
        <v>68</v>
      </c>
      <c r="BD141">
        <v>0</v>
      </c>
      <c r="BE141" s="1">
        <v>46209.420185185183</v>
      </c>
      <c r="BF141" s="1">
        <v>46209.420185185183</v>
      </c>
      <c r="BG141" t="s">
        <v>68</v>
      </c>
      <c r="BH141" t="s">
        <v>68</v>
      </c>
      <c r="BI141" t="s">
        <v>68</v>
      </c>
      <c r="BJ141" t="s">
        <v>68</v>
      </c>
      <c r="BK141" t="s">
        <v>68</v>
      </c>
      <c r="BL141" t="s">
        <v>68</v>
      </c>
      <c r="BM141" t="s">
        <v>68</v>
      </c>
      <c r="BN141" t="s">
        <v>68</v>
      </c>
      <c r="BO141" t="s">
        <v>96</v>
      </c>
      <c r="BP141">
        <v>0</v>
      </c>
      <c r="BQ141" t="s">
        <v>68</v>
      </c>
      <c r="BR141" t="s">
        <v>68</v>
      </c>
      <c r="BS141" t="s">
        <v>68</v>
      </c>
    </row>
    <row r="142" spans="1:71" x14ac:dyDescent="0.35">
      <c r="A142" t="b">
        <f>ISNUMBER(MATCH(ChargentOrders[[#This Row],[Contract__c]],Contract[Id],0))</f>
        <v>1</v>
      </c>
      <c r="B142">
        <f>IFERROR(INDEX(Contract[CB_Subscription__c],MATCH(ChargentOrders[[#This Row],[Contract__c]],Contract[Id],0)),0)</f>
        <v>0</v>
      </c>
      <c r="C142" t="b">
        <f>ISNUMBER(MATCH(ChargentOrders[[#This Row],[Id]],Claude[Id],0))</f>
        <v>1</v>
      </c>
      <c r="D142" t="b">
        <f>AND(ChargentOrders[[#This Row],[_Contract]],ChargentOrders[[#This Row],[CB Subscription]]=0)</f>
        <v>1</v>
      </c>
      <c r="E142" s="38">
        <f>INDEX(Table5[CUENTA],MATCH(ChargentOrders[[#This Row],[Contract__c]],Table5[SM_Contract__c],0))</f>
        <v>46081</v>
      </c>
      <c r="F142" s="38" t="str">
        <f ca="1">INDEX(Table5[ESTADO],MATCH(ChargentOrders[[#This Row],[Contract__c]],Table5[SM_Contract__c],0))</f>
        <v>DEBE 5</v>
      </c>
      <c r="G142" t="s">
        <v>1116</v>
      </c>
      <c r="H142" t="s">
        <v>79</v>
      </c>
      <c r="I142" t="s">
        <v>1117</v>
      </c>
      <c r="J142" s="1">
        <v>46142.418171296296</v>
      </c>
      <c r="K142">
        <v>3</v>
      </c>
      <c r="L142">
        <v>2027</v>
      </c>
      <c r="M142" t="s">
        <v>1432</v>
      </c>
      <c r="N142">
        <v>3</v>
      </c>
      <c r="O142" t="s">
        <v>1432</v>
      </c>
      <c r="P142" t="s">
        <v>73</v>
      </c>
      <c r="Q142">
        <v>2027</v>
      </c>
      <c r="R142">
        <v>10400</v>
      </c>
      <c r="T142" t="s">
        <v>67</v>
      </c>
      <c r="U142" t="s">
        <v>68</v>
      </c>
      <c r="V142">
        <v>0</v>
      </c>
      <c r="W142" t="s">
        <v>69</v>
      </c>
      <c r="X142" s="5">
        <v>46212</v>
      </c>
      <c r="Y142" t="s">
        <v>84</v>
      </c>
      <c r="Z142" t="s">
        <v>68</v>
      </c>
      <c r="AA142">
        <v>10400</v>
      </c>
      <c r="AB142">
        <v>0</v>
      </c>
      <c r="AC142" t="s">
        <v>165</v>
      </c>
      <c r="AD142" t="s">
        <v>68</v>
      </c>
      <c r="AE142">
        <v>0</v>
      </c>
      <c r="AF142" s="1"/>
      <c r="AG142" s="1"/>
      <c r="AH142">
        <v>0</v>
      </c>
      <c r="AI142">
        <v>29</v>
      </c>
      <c r="AJ142">
        <v>0</v>
      </c>
      <c r="AK142" t="s">
        <v>179</v>
      </c>
      <c r="AL142" t="s">
        <v>71</v>
      </c>
      <c r="AM142" t="s">
        <v>68</v>
      </c>
      <c r="AN142">
        <v>0</v>
      </c>
      <c r="AO142" s="1"/>
      <c r="AQ142">
        <v>0</v>
      </c>
      <c r="AR142">
        <v>0</v>
      </c>
      <c r="AS142" t="s">
        <v>72</v>
      </c>
      <c r="AT142" t="s">
        <v>68</v>
      </c>
      <c r="AU142">
        <v>1</v>
      </c>
      <c r="AV142" t="s">
        <v>1118</v>
      </c>
      <c r="AW142">
        <v>0</v>
      </c>
      <c r="AX142" s="1">
        <v>45546.777881944443</v>
      </c>
      <c r="AY142">
        <v>2500</v>
      </c>
      <c r="AZ142" t="s">
        <v>68</v>
      </c>
      <c r="BA142" t="s">
        <v>65</v>
      </c>
      <c r="BB142" t="s">
        <v>68</v>
      </c>
      <c r="BC142" t="s">
        <v>68</v>
      </c>
      <c r="BD142">
        <v>0</v>
      </c>
      <c r="BE142" s="1">
        <v>46209.420243055552</v>
      </c>
      <c r="BF142" s="1">
        <v>46209.420243055552</v>
      </c>
      <c r="BG142" t="s">
        <v>68</v>
      </c>
      <c r="BH142" t="s">
        <v>68</v>
      </c>
      <c r="BI142" t="s">
        <v>68</v>
      </c>
      <c r="BJ142" t="s">
        <v>68</v>
      </c>
      <c r="BK142" t="s">
        <v>68</v>
      </c>
      <c r="BL142" t="s">
        <v>68</v>
      </c>
      <c r="BM142" t="s">
        <v>68</v>
      </c>
      <c r="BN142" t="s">
        <v>68</v>
      </c>
      <c r="BO142" t="s">
        <v>96</v>
      </c>
      <c r="BP142">
        <v>0</v>
      </c>
      <c r="BQ142" t="s">
        <v>68</v>
      </c>
      <c r="BR142" t="s">
        <v>68</v>
      </c>
      <c r="BS142" t="s">
        <v>68</v>
      </c>
    </row>
    <row r="143" spans="1:71" x14ac:dyDescent="0.35">
      <c r="A143" t="b">
        <f>ISNUMBER(MATCH(ChargentOrders[[#This Row],[Contract__c]],Contract[Id],0))</f>
        <v>1</v>
      </c>
      <c r="B143">
        <f>IFERROR(INDEX(Contract[CB_Subscription__c],MATCH(ChargentOrders[[#This Row],[Contract__c]],Contract[Id],0)),0)</f>
        <v>0</v>
      </c>
      <c r="C143" t="b">
        <f>ISNUMBER(MATCH(ChargentOrders[[#This Row],[Id]],Claude[Id],0))</f>
        <v>1</v>
      </c>
      <c r="D143" t="b">
        <f>AND(ChargentOrders[[#This Row],[_Contract]],ChargentOrders[[#This Row],[CB Subscription]]=0)</f>
        <v>1</v>
      </c>
      <c r="E143" s="38">
        <f>INDEX(Table5[CUENTA],MATCH(ChargentOrders[[#This Row],[Contract__c]],Table5[SM_Contract__c],0))</f>
        <v>46081</v>
      </c>
      <c r="F143" s="38" t="str">
        <f ca="1">INDEX(Table5[ESTADO],MATCH(ChargentOrders[[#This Row],[Contract__c]],Table5[SM_Contract__c],0))</f>
        <v>DEBE 5</v>
      </c>
      <c r="G143" t="s">
        <v>1119</v>
      </c>
      <c r="H143" t="s">
        <v>79</v>
      </c>
      <c r="I143" t="s">
        <v>1120</v>
      </c>
      <c r="J143" s="1">
        <v>46142.418287037035</v>
      </c>
      <c r="K143">
        <v>8</v>
      </c>
      <c r="L143">
        <v>2028</v>
      </c>
      <c r="M143" t="s">
        <v>1438</v>
      </c>
      <c r="N143">
        <v>8</v>
      </c>
      <c r="O143" t="s">
        <v>1438</v>
      </c>
      <c r="P143" t="s">
        <v>73</v>
      </c>
      <c r="Q143">
        <v>2028</v>
      </c>
      <c r="R143">
        <v>10000</v>
      </c>
      <c r="T143" t="s">
        <v>67</v>
      </c>
      <c r="U143" t="s">
        <v>68</v>
      </c>
      <c r="V143">
        <v>0</v>
      </c>
      <c r="W143" t="s">
        <v>69</v>
      </c>
      <c r="X143" s="5">
        <v>46212</v>
      </c>
      <c r="Y143" t="s">
        <v>84</v>
      </c>
      <c r="Z143" t="s">
        <v>68</v>
      </c>
      <c r="AA143">
        <v>10000</v>
      </c>
      <c r="AB143">
        <v>0</v>
      </c>
      <c r="AC143" t="s">
        <v>202</v>
      </c>
      <c r="AD143" t="s">
        <v>68</v>
      </c>
      <c r="AE143">
        <v>0</v>
      </c>
      <c r="AF143" s="1"/>
      <c r="AG143" s="1"/>
      <c r="AH143">
        <v>0</v>
      </c>
      <c r="AI143">
        <v>29</v>
      </c>
      <c r="AJ143">
        <v>0</v>
      </c>
      <c r="AK143" t="s">
        <v>197</v>
      </c>
      <c r="AL143" t="s">
        <v>71</v>
      </c>
      <c r="AM143" t="s">
        <v>68</v>
      </c>
      <c r="AN143">
        <v>0</v>
      </c>
      <c r="AO143" s="1"/>
      <c r="AQ143">
        <v>0</v>
      </c>
      <c r="AR143">
        <v>0</v>
      </c>
      <c r="AS143" t="s">
        <v>72</v>
      </c>
      <c r="AT143" t="s">
        <v>68</v>
      </c>
      <c r="AU143">
        <v>1</v>
      </c>
      <c r="AV143" t="s">
        <v>1121</v>
      </c>
      <c r="AW143">
        <v>0</v>
      </c>
      <c r="AX143" s="1">
        <v>45589.952337962961</v>
      </c>
      <c r="AY143">
        <v>2500</v>
      </c>
      <c r="AZ143" t="s">
        <v>68</v>
      </c>
      <c r="BA143" t="s">
        <v>65</v>
      </c>
      <c r="BB143" t="s">
        <v>68</v>
      </c>
      <c r="BC143" t="s">
        <v>68</v>
      </c>
      <c r="BD143">
        <v>0</v>
      </c>
      <c r="BE143" s="1">
        <v>46209.420243055552</v>
      </c>
      <c r="BF143" s="1">
        <v>46209.420243055552</v>
      </c>
      <c r="BG143" t="s">
        <v>68</v>
      </c>
      <c r="BH143" t="s">
        <v>68</v>
      </c>
      <c r="BI143" t="s">
        <v>68</v>
      </c>
      <c r="BJ143" t="s">
        <v>68</v>
      </c>
      <c r="BK143" t="s">
        <v>68</v>
      </c>
      <c r="BL143" t="s">
        <v>68</v>
      </c>
      <c r="BM143" t="s">
        <v>68</v>
      </c>
      <c r="BN143" t="s">
        <v>68</v>
      </c>
      <c r="BO143" t="s">
        <v>96</v>
      </c>
      <c r="BP143">
        <v>0</v>
      </c>
      <c r="BQ143" t="s">
        <v>68</v>
      </c>
      <c r="BR143" t="s">
        <v>68</v>
      </c>
      <c r="BS143" t="s">
        <v>68</v>
      </c>
    </row>
    <row r="144" spans="1:71" x14ac:dyDescent="0.35">
      <c r="A144" t="b">
        <f>ISNUMBER(MATCH(ChargentOrders[[#This Row],[Contract__c]],Contract[Id],0))</f>
        <v>1</v>
      </c>
      <c r="B144">
        <f>IFERROR(INDEX(Contract[CB_Subscription__c],MATCH(ChargentOrders[[#This Row],[Contract__c]],Contract[Id],0)),0)</f>
        <v>0</v>
      </c>
      <c r="C144" t="b">
        <f>ISNUMBER(MATCH(ChargentOrders[[#This Row],[Id]],Claude[Id],0))</f>
        <v>1</v>
      </c>
      <c r="D144" t="b">
        <f>AND(ChargentOrders[[#This Row],[_Contract]],ChargentOrders[[#This Row],[CB Subscription]]=0)</f>
        <v>1</v>
      </c>
      <c r="E144" s="38">
        <f>INDEX(Table5[CUENTA],MATCH(ChargentOrders[[#This Row],[Contract__c]],Table5[SM_Contract__c],0))</f>
        <v>46081</v>
      </c>
      <c r="F144" s="38" t="str">
        <f ca="1">INDEX(Table5[ESTADO],MATCH(ChargentOrders[[#This Row],[Contract__c]],Table5[SM_Contract__c],0))</f>
        <v>DEBE 5</v>
      </c>
      <c r="G144" t="s">
        <v>1122</v>
      </c>
      <c r="H144" t="s">
        <v>79</v>
      </c>
      <c r="I144" t="s">
        <v>1123</v>
      </c>
      <c r="J144" s="1">
        <v>46142.418854166666</v>
      </c>
      <c r="K144">
        <v>7</v>
      </c>
      <c r="L144">
        <v>2029</v>
      </c>
      <c r="M144" t="s">
        <v>1422</v>
      </c>
      <c r="N144">
        <v>7</v>
      </c>
      <c r="O144" t="s">
        <v>1422</v>
      </c>
      <c r="P144" t="s">
        <v>66</v>
      </c>
      <c r="Q144">
        <v>2029</v>
      </c>
      <c r="R144">
        <v>10400</v>
      </c>
      <c r="T144" t="s">
        <v>67</v>
      </c>
      <c r="U144" t="s">
        <v>68</v>
      </c>
      <c r="V144">
        <v>0</v>
      </c>
      <c r="W144" t="s">
        <v>69</v>
      </c>
      <c r="X144" s="5">
        <v>46212</v>
      </c>
      <c r="Y144" t="s">
        <v>84</v>
      </c>
      <c r="Z144" t="s">
        <v>68</v>
      </c>
      <c r="AA144">
        <v>10400</v>
      </c>
      <c r="AB144">
        <v>0</v>
      </c>
      <c r="AC144" t="s">
        <v>219</v>
      </c>
      <c r="AD144" t="s">
        <v>68</v>
      </c>
      <c r="AE144">
        <v>0</v>
      </c>
      <c r="AF144" s="1"/>
      <c r="AG144" s="1"/>
      <c r="AH144">
        <v>0</v>
      </c>
      <c r="AI144">
        <v>30</v>
      </c>
      <c r="AJ144">
        <v>0</v>
      </c>
      <c r="AK144" t="s">
        <v>220</v>
      </c>
      <c r="AL144" t="s">
        <v>71</v>
      </c>
      <c r="AM144" t="s">
        <v>68</v>
      </c>
      <c r="AN144">
        <v>0</v>
      </c>
      <c r="AO144" s="1"/>
      <c r="AQ144">
        <v>0</v>
      </c>
      <c r="AR144">
        <v>0</v>
      </c>
      <c r="AS144" t="s">
        <v>72</v>
      </c>
      <c r="AT144" t="s">
        <v>68</v>
      </c>
      <c r="AU144">
        <v>1</v>
      </c>
      <c r="AV144" t="s">
        <v>1124</v>
      </c>
      <c r="AW144">
        <v>0</v>
      </c>
      <c r="AX144" s="1">
        <v>45716.429675925923</v>
      </c>
      <c r="AY144">
        <v>2500</v>
      </c>
      <c r="AZ144" t="s">
        <v>68</v>
      </c>
      <c r="BA144" t="s">
        <v>65</v>
      </c>
      <c r="BB144" t="s">
        <v>68</v>
      </c>
      <c r="BC144" t="s">
        <v>68</v>
      </c>
      <c r="BD144">
        <v>0</v>
      </c>
      <c r="BE144" s="1">
        <v>46209.420266203706</v>
      </c>
      <c r="BF144" s="1">
        <v>46209.420266203706</v>
      </c>
      <c r="BG144" t="s">
        <v>68</v>
      </c>
      <c r="BH144" t="s">
        <v>68</v>
      </c>
      <c r="BI144" t="s">
        <v>68</v>
      </c>
      <c r="BJ144" t="s">
        <v>68</v>
      </c>
      <c r="BK144" t="s">
        <v>68</v>
      </c>
      <c r="BL144" t="s">
        <v>68</v>
      </c>
      <c r="BM144" t="s">
        <v>68</v>
      </c>
      <c r="BN144" t="s">
        <v>68</v>
      </c>
      <c r="BO144" t="s">
        <v>96</v>
      </c>
      <c r="BP144">
        <v>0</v>
      </c>
      <c r="BQ144" t="s">
        <v>68</v>
      </c>
      <c r="BR144" t="s">
        <v>68</v>
      </c>
      <c r="BS144" t="s">
        <v>68</v>
      </c>
    </row>
    <row r="145" spans="1:71" x14ac:dyDescent="0.35">
      <c r="A145" t="b">
        <f>ISNUMBER(MATCH(ChargentOrders[[#This Row],[Contract__c]],Contract[Id],0))</f>
        <v>1</v>
      </c>
      <c r="B145">
        <f>IFERROR(INDEX(Contract[CB_Subscription__c],MATCH(ChargentOrders[[#This Row],[Contract__c]],Contract[Id],0)),0)</f>
        <v>0</v>
      </c>
      <c r="C145" t="b">
        <f>ISNUMBER(MATCH(ChargentOrders[[#This Row],[Id]],Claude[Id],0))</f>
        <v>1</v>
      </c>
      <c r="D145" t="b">
        <f>AND(ChargentOrders[[#This Row],[_Contract]],ChargentOrders[[#This Row],[CB Subscription]]=0)</f>
        <v>1</v>
      </c>
      <c r="E145" s="38">
        <f>INDEX(Table5[CUENTA],MATCH(ChargentOrders[[#This Row],[Contract__c]],Table5[SM_Contract__c],0))</f>
        <v>46081</v>
      </c>
      <c r="F145" s="38" t="str">
        <f ca="1">INDEX(Table5[ESTADO],MATCH(ChargentOrders[[#This Row],[Contract__c]],Table5[SM_Contract__c],0))</f>
        <v>DEBE 5</v>
      </c>
      <c r="G145" t="s">
        <v>1125</v>
      </c>
      <c r="H145" t="s">
        <v>79</v>
      </c>
      <c r="I145" t="s">
        <v>1126</v>
      </c>
      <c r="J145" s="1">
        <v>46142.418854166666</v>
      </c>
      <c r="K145">
        <v>2</v>
      </c>
      <c r="L145">
        <v>2026</v>
      </c>
      <c r="M145" t="s">
        <v>1407</v>
      </c>
      <c r="N145">
        <v>2</v>
      </c>
      <c r="O145" t="s">
        <v>1407</v>
      </c>
      <c r="P145" t="s">
        <v>73</v>
      </c>
      <c r="Q145">
        <v>2026</v>
      </c>
      <c r="R145">
        <v>10400</v>
      </c>
      <c r="T145" t="s">
        <v>67</v>
      </c>
      <c r="U145" t="s">
        <v>68</v>
      </c>
      <c r="V145">
        <v>0</v>
      </c>
      <c r="W145" t="s">
        <v>69</v>
      </c>
      <c r="X145" s="5">
        <v>46212</v>
      </c>
      <c r="Y145" t="s">
        <v>84</v>
      </c>
      <c r="Z145" t="s">
        <v>68</v>
      </c>
      <c r="AA145">
        <v>10400</v>
      </c>
      <c r="AB145">
        <v>0</v>
      </c>
      <c r="AC145" t="s">
        <v>252</v>
      </c>
      <c r="AD145" t="s">
        <v>68</v>
      </c>
      <c r="AE145">
        <v>0</v>
      </c>
      <c r="AF145" s="1"/>
      <c r="AG145" s="1"/>
      <c r="AH145">
        <v>0</v>
      </c>
      <c r="AI145">
        <v>29</v>
      </c>
      <c r="AJ145">
        <v>0</v>
      </c>
      <c r="AK145" t="s">
        <v>253</v>
      </c>
      <c r="AL145" t="s">
        <v>71</v>
      </c>
      <c r="AM145" t="s">
        <v>68</v>
      </c>
      <c r="AN145">
        <v>0</v>
      </c>
      <c r="AO145" s="1"/>
      <c r="AQ145">
        <v>0</v>
      </c>
      <c r="AR145">
        <v>0</v>
      </c>
      <c r="AS145" t="s">
        <v>72</v>
      </c>
      <c r="AT145" t="s">
        <v>68</v>
      </c>
      <c r="AU145">
        <v>1</v>
      </c>
      <c r="AV145" t="s">
        <v>1127</v>
      </c>
      <c r="AW145">
        <v>0</v>
      </c>
      <c r="AX145" s="1">
        <v>45723.426469907405</v>
      </c>
      <c r="AY145">
        <v>2500</v>
      </c>
      <c r="AZ145" t="s">
        <v>68</v>
      </c>
      <c r="BA145" t="s">
        <v>65</v>
      </c>
      <c r="BB145" t="s">
        <v>68</v>
      </c>
      <c r="BC145" t="s">
        <v>68</v>
      </c>
      <c r="BD145">
        <v>0</v>
      </c>
      <c r="BE145" s="1">
        <v>46209.420277777775</v>
      </c>
      <c r="BF145" s="1">
        <v>46209.420277777775</v>
      </c>
      <c r="BG145" t="s">
        <v>68</v>
      </c>
      <c r="BH145" t="s">
        <v>68</v>
      </c>
      <c r="BI145" t="s">
        <v>68</v>
      </c>
      <c r="BJ145" t="s">
        <v>68</v>
      </c>
      <c r="BK145" t="s">
        <v>68</v>
      </c>
      <c r="BL145" t="s">
        <v>68</v>
      </c>
      <c r="BM145" t="s">
        <v>68</v>
      </c>
      <c r="BN145" t="s">
        <v>68</v>
      </c>
      <c r="BO145" t="s">
        <v>96</v>
      </c>
      <c r="BP145">
        <v>0</v>
      </c>
      <c r="BQ145" t="s">
        <v>68</v>
      </c>
      <c r="BR145" t="s">
        <v>68</v>
      </c>
      <c r="BS145" t="s">
        <v>68</v>
      </c>
    </row>
    <row r="146" spans="1:71" x14ac:dyDescent="0.35">
      <c r="A146" t="b">
        <f>ISNUMBER(MATCH(ChargentOrders[[#This Row],[Contract__c]],Contract[Id],0))</f>
        <v>1</v>
      </c>
      <c r="B146">
        <f>IFERROR(INDEX(Contract[CB_Subscription__c],MATCH(ChargentOrders[[#This Row],[Contract__c]],Contract[Id],0)),0)</f>
        <v>0</v>
      </c>
      <c r="C146" t="b">
        <f>ISNUMBER(MATCH(ChargentOrders[[#This Row],[Id]],Claude[Id],0))</f>
        <v>1</v>
      </c>
      <c r="D146" t="b">
        <f>AND(ChargentOrders[[#This Row],[_Contract]],ChargentOrders[[#This Row],[CB Subscription]]=0)</f>
        <v>1</v>
      </c>
      <c r="E146" s="38">
        <f>INDEX(Table5[CUENTA],MATCH(ChargentOrders[[#This Row],[Contract__c]],Table5[SM_Contract__c],0))</f>
        <v>46081</v>
      </c>
      <c r="F146" s="38" t="str">
        <f ca="1">INDEX(Table5[ESTADO],MATCH(ChargentOrders[[#This Row],[Contract__c]],Table5[SM_Contract__c],0))</f>
        <v>DEBE 5</v>
      </c>
      <c r="G146" t="s">
        <v>1128</v>
      </c>
      <c r="H146" t="s">
        <v>81</v>
      </c>
      <c r="I146" t="s">
        <v>1129</v>
      </c>
      <c r="J146" s="1">
        <v>46142.419189814813</v>
      </c>
      <c r="K146">
        <v>11</v>
      </c>
      <c r="L146">
        <v>2029</v>
      </c>
      <c r="M146" t="s">
        <v>1444</v>
      </c>
      <c r="N146">
        <v>11</v>
      </c>
      <c r="O146" t="s">
        <v>1444</v>
      </c>
      <c r="P146" t="s">
        <v>73</v>
      </c>
      <c r="Q146">
        <v>2029</v>
      </c>
      <c r="R146">
        <v>10400</v>
      </c>
      <c r="T146" t="s">
        <v>67</v>
      </c>
      <c r="U146" t="s">
        <v>68</v>
      </c>
      <c r="V146">
        <v>0</v>
      </c>
      <c r="W146" t="s">
        <v>69</v>
      </c>
      <c r="X146" s="5">
        <v>46212</v>
      </c>
      <c r="Y146" t="s">
        <v>84</v>
      </c>
      <c r="Z146" t="s">
        <v>68</v>
      </c>
      <c r="AA146">
        <v>10400</v>
      </c>
      <c r="AB146">
        <v>0</v>
      </c>
      <c r="AC146" t="s">
        <v>264</v>
      </c>
      <c r="AD146" t="s">
        <v>68</v>
      </c>
      <c r="AE146">
        <v>0</v>
      </c>
      <c r="AF146" s="1"/>
      <c r="AG146" s="1"/>
      <c r="AH146">
        <v>0</v>
      </c>
      <c r="AI146">
        <v>33</v>
      </c>
      <c r="AJ146">
        <v>0</v>
      </c>
      <c r="AK146" t="s">
        <v>265</v>
      </c>
      <c r="AL146" t="s">
        <v>71</v>
      </c>
      <c r="AM146" t="s">
        <v>68</v>
      </c>
      <c r="AN146">
        <v>0</v>
      </c>
      <c r="AO146" s="1"/>
      <c r="AQ146">
        <v>0</v>
      </c>
      <c r="AR146">
        <v>0</v>
      </c>
      <c r="AS146" t="s">
        <v>72</v>
      </c>
      <c r="AT146" t="s">
        <v>68</v>
      </c>
      <c r="AU146">
        <v>1</v>
      </c>
      <c r="AV146" t="s">
        <v>1130</v>
      </c>
      <c r="AW146">
        <v>0</v>
      </c>
      <c r="AX146" s="1">
        <v>45744.431817129633</v>
      </c>
      <c r="AY146">
        <v>2500</v>
      </c>
      <c r="AZ146" t="s">
        <v>68</v>
      </c>
      <c r="BA146" t="s">
        <v>65</v>
      </c>
      <c r="BB146" t="s">
        <v>68</v>
      </c>
      <c r="BC146" t="s">
        <v>68</v>
      </c>
      <c r="BD146">
        <v>0</v>
      </c>
      <c r="BE146" s="1">
        <v>46209.420277777775</v>
      </c>
      <c r="BF146" s="1">
        <v>46209.420277777775</v>
      </c>
      <c r="BG146" t="s">
        <v>68</v>
      </c>
      <c r="BH146" t="s">
        <v>68</v>
      </c>
      <c r="BI146" t="s">
        <v>68</v>
      </c>
      <c r="BJ146" t="s">
        <v>68</v>
      </c>
      <c r="BK146" t="s">
        <v>68</v>
      </c>
      <c r="BL146" t="s">
        <v>68</v>
      </c>
      <c r="BM146" t="s">
        <v>68</v>
      </c>
      <c r="BN146" t="s">
        <v>68</v>
      </c>
      <c r="BO146" t="s">
        <v>96</v>
      </c>
      <c r="BP146">
        <v>0</v>
      </c>
      <c r="BQ146" t="s">
        <v>68</v>
      </c>
      <c r="BR146" t="s">
        <v>68</v>
      </c>
      <c r="BS146" t="s">
        <v>68</v>
      </c>
    </row>
    <row r="147" spans="1:71" x14ac:dyDescent="0.35">
      <c r="A147" t="b">
        <f>ISNUMBER(MATCH(ChargentOrders[[#This Row],[Contract__c]],Contract[Id],0))</f>
        <v>1</v>
      </c>
      <c r="B147">
        <f>IFERROR(INDEX(Contract[CB_Subscription__c],MATCH(ChargentOrders[[#This Row],[Contract__c]],Contract[Id],0)),0)</f>
        <v>0</v>
      </c>
      <c r="C147" t="b">
        <f>ISNUMBER(MATCH(ChargentOrders[[#This Row],[Id]],Claude[Id],0))</f>
        <v>1</v>
      </c>
      <c r="D147" t="b">
        <f>AND(ChargentOrders[[#This Row],[_Contract]],ChargentOrders[[#This Row],[CB Subscription]]=0)</f>
        <v>1</v>
      </c>
      <c r="E147" s="38">
        <f>INDEX(Table5[CUENTA],MATCH(ChargentOrders[[#This Row],[Contract__c]],Table5[SM_Contract__c],0))</f>
        <v>46081</v>
      </c>
      <c r="F147" s="38" t="str">
        <f ca="1">INDEX(Table5[ESTADO],MATCH(ChargentOrders[[#This Row],[Contract__c]],Table5[SM_Contract__c],0))</f>
        <v>DEBE 5</v>
      </c>
      <c r="G147" t="s">
        <v>1137</v>
      </c>
      <c r="H147" t="s">
        <v>79</v>
      </c>
      <c r="I147" t="s">
        <v>1138</v>
      </c>
      <c r="J147" s="1">
        <v>46142.419872685183</v>
      </c>
      <c r="K147">
        <v>7</v>
      </c>
      <c r="L147">
        <v>2027</v>
      </c>
      <c r="M147" t="s">
        <v>1450</v>
      </c>
      <c r="N147">
        <v>7</v>
      </c>
      <c r="O147" t="s">
        <v>68</v>
      </c>
      <c r="P147" t="s">
        <v>66</v>
      </c>
      <c r="Q147">
        <v>2027</v>
      </c>
      <c r="R147">
        <v>10400</v>
      </c>
      <c r="T147" t="s">
        <v>107</v>
      </c>
      <c r="U147" t="s">
        <v>68</v>
      </c>
      <c r="V147">
        <v>0</v>
      </c>
      <c r="W147" t="s">
        <v>69</v>
      </c>
      <c r="X147" s="5">
        <v>46212</v>
      </c>
      <c r="Y147" t="s">
        <v>84</v>
      </c>
      <c r="Z147" t="s">
        <v>68</v>
      </c>
      <c r="AA147">
        <v>10400</v>
      </c>
      <c r="AB147">
        <v>0</v>
      </c>
      <c r="AC147" t="s">
        <v>368</v>
      </c>
      <c r="AD147" t="s">
        <v>68</v>
      </c>
      <c r="AE147">
        <v>0</v>
      </c>
      <c r="AF147" s="1"/>
      <c r="AG147" s="1"/>
      <c r="AH147">
        <v>0</v>
      </c>
      <c r="AI147">
        <v>32</v>
      </c>
      <c r="AJ147">
        <v>0</v>
      </c>
      <c r="AK147" t="s">
        <v>369</v>
      </c>
      <c r="AL147" t="s">
        <v>71</v>
      </c>
      <c r="AM147" t="s">
        <v>68</v>
      </c>
      <c r="AN147">
        <v>0</v>
      </c>
      <c r="AO147" s="1"/>
      <c r="AQ147">
        <v>0</v>
      </c>
      <c r="AR147">
        <v>0</v>
      </c>
      <c r="AS147" t="s">
        <v>72</v>
      </c>
      <c r="AT147" t="s">
        <v>68</v>
      </c>
      <c r="AU147">
        <v>1</v>
      </c>
      <c r="AV147" t="s">
        <v>1139</v>
      </c>
      <c r="AW147">
        <v>0</v>
      </c>
      <c r="AX147" s="1">
        <v>45849.623969907407</v>
      </c>
      <c r="AY147">
        <v>2500</v>
      </c>
      <c r="AZ147" t="s">
        <v>68</v>
      </c>
      <c r="BA147" t="s">
        <v>65</v>
      </c>
      <c r="BB147" t="s">
        <v>68</v>
      </c>
      <c r="BC147" t="s">
        <v>68</v>
      </c>
      <c r="BD147">
        <v>0</v>
      </c>
      <c r="BE147" s="1"/>
      <c r="BF147" s="1">
        <v>46209.420358796298</v>
      </c>
      <c r="BG147" t="s">
        <v>68</v>
      </c>
      <c r="BH147" t="s">
        <v>68</v>
      </c>
      <c r="BI147" t="s">
        <v>68</v>
      </c>
      <c r="BJ147" t="s">
        <v>68</v>
      </c>
      <c r="BK147" t="s">
        <v>68</v>
      </c>
      <c r="BL147" t="s">
        <v>68</v>
      </c>
      <c r="BM147" t="s">
        <v>68</v>
      </c>
      <c r="BN147" t="s">
        <v>68</v>
      </c>
      <c r="BO147" t="s">
        <v>96</v>
      </c>
      <c r="BP147">
        <v>0</v>
      </c>
      <c r="BQ147" t="s">
        <v>68</v>
      </c>
      <c r="BR147" t="s">
        <v>68</v>
      </c>
      <c r="BS147" t="s">
        <v>68</v>
      </c>
    </row>
    <row r="148" spans="1:71" x14ac:dyDescent="0.35">
      <c r="A148" t="b">
        <f>ISNUMBER(MATCH(ChargentOrders[[#This Row],[Contract__c]],Contract[Id],0))</f>
        <v>1</v>
      </c>
      <c r="B148">
        <f>IFERROR(INDEX(Contract[CB_Subscription__c],MATCH(ChargentOrders[[#This Row],[Contract__c]],Contract[Id],0)),0)</f>
        <v>0</v>
      </c>
      <c r="C148" t="b">
        <f>ISNUMBER(MATCH(ChargentOrders[[#This Row],[Id]],Claude[Id],0))</f>
        <v>1</v>
      </c>
      <c r="D148" t="b">
        <f>AND(ChargentOrders[[#This Row],[_Contract]],ChargentOrders[[#This Row],[CB Subscription]]=0)</f>
        <v>1</v>
      </c>
      <c r="E148" s="38">
        <f>INDEX(Table5[CUENTA],MATCH(ChargentOrders[[#This Row],[Contract__c]],Table5[SM_Contract__c],0))</f>
        <v>46081</v>
      </c>
      <c r="F148" s="38" t="str">
        <f ca="1">INDEX(Table5[ESTADO],MATCH(ChargentOrders[[#This Row],[Contract__c]],Table5[SM_Contract__c],0))</f>
        <v>DEBE 5</v>
      </c>
      <c r="G148" t="s">
        <v>1143</v>
      </c>
      <c r="H148" t="s">
        <v>79</v>
      </c>
      <c r="I148" t="s">
        <v>1144</v>
      </c>
      <c r="J148" s="1">
        <v>46142.420011574075</v>
      </c>
      <c r="K148">
        <v>1</v>
      </c>
      <c r="L148">
        <v>2027</v>
      </c>
      <c r="M148" t="s">
        <v>1453</v>
      </c>
      <c r="N148">
        <v>1</v>
      </c>
      <c r="O148" t="s">
        <v>1453</v>
      </c>
      <c r="P148" t="s">
        <v>73</v>
      </c>
      <c r="Q148">
        <v>2027</v>
      </c>
      <c r="R148">
        <v>10400</v>
      </c>
      <c r="T148" t="s">
        <v>67</v>
      </c>
      <c r="U148" t="s">
        <v>68</v>
      </c>
      <c r="V148">
        <v>0</v>
      </c>
      <c r="W148" t="s">
        <v>69</v>
      </c>
      <c r="X148" s="5">
        <v>46212</v>
      </c>
      <c r="Y148" t="s">
        <v>84</v>
      </c>
      <c r="Z148" t="s">
        <v>68</v>
      </c>
      <c r="AA148">
        <v>10400</v>
      </c>
      <c r="AB148">
        <v>0</v>
      </c>
      <c r="AC148" t="s">
        <v>406</v>
      </c>
      <c r="AD148" t="s">
        <v>68</v>
      </c>
      <c r="AE148">
        <v>0</v>
      </c>
      <c r="AF148" s="1"/>
      <c r="AG148" s="1"/>
      <c r="AH148">
        <v>0</v>
      </c>
      <c r="AI148">
        <v>29</v>
      </c>
      <c r="AJ148">
        <v>0</v>
      </c>
      <c r="AK148" t="s">
        <v>407</v>
      </c>
      <c r="AL148" t="s">
        <v>71</v>
      </c>
      <c r="AM148" t="s">
        <v>68</v>
      </c>
      <c r="AN148">
        <v>0</v>
      </c>
      <c r="AO148" s="1"/>
      <c r="AQ148">
        <v>0</v>
      </c>
      <c r="AR148">
        <v>0</v>
      </c>
      <c r="AS148" t="s">
        <v>72</v>
      </c>
      <c r="AT148" t="s">
        <v>68</v>
      </c>
      <c r="AU148">
        <v>1</v>
      </c>
      <c r="AV148" t="s">
        <v>1145</v>
      </c>
      <c r="AW148">
        <v>0</v>
      </c>
      <c r="AX148" s="1">
        <v>45874.6794212963</v>
      </c>
      <c r="AY148">
        <v>2500</v>
      </c>
      <c r="AZ148" t="s">
        <v>68</v>
      </c>
      <c r="BA148" t="s">
        <v>65</v>
      </c>
      <c r="BB148" t="s">
        <v>68</v>
      </c>
      <c r="BC148" t="s">
        <v>68</v>
      </c>
      <c r="BD148">
        <v>0</v>
      </c>
      <c r="BE148" s="1">
        <v>46209.420381944445</v>
      </c>
      <c r="BF148" s="1">
        <v>46209.420381944445</v>
      </c>
      <c r="BG148" t="s">
        <v>68</v>
      </c>
      <c r="BH148" t="s">
        <v>68</v>
      </c>
      <c r="BI148" t="s">
        <v>68</v>
      </c>
      <c r="BJ148" t="s">
        <v>68</v>
      </c>
      <c r="BK148" t="s">
        <v>68</v>
      </c>
      <c r="BL148" t="s">
        <v>68</v>
      </c>
      <c r="BM148" t="s">
        <v>68</v>
      </c>
      <c r="BN148" t="s">
        <v>68</v>
      </c>
      <c r="BO148" t="s">
        <v>96</v>
      </c>
      <c r="BP148">
        <v>0</v>
      </c>
      <c r="BQ148" t="s">
        <v>68</v>
      </c>
      <c r="BR148" t="s">
        <v>68</v>
      </c>
      <c r="BS148" t="s">
        <v>68</v>
      </c>
    </row>
    <row r="149" spans="1:71" x14ac:dyDescent="0.35">
      <c r="A149" t="b">
        <f>ISNUMBER(MATCH(ChargentOrders[[#This Row],[Contract__c]],Contract[Id],0))</f>
        <v>1</v>
      </c>
      <c r="B149">
        <f>IFERROR(INDEX(Contract[CB_Subscription__c],MATCH(ChargentOrders[[#This Row],[Contract__c]],Contract[Id],0)),0)</f>
        <v>0</v>
      </c>
      <c r="C149" t="b">
        <f>ISNUMBER(MATCH(ChargentOrders[[#This Row],[Id]],Claude[Id],0))</f>
        <v>1</v>
      </c>
      <c r="D149" t="b">
        <f>AND(ChargentOrders[[#This Row],[_Contract]],ChargentOrders[[#This Row],[CB Subscription]]=0)</f>
        <v>1</v>
      </c>
      <c r="E149" s="38">
        <f>INDEX(Table5[CUENTA],MATCH(ChargentOrders[[#This Row],[Contract__c]],Table5[SM_Contract__c],0))</f>
        <v>46081</v>
      </c>
      <c r="F149" s="38" t="str">
        <f ca="1">INDEX(Table5[ESTADO],MATCH(ChargentOrders[[#This Row],[Contract__c]],Table5[SM_Contract__c],0))</f>
        <v>DEBE 5</v>
      </c>
      <c r="G149" t="s">
        <v>1146</v>
      </c>
      <c r="H149" t="s">
        <v>79</v>
      </c>
      <c r="I149" t="s">
        <v>1147</v>
      </c>
      <c r="J149" s="1">
        <v>46142.420810185184</v>
      </c>
      <c r="K149">
        <v>9</v>
      </c>
      <c r="L149">
        <v>2030</v>
      </c>
      <c r="M149" t="s">
        <v>1463</v>
      </c>
      <c r="N149">
        <v>9</v>
      </c>
      <c r="O149" t="s">
        <v>1463</v>
      </c>
      <c r="P149" t="s">
        <v>73</v>
      </c>
      <c r="Q149">
        <v>2030</v>
      </c>
      <c r="R149">
        <v>9400</v>
      </c>
      <c r="T149" t="s">
        <v>67</v>
      </c>
      <c r="U149" t="s">
        <v>68</v>
      </c>
      <c r="V149">
        <v>0</v>
      </c>
      <c r="W149" t="s">
        <v>69</v>
      </c>
      <c r="X149" s="5">
        <v>46212</v>
      </c>
      <c r="Y149" t="s">
        <v>84</v>
      </c>
      <c r="Z149" t="s">
        <v>68</v>
      </c>
      <c r="AA149">
        <v>9400</v>
      </c>
      <c r="AB149">
        <v>0</v>
      </c>
      <c r="AC149" t="s">
        <v>479</v>
      </c>
      <c r="AD149" t="s">
        <v>68</v>
      </c>
      <c r="AE149">
        <v>0</v>
      </c>
      <c r="AF149" s="1"/>
      <c r="AG149" s="1"/>
      <c r="AH149">
        <v>0</v>
      </c>
      <c r="AI149">
        <v>35</v>
      </c>
      <c r="AJ149">
        <v>0</v>
      </c>
      <c r="AK149" t="s">
        <v>480</v>
      </c>
      <c r="AL149" t="s">
        <v>71</v>
      </c>
      <c r="AM149" t="s">
        <v>68</v>
      </c>
      <c r="AN149">
        <v>0</v>
      </c>
      <c r="AO149" s="1"/>
      <c r="AQ149">
        <v>0</v>
      </c>
      <c r="AR149">
        <v>0</v>
      </c>
      <c r="AS149" t="s">
        <v>72</v>
      </c>
      <c r="AT149" t="s">
        <v>68</v>
      </c>
      <c r="AU149">
        <v>1</v>
      </c>
      <c r="AV149" t="s">
        <v>1148</v>
      </c>
      <c r="AW149">
        <v>0</v>
      </c>
      <c r="AX149" s="1">
        <v>45944.639537037037</v>
      </c>
      <c r="AY149">
        <v>2500</v>
      </c>
      <c r="AZ149" t="s">
        <v>68</v>
      </c>
      <c r="BA149" t="s">
        <v>65</v>
      </c>
      <c r="BB149" t="s">
        <v>68</v>
      </c>
      <c r="BC149" t="s">
        <v>68</v>
      </c>
      <c r="BD149">
        <v>0</v>
      </c>
      <c r="BE149" s="1">
        <v>46209.420393518521</v>
      </c>
      <c r="BF149" s="1">
        <v>46209.420393518521</v>
      </c>
      <c r="BG149" t="s">
        <v>68</v>
      </c>
      <c r="BH149" t="s">
        <v>68</v>
      </c>
      <c r="BI149" t="s">
        <v>68</v>
      </c>
      <c r="BJ149" t="s">
        <v>68</v>
      </c>
      <c r="BK149" t="s">
        <v>68</v>
      </c>
      <c r="BL149" t="s">
        <v>68</v>
      </c>
      <c r="BM149" t="s">
        <v>68</v>
      </c>
      <c r="BN149" t="s">
        <v>68</v>
      </c>
      <c r="BO149" t="s">
        <v>96</v>
      </c>
      <c r="BP149">
        <v>0</v>
      </c>
      <c r="BQ149" t="s">
        <v>68</v>
      </c>
      <c r="BR149" t="s">
        <v>68</v>
      </c>
      <c r="BS149" t="s">
        <v>68</v>
      </c>
    </row>
    <row r="150" spans="1:71" x14ac:dyDescent="0.35">
      <c r="A150" t="b">
        <f>ISNUMBER(MATCH(ChargentOrders[[#This Row],[Contract__c]],Contract[Id],0))</f>
        <v>1</v>
      </c>
      <c r="B150">
        <f>IFERROR(INDEX(Contract[CB_Subscription__c],MATCH(ChargentOrders[[#This Row],[Contract__c]],Contract[Id],0)),0)</f>
        <v>0</v>
      </c>
      <c r="C150" t="b">
        <f>ISNUMBER(MATCH(ChargentOrders[[#This Row],[Id]],Claude[Id],0))</f>
        <v>1</v>
      </c>
      <c r="D150" t="b">
        <f>AND(ChargentOrders[[#This Row],[_Contract]],ChargentOrders[[#This Row],[CB Subscription]]=0)</f>
        <v>1</v>
      </c>
      <c r="E150" s="38">
        <f>INDEX(Table5[CUENTA],MATCH(ChargentOrders[[#This Row],[Contract__c]],Table5[SM_Contract__c],0))</f>
        <v>46081</v>
      </c>
      <c r="F150" s="38" t="str">
        <f ca="1">INDEX(Table5[ESTADO],MATCH(ChargentOrders[[#This Row],[Contract__c]],Table5[SM_Contract__c],0))</f>
        <v>DEBE 5</v>
      </c>
      <c r="G150" t="s">
        <v>1149</v>
      </c>
      <c r="H150" t="s">
        <v>81</v>
      </c>
      <c r="I150" t="s">
        <v>1150</v>
      </c>
      <c r="J150" s="1">
        <v>46142.421886574077</v>
      </c>
      <c r="K150">
        <v>10</v>
      </c>
      <c r="L150">
        <v>2029</v>
      </c>
      <c r="M150" t="s">
        <v>1412</v>
      </c>
      <c r="N150">
        <v>10</v>
      </c>
      <c r="O150" t="s">
        <v>1466</v>
      </c>
      <c r="P150" t="s">
        <v>73</v>
      </c>
      <c r="Q150">
        <v>2029</v>
      </c>
      <c r="R150">
        <v>940</v>
      </c>
      <c r="T150" t="s">
        <v>67</v>
      </c>
      <c r="U150" t="s">
        <v>68</v>
      </c>
      <c r="V150">
        <v>0</v>
      </c>
      <c r="W150" t="s">
        <v>69</v>
      </c>
      <c r="X150" s="5">
        <v>46212</v>
      </c>
      <c r="Y150" t="s">
        <v>90</v>
      </c>
      <c r="Z150" t="s">
        <v>68</v>
      </c>
      <c r="AA150">
        <v>9400</v>
      </c>
      <c r="AB150">
        <v>0</v>
      </c>
      <c r="AC150" t="s">
        <v>515</v>
      </c>
      <c r="AD150" t="s">
        <v>68</v>
      </c>
      <c r="AE150">
        <v>0</v>
      </c>
      <c r="AF150" s="1"/>
      <c r="AG150" s="1"/>
      <c r="AH150">
        <v>0</v>
      </c>
      <c r="AI150">
        <v>30</v>
      </c>
      <c r="AJ150">
        <v>0</v>
      </c>
      <c r="AK150" t="s">
        <v>516</v>
      </c>
      <c r="AL150" t="s">
        <v>71</v>
      </c>
      <c r="AM150" t="s">
        <v>68</v>
      </c>
      <c r="AN150">
        <v>0</v>
      </c>
      <c r="AO150" s="1"/>
      <c r="AQ150">
        <v>0</v>
      </c>
      <c r="AR150">
        <v>0</v>
      </c>
      <c r="AS150" t="s">
        <v>72</v>
      </c>
      <c r="AT150" t="s">
        <v>68</v>
      </c>
      <c r="AU150">
        <v>1</v>
      </c>
      <c r="AV150" t="s">
        <v>1151</v>
      </c>
      <c r="AW150">
        <v>0</v>
      </c>
      <c r="AX150" s="1">
        <v>45982.878946759258</v>
      </c>
      <c r="AY150">
        <v>2500</v>
      </c>
      <c r="AZ150" t="s">
        <v>68</v>
      </c>
      <c r="BA150" t="s">
        <v>65</v>
      </c>
      <c r="BB150" t="s">
        <v>68</v>
      </c>
      <c r="BC150" t="s">
        <v>68</v>
      </c>
      <c r="BD150">
        <v>0</v>
      </c>
      <c r="BE150" s="1">
        <v>46217.00445601852</v>
      </c>
      <c r="BF150" s="1">
        <v>46217.00445601852</v>
      </c>
      <c r="BG150" t="s">
        <v>68</v>
      </c>
      <c r="BH150" t="s">
        <v>68</v>
      </c>
      <c r="BI150" t="s">
        <v>68</v>
      </c>
      <c r="BJ150" t="s">
        <v>68</v>
      </c>
      <c r="BK150" t="s">
        <v>68</v>
      </c>
      <c r="BL150" t="s">
        <v>68</v>
      </c>
      <c r="BM150" t="s">
        <v>68</v>
      </c>
      <c r="BN150" t="s">
        <v>68</v>
      </c>
      <c r="BO150" t="s">
        <v>96</v>
      </c>
      <c r="BP150">
        <v>0</v>
      </c>
      <c r="BQ150" t="s">
        <v>68</v>
      </c>
      <c r="BR150" t="s">
        <v>68</v>
      </c>
      <c r="BS150" t="s">
        <v>68</v>
      </c>
    </row>
    <row r="151" spans="1:71" x14ac:dyDescent="0.35">
      <c r="A151" t="b">
        <f>ISNUMBER(MATCH(ChargentOrders[[#This Row],[Contract__c]],Contract[Id],0))</f>
        <v>1</v>
      </c>
      <c r="B151">
        <f>IFERROR(INDEX(Contract[CB_Subscription__c],MATCH(ChargentOrders[[#This Row],[Contract__c]],Contract[Id],0)),0)</f>
        <v>0</v>
      </c>
      <c r="C151" t="b">
        <f>ISNUMBER(MATCH(ChargentOrders[[#This Row],[Id]],Claude[Id],0))</f>
        <v>1</v>
      </c>
      <c r="D151" t="b">
        <f>AND(ChargentOrders[[#This Row],[_Contract]],ChargentOrders[[#This Row],[CB Subscription]]=0)</f>
        <v>1</v>
      </c>
      <c r="E151" s="38">
        <f>INDEX(Table5[CUENTA],MATCH(ChargentOrders[[#This Row],[Contract__c]],Table5[SM_Contract__c],0))</f>
        <v>46081</v>
      </c>
      <c r="F151" s="38" t="str">
        <f ca="1">INDEX(Table5[ESTADO],MATCH(ChargentOrders[[#This Row],[Contract__c]],Table5[SM_Contract__c],0))</f>
        <v>DEBE 5</v>
      </c>
      <c r="G151" t="s">
        <v>1229</v>
      </c>
      <c r="H151" t="s">
        <v>79</v>
      </c>
      <c r="I151" t="s">
        <v>1230</v>
      </c>
      <c r="J151" s="1">
        <v>46171.41684027778</v>
      </c>
      <c r="K151">
        <v>3</v>
      </c>
      <c r="L151">
        <v>2027</v>
      </c>
      <c r="M151" t="s">
        <v>1432</v>
      </c>
      <c r="N151">
        <v>3</v>
      </c>
      <c r="O151" t="s">
        <v>1432</v>
      </c>
      <c r="P151" t="s">
        <v>73</v>
      </c>
      <c r="Q151">
        <v>2027</v>
      </c>
      <c r="R151">
        <v>10400</v>
      </c>
      <c r="T151" t="s">
        <v>67</v>
      </c>
      <c r="U151" t="s">
        <v>68</v>
      </c>
      <c r="V151">
        <v>0</v>
      </c>
      <c r="W151" t="s">
        <v>69</v>
      </c>
      <c r="X151" s="5">
        <v>46212</v>
      </c>
      <c r="Y151" t="s">
        <v>84</v>
      </c>
      <c r="Z151" t="s">
        <v>68</v>
      </c>
      <c r="AA151">
        <v>10400</v>
      </c>
      <c r="AB151">
        <v>0</v>
      </c>
      <c r="AC151" t="s">
        <v>165</v>
      </c>
      <c r="AD151" t="s">
        <v>68</v>
      </c>
      <c r="AE151">
        <v>0</v>
      </c>
      <c r="AF151" s="1"/>
      <c r="AG151" s="1"/>
      <c r="AH151">
        <v>0</v>
      </c>
      <c r="AI151">
        <v>16</v>
      </c>
      <c r="AJ151">
        <v>0</v>
      </c>
      <c r="AK151" t="s">
        <v>179</v>
      </c>
      <c r="AL151" t="s">
        <v>71</v>
      </c>
      <c r="AM151" t="s">
        <v>68</v>
      </c>
      <c r="AN151">
        <v>0</v>
      </c>
      <c r="AO151" s="1"/>
      <c r="AQ151">
        <v>0</v>
      </c>
      <c r="AR151">
        <v>0</v>
      </c>
      <c r="AS151" t="s">
        <v>72</v>
      </c>
      <c r="AT151" t="s">
        <v>68</v>
      </c>
      <c r="AU151">
        <v>1</v>
      </c>
      <c r="AV151" t="s">
        <v>1231</v>
      </c>
      <c r="AW151">
        <v>0</v>
      </c>
      <c r="AX151" s="1">
        <v>45546.777881944443</v>
      </c>
      <c r="AY151">
        <v>2500</v>
      </c>
      <c r="AZ151" t="s">
        <v>68</v>
      </c>
      <c r="BA151" t="s">
        <v>65</v>
      </c>
      <c r="BB151" t="s">
        <v>68</v>
      </c>
      <c r="BC151" t="s">
        <v>68</v>
      </c>
      <c r="BD151">
        <v>0</v>
      </c>
      <c r="BE151" s="1">
        <v>46209.421284722222</v>
      </c>
      <c r="BF151" s="1">
        <v>46209.421284722222</v>
      </c>
      <c r="BG151" t="s">
        <v>68</v>
      </c>
      <c r="BH151" t="s">
        <v>68</v>
      </c>
      <c r="BI151" t="s">
        <v>68</v>
      </c>
      <c r="BJ151" t="s">
        <v>68</v>
      </c>
      <c r="BK151" t="s">
        <v>68</v>
      </c>
      <c r="BL151" t="s">
        <v>68</v>
      </c>
      <c r="BM151" t="s">
        <v>68</v>
      </c>
      <c r="BN151" t="s">
        <v>68</v>
      </c>
      <c r="BO151" t="s">
        <v>96</v>
      </c>
      <c r="BP151">
        <v>0</v>
      </c>
      <c r="BQ151" t="s">
        <v>68</v>
      </c>
      <c r="BR151" t="s">
        <v>68</v>
      </c>
      <c r="BS151" t="s">
        <v>68</v>
      </c>
    </row>
    <row r="152" spans="1:71" x14ac:dyDescent="0.35">
      <c r="A152" t="b">
        <f>ISNUMBER(MATCH(ChargentOrders[[#This Row],[Contract__c]],Contract[Id],0))</f>
        <v>1</v>
      </c>
      <c r="B152">
        <f>IFERROR(INDEX(Contract[CB_Subscription__c],MATCH(ChargentOrders[[#This Row],[Contract__c]],Contract[Id],0)),0)</f>
        <v>0</v>
      </c>
      <c r="C152" t="b">
        <f>ISNUMBER(MATCH(ChargentOrders[[#This Row],[Id]],Claude[Id],0))</f>
        <v>1</v>
      </c>
      <c r="D152" t="b">
        <f>AND(ChargentOrders[[#This Row],[_Contract]],ChargentOrders[[#This Row],[CB Subscription]]=0)</f>
        <v>1</v>
      </c>
      <c r="E152" s="38">
        <f>INDEX(Table5[CUENTA],MATCH(ChargentOrders[[#This Row],[Contract__c]],Table5[SM_Contract__c],0))</f>
        <v>46081</v>
      </c>
      <c r="F152" s="38" t="str">
        <f ca="1">INDEX(Table5[ESTADO],MATCH(ChargentOrders[[#This Row],[Contract__c]],Table5[SM_Contract__c],0))</f>
        <v>DEBE 5</v>
      </c>
      <c r="G152" t="s">
        <v>1232</v>
      </c>
      <c r="H152" t="s">
        <v>79</v>
      </c>
      <c r="I152" t="s">
        <v>1233</v>
      </c>
      <c r="J152" s="1">
        <v>46171.41684027778</v>
      </c>
      <c r="K152">
        <v>8</v>
      </c>
      <c r="L152">
        <v>2028</v>
      </c>
      <c r="M152" t="s">
        <v>1438</v>
      </c>
      <c r="N152">
        <v>8</v>
      </c>
      <c r="O152" t="s">
        <v>1438</v>
      </c>
      <c r="P152" t="s">
        <v>73</v>
      </c>
      <c r="Q152">
        <v>2028</v>
      </c>
      <c r="R152">
        <v>10000</v>
      </c>
      <c r="T152" t="s">
        <v>67</v>
      </c>
      <c r="U152" t="s">
        <v>68</v>
      </c>
      <c r="V152">
        <v>0</v>
      </c>
      <c r="W152" t="s">
        <v>69</v>
      </c>
      <c r="X152" s="5">
        <v>46212</v>
      </c>
      <c r="Y152" t="s">
        <v>84</v>
      </c>
      <c r="Z152" t="s">
        <v>68</v>
      </c>
      <c r="AA152">
        <v>10000</v>
      </c>
      <c r="AB152">
        <v>0</v>
      </c>
      <c r="AC152" t="s">
        <v>202</v>
      </c>
      <c r="AD152" t="s">
        <v>68</v>
      </c>
      <c r="AE152">
        <v>0</v>
      </c>
      <c r="AF152" s="1"/>
      <c r="AG152" s="1"/>
      <c r="AH152">
        <v>0</v>
      </c>
      <c r="AI152">
        <v>16</v>
      </c>
      <c r="AJ152">
        <v>0</v>
      </c>
      <c r="AK152" t="s">
        <v>197</v>
      </c>
      <c r="AL152" t="s">
        <v>71</v>
      </c>
      <c r="AM152" t="s">
        <v>68</v>
      </c>
      <c r="AN152">
        <v>0</v>
      </c>
      <c r="AO152" s="1"/>
      <c r="AQ152">
        <v>0</v>
      </c>
      <c r="AR152">
        <v>0</v>
      </c>
      <c r="AS152" t="s">
        <v>72</v>
      </c>
      <c r="AT152" t="s">
        <v>68</v>
      </c>
      <c r="AU152">
        <v>1</v>
      </c>
      <c r="AV152" t="s">
        <v>1234</v>
      </c>
      <c r="AW152">
        <v>0</v>
      </c>
      <c r="AX152" s="1">
        <v>45589.952337962961</v>
      </c>
      <c r="AY152">
        <v>2500</v>
      </c>
      <c r="AZ152" t="s">
        <v>68</v>
      </c>
      <c r="BA152" t="s">
        <v>65</v>
      </c>
      <c r="BB152" t="s">
        <v>68</v>
      </c>
      <c r="BC152" t="s">
        <v>68</v>
      </c>
      <c r="BD152">
        <v>0</v>
      </c>
      <c r="BE152" s="1">
        <v>46209.421296296299</v>
      </c>
      <c r="BF152" s="1">
        <v>46209.421296296299</v>
      </c>
      <c r="BG152" t="s">
        <v>68</v>
      </c>
      <c r="BH152" t="s">
        <v>68</v>
      </c>
      <c r="BI152" t="s">
        <v>68</v>
      </c>
      <c r="BJ152" t="s">
        <v>68</v>
      </c>
      <c r="BK152" t="s">
        <v>68</v>
      </c>
      <c r="BL152" t="s">
        <v>68</v>
      </c>
      <c r="BM152" t="s">
        <v>68</v>
      </c>
      <c r="BN152" t="s">
        <v>68</v>
      </c>
      <c r="BO152" t="s">
        <v>96</v>
      </c>
      <c r="BP152">
        <v>0</v>
      </c>
      <c r="BQ152" t="s">
        <v>68</v>
      </c>
      <c r="BR152" t="s">
        <v>68</v>
      </c>
      <c r="BS152" t="s">
        <v>68</v>
      </c>
    </row>
    <row r="153" spans="1:71" x14ac:dyDescent="0.35">
      <c r="A153" t="b">
        <f>ISNUMBER(MATCH(ChargentOrders[[#This Row],[Contract__c]],Contract[Id],0))</f>
        <v>1</v>
      </c>
      <c r="B153">
        <f>IFERROR(INDEX(Contract[CB_Subscription__c],MATCH(ChargentOrders[[#This Row],[Contract__c]],Contract[Id],0)),0)</f>
        <v>0</v>
      </c>
      <c r="C153" t="b">
        <f>ISNUMBER(MATCH(ChargentOrders[[#This Row],[Id]],Claude[Id],0))</f>
        <v>1</v>
      </c>
      <c r="D153" t="b">
        <f>AND(ChargentOrders[[#This Row],[_Contract]],ChargentOrders[[#This Row],[CB Subscription]]=0)</f>
        <v>1</v>
      </c>
      <c r="E153" s="38">
        <f>INDEX(Table5[CUENTA],MATCH(ChargentOrders[[#This Row],[Contract__c]],Table5[SM_Contract__c],0))</f>
        <v>46081</v>
      </c>
      <c r="F153" s="38" t="str">
        <f ca="1">INDEX(Table5[ESTADO],MATCH(ChargentOrders[[#This Row],[Contract__c]],Table5[SM_Contract__c],0))</f>
        <v>DEBE 5</v>
      </c>
      <c r="G153" t="s">
        <v>1235</v>
      </c>
      <c r="H153" t="s">
        <v>79</v>
      </c>
      <c r="I153" t="s">
        <v>1236</v>
      </c>
      <c r="J153" s="1">
        <v>46171.41684027778</v>
      </c>
      <c r="K153">
        <v>2</v>
      </c>
      <c r="L153">
        <v>2030</v>
      </c>
      <c r="M153" t="s">
        <v>1440</v>
      </c>
      <c r="N153">
        <v>2</v>
      </c>
      <c r="O153" t="s">
        <v>1440</v>
      </c>
      <c r="P153" t="s">
        <v>73</v>
      </c>
      <c r="Q153">
        <v>2030</v>
      </c>
      <c r="R153">
        <v>10400</v>
      </c>
      <c r="T153" t="s">
        <v>67</v>
      </c>
      <c r="U153" t="s">
        <v>68</v>
      </c>
      <c r="V153">
        <v>0</v>
      </c>
      <c r="W153" t="s">
        <v>69</v>
      </c>
      <c r="X153" s="5">
        <v>46212</v>
      </c>
      <c r="Y153" t="s">
        <v>84</v>
      </c>
      <c r="Z153" t="s">
        <v>68</v>
      </c>
      <c r="AA153">
        <v>10400</v>
      </c>
      <c r="AB153">
        <v>0</v>
      </c>
      <c r="AC153" t="s">
        <v>240</v>
      </c>
      <c r="AD153" t="s">
        <v>68</v>
      </c>
      <c r="AE153">
        <v>0</v>
      </c>
      <c r="AF153" s="1"/>
      <c r="AG153" s="1"/>
      <c r="AH153">
        <v>0</v>
      </c>
      <c r="AI153">
        <v>16</v>
      </c>
      <c r="AJ153">
        <v>0</v>
      </c>
      <c r="AK153" t="s">
        <v>235</v>
      </c>
      <c r="AL153" t="s">
        <v>71</v>
      </c>
      <c r="AM153" t="s">
        <v>68</v>
      </c>
      <c r="AN153">
        <v>0</v>
      </c>
      <c r="AO153" s="1"/>
      <c r="AQ153">
        <v>0</v>
      </c>
      <c r="AR153">
        <v>0</v>
      </c>
      <c r="AS153" t="s">
        <v>72</v>
      </c>
      <c r="AT153" t="s">
        <v>68</v>
      </c>
      <c r="AU153">
        <v>1</v>
      </c>
      <c r="AV153" t="s">
        <v>1237</v>
      </c>
      <c r="AW153">
        <v>0</v>
      </c>
      <c r="AX153" s="1">
        <v>45702.827997685185</v>
      </c>
      <c r="AY153">
        <v>2500</v>
      </c>
      <c r="AZ153" t="s">
        <v>68</v>
      </c>
      <c r="BA153" t="s">
        <v>65</v>
      </c>
      <c r="BB153" t="s">
        <v>68</v>
      </c>
      <c r="BC153" t="s">
        <v>68</v>
      </c>
      <c r="BD153">
        <v>0</v>
      </c>
      <c r="BE153" s="1">
        <v>46209.421296296299</v>
      </c>
      <c r="BF153" s="1">
        <v>46209.421296296299</v>
      </c>
      <c r="BG153" t="s">
        <v>68</v>
      </c>
      <c r="BH153" t="s">
        <v>68</v>
      </c>
      <c r="BI153" t="s">
        <v>68</v>
      </c>
      <c r="BJ153" t="s">
        <v>68</v>
      </c>
      <c r="BK153" t="s">
        <v>68</v>
      </c>
      <c r="BL153" t="s">
        <v>68</v>
      </c>
      <c r="BM153" t="s">
        <v>68</v>
      </c>
      <c r="BN153" t="s">
        <v>68</v>
      </c>
      <c r="BO153" t="s">
        <v>96</v>
      </c>
      <c r="BP153">
        <v>0</v>
      </c>
      <c r="BQ153" t="s">
        <v>68</v>
      </c>
      <c r="BR153" t="s">
        <v>68</v>
      </c>
      <c r="BS153" t="s">
        <v>68</v>
      </c>
    </row>
    <row r="154" spans="1:71" x14ac:dyDescent="0.35">
      <c r="A154" t="b">
        <f>ISNUMBER(MATCH(ChargentOrders[[#This Row],[Contract__c]],Contract[Id],0))</f>
        <v>1</v>
      </c>
      <c r="B154">
        <f>IFERROR(INDEX(Contract[CB_Subscription__c],MATCH(ChargentOrders[[#This Row],[Contract__c]],Contract[Id],0)),0)</f>
        <v>0</v>
      </c>
      <c r="C154" t="b">
        <f>ISNUMBER(MATCH(ChargentOrders[[#This Row],[Id]],Claude[Id],0))</f>
        <v>1</v>
      </c>
      <c r="D154" t="b">
        <f>AND(ChargentOrders[[#This Row],[_Contract]],ChargentOrders[[#This Row],[CB Subscription]]=0)</f>
        <v>1</v>
      </c>
      <c r="E154" s="38">
        <f>INDEX(Table5[CUENTA],MATCH(ChargentOrders[[#This Row],[Contract__c]],Table5[SM_Contract__c],0))</f>
        <v>46081</v>
      </c>
      <c r="F154" s="38" t="str">
        <f ca="1">INDEX(Table5[ESTADO],MATCH(ChargentOrders[[#This Row],[Contract__c]],Table5[SM_Contract__c],0))</f>
        <v>DEBE 5</v>
      </c>
      <c r="G154" t="s">
        <v>1238</v>
      </c>
      <c r="H154" t="s">
        <v>79</v>
      </c>
      <c r="I154" t="s">
        <v>1239</v>
      </c>
      <c r="J154" s="1">
        <v>46171.417025462964</v>
      </c>
      <c r="K154">
        <v>7</v>
      </c>
      <c r="L154">
        <v>2029</v>
      </c>
      <c r="M154" t="s">
        <v>1422</v>
      </c>
      <c r="N154">
        <v>7</v>
      </c>
      <c r="O154" t="s">
        <v>1422</v>
      </c>
      <c r="P154" t="s">
        <v>66</v>
      </c>
      <c r="Q154">
        <v>2029</v>
      </c>
      <c r="R154">
        <v>10400</v>
      </c>
      <c r="T154" t="s">
        <v>67</v>
      </c>
      <c r="U154" t="s">
        <v>68</v>
      </c>
      <c r="V154">
        <v>0</v>
      </c>
      <c r="W154" t="s">
        <v>69</v>
      </c>
      <c r="X154" s="5">
        <v>46212</v>
      </c>
      <c r="Y154" t="s">
        <v>84</v>
      </c>
      <c r="Z154" t="s">
        <v>68</v>
      </c>
      <c r="AA154">
        <v>10400</v>
      </c>
      <c r="AB154">
        <v>0</v>
      </c>
      <c r="AC154" t="s">
        <v>219</v>
      </c>
      <c r="AD154" t="s">
        <v>68</v>
      </c>
      <c r="AE154">
        <v>0</v>
      </c>
      <c r="AF154" s="1"/>
      <c r="AG154" s="1"/>
      <c r="AH154">
        <v>0</v>
      </c>
      <c r="AI154">
        <v>16</v>
      </c>
      <c r="AJ154">
        <v>0</v>
      </c>
      <c r="AK154" t="s">
        <v>220</v>
      </c>
      <c r="AL154" t="s">
        <v>71</v>
      </c>
      <c r="AM154" t="s">
        <v>68</v>
      </c>
      <c r="AN154">
        <v>0</v>
      </c>
      <c r="AO154" s="1"/>
      <c r="AQ154">
        <v>0</v>
      </c>
      <c r="AR154">
        <v>0</v>
      </c>
      <c r="AS154" t="s">
        <v>72</v>
      </c>
      <c r="AT154" t="s">
        <v>68</v>
      </c>
      <c r="AU154">
        <v>1</v>
      </c>
      <c r="AV154" t="s">
        <v>1240</v>
      </c>
      <c r="AW154">
        <v>0</v>
      </c>
      <c r="AX154" s="1">
        <v>45716.429675925923</v>
      </c>
      <c r="AY154">
        <v>2500</v>
      </c>
      <c r="AZ154" t="s">
        <v>68</v>
      </c>
      <c r="BA154" t="s">
        <v>65</v>
      </c>
      <c r="BB154" t="s">
        <v>68</v>
      </c>
      <c r="BC154" t="s">
        <v>68</v>
      </c>
      <c r="BD154">
        <v>0</v>
      </c>
      <c r="BE154" s="1">
        <v>46209.421388888892</v>
      </c>
      <c r="BF154" s="1">
        <v>46209.421388888892</v>
      </c>
      <c r="BG154" t="s">
        <v>68</v>
      </c>
      <c r="BH154" t="s">
        <v>68</v>
      </c>
      <c r="BI154" t="s">
        <v>68</v>
      </c>
      <c r="BJ154" t="s">
        <v>68</v>
      </c>
      <c r="BK154" t="s">
        <v>68</v>
      </c>
      <c r="BL154" t="s">
        <v>68</v>
      </c>
      <c r="BM154" t="s">
        <v>68</v>
      </c>
      <c r="BN154" t="s">
        <v>68</v>
      </c>
      <c r="BO154" t="s">
        <v>96</v>
      </c>
      <c r="BP154">
        <v>0</v>
      </c>
      <c r="BQ154" t="s">
        <v>68</v>
      </c>
      <c r="BR154" t="s">
        <v>68</v>
      </c>
      <c r="BS154" t="s">
        <v>68</v>
      </c>
    </row>
    <row r="155" spans="1:71" x14ac:dyDescent="0.35">
      <c r="A155" t="b">
        <f>ISNUMBER(MATCH(ChargentOrders[[#This Row],[Contract__c]],Contract[Id],0))</f>
        <v>1</v>
      </c>
      <c r="B155">
        <f>IFERROR(INDEX(Contract[CB_Subscription__c],MATCH(ChargentOrders[[#This Row],[Contract__c]],Contract[Id],0)),0)</f>
        <v>0</v>
      </c>
      <c r="C155" t="b">
        <f>ISNUMBER(MATCH(ChargentOrders[[#This Row],[Id]],Claude[Id],0))</f>
        <v>1</v>
      </c>
      <c r="D155" t="b">
        <f>AND(ChargentOrders[[#This Row],[_Contract]],ChargentOrders[[#This Row],[CB Subscription]]=0)</f>
        <v>1</v>
      </c>
      <c r="E155" s="38">
        <f>INDEX(Table5[CUENTA],MATCH(ChargentOrders[[#This Row],[Contract__c]],Table5[SM_Contract__c],0))</f>
        <v>46081</v>
      </c>
      <c r="F155" s="38" t="str">
        <f ca="1">INDEX(Table5[ESTADO],MATCH(ChargentOrders[[#This Row],[Contract__c]],Table5[SM_Contract__c],0))</f>
        <v>DEBE 5</v>
      </c>
      <c r="G155" t="s">
        <v>1241</v>
      </c>
      <c r="H155" t="s">
        <v>79</v>
      </c>
      <c r="I155" t="s">
        <v>1242</v>
      </c>
      <c r="J155" s="1">
        <v>46171.417025462964</v>
      </c>
      <c r="K155">
        <v>2</v>
      </c>
      <c r="L155">
        <v>2026</v>
      </c>
      <c r="M155" t="s">
        <v>1407</v>
      </c>
      <c r="N155">
        <v>2</v>
      </c>
      <c r="O155" t="s">
        <v>1407</v>
      </c>
      <c r="P155" t="s">
        <v>73</v>
      </c>
      <c r="Q155">
        <v>2026</v>
      </c>
      <c r="R155">
        <v>10400</v>
      </c>
      <c r="T155" t="s">
        <v>67</v>
      </c>
      <c r="U155" t="s">
        <v>68</v>
      </c>
      <c r="V155">
        <v>0</v>
      </c>
      <c r="W155" t="s">
        <v>69</v>
      </c>
      <c r="X155" s="5">
        <v>46212</v>
      </c>
      <c r="Y155" t="s">
        <v>84</v>
      </c>
      <c r="Z155" t="s">
        <v>68</v>
      </c>
      <c r="AA155">
        <v>10400</v>
      </c>
      <c r="AB155">
        <v>0</v>
      </c>
      <c r="AC155" t="s">
        <v>252</v>
      </c>
      <c r="AD155" t="s">
        <v>68</v>
      </c>
      <c r="AE155">
        <v>0</v>
      </c>
      <c r="AF155" s="1"/>
      <c r="AG155" s="1"/>
      <c r="AH155">
        <v>0</v>
      </c>
      <c r="AI155">
        <v>16</v>
      </c>
      <c r="AJ155">
        <v>0</v>
      </c>
      <c r="AK155" t="s">
        <v>253</v>
      </c>
      <c r="AL155" t="s">
        <v>71</v>
      </c>
      <c r="AM155" t="s">
        <v>68</v>
      </c>
      <c r="AN155">
        <v>0</v>
      </c>
      <c r="AO155" s="1"/>
      <c r="AQ155">
        <v>0</v>
      </c>
      <c r="AR155">
        <v>0</v>
      </c>
      <c r="AS155" t="s">
        <v>72</v>
      </c>
      <c r="AT155" t="s">
        <v>68</v>
      </c>
      <c r="AU155">
        <v>1</v>
      </c>
      <c r="AV155" t="s">
        <v>1243</v>
      </c>
      <c r="AW155">
        <v>0</v>
      </c>
      <c r="AX155" s="1">
        <v>45723.426469907405</v>
      </c>
      <c r="AY155">
        <v>2500</v>
      </c>
      <c r="AZ155" t="s">
        <v>68</v>
      </c>
      <c r="BA155" t="s">
        <v>65</v>
      </c>
      <c r="BB155" t="s">
        <v>68</v>
      </c>
      <c r="BC155" t="s">
        <v>68</v>
      </c>
      <c r="BD155">
        <v>0</v>
      </c>
      <c r="BE155" s="1">
        <v>46209.421400462961</v>
      </c>
      <c r="BF155" s="1">
        <v>46209.421400462961</v>
      </c>
      <c r="BG155" t="s">
        <v>68</v>
      </c>
      <c r="BH155" t="s">
        <v>68</v>
      </c>
      <c r="BI155" t="s">
        <v>68</v>
      </c>
      <c r="BJ155" t="s">
        <v>68</v>
      </c>
      <c r="BK155" t="s">
        <v>68</v>
      </c>
      <c r="BL155" t="s">
        <v>68</v>
      </c>
      <c r="BM155" t="s">
        <v>68</v>
      </c>
      <c r="BN155" t="s">
        <v>68</v>
      </c>
      <c r="BO155" t="s">
        <v>96</v>
      </c>
      <c r="BP155">
        <v>0</v>
      </c>
      <c r="BQ155" t="s">
        <v>68</v>
      </c>
      <c r="BR155" t="s">
        <v>68</v>
      </c>
      <c r="BS155" t="s">
        <v>68</v>
      </c>
    </row>
    <row r="156" spans="1:71" x14ac:dyDescent="0.35">
      <c r="A156" t="b">
        <f>ISNUMBER(MATCH(ChargentOrders[[#This Row],[Contract__c]],Contract[Id],0))</f>
        <v>1</v>
      </c>
      <c r="B156">
        <f>IFERROR(INDEX(Contract[CB_Subscription__c],MATCH(ChargentOrders[[#This Row],[Contract__c]],Contract[Id],0)),0)</f>
        <v>0</v>
      </c>
      <c r="C156" t="b">
        <f>ISNUMBER(MATCH(ChargentOrders[[#This Row],[Id]],Claude[Id],0))</f>
        <v>1</v>
      </c>
      <c r="D156" t="b">
        <f>AND(ChargentOrders[[#This Row],[_Contract]],ChargentOrders[[#This Row],[CB Subscription]]=0)</f>
        <v>1</v>
      </c>
      <c r="E156" s="38">
        <f>INDEX(Table5[CUENTA],MATCH(ChargentOrders[[#This Row],[Contract__c]],Table5[SM_Contract__c],0))</f>
        <v>46081</v>
      </c>
      <c r="F156" s="38" t="str">
        <f ca="1">INDEX(Table5[ESTADO],MATCH(ChargentOrders[[#This Row],[Contract__c]],Table5[SM_Contract__c],0))</f>
        <v>DEBE 5</v>
      </c>
      <c r="G156" t="s">
        <v>1244</v>
      </c>
      <c r="H156" t="s">
        <v>81</v>
      </c>
      <c r="I156" t="s">
        <v>1245</v>
      </c>
      <c r="J156" s="1">
        <v>46171.417025462964</v>
      </c>
      <c r="K156">
        <v>11</v>
      </c>
      <c r="L156">
        <v>2029</v>
      </c>
      <c r="M156" t="s">
        <v>1444</v>
      </c>
      <c r="N156">
        <v>11</v>
      </c>
      <c r="O156" t="s">
        <v>1444</v>
      </c>
      <c r="P156" t="s">
        <v>73</v>
      </c>
      <c r="Q156">
        <v>2029</v>
      </c>
      <c r="R156">
        <v>1040</v>
      </c>
      <c r="T156" t="s">
        <v>67</v>
      </c>
      <c r="U156" t="s">
        <v>68</v>
      </c>
      <c r="V156">
        <v>0</v>
      </c>
      <c r="W156" t="s">
        <v>69</v>
      </c>
      <c r="X156" s="5">
        <v>46212</v>
      </c>
      <c r="Y156" t="s">
        <v>84</v>
      </c>
      <c r="Z156" t="s">
        <v>68</v>
      </c>
      <c r="AA156">
        <v>10400</v>
      </c>
      <c r="AB156">
        <v>0</v>
      </c>
      <c r="AC156" t="s">
        <v>264</v>
      </c>
      <c r="AD156" t="s">
        <v>68</v>
      </c>
      <c r="AE156">
        <v>0</v>
      </c>
      <c r="AF156" s="1"/>
      <c r="AG156" s="1"/>
      <c r="AH156">
        <v>0</v>
      </c>
      <c r="AI156">
        <v>17</v>
      </c>
      <c r="AJ156">
        <v>0</v>
      </c>
      <c r="AK156" t="s">
        <v>265</v>
      </c>
      <c r="AL156" t="s">
        <v>71</v>
      </c>
      <c r="AM156" t="s">
        <v>68</v>
      </c>
      <c r="AN156">
        <v>0</v>
      </c>
      <c r="AO156" s="1"/>
      <c r="AQ156">
        <v>0</v>
      </c>
      <c r="AR156">
        <v>0</v>
      </c>
      <c r="AS156" t="s">
        <v>72</v>
      </c>
      <c r="AT156" t="s">
        <v>68</v>
      </c>
      <c r="AU156">
        <v>1</v>
      </c>
      <c r="AV156" t="s">
        <v>1246</v>
      </c>
      <c r="AW156">
        <v>0</v>
      </c>
      <c r="AX156" s="1">
        <v>45744.431817129633</v>
      </c>
      <c r="AY156">
        <v>2500</v>
      </c>
      <c r="AZ156" t="s">
        <v>68</v>
      </c>
      <c r="BA156" t="s">
        <v>65</v>
      </c>
      <c r="BB156" t="s">
        <v>68</v>
      </c>
      <c r="BC156" t="s">
        <v>68</v>
      </c>
      <c r="BD156">
        <v>0</v>
      </c>
      <c r="BE156" s="1">
        <v>46210.011932870373</v>
      </c>
      <c r="BF156" s="1">
        <v>46210.011932870373</v>
      </c>
      <c r="BG156" t="s">
        <v>68</v>
      </c>
      <c r="BH156" t="s">
        <v>68</v>
      </c>
      <c r="BI156" t="s">
        <v>68</v>
      </c>
      <c r="BJ156" t="s">
        <v>68</v>
      </c>
      <c r="BK156" t="s">
        <v>68</v>
      </c>
      <c r="BL156" t="s">
        <v>68</v>
      </c>
      <c r="BM156" t="s">
        <v>68</v>
      </c>
      <c r="BN156" t="s">
        <v>68</v>
      </c>
      <c r="BO156" t="s">
        <v>96</v>
      </c>
      <c r="BP156">
        <v>0</v>
      </c>
      <c r="BQ156" t="s">
        <v>68</v>
      </c>
      <c r="BR156" t="s">
        <v>68</v>
      </c>
      <c r="BS156" t="s">
        <v>68</v>
      </c>
    </row>
    <row r="157" spans="1:71" x14ac:dyDescent="0.35">
      <c r="A157" t="b">
        <f>ISNUMBER(MATCH(ChargentOrders[[#This Row],[Contract__c]],Contract[Id],0))</f>
        <v>1</v>
      </c>
      <c r="B157">
        <f>IFERROR(INDEX(Contract[CB_Subscription__c],MATCH(ChargentOrders[[#This Row],[Contract__c]],Contract[Id],0)),0)</f>
        <v>0</v>
      </c>
      <c r="C157" t="b">
        <f>ISNUMBER(MATCH(ChargentOrders[[#This Row],[Id]],Claude[Id],0))</f>
        <v>1</v>
      </c>
      <c r="D157" t="b">
        <f>AND(ChargentOrders[[#This Row],[_Contract]],ChargentOrders[[#This Row],[CB Subscription]]=0)</f>
        <v>1</v>
      </c>
      <c r="E157" s="38">
        <f>INDEX(Table5[CUENTA],MATCH(ChargentOrders[[#This Row],[Contract__c]],Table5[SM_Contract__c],0))</f>
        <v>46081</v>
      </c>
      <c r="F157" s="38" t="str">
        <f ca="1">INDEX(Table5[ESTADO],MATCH(ChargentOrders[[#This Row],[Contract__c]],Table5[SM_Contract__c],0))</f>
        <v>DEBE 5</v>
      </c>
      <c r="G157" t="s">
        <v>1250</v>
      </c>
      <c r="H157" t="s">
        <v>79</v>
      </c>
      <c r="I157" t="s">
        <v>1251</v>
      </c>
      <c r="J157" s="1">
        <v>46171.417199074072</v>
      </c>
      <c r="K157">
        <v>7</v>
      </c>
      <c r="L157">
        <v>2027</v>
      </c>
      <c r="M157" t="s">
        <v>1450</v>
      </c>
      <c r="N157">
        <v>7</v>
      </c>
      <c r="O157" t="s">
        <v>68</v>
      </c>
      <c r="P157" t="s">
        <v>66</v>
      </c>
      <c r="Q157">
        <v>2027</v>
      </c>
      <c r="R157">
        <v>1040</v>
      </c>
      <c r="T157" t="s">
        <v>107</v>
      </c>
      <c r="U157" t="s">
        <v>68</v>
      </c>
      <c r="V157">
        <v>0</v>
      </c>
      <c r="W157" t="s">
        <v>69</v>
      </c>
      <c r="X157" s="5">
        <v>46212</v>
      </c>
      <c r="Y157" t="s">
        <v>90</v>
      </c>
      <c r="Z157" t="s">
        <v>68</v>
      </c>
      <c r="AA157">
        <v>10400</v>
      </c>
      <c r="AB157">
        <v>0</v>
      </c>
      <c r="AC157" t="s">
        <v>368</v>
      </c>
      <c r="AD157" t="s">
        <v>68</v>
      </c>
      <c r="AE157">
        <v>0</v>
      </c>
      <c r="AF157" s="1"/>
      <c r="AG157" s="1"/>
      <c r="AH157">
        <v>0</v>
      </c>
      <c r="AI157">
        <v>17</v>
      </c>
      <c r="AJ157">
        <v>0</v>
      </c>
      <c r="AK157" t="s">
        <v>369</v>
      </c>
      <c r="AL157" t="s">
        <v>71</v>
      </c>
      <c r="AM157" t="s">
        <v>68</v>
      </c>
      <c r="AN157">
        <v>0</v>
      </c>
      <c r="AO157" s="1"/>
      <c r="AQ157">
        <v>0</v>
      </c>
      <c r="AR157">
        <v>0</v>
      </c>
      <c r="AS157" t="s">
        <v>72</v>
      </c>
      <c r="AT157" t="s">
        <v>68</v>
      </c>
      <c r="AU157">
        <v>1</v>
      </c>
      <c r="AV157" t="s">
        <v>1252</v>
      </c>
      <c r="AW157">
        <v>0</v>
      </c>
      <c r="AX157" s="1">
        <v>45849.623969907407</v>
      </c>
      <c r="AY157">
        <v>2500</v>
      </c>
      <c r="AZ157" t="s">
        <v>68</v>
      </c>
      <c r="BA157" t="s">
        <v>65</v>
      </c>
      <c r="BB157" t="s">
        <v>68</v>
      </c>
      <c r="BC157" t="s">
        <v>68</v>
      </c>
      <c r="BD157">
        <v>0</v>
      </c>
      <c r="BE157" s="1">
        <v>46209.421435185184</v>
      </c>
      <c r="BF157" s="1">
        <v>46217.008090277777</v>
      </c>
      <c r="BG157" t="s">
        <v>68</v>
      </c>
      <c r="BH157" t="s">
        <v>68</v>
      </c>
      <c r="BI157" t="s">
        <v>68</v>
      </c>
      <c r="BJ157" t="s">
        <v>68</v>
      </c>
      <c r="BK157" t="s">
        <v>68</v>
      </c>
      <c r="BL157" t="s">
        <v>68</v>
      </c>
      <c r="BM157" t="s">
        <v>68</v>
      </c>
      <c r="BN157" t="s">
        <v>68</v>
      </c>
      <c r="BO157" t="s">
        <v>96</v>
      </c>
      <c r="BP157">
        <v>0</v>
      </c>
      <c r="BQ157" t="s">
        <v>68</v>
      </c>
      <c r="BR157" t="s">
        <v>68</v>
      </c>
      <c r="BS157" t="s">
        <v>68</v>
      </c>
    </row>
    <row r="158" spans="1:71" x14ac:dyDescent="0.35">
      <c r="A158" t="b">
        <f>ISNUMBER(MATCH(ChargentOrders[[#This Row],[Contract__c]],Contract[Id],0))</f>
        <v>1</v>
      </c>
      <c r="B158">
        <f>IFERROR(INDEX(Contract[CB_Subscription__c],MATCH(ChargentOrders[[#This Row],[Contract__c]],Contract[Id],0)),0)</f>
        <v>0</v>
      </c>
      <c r="C158" t="b">
        <f>ISNUMBER(MATCH(ChargentOrders[[#This Row],[Id]],Claude[Id],0))</f>
        <v>1</v>
      </c>
      <c r="D158" t="b">
        <f>AND(ChargentOrders[[#This Row],[_Contract]],ChargentOrders[[#This Row],[CB Subscription]]=0)</f>
        <v>1</v>
      </c>
      <c r="E158" s="38">
        <f>INDEX(Table5[CUENTA],MATCH(ChargentOrders[[#This Row],[Contract__c]],Table5[SM_Contract__c],0))</f>
        <v>46081</v>
      </c>
      <c r="F158" s="38" t="str">
        <f ca="1">INDEX(Table5[ESTADO],MATCH(ChargentOrders[[#This Row],[Contract__c]],Table5[SM_Contract__c],0))</f>
        <v>DEBE 5</v>
      </c>
      <c r="G158" t="s">
        <v>1256</v>
      </c>
      <c r="H158" t="s">
        <v>79</v>
      </c>
      <c r="I158" t="s">
        <v>1257</v>
      </c>
      <c r="J158" s="1">
        <v>46171.417199074072</v>
      </c>
      <c r="K158">
        <v>1</v>
      </c>
      <c r="L158">
        <v>2027</v>
      </c>
      <c r="M158" t="s">
        <v>1453</v>
      </c>
      <c r="N158">
        <v>1</v>
      </c>
      <c r="O158" t="s">
        <v>1453</v>
      </c>
      <c r="P158" t="s">
        <v>73</v>
      </c>
      <c r="Q158">
        <v>2027</v>
      </c>
      <c r="R158">
        <v>10400</v>
      </c>
      <c r="T158" t="s">
        <v>67</v>
      </c>
      <c r="U158" t="s">
        <v>68</v>
      </c>
      <c r="V158">
        <v>0</v>
      </c>
      <c r="W158" t="s">
        <v>69</v>
      </c>
      <c r="X158" s="5">
        <v>46212</v>
      </c>
      <c r="Y158" t="s">
        <v>84</v>
      </c>
      <c r="Z158" t="s">
        <v>68</v>
      </c>
      <c r="AA158">
        <v>10400</v>
      </c>
      <c r="AB158">
        <v>0</v>
      </c>
      <c r="AC158" t="s">
        <v>406</v>
      </c>
      <c r="AD158" t="s">
        <v>68</v>
      </c>
      <c r="AE158">
        <v>0</v>
      </c>
      <c r="AF158" s="1"/>
      <c r="AG158" s="1"/>
      <c r="AH158">
        <v>0</v>
      </c>
      <c r="AI158">
        <v>16</v>
      </c>
      <c r="AJ158">
        <v>0</v>
      </c>
      <c r="AK158" t="s">
        <v>407</v>
      </c>
      <c r="AL158" t="s">
        <v>71</v>
      </c>
      <c r="AM158" t="s">
        <v>68</v>
      </c>
      <c r="AN158">
        <v>0</v>
      </c>
      <c r="AO158" s="1"/>
      <c r="AQ158">
        <v>0</v>
      </c>
      <c r="AR158">
        <v>0</v>
      </c>
      <c r="AS158" t="s">
        <v>72</v>
      </c>
      <c r="AT158" t="s">
        <v>68</v>
      </c>
      <c r="AU158">
        <v>1</v>
      </c>
      <c r="AV158" t="s">
        <v>1258</v>
      </c>
      <c r="AW158">
        <v>0</v>
      </c>
      <c r="AX158" s="1">
        <v>45874.6794212963</v>
      </c>
      <c r="AY158">
        <v>2500</v>
      </c>
      <c r="AZ158" t="s">
        <v>68</v>
      </c>
      <c r="BA158" t="s">
        <v>65</v>
      </c>
      <c r="BB158" t="s">
        <v>68</v>
      </c>
      <c r="BC158" t="s">
        <v>68</v>
      </c>
      <c r="BD158">
        <v>0</v>
      </c>
      <c r="BE158" s="1">
        <v>46209.421458333331</v>
      </c>
      <c r="BF158" s="1">
        <v>46209.421458333331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68</v>
      </c>
      <c r="BN158" t="s">
        <v>68</v>
      </c>
      <c r="BO158" t="s">
        <v>96</v>
      </c>
      <c r="BP158">
        <v>0</v>
      </c>
      <c r="BQ158" t="s">
        <v>68</v>
      </c>
      <c r="BR158" t="s">
        <v>68</v>
      </c>
      <c r="BS158" t="s">
        <v>68</v>
      </c>
    </row>
    <row r="159" spans="1:71" x14ac:dyDescent="0.35">
      <c r="A159" t="b">
        <f>ISNUMBER(MATCH(ChargentOrders[[#This Row],[Contract__c]],Contract[Id],0))</f>
        <v>1</v>
      </c>
      <c r="B159">
        <f>IFERROR(INDEX(Contract[CB_Subscription__c],MATCH(ChargentOrders[[#This Row],[Contract__c]],Contract[Id],0)),0)</f>
        <v>0</v>
      </c>
      <c r="C159" t="b">
        <f>ISNUMBER(MATCH(ChargentOrders[[#This Row],[Id]],Claude[Id],0))</f>
        <v>1</v>
      </c>
      <c r="D159" t="b">
        <f>AND(ChargentOrders[[#This Row],[_Contract]],ChargentOrders[[#This Row],[CB Subscription]]=0)</f>
        <v>1</v>
      </c>
      <c r="E159" s="38">
        <f>INDEX(Table5[CUENTA],MATCH(ChargentOrders[[#This Row],[Contract__c]],Table5[SM_Contract__c],0))</f>
        <v>46081</v>
      </c>
      <c r="F159" s="38" t="str">
        <f ca="1">INDEX(Table5[ESTADO],MATCH(ChargentOrders[[#This Row],[Contract__c]],Table5[SM_Contract__c],0))</f>
        <v>DEBE 5</v>
      </c>
      <c r="G159" t="s">
        <v>1262</v>
      </c>
      <c r="H159" t="s">
        <v>79</v>
      </c>
      <c r="I159" t="s">
        <v>1263</v>
      </c>
      <c r="J159" s="1">
        <v>46171.417349537034</v>
      </c>
      <c r="K159">
        <v>9</v>
      </c>
      <c r="L159">
        <v>2030</v>
      </c>
      <c r="M159" t="s">
        <v>1463</v>
      </c>
      <c r="N159">
        <v>9</v>
      </c>
      <c r="O159" t="s">
        <v>1463</v>
      </c>
      <c r="P159" t="s">
        <v>73</v>
      </c>
      <c r="Q159">
        <v>2030</v>
      </c>
      <c r="R159">
        <v>9400</v>
      </c>
      <c r="T159" t="s">
        <v>67</v>
      </c>
      <c r="U159" t="s">
        <v>68</v>
      </c>
      <c r="V159">
        <v>0</v>
      </c>
      <c r="W159" t="s">
        <v>69</v>
      </c>
      <c r="X159" s="5">
        <v>46212</v>
      </c>
      <c r="Y159" t="s">
        <v>84</v>
      </c>
      <c r="Z159" t="s">
        <v>68</v>
      </c>
      <c r="AA159">
        <v>9400</v>
      </c>
      <c r="AB159">
        <v>0</v>
      </c>
      <c r="AC159" t="s">
        <v>479</v>
      </c>
      <c r="AD159" t="s">
        <v>68</v>
      </c>
      <c r="AE159">
        <v>0</v>
      </c>
      <c r="AF159" s="1"/>
      <c r="AG159" s="1"/>
      <c r="AH159">
        <v>0</v>
      </c>
      <c r="AI159">
        <v>17</v>
      </c>
      <c r="AJ159">
        <v>0</v>
      </c>
      <c r="AK159" t="s">
        <v>480</v>
      </c>
      <c r="AL159" t="s">
        <v>71</v>
      </c>
      <c r="AM159" t="s">
        <v>68</v>
      </c>
      <c r="AN159">
        <v>0</v>
      </c>
      <c r="AO159" s="1"/>
      <c r="AQ159">
        <v>0</v>
      </c>
      <c r="AR159">
        <v>0</v>
      </c>
      <c r="AS159" t="s">
        <v>72</v>
      </c>
      <c r="AT159" t="s">
        <v>68</v>
      </c>
      <c r="AU159">
        <v>1</v>
      </c>
      <c r="AV159" t="s">
        <v>1264</v>
      </c>
      <c r="AW159">
        <v>0</v>
      </c>
      <c r="AX159" s="1">
        <v>45944.639537037037</v>
      </c>
      <c r="AY159">
        <v>2500</v>
      </c>
      <c r="AZ159" t="s">
        <v>68</v>
      </c>
      <c r="BA159" t="s">
        <v>65</v>
      </c>
      <c r="BB159" t="s">
        <v>68</v>
      </c>
      <c r="BC159" t="s">
        <v>68</v>
      </c>
      <c r="BD159">
        <v>0</v>
      </c>
      <c r="BE159" s="1">
        <v>46209.421527777777</v>
      </c>
      <c r="BF159" s="1">
        <v>46209.421527777777</v>
      </c>
      <c r="BG159" t="s">
        <v>68</v>
      </c>
      <c r="BH159" t="s">
        <v>68</v>
      </c>
      <c r="BI159" t="s">
        <v>68</v>
      </c>
      <c r="BJ159" t="s">
        <v>68</v>
      </c>
      <c r="BK159" t="s">
        <v>68</v>
      </c>
      <c r="BL159" t="s">
        <v>68</v>
      </c>
      <c r="BM159" t="s">
        <v>68</v>
      </c>
      <c r="BN159" t="s">
        <v>68</v>
      </c>
      <c r="BO159" t="s">
        <v>96</v>
      </c>
      <c r="BP159">
        <v>0</v>
      </c>
      <c r="BQ159" t="s">
        <v>68</v>
      </c>
      <c r="BR159" t="s">
        <v>68</v>
      </c>
      <c r="BS159" t="s">
        <v>68</v>
      </c>
    </row>
    <row r="160" spans="1:71" x14ac:dyDescent="0.35">
      <c r="A160" t="b">
        <f>ISNUMBER(MATCH(ChargentOrders[[#This Row],[Contract__c]],Contract[Id],0))</f>
        <v>1</v>
      </c>
      <c r="B160">
        <f>IFERROR(INDEX(Contract[CB_Subscription__c],MATCH(ChargentOrders[[#This Row],[Contract__c]],Contract[Id],0)),0)</f>
        <v>0</v>
      </c>
      <c r="C160" t="b">
        <f>ISNUMBER(MATCH(ChargentOrders[[#This Row],[Id]],Claude[Id],0))</f>
        <v>1</v>
      </c>
      <c r="D160" t="b">
        <f>AND(ChargentOrders[[#This Row],[_Contract]],ChargentOrders[[#This Row],[CB Subscription]]=0)</f>
        <v>1</v>
      </c>
      <c r="E160" s="38">
        <f>INDEX(Table5[CUENTA],MATCH(ChargentOrders[[#This Row],[Contract__c]],Table5[SM_Contract__c],0))</f>
        <v>46081</v>
      </c>
      <c r="F160" s="38" t="str">
        <f ca="1">INDEX(Table5[ESTADO],MATCH(ChargentOrders[[#This Row],[Contract__c]],Table5[SM_Contract__c],0))</f>
        <v>DEBE 5</v>
      </c>
      <c r="G160" t="s">
        <v>1265</v>
      </c>
      <c r="H160" t="s">
        <v>155</v>
      </c>
      <c r="I160" t="s">
        <v>1266</v>
      </c>
      <c r="J160" s="1">
        <v>46171.417349537034</v>
      </c>
      <c r="K160">
        <v>10</v>
      </c>
      <c r="L160">
        <v>2030</v>
      </c>
      <c r="M160" t="s">
        <v>1461</v>
      </c>
      <c r="N160">
        <v>10</v>
      </c>
      <c r="O160" t="s">
        <v>68</v>
      </c>
      <c r="P160" t="s">
        <v>73</v>
      </c>
      <c r="Q160">
        <v>2030</v>
      </c>
      <c r="R160">
        <v>9400</v>
      </c>
      <c r="T160" t="s">
        <v>107</v>
      </c>
      <c r="U160" t="s">
        <v>68</v>
      </c>
      <c r="V160">
        <v>0</v>
      </c>
      <c r="W160" t="s">
        <v>69</v>
      </c>
      <c r="X160" s="5">
        <v>46212</v>
      </c>
      <c r="Y160" t="s">
        <v>84</v>
      </c>
      <c r="Z160" t="s">
        <v>68</v>
      </c>
      <c r="AA160">
        <v>9400</v>
      </c>
      <c r="AB160">
        <v>0</v>
      </c>
      <c r="AC160" t="s">
        <v>489</v>
      </c>
      <c r="AD160" t="s">
        <v>68</v>
      </c>
      <c r="AE160">
        <v>0</v>
      </c>
      <c r="AF160" s="1"/>
      <c r="AG160" s="1"/>
      <c r="AH160">
        <v>0</v>
      </c>
      <c r="AI160">
        <v>16</v>
      </c>
      <c r="AJ160">
        <v>0</v>
      </c>
      <c r="AK160" t="s">
        <v>490</v>
      </c>
      <c r="AL160" t="s">
        <v>71</v>
      </c>
      <c r="AM160" t="s">
        <v>68</v>
      </c>
      <c r="AN160">
        <v>0</v>
      </c>
      <c r="AO160" s="1"/>
      <c r="AQ160">
        <v>0</v>
      </c>
      <c r="AR160">
        <v>0</v>
      </c>
      <c r="AS160" t="s">
        <v>72</v>
      </c>
      <c r="AT160" t="s">
        <v>68</v>
      </c>
      <c r="AU160">
        <v>1</v>
      </c>
      <c r="AV160" t="s">
        <v>1267</v>
      </c>
      <c r="AW160">
        <v>0</v>
      </c>
      <c r="AX160" s="1">
        <v>45961.424942129626</v>
      </c>
      <c r="AY160">
        <v>2500</v>
      </c>
      <c r="AZ160" t="s">
        <v>68</v>
      </c>
      <c r="BA160" t="s">
        <v>65</v>
      </c>
      <c r="BB160" t="s">
        <v>68</v>
      </c>
      <c r="BC160" t="s">
        <v>68</v>
      </c>
      <c r="BD160">
        <v>0</v>
      </c>
      <c r="BE160" s="1"/>
      <c r="BF160" s="1">
        <v>46209.4215625</v>
      </c>
      <c r="BG160" t="s">
        <v>68</v>
      </c>
      <c r="BH160" t="s">
        <v>68</v>
      </c>
      <c r="BI160" t="s">
        <v>68</v>
      </c>
      <c r="BJ160" t="s">
        <v>68</v>
      </c>
      <c r="BK160" t="s">
        <v>68</v>
      </c>
      <c r="BL160" t="s">
        <v>68</v>
      </c>
      <c r="BM160" t="s">
        <v>68</v>
      </c>
      <c r="BN160" t="s">
        <v>68</v>
      </c>
      <c r="BO160" t="s">
        <v>96</v>
      </c>
      <c r="BP160">
        <v>0</v>
      </c>
      <c r="BQ160" t="s">
        <v>68</v>
      </c>
      <c r="BR160" t="s">
        <v>68</v>
      </c>
      <c r="BS160" t="s">
        <v>68</v>
      </c>
    </row>
    <row r="161" spans="1:71" x14ac:dyDescent="0.35">
      <c r="A161" t="b">
        <f>ISNUMBER(MATCH(ChargentOrders[[#This Row],[Contract__c]],Contract[Id],0))</f>
        <v>1</v>
      </c>
      <c r="B161">
        <f>IFERROR(INDEX(Contract[CB_Subscription__c],MATCH(ChargentOrders[[#This Row],[Contract__c]],Contract[Id],0)),0)</f>
        <v>0</v>
      </c>
      <c r="C161" t="b">
        <f>ISNUMBER(MATCH(ChargentOrders[[#This Row],[Id]],Claude[Id],0))</f>
        <v>1</v>
      </c>
      <c r="D161" t="b">
        <f>AND(ChargentOrders[[#This Row],[_Contract]],ChargentOrders[[#This Row],[CB Subscription]]=0)</f>
        <v>1</v>
      </c>
      <c r="E161" s="38">
        <f>INDEX(Table5[CUENTA],MATCH(ChargentOrders[[#This Row],[Contract__c]],Table5[SM_Contract__c],0))</f>
        <v>46081</v>
      </c>
      <c r="F161" s="38" t="str">
        <f ca="1">INDEX(Table5[ESTADO],MATCH(ChargentOrders[[#This Row],[Contract__c]],Table5[SM_Contract__c],0))</f>
        <v>DEBE 5</v>
      </c>
      <c r="G161" t="s">
        <v>1268</v>
      </c>
      <c r="H161" t="s">
        <v>81</v>
      </c>
      <c r="I161" t="s">
        <v>1269</v>
      </c>
      <c r="J161" s="1">
        <v>46171.417511574073</v>
      </c>
      <c r="K161">
        <v>10</v>
      </c>
      <c r="L161">
        <v>2029</v>
      </c>
      <c r="M161" t="s">
        <v>1412</v>
      </c>
      <c r="N161">
        <v>10</v>
      </c>
      <c r="O161" t="s">
        <v>1466</v>
      </c>
      <c r="P161" t="s">
        <v>73</v>
      </c>
      <c r="Q161">
        <v>2029</v>
      </c>
      <c r="R161">
        <v>9400</v>
      </c>
      <c r="T161" t="s">
        <v>67</v>
      </c>
      <c r="U161" t="s">
        <v>68</v>
      </c>
      <c r="V161">
        <v>0</v>
      </c>
      <c r="W161" t="s">
        <v>69</v>
      </c>
      <c r="X161" s="5">
        <v>46212</v>
      </c>
      <c r="Y161" t="s">
        <v>84</v>
      </c>
      <c r="Z161" t="s">
        <v>68</v>
      </c>
      <c r="AA161">
        <v>9400</v>
      </c>
      <c r="AB161">
        <v>0</v>
      </c>
      <c r="AC161" t="s">
        <v>515</v>
      </c>
      <c r="AD161" t="s">
        <v>68</v>
      </c>
      <c r="AE161">
        <v>0</v>
      </c>
      <c r="AF161" s="1"/>
      <c r="AG161" s="1"/>
      <c r="AH161">
        <v>0</v>
      </c>
      <c r="AI161">
        <v>16</v>
      </c>
      <c r="AJ161">
        <v>0</v>
      </c>
      <c r="AK161" t="s">
        <v>516</v>
      </c>
      <c r="AL161" t="s">
        <v>71</v>
      </c>
      <c r="AM161" t="s">
        <v>68</v>
      </c>
      <c r="AN161">
        <v>0</v>
      </c>
      <c r="AO161" s="1"/>
      <c r="AQ161">
        <v>0</v>
      </c>
      <c r="AR161">
        <v>0</v>
      </c>
      <c r="AS161" t="s">
        <v>72</v>
      </c>
      <c r="AT161" t="s">
        <v>68</v>
      </c>
      <c r="AU161">
        <v>1</v>
      </c>
      <c r="AV161" t="s">
        <v>1270</v>
      </c>
      <c r="AW161">
        <v>0</v>
      </c>
      <c r="AX161" s="1">
        <v>45982.878946759258</v>
      </c>
      <c r="AY161">
        <v>2500</v>
      </c>
      <c r="AZ161" t="s">
        <v>68</v>
      </c>
      <c r="BA161" t="s">
        <v>65</v>
      </c>
      <c r="BB161" t="s">
        <v>68</v>
      </c>
      <c r="BC161" t="s">
        <v>68</v>
      </c>
      <c r="BD161">
        <v>0</v>
      </c>
      <c r="BE161" s="1">
        <v>46209.421585648146</v>
      </c>
      <c r="BF161" s="1">
        <v>46209.421585648146</v>
      </c>
      <c r="BG161" t="s">
        <v>68</v>
      </c>
      <c r="BH161" t="s">
        <v>68</v>
      </c>
      <c r="BI161" t="s">
        <v>68</v>
      </c>
      <c r="BJ161" t="s">
        <v>68</v>
      </c>
      <c r="BK161" t="s">
        <v>68</v>
      </c>
      <c r="BL161" t="s">
        <v>68</v>
      </c>
      <c r="BM161" t="s">
        <v>68</v>
      </c>
      <c r="BN161" t="s">
        <v>68</v>
      </c>
      <c r="BO161" t="s">
        <v>96</v>
      </c>
      <c r="BP161">
        <v>0</v>
      </c>
      <c r="BQ161" t="s">
        <v>68</v>
      </c>
      <c r="BR161" t="s">
        <v>68</v>
      </c>
      <c r="BS161" t="s">
        <v>68</v>
      </c>
    </row>
    <row r="162" spans="1:71" x14ac:dyDescent="0.35">
      <c r="A162" t="b">
        <f>ISNUMBER(MATCH(ChargentOrders[[#This Row],[Contract__c]],Contract[Id],0))</f>
        <v>1</v>
      </c>
      <c r="B162">
        <f>IFERROR(INDEX(Contract[CB_Subscription__c],MATCH(ChargentOrders[[#This Row],[Contract__c]],Contract[Id],0)),0)</f>
        <v>0</v>
      </c>
      <c r="C162" t="b">
        <f>ISNUMBER(MATCH(ChargentOrders[[#This Row],[Id]],Claude[Id],0))</f>
        <v>1</v>
      </c>
      <c r="D162" t="b">
        <f>AND(ChargentOrders[[#This Row],[_Contract]],ChargentOrders[[#This Row],[CB Subscription]]=0)</f>
        <v>1</v>
      </c>
      <c r="E162" s="38">
        <f>INDEX(Table5[CUENTA],MATCH(ChargentOrders[[#This Row],[Contract__c]],Table5[SM_Contract__c],0))</f>
        <v>46081</v>
      </c>
      <c r="F162" s="38" t="str">
        <f ca="1">INDEX(Table5[ESTADO],MATCH(ChargentOrders[[#This Row],[Contract__c]],Table5[SM_Contract__c],0))</f>
        <v>DEBE 5</v>
      </c>
      <c r="G162" t="s">
        <v>1342</v>
      </c>
      <c r="H162" t="s">
        <v>79</v>
      </c>
      <c r="I162" t="s">
        <v>1343</v>
      </c>
      <c r="J162" s="1">
        <v>46202.855381944442</v>
      </c>
      <c r="K162">
        <v>7</v>
      </c>
      <c r="L162">
        <v>2029</v>
      </c>
      <c r="M162" t="s">
        <v>1422</v>
      </c>
      <c r="N162">
        <v>7</v>
      </c>
      <c r="O162" t="s">
        <v>1422</v>
      </c>
      <c r="P162" t="s">
        <v>66</v>
      </c>
      <c r="Q162">
        <v>2029</v>
      </c>
      <c r="R162">
        <v>1040</v>
      </c>
      <c r="T162" t="s">
        <v>67</v>
      </c>
      <c r="U162" t="s">
        <v>68</v>
      </c>
      <c r="V162">
        <v>0</v>
      </c>
      <c r="W162" t="s">
        <v>69</v>
      </c>
      <c r="X162" s="5">
        <v>46213</v>
      </c>
      <c r="Y162" t="s">
        <v>84</v>
      </c>
      <c r="Z162" t="s">
        <v>68</v>
      </c>
      <c r="AA162">
        <v>10400</v>
      </c>
      <c r="AB162">
        <v>0</v>
      </c>
      <c r="AC162" t="s">
        <v>219</v>
      </c>
      <c r="AD162" t="s">
        <v>68</v>
      </c>
      <c r="AE162">
        <v>0</v>
      </c>
      <c r="AF162" s="1"/>
      <c r="AG162" s="1"/>
      <c r="AH162">
        <v>0</v>
      </c>
      <c r="AI162">
        <v>4</v>
      </c>
      <c r="AJ162">
        <v>0</v>
      </c>
      <c r="AK162" t="s">
        <v>220</v>
      </c>
      <c r="AL162" t="s">
        <v>71</v>
      </c>
      <c r="AM162" t="s">
        <v>68</v>
      </c>
      <c r="AN162">
        <v>0</v>
      </c>
      <c r="AO162" s="1"/>
      <c r="AP162">
        <v>15</v>
      </c>
      <c r="AQ162">
        <v>0</v>
      </c>
      <c r="AR162">
        <v>0</v>
      </c>
      <c r="AS162" t="s">
        <v>72</v>
      </c>
      <c r="AT162" t="s">
        <v>68</v>
      </c>
      <c r="AU162">
        <v>1</v>
      </c>
      <c r="AV162" t="s">
        <v>1344</v>
      </c>
      <c r="AW162">
        <v>0</v>
      </c>
      <c r="AX162" s="1">
        <v>45716.429675925923</v>
      </c>
      <c r="AY162">
        <v>2500</v>
      </c>
      <c r="AZ162" t="s">
        <v>68</v>
      </c>
      <c r="BA162" t="s">
        <v>101</v>
      </c>
      <c r="BB162" t="s">
        <v>68</v>
      </c>
      <c r="BC162" t="s">
        <v>68</v>
      </c>
      <c r="BD162">
        <v>0</v>
      </c>
      <c r="BE162" s="1">
        <v>46211.011469907404</v>
      </c>
      <c r="BF162" s="1">
        <v>46211.011469907404</v>
      </c>
      <c r="BG162" t="s">
        <v>68</v>
      </c>
      <c r="BH162" t="s">
        <v>68</v>
      </c>
      <c r="BI162" t="s">
        <v>68</v>
      </c>
      <c r="BJ162" t="s">
        <v>68</v>
      </c>
      <c r="BK162" t="s">
        <v>68</v>
      </c>
      <c r="BL162" t="s">
        <v>68</v>
      </c>
      <c r="BM162" t="s">
        <v>68</v>
      </c>
      <c r="BN162" t="s">
        <v>68</v>
      </c>
      <c r="BO162" t="s">
        <v>96</v>
      </c>
      <c r="BP162">
        <v>0</v>
      </c>
      <c r="BQ162" t="s">
        <v>68</v>
      </c>
      <c r="BR162" t="s">
        <v>68</v>
      </c>
      <c r="BS162" t="s">
        <v>68</v>
      </c>
    </row>
    <row r="163" spans="1:71" x14ac:dyDescent="0.35">
      <c r="A163" t="b">
        <f>ISNUMBER(MATCH(ChargentOrders[[#This Row],[Contract__c]],Contract[Id],0))</f>
        <v>1</v>
      </c>
      <c r="B163">
        <f>IFERROR(INDEX(Contract[CB_Subscription__c],MATCH(ChargentOrders[[#This Row],[Contract__c]],Contract[Id],0)),0)</f>
        <v>0</v>
      </c>
      <c r="C163" t="b">
        <f>ISNUMBER(MATCH(ChargentOrders[[#This Row],[Id]],Claude[Id],0))</f>
        <v>1</v>
      </c>
      <c r="D163" t="b">
        <f>AND(ChargentOrders[[#This Row],[_Contract]],ChargentOrders[[#This Row],[CB Subscription]]=0)</f>
        <v>1</v>
      </c>
      <c r="E163" s="38">
        <f>INDEX(Table5[CUENTA],MATCH(ChargentOrders[[#This Row],[Contract__c]],Table5[SM_Contract__c],0))</f>
        <v>46081</v>
      </c>
      <c r="F163" s="38" t="str">
        <f ca="1">INDEX(Table5[ESTADO],MATCH(ChargentOrders[[#This Row],[Contract__c]],Table5[SM_Contract__c],0))</f>
        <v>DEBE 5</v>
      </c>
      <c r="G163" t="s">
        <v>1345</v>
      </c>
      <c r="H163" t="s">
        <v>79</v>
      </c>
      <c r="I163" t="s">
        <v>1346</v>
      </c>
      <c r="J163" s="1">
        <v>46202.863703703704</v>
      </c>
      <c r="K163">
        <v>7</v>
      </c>
      <c r="L163">
        <v>2027</v>
      </c>
      <c r="M163" t="s">
        <v>1450</v>
      </c>
      <c r="N163">
        <v>7</v>
      </c>
      <c r="O163" t="s">
        <v>68</v>
      </c>
      <c r="P163" t="s">
        <v>66</v>
      </c>
      <c r="Q163">
        <v>2027</v>
      </c>
      <c r="R163">
        <v>10400</v>
      </c>
      <c r="T163" t="s">
        <v>107</v>
      </c>
      <c r="U163" t="s">
        <v>68</v>
      </c>
      <c r="V163">
        <v>0</v>
      </c>
      <c r="W163" t="s">
        <v>69</v>
      </c>
      <c r="X163" s="5">
        <v>46212</v>
      </c>
      <c r="Y163" t="s">
        <v>84</v>
      </c>
      <c r="Z163" t="s">
        <v>68</v>
      </c>
      <c r="AA163">
        <v>10400</v>
      </c>
      <c r="AB163">
        <v>0</v>
      </c>
      <c r="AC163" t="s">
        <v>368</v>
      </c>
      <c r="AD163" t="s">
        <v>68</v>
      </c>
      <c r="AE163">
        <v>0</v>
      </c>
      <c r="AF163" s="1"/>
      <c r="AG163" s="1"/>
      <c r="AH163">
        <v>0</v>
      </c>
      <c r="AI163">
        <v>3</v>
      </c>
      <c r="AJ163">
        <v>0</v>
      </c>
      <c r="AK163" t="s">
        <v>369</v>
      </c>
      <c r="AL163" t="s">
        <v>71</v>
      </c>
      <c r="AM163" t="s">
        <v>68</v>
      </c>
      <c r="AN163">
        <v>0</v>
      </c>
      <c r="AO163" s="1"/>
      <c r="AP163">
        <v>10</v>
      </c>
      <c r="AQ163">
        <v>0</v>
      </c>
      <c r="AR163">
        <v>0</v>
      </c>
      <c r="AS163" t="s">
        <v>72</v>
      </c>
      <c r="AT163" t="s">
        <v>68</v>
      </c>
      <c r="AU163">
        <v>1</v>
      </c>
      <c r="AV163" t="s">
        <v>1347</v>
      </c>
      <c r="AW163">
        <v>0</v>
      </c>
      <c r="AX163" s="1">
        <v>45849.623969907407</v>
      </c>
      <c r="AY163">
        <v>2500</v>
      </c>
      <c r="AZ163" t="s">
        <v>68</v>
      </c>
      <c r="BA163" t="s">
        <v>101</v>
      </c>
      <c r="BB163" t="s">
        <v>68</v>
      </c>
      <c r="BC163" t="s">
        <v>68</v>
      </c>
      <c r="BD163">
        <v>0</v>
      </c>
      <c r="BE163" s="1"/>
      <c r="BF163" s="1">
        <v>46209.422523148147</v>
      </c>
      <c r="BG163" t="s">
        <v>68</v>
      </c>
      <c r="BH163" t="s">
        <v>68</v>
      </c>
      <c r="BI163" t="s">
        <v>68</v>
      </c>
      <c r="BJ163" t="s">
        <v>68</v>
      </c>
      <c r="BK163" t="s">
        <v>68</v>
      </c>
      <c r="BL163" t="s">
        <v>68</v>
      </c>
      <c r="BM163" t="s">
        <v>68</v>
      </c>
      <c r="BN163" t="s">
        <v>68</v>
      </c>
      <c r="BO163" t="s">
        <v>96</v>
      </c>
      <c r="BP163">
        <v>0</v>
      </c>
      <c r="BQ163" t="s">
        <v>68</v>
      </c>
      <c r="BR163" t="s">
        <v>68</v>
      </c>
      <c r="BS163" t="s">
        <v>68</v>
      </c>
    </row>
    <row r="164" spans="1:71" x14ac:dyDescent="0.35">
      <c r="A164" t="b">
        <f>ISNUMBER(MATCH(ChargentOrders[[#This Row],[Contract__c]],Contract[Id],0))</f>
        <v>1</v>
      </c>
      <c r="B164">
        <f>IFERROR(INDEX(Contract[CB_Subscription__c],MATCH(ChargentOrders[[#This Row],[Contract__c]],Contract[Id],0)),0)</f>
        <v>0</v>
      </c>
      <c r="C164" t="b">
        <f>ISNUMBER(MATCH(ChargentOrders[[#This Row],[Id]],Claude[Id],0))</f>
        <v>1</v>
      </c>
      <c r="D164" t="b">
        <f>AND(ChargentOrders[[#This Row],[_Contract]],ChargentOrders[[#This Row],[CB Subscription]]=0)</f>
        <v>1</v>
      </c>
      <c r="E164" s="38">
        <f>INDEX(Table5[CUENTA],MATCH(ChargentOrders[[#This Row],[Contract__c]],Table5[SM_Contract__c],0))</f>
        <v>46081</v>
      </c>
      <c r="F164" s="38" t="str">
        <f ca="1">INDEX(Table5[ESTADO],MATCH(ChargentOrders[[#This Row],[Contract__c]],Table5[SM_Contract__c],0))</f>
        <v>DEBE 5</v>
      </c>
      <c r="G164" t="s">
        <v>1348</v>
      </c>
      <c r="H164" t="s">
        <v>81</v>
      </c>
      <c r="I164" t="s">
        <v>1349</v>
      </c>
      <c r="J164" s="1">
        <v>46202.865543981483</v>
      </c>
      <c r="K164">
        <v>11</v>
      </c>
      <c r="L164">
        <v>2029</v>
      </c>
      <c r="M164" t="s">
        <v>1444</v>
      </c>
      <c r="N164">
        <v>11</v>
      </c>
      <c r="O164" t="s">
        <v>1444</v>
      </c>
      <c r="P164" t="s">
        <v>73</v>
      </c>
      <c r="Q164">
        <v>2029</v>
      </c>
      <c r="R164">
        <v>1040</v>
      </c>
      <c r="T164" t="s">
        <v>67</v>
      </c>
      <c r="U164" t="s">
        <v>68</v>
      </c>
      <c r="V164">
        <v>0</v>
      </c>
      <c r="W164" t="s">
        <v>69</v>
      </c>
      <c r="X164" s="5">
        <v>46213</v>
      </c>
      <c r="Y164" t="s">
        <v>84</v>
      </c>
      <c r="Z164" t="s">
        <v>68</v>
      </c>
      <c r="AA164">
        <v>10400</v>
      </c>
      <c r="AB164">
        <v>0</v>
      </c>
      <c r="AC164" t="s">
        <v>264</v>
      </c>
      <c r="AD164" t="s">
        <v>68</v>
      </c>
      <c r="AE164">
        <v>0</v>
      </c>
      <c r="AF164" s="1"/>
      <c r="AG164" s="1"/>
      <c r="AH164">
        <v>0</v>
      </c>
      <c r="AI164">
        <v>4</v>
      </c>
      <c r="AJ164">
        <v>0</v>
      </c>
      <c r="AK164" t="s">
        <v>265</v>
      </c>
      <c r="AL164" t="s">
        <v>71</v>
      </c>
      <c r="AM164" t="s">
        <v>68</v>
      </c>
      <c r="AN164">
        <v>0</v>
      </c>
      <c r="AO164" s="1"/>
      <c r="AP164">
        <v>14</v>
      </c>
      <c r="AQ164">
        <v>0</v>
      </c>
      <c r="AR164">
        <v>0</v>
      </c>
      <c r="AS164" t="s">
        <v>72</v>
      </c>
      <c r="AT164" t="s">
        <v>68</v>
      </c>
      <c r="AU164">
        <v>1</v>
      </c>
      <c r="AV164" t="s">
        <v>1350</v>
      </c>
      <c r="AW164">
        <v>0</v>
      </c>
      <c r="AX164" s="1">
        <v>45744.431817129633</v>
      </c>
      <c r="AY164">
        <v>2500</v>
      </c>
      <c r="AZ164" t="s">
        <v>68</v>
      </c>
      <c r="BA164" t="s">
        <v>101</v>
      </c>
      <c r="BB164" t="s">
        <v>68</v>
      </c>
      <c r="BC164" t="s">
        <v>68</v>
      </c>
      <c r="BD164">
        <v>0</v>
      </c>
      <c r="BE164" s="1">
        <v>46211.011921296296</v>
      </c>
      <c r="BF164" s="1">
        <v>46211.011921296296</v>
      </c>
      <c r="BG164" t="s">
        <v>68</v>
      </c>
      <c r="BH164" t="s">
        <v>68</v>
      </c>
      <c r="BI164" t="s">
        <v>68</v>
      </c>
      <c r="BJ164" t="s">
        <v>68</v>
      </c>
      <c r="BK164" t="s">
        <v>68</v>
      </c>
      <c r="BL164" t="s">
        <v>68</v>
      </c>
      <c r="BM164" t="s">
        <v>68</v>
      </c>
      <c r="BN164" t="s">
        <v>68</v>
      </c>
      <c r="BO164" t="s">
        <v>96</v>
      </c>
      <c r="BP164">
        <v>0</v>
      </c>
      <c r="BQ164" t="s">
        <v>68</v>
      </c>
      <c r="BR164" t="s">
        <v>68</v>
      </c>
      <c r="BS164" t="s">
        <v>68</v>
      </c>
    </row>
    <row r="165" spans="1:71" x14ac:dyDescent="0.35">
      <c r="A165" t="b">
        <f>ISNUMBER(MATCH(ChargentOrders[[#This Row],[Contract__c]],Contract[Id],0))</f>
        <v>1</v>
      </c>
      <c r="B165">
        <f>IFERROR(INDEX(Contract[CB_Subscription__c],MATCH(ChargentOrders[[#This Row],[Contract__c]],Contract[Id],0)),0)</f>
        <v>0</v>
      </c>
      <c r="C165" t="b">
        <f>ISNUMBER(MATCH(ChargentOrders[[#This Row],[Id]],Claude[Id],0))</f>
        <v>1</v>
      </c>
      <c r="D165" t="b">
        <f>AND(ChargentOrders[[#This Row],[_Contract]],ChargentOrders[[#This Row],[CB Subscription]]=0)</f>
        <v>1</v>
      </c>
      <c r="E165" s="38">
        <f>INDEX(Table5[CUENTA],MATCH(ChargentOrders[[#This Row],[Contract__c]],Table5[SM_Contract__c],0))</f>
        <v>46081</v>
      </c>
      <c r="F165" s="38" t="str">
        <f ca="1">INDEX(Table5[ESTADO],MATCH(ChargentOrders[[#This Row],[Contract__c]],Table5[SM_Contract__c],0))</f>
        <v>DEBE 5</v>
      </c>
      <c r="G165" t="s">
        <v>1351</v>
      </c>
      <c r="H165" t="s">
        <v>79</v>
      </c>
      <c r="I165" t="s">
        <v>1352</v>
      </c>
      <c r="J165" s="1">
        <v>46202.867581018516</v>
      </c>
      <c r="K165">
        <v>2</v>
      </c>
      <c r="L165">
        <v>2030</v>
      </c>
      <c r="M165" t="s">
        <v>1440</v>
      </c>
      <c r="N165">
        <v>2</v>
      </c>
      <c r="O165" t="s">
        <v>1440</v>
      </c>
      <c r="P165" t="s">
        <v>73</v>
      </c>
      <c r="Q165">
        <v>2030</v>
      </c>
      <c r="R165">
        <v>10400</v>
      </c>
      <c r="T165" t="s">
        <v>67</v>
      </c>
      <c r="U165" t="s">
        <v>68</v>
      </c>
      <c r="V165">
        <v>0</v>
      </c>
      <c r="W165" t="s">
        <v>69</v>
      </c>
      <c r="X165" s="5">
        <v>46212</v>
      </c>
      <c r="Y165" t="s">
        <v>84</v>
      </c>
      <c r="Z165" t="s">
        <v>68</v>
      </c>
      <c r="AA165">
        <v>10400</v>
      </c>
      <c r="AB165">
        <v>0</v>
      </c>
      <c r="AC165" t="s">
        <v>240</v>
      </c>
      <c r="AD165" t="s">
        <v>68</v>
      </c>
      <c r="AE165">
        <v>0</v>
      </c>
      <c r="AF165" s="1"/>
      <c r="AG165" s="1"/>
      <c r="AH165">
        <v>0</v>
      </c>
      <c r="AI165">
        <v>3</v>
      </c>
      <c r="AJ165">
        <v>0</v>
      </c>
      <c r="AK165" t="s">
        <v>235</v>
      </c>
      <c r="AL165" t="s">
        <v>71</v>
      </c>
      <c r="AM165" t="s">
        <v>68</v>
      </c>
      <c r="AN165">
        <v>0</v>
      </c>
      <c r="AO165" s="1"/>
      <c r="AP165">
        <v>15</v>
      </c>
      <c r="AQ165">
        <v>0</v>
      </c>
      <c r="AR165">
        <v>0</v>
      </c>
      <c r="AS165" t="s">
        <v>72</v>
      </c>
      <c r="AT165" t="s">
        <v>68</v>
      </c>
      <c r="AU165">
        <v>1</v>
      </c>
      <c r="AV165" t="s">
        <v>1353</v>
      </c>
      <c r="AW165">
        <v>0</v>
      </c>
      <c r="AX165" s="1">
        <v>45702.827997685185</v>
      </c>
      <c r="AY165">
        <v>2500</v>
      </c>
      <c r="AZ165" t="s">
        <v>68</v>
      </c>
      <c r="BA165" t="s">
        <v>101</v>
      </c>
      <c r="BB165" t="s">
        <v>68</v>
      </c>
      <c r="BC165" t="s">
        <v>68</v>
      </c>
      <c r="BD165">
        <v>0</v>
      </c>
      <c r="BE165" s="1">
        <v>46209.422534722224</v>
      </c>
      <c r="BF165" s="1">
        <v>46209.422534722224</v>
      </c>
      <c r="BG165" t="s">
        <v>68</v>
      </c>
      <c r="BH165" t="s">
        <v>68</v>
      </c>
      <c r="BI165" t="s">
        <v>68</v>
      </c>
      <c r="BJ165" t="s">
        <v>68</v>
      </c>
      <c r="BK165" t="s">
        <v>68</v>
      </c>
      <c r="BL165" t="s">
        <v>68</v>
      </c>
      <c r="BM165" t="s">
        <v>68</v>
      </c>
      <c r="BN165" t="s">
        <v>68</v>
      </c>
      <c r="BO165" t="s">
        <v>96</v>
      </c>
      <c r="BP165">
        <v>0</v>
      </c>
      <c r="BQ165" t="s">
        <v>68</v>
      </c>
      <c r="BR165" t="s">
        <v>68</v>
      </c>
      <c r="BS165" t="s">
        <v>68</v>
      </c>
    </row>
    <row r="166" spans="1:71" x14ac:dyDescent="0.35">
      <c r="A166" t="b">
        <f>ISNUMBER(MATCH(ChargentOrders[[#This Row],[Contract__c]],Contract[Id],0))</f>
        <v>1</v>
      </c>
      <c r="B166">
        <f>IFERROR(INDEX(Contract[CB_Subscription__c],MATCH(ChargentOrders[[#This Row],[Contract__c]],Contract[Id],0)),0)</f>
        <v>0</v>
      </c>
      <c r="C166" t="b">
        <f>ISNUMBER(MATCH(ChargentOrders[[#This Row],[Id]],Claude[Id],0))</f>
        <v>1</v>
      </c>
      <c r="D166" t="b">
        <f>AND(ChargentOrders[[#This Row],[_Contract]],ChargentOrders[[#This Row],[CB Subscription]]=0)</f>
        <v>1</v>
      </c>
      <c r="E166" s="38">
        <f>INDEX(Table5[CUENTA],MATCH(ChargentOrders[[#This Row],[Contract__c]],Table5[SM_Contract__c],0))</f>
        <v>46081</v>
      </c>
      <c r="F166" s="38" t="str">
        <f ca="1">INDEX(Table5[ESTADO],MATCH(ChargentOrders[[#This Row],[Contract__c]],Table5[SM_Contract__c],0))</f>
        <v>DEBE 5</v>
      </c>
      <c r="G166" t="s">
        <v>1360</v>
      </c>
      <c r="H166" t="s">
        <v>79</v>
      </c>
      <c r="I166" t="s">
        <v>1361</v>
      </c>
      <c r="J166" s="1">
        <v>46203.416944444441</v>
      </c>
      <c r="K166">
        <v>3</v>
      </c>
      <c r="L166">
        <v>2027</v>
      </c>
      <c r="M166" t="s">
        <v>1432</v>
      </c>
      <c r="N166">
        <v>3</v>
      </c>
      <c r="O166" t="s">
        <v>1432</v>
      </c>
      <c r="P166" t="s">
        <v>73</v>
      </c>
      <c r="Q166">
        <v>2027</v>
      </c>
      <c r="R166">
        <v>10400</v>
      </c>
      <c r="T166" t="s">
        <v>67</v>
      </c>
      <c r="U166" t="s">
        <v>68</v>
      </c>
      <c r="V166">
        <v>0</v>
      </c>
      <c r="W166" t="s">
        <v>69</v>
      </c>
      <c r="X166" s="5">
        <v>46212</v>
      </c>
      <c r="Y166" t="s">
        <v>84</v>
      </c>
      <c r="Z166" t="s">
        <v>68</v>
      </c>
      <c r="AA166">
        <v>10400</v>
      </c>
      <c r="AB166">
        <v>0</v>
      </c>
      <c r="AC166" t="s">
        <v>165</v>
      </c>
      <c r="AD166" t="s">
        <v>68</v>
      </c>
      <c r="AE166">
        <v>0</v>
      </c>
      <c r="AF166" s="1"/>
      <c r="AG166" s="1"/>
      <c r="AH166">
        <v>0</v>
      </c>
      <c r="AI166">
        <v>2</v>
      </c>
      <c r="AJ166">
        <v>0</v>
      </c>
      <c r="AK166" t="s">
        <v>179</v>
      </c>
      <c r="AL166" t="s">
        <v>71</v>
      </c>
      <c r="AM166" t="s">
        <v>68</v>
      </c>
      <c r="AN166">
        <v>0</v>
      </c>
      <c r="AO166" s="1"/>
      <c r="AQ166">
        <v>0</v>
      </c>
      <c r="AR166">
        <v>0</v>
      </c>
      <c r="AS166" t="s">
        <v>72</v>
      </c>
      <c r="AT166" t="s">
        <v>68</v>
      </c>
      <c r="AU166">
        <v>1</v>
      </c>
      <c r="AV166" t="s">
        <v>1362</v>
      </c>
      <c r="AW166">
        <v>0</v>
      </c>
      <c r="AX166" s="1">
        <v>45546.777881944443</v>
      </c>
      <c r="AY166">
        <v>2500</v>
      </c>
      <c r="AZ166" t="s">
        <v>68</v>
      </c>
      <c r="BA166" t="s">
        <v>65</v>
      </c>
      <c r="BB166" t="s">
        <v>68</v>
      </c>
      <c r="BC166" t="s">
        <v>68</v>
      </c>
      <c r="BD166">
        <v>0</v>
      </c>
      <c r="BE166" s="1">
        <v>46209.422627314816</v>
      </c>
      <c r="BF166" s="1">
        <v>46209.422627314816</v>
      </c>
      <c r="BG166" t="s">
        <v>68</v>
      </c>
      <c r="BH166" t="s">
        <v>68</v>
      </c>
      <c r="BI166" t="s">
        <v>68</v>
      </c>
      <c r="BJ166" t="s">
        <v>68</v>
      </c>
      <c r="BK166" t="s">
        <v>68</v>
      </c>
      <c r="BL166" t="s">
        <v>68</v>
      </c>
      <c r="BM166" t="s">
        <v>68</v>
      </c>
      <c r="BN166" t="s">
        <v>68</v>
      </c>
      <c r="BO166" t="s">
        <v>96</v>
      </c>
      <c r="BP166">
        <v>0</v>
      </c>
      <c r="BQ166" t="s">
        <v>68</v>
      </c>
      <c r="BR166" t="s">
        <v>68</v>
      </c>
      <c r="BS166" t="s">
        <v>68</v>
      </c>
    </row>
    <row r="167" spans="1:71" x14ac:dyDescent="0.35">
      <c r="A167" t="b">
        <f>ISNUMBER(MATCH(ChargentOrders[[#This Row],[Contract__c]],Contract[Id],0))</f>
        <v>1</v>
      </c>
      <c r="B167">
        <f>IFERROR(INDEX(Contract[CB_Subscription__c],MATCH(ChargentOrders[[#This Row],[Contract__c]],Contract[Id],0)),0)</f>
        <v>0</v>
      </c>
      <c r="C167" t="b">
        <f>ISNUMBER(MATCH(ChargentOrders[[#This Row],[Id]],Claude[Id],0))</f>
        <v>1</v>
      </c>
      <c r="D167" t="b">
        <f>AND(ChargentOrders[[#This Row],[_Contract]],ChargentOrders[[#This Row],[CB Subscription]]=0)</f>
        <v>1</v>
      </c>
      <c r="E167" s="38">
        <f>INDEX(Table5[CUENTA],MATCH(ChargentOrders[[#This Row],[Contract__c]],Table5[SM_Contract__c],0))</f>
        <v>46081</v>
      </c>
      <c r="F167" s="38" t="str">
        <f ca="1">INDEX(Table5[ESTADO],MATCH(ChargentOrders[[#This Row],[Contract__c]],Table5[SM_Contract__c],0))</f>
        <v>DEBE 5</v>
      </c>
      <c r="G167" t="s">
        <v>1363</v>
      </c>
      <c r="H167" t="s">
        <v>79</v>
      </c>
      <c r="I167" t="s">
        <v>1364</v>
      </c>
      <c r="J167" s="1">
        <v>46203.416944444441</v>
      </c>
      <c r="K167">
        <v>8</v>
      </c>
      <c r="L167">
        <v>2028</v>
      </c>
      <c r="M167" t="s">
        <v>1438</v>
      </c>
      <c r="N167">
        <v>8</v>
      </c>
      <c r="O167" t="s">
        <v>1438</v>
      </c>
      <c r="P167" t="s">
        <v>73</v>
      </c>
      <c r="Q167">
        <v>2028</v>
      </c>
      <c r="R167">
        <v>10000</v>
      </c>
      <c r="T167" t="s">
        <v>67</v>
      </c>
      <c r="U167" t="s">
        <v>68</v>
      </c>
      <c r="V167">
        <v>0</v>
      </c>
      <c r="W167" t="s">
        <v>69</v>
      </c>
      <c r="X167" s="5">
        <v>46212</v>
      </c>
      <c r="Y167" t="s">
        <v>84</v>
      </c>
      <c r="Z167" t="s">
        <v>68</v>
      </c>
      <c r="AA167">
        <v>10000</v>
      </c>
      <c r="AB167">
        <v>0</v>
      </c>
      <c r="AC167" t="s">
        <v>202</v>
      </c>
      <c r="AD167" t="s">
        <v>68</v>
      </c>
      <c r="AE167">
        <v>0</v>
      </c>
      <c r="AF167" s="1"/>
      <c r="AG167" s="1"/>
      <c r="AH167">
        <v>0</v>
      </c>
      <c r="AI167">
        <v>2</v>
      </c>
      <c r="AJ167">
        <v>0</v>
      </c>
      <c r="AK167" t="s">
        <v>197</v>
      </c>
      <c r="AL167" t="s">
        <v>71</v>
      </c>
      <c r="AM167" t="s">
        <v>68</v>
      </c>
      <c r="AN167">
        <v>0</v>
      </c>
      <c r="AO167" s="1"/>
      <c r="AQ167">
        <v>0</v>
      </c>
      <c r="AR167">
        <v>0</v>
      </c>
      <c r="AS167" t="s">
        <v>72</v>
      </c>
      <c r="AT167" t="s">
        <v>68</v>
      </c>
      <c r="AU167">
        <v>1</v>
      </c>
      <c r="AV167" t="s">
        <v>1365</v>
      </c>
      <c r="AW167">
        <v>0</v>
      </c>
      <c r="AX167" s="1">
        <v>45589.952337962961</v>
      </c>
      <c r="AY167">
        <v>2500</v>
      </c>
      <c r="AZ167" t="s">
        <v>68</v>
      </c>
      <c r="BA167" t="s">
        <v>65</v>
      </c>
      <c r="BB167" t="s">
        <v>68</v>
      </c>
      <c r="BC167" t="s">
        <v>68</v>
      </c>
      <c r="BD167">
        <v>0</v>
      </c>
      <c r="BE167" s="1">
        <v>46209.422638888886</v>
      </c>
      <c r="BF167" s="1">
        <v>46209.422638888886</v>
      </c>
      <c r="BG167" t="s">
        <v>68</v>
      </c>
      <c r="BH167" t="s">
        <v>68</v>
      </c>
      <c r="BI167" t="s">
        <v>68</v>
      </c>
      <c r="BJ167" t="s">
        <v>68</v>
      </c>
      <c r="BK167" t="s">
        <v>68</v>
      </c>
      <c r="BL167" t="s">
        <v>68</v>
      </c>
      <c r="BM167" t="s">
        <v>68</v>
      </c>
      <c r="BN167" t="s">
        <v>68</v>
      </c>
      <c r="BO167" t="s">
        <v>96</v>
      </c>
      <c r="BP167">
        <v>0</v>
      </c>
      <c r="BQ167" t="s">
        <v>68</v>
      </c>
      <c r="BR167" t="s">
        <v>68</v>
      </c>
      <c r="BS167" t="s">
        <v>68</v>
      </c>
    </row>
    <row r="168" spans="1:71" x14ac:dyDescent="0.35">
      <c r="A168" t="b">
        <f>ISNUMBER(MATCH(ChargentOrders[[#This Row],[Contract__c]],Contract[Id],0))</f>
        <v>1</v>
      </c>
      <c r="B168">
        <f>IFERROR(INDEX(Contract[CB_Subscription__c],MATCH(ChargentOrders[[#This Row],[Contract__c]],Contract[Id],0)),0)</f>
        <v>0</v>
      </c>
      <c r="C168" t="b">
        <f>ISNUMBER(MATCH(ChargentOrders[[#This Row],[Id]],Claude[Id],0))</f>
        <v>1</v>
      </c>
      <c r="D168" t="b">
        <f>AND(ChargentOrders[[#This Row],[_Contract]],ChargentOrders[[#This Row],[CB Subscription]]=0)</f>
        <v>1</v>
      </c>
      <c r="E168" s="38">
        <f>INDEX(Table5[CUENTA],MATCH(ChargentOrders[[#This Row],[Contract__c]],Table5[SM_Contract__c],0))</f>
        <v>46081</v>
      </c>
      <c r="F168" s="38" t="str">
        <f ca="1">INDEX(Table5[ESTADO],MATCH(ChargentOrders[[#This Row],[Contract__c]],Table5[SM_Contract__c],0))</f>
        <v>DEBE 5</v>
      </c>
      <c r="G168" t="s">
        <v>1366</v>
      </c>
      <c r="H168" t="s">
        <v>79</v>
      </c>
      <c r="I168" t="s">
        <v>1367</v>
      </c>
      <c r="J168" s="1">
        <v>46203.417164351849</v>
      </c>
      <c r="K168">
        <v>2</v>
      </c>
      <c r="L168">
        <v>2026</v>
      </c>
      <c r="M168" t="s">
        <v>1407</v>
      </c>
      <c r="N168">
        <v>2</v>
      </c>
      <c r="O168" t="s">
        <v>1407</v>
      </c>
      <c r="P168" t="s">
        <v>73</v>
      </c>
      <c r="Q168">
        <v>2026</v>
      </c>
      <c r="R168">
        <v>10400</v>
      </c>
      <c r="T168" t="s">
        <v>67</v>
      </c>
      <c r="U168" t="s">
        <v>68</v>
      </c>
      <c r="V168">
        <v>0</v>
      </c>
      <c r="W168" t="s">
        <v>69</v>
      </c>
      <c r="X168" s="5">
        <v>46212</v>
      </c>
      <c r="Y168" t="s">
        <v>84</v>
      </c>
      <c r="Z168" t="s">
        <v>68</v>
      </c>
      <c r="AA168">
        <v>10400</v>
      </c>
      <c r="AB168">
        <v>0</v>
      </c>
      <c r="AC168" t="s">
        <v>252</v>
      </c>
      <c r="AD168" t="s">
        <v>68</v>
      </c>
      <c r="AE168">
        <v>0</v>
      </c>
      <c r="AF168" s="1"/>
      <c r="AG168" s="1"/>
      <c r="AH168">
        <v>0</v>
      </c>
      <c r="AI168">
        <v>2</v>
      </c>
      <c r="AJ168">
        <v>0</v>
      </c>
      <c r="AK168" t="s">
        <v>253</v>
      </c>
      <c r="AL168" t="s">
        <v>71</v>
      </c>
      <c r="AM168" t="s">
        <v>68</v>
      </c>
      <c r="AN168">
        <v>0</v>
      </c>
      <c r="AO168" s="1"/>
      <c r="AQ168">
        <v>0</v>
      </c>
      <c r="AR168">
        <v>0</v>
      </c>
      <c r="AS168" t="s">
        <v>72</v>
      </c>
      <c r="AT168" t="s">
        <v>68</v>
      </c>
      <c r="AU168">
        <v>1</v>
      </c>
      <c r="AV168" t="s">
        <v>1368</v>
      </c>
      <c r="AW168">
        <v>0</v>
      </c>
      <c r="AX168" s="1">
        <v>45723.426469907405</v>
      </c>
      <c r="AY168">
        <v>2500</v>
      </c>
      <c r="AZ168" t="s">
        <v>68</v>
      </c>
      <c r="BA168" t="s">
        <v>65</v>
      </c>
      <c r="BB168" t="s">
        <v>68</v>
      </c>
      <c r="BC168" t="s">
        <v>68</v>
      </c>
      <c r="BD168">
        <v>0</v>
      </c>
      <c r="BE168" s="1">
        <v>46209.422650462962</v>
      </c>
      <c r="BF168" s="1">
        <v>46209.422650462962</v>
      </c>
      <c r="BG168" t="s">
        <v>68</v>
      </c>
      <c r="BH168" t="s">
        <v>68</v>
      </c>
      <c r="BI168" t="s">
        <v>68</v>
      </c>
      <c r="BJ168" t="s">
        <v>68</v>
      </c>
      <c r="BK168" t="s">
        <v>68</v>
      </c>
      <c r="BL168" t="s">
        <v>68</v>
      </c>
      <c r="BM168" t="s">
        <v>68</v>
      </c>
      <c r="BN168" t="s">
        <v>68</v>
      </c>
      <c r="BO168" t="s">
        <v>96</v>
      </c>
      <c r="BP168">
        <v>0</v>
      </c>
      <c r="BQ168" t="s">
        <v>68</v>
      </c>
      <c r="BR168" t="s">
        <v>68</v>
      </c>
      <c r="BS168" t="s">
        <v>68</v>
      </c>
    </row>
    <row r="169" spans="1:71" x14ac:dyDescent="0.35">
      <c r="A169" t="b">
        <f>ISNUMBER(MATCH(ChargentOrders[[#This Row],[Contract__c]],Contract[Id],0))</f>
        <v>1</v>
      </c>
      <c r="B169">
        <f>IFERROR(INDEX(Contract[CB_Subscription__c],MATCH(ChargentOrders[[#This Row],[Contract__c]],Contract[Id],0)),0)</f>
        <v>0</v>
      </c>
      <c r="C169" t="b">
        <f>ISNUMBER(MATCH(ChargentOrders[[#This Row],[Id]],Claude[Id],0))</f>
        <v>1</v>
      </c>
      <c r="D169" t="b">
        <f>AND(ChargentOrders[[#This Row],[_Contract]],ChargentOrders[[#This Row],[CB Subscription]]=0)</f>
        <v>1</v>
      </c>
      <c r="E169" s="38">
        <f>INDEX(Table5[CUENTA],MATCH(ChargentOrders[[#This Row],[Contract__c]],Table5[SM_Contract__c],0))</f>
        <v>46081</v>
      </c>
      <c r="F169" s="38" t="str">
        <f ca="1">INDEX(Table5[ESTADO],MATCH(ChargentOrders[[#This Row],[Contract__c]],Table5[SM_Contract__c],0))</f>
        <v>DEBE 5</v>
      </c>
      <c r="G169" t="s">
        <v>1372</v>
      </c>
      <c r="H169" t="s">
        <v>79</v>
      </c>
      <c r="I169" t="s">
        <v>1373</v>
      </c>
      <c r="J169" s="1">
        <v>46203.417164351849</v>
      </c>
      <c r="K169">
        <v>1</v>
      </c>
      <c r="L169">
        <v>2027</v>
      </c>
      <c r="M169" t="s">
        <v>1453</v>
      </c>
      <c r="N169">
        <v>1</v>
      </c>
      <c r="O169" t="s">
        <v>1453</v>
      </c>
      <c r="P169" t="s">
        <v>73</v>
      </c>
      <c r="Q169">
        <v>2027</v>
      </c>
      <c r="R169">
        <v>10400</v>
      </c>
      <c r="T169" t="s">
        <v>67</v>
      </c>
      <c r="U169" t="s">
        <v>68</v>
      </c>
      <c r="V169">
        <v>0</v>
      </c>
      <c r="W169" t="s">
        <v>69</v>
      </c>
      <c r="X169" s="5">
        <v>46212</v>
      </c>
      <c r="Y169" t="s">
        <v>84</v>
      </c>
      <c r="Z169" t="s">
        <v>68</v>
      </c>
      <c r="AA169">
        <v>10400</v>
      </c>
      <c r="AB169">
        <v>0</v>
      </c>
      <c r="AC169" t="s">
        <v>406</v>
      </c>
      <c r="AD169" t="s">
        <v>68</v>
      </c>
      <c r="AE169">
        <v>0</v>
      </c>
      <c r="AF169" s="1"/>
      <c r="AG169" s="1"/>
      <c r="AH169">
        <v>0</v>
      </c>
      <c r="AI169">
        <v>2</v>
      </c>
      <c r="AJ169">
        <v>0</v>
      </c>
      <c r="AK169" t="s">
        <v>407</v>
      </c>
      <c r="AL169" t="s">
        <v>71</v>
      </c>
      <c r="AM169" t="s">
        <v>68</v>
      </c>
      <c r="AN169">
        <v>0</v>
      </c>
      <c r="AO169" s="1"/>
      <c r="AQ169">
        <v>0</v>
      </c>
      <c r="AR169">
        <v>0</v>
      </c>
      <c r="AS169" t="s">
        <v>72</v>
      </c>
      <c r="AT169" t="s">
        <v>68</v>
      </c>
      <c r="AU169">
        <v>1</v>
      </c>
      <c r="AV169" t="s">
        <v>1374</v>
      </c>
      <c r="AW169">
        <v>0</v>
      </c>
      <c r="AX169" s="1">
        <v>45874.6794212963</v>
      </c>
      <c r="AY169">
        <v>2500</v>
      </c>
      <c r="AZ169" t="s">
        <v>68</v>
      </c>
      <c r="BA169" t="s">
        <v>65</v>
      </c>
      <c r="BB169" t="s">
        <v>68</v>
      </c>
      <c r="BC169" t="s">
        <v>68</v>
      </c>
      <c r="BD169">
        <v>0</v>
      </c>
      <c r="BE169" s="1">
        <v>46209.422754629632</v>
      </c>
      <c r="BF169" s="1">
        <v>46209.422754629632</v>
      </c>
      <c r="BG169" t="s">
        <v>68</v>
      </c>
      <c r="BH169" t="s">
        <v>68</v>
      </c>
      <c r="BI169" t="s">
        <v>68</v>
      </c>
      <c r="BJ169" t="s">
        <v>68</v>
      </c>
      <c r="BK169" t="s">
        <v>68</v>
      </c>
      <c r="BL169" t="s">
        <v>68</v>
      </c>
      <c r="BM169" t="s">
        <v>68</v>
      </c>
      <c r="BN169" t="s">
        <v>68</v>
      </c>
      <c r="BO169" t="s">
        <v>96</v>
      </c>
      <c r="BP169">
        <v>0</v>
      </c>
      <c r="BQ169" t="s">
        <v>68</v>
      </c>
      <c r="BR169" t="s">
        <v>68</v>
      </c>
      <c r="BS169" t="s">
        <v>68</v>
      </c>
    </row>
    <row r="170" spans="1:71" x14ac:dyDescent="0.35">
      <c r="A170" t="b">
        <f>ISNUMBER(MATCH(ChargentOrders[[#This Row],[Contract__c]],Contract[Id],0))</f>
        <v>1</v>
      </c>
      <c r="B170">
        <f>IFERROR(INDEX(Contract[CB_Subscription__c],MATCH(ChargentOrders[[#This Row],[Contract__c]],Contract[Id],0)),0)</f>
        <v>0</v>
      </c>
      <c r="C170" t="b">
        <f>ISNUMBER(MATCH(ChargentOrders[[#This Row],[Id]],Claude[Id],0))</f>
        <v>1</v>
      </c>
      <c r="D170" t="b">
        <f>AND(ChargentOrders[[#This Row],[_Contract]],ChargentOrders[[#This Row],[CB Subscription]]=0)</f>
        <v>1</v>
      </c>
      <c r="E170" s="38">
        <f>INDEX(Table5[CUENTA],MATCH(ChargentOrders[[#This Row],[Contract__c]],Table5[SM_Contract__c],0))</f>
        <v>46081</v>
      </c>
      <c r="F170" s="38" t="str">
        <f ca="1">INDEX(Table5[ESTADO],MATCH(ChargentOrders[[#This Row],[Contract__c]],Table5[SM_Contract__c],0))</f>
        <v>DEBE 5</v>
      </c>
      <c r="G170" t="s">
        <v>1378</v>
      </c>
      <c r="H170" t="s">
        <v>79</v>
      </c>
      <c r="I170" t="s">
        <v>1379</v>
      </c>
      <c r="J170" s="1">
        <v>46203.417164351849</v>
      </c>
      <c r="K170">
        <v>9</v>
      </c>
      <c r="L170">
        <v>2030</v>
      </c>
      <c r="M170" t="s">
        <v>1463</v>
      </c>
      <c r="N170">
        <v>9</v>
      </c>
      <c r="O170" t="s">
        <v>1463</v>
      </c>
      <c r="P170" t="s">
        <v>73</v>
      </c>
      <c r="Q170">
        <v>2030</v>
      </c>
      <c r="R170">
        <v>940</v>
      </c>
      <c r="T170" t="s">
        <v>67</v>
      </c>
      <c r="U170" t="s">
        <v>68</v>
      </c>
      <c r="V170">
        <v>0</v>
      </c>
      <c r="W170" t="s">
        <v>69</v>
      </c>
      <c r="X170" s="5">
        <v>46212</v>
      </c>
      <c r="Y170" t="s">
        <v>84</v>
      </c>
      <c r="Z170" t="s">
        <v>68</v>
      </c>
      <c r="AA170">
        <v>9400</v>
      </c>
      <c r="AB170">
        <v>0</v>
      </c>
      <c r="AC170" t="s">
        <v>479</v>
      </c>
      <c r="AD170" t="s">
        <v>68</v>
      </c>
      <c r="AE170">
        <v>0</v>
      </c>
      <c r="AF170" s="1"/>
      <c r="AG170" s="1"/>
      <c r="AH170">
        <v>0</v>
      </c>
      <c r="AI170">
        <v>3</v>
      </c>
      <c r="AJ170">
        <v>0</v>
      </c>
      <c r="AK170" t="s">
        <v>480</v>
      </c>
      <c r="AL170" t="s">
        <v>71</v>
      </c>
      <c r="AM170" t="s">
        <v>68</v>
      </c>
      <c r="AN170">
        <v>0</v>
      </c>
      <c r="AO170" s="1"/>
      <c r="AQ170">
        <v>0</v>
      </c>
      <c r="AR170">
        <v>0</v>
      </c>
      <c r="AS170" t="s">
        <v>72</v>
      </c>
      <c r="AT170" t="s">
        <v>68</v>
      </c>
      <c r="AU170">
        <v>1</v>
      </c>
      <c r="AV170" t="s">
        <v>1380</v>
      </c>
      <c r="AW170">
        <v>0</v>
      </c>
      <c r="AX170" s="1">
        <v>45944.639537037037</v>
      </c>
      <c r="AY170">
        <v>2500</v>
      </c>
      <c r="AZ170" t="s">
        <v>68</v>
      </c>
      <c r="BA170" t="s">
        <v>65</v>
      </c>
      <c r="BB170" t="s">
        <v>68</v>
      </c>
      <c r="BC170" t="s">
        <v>68</v>
      </c>
      <c r="BD170">
        <v>0</v>
      </c>
      <c r="BE170" s="1">
        <v>46209.97315972222</v>
      </c>
      <c r="BF170" s="1">
        <v>46209.97315972222</v>
      </c>
      <c r="BG170" t="s">
        <v>68</v>
      </c>
      <c r="BH170" t="s">
        <v>68</v>
      </c>
      <c r="BI170" t="s">
        <v>68</v>
      </c>
      <c r="BJ170" t="s">
        <v>68</v>
      </c>
      <c r="BK170" t="s">
        <v>68</v>
      </c>
      <c r="BL170" t="s">
        <v>68</v>
      </c>
      <c r="BM170" t="s">
        <v>68</v>
      </c>
      <c r="BN170" t="s">
        <v>68</v>
      </c>
      <c r="BO170" t="s">
        <v>96</v>
      </c>
      <c r="BP170">
        <v>0</v>
      </c>
      <c r="BQ170" t="s">
        <v>68</v>
      </c>
      <c r="BR170" t="s">
        <v>68</v>
      </c>
      <c r="BS170" t="s">
        <v>68</v>
      </c>
    </row>
    <row r="171" spans="1:71" x14ac:dyDescent="0.35">
      <c r="A171" t="b">
        <f>ISNUMBER(MATCH(ChargentOrders[[#This Row],[Contract__c]],Contract[Id],0))</f>
        <v>1</v>
      </c>
      <c r="B171">
        <f>IFERROR(INDEX(Contract[CB_Subscription__c],MATCH(ChargentOrders[[#This Row],[Contract__c]],Contract[Id],0)),0)</f>
        <v>0</v>
      </c>
      <c r="C171" t="b">
        <f>ISNUMBER(MATCH(ChargentOrders[[#This Row],[Id]],Claude[Id],0))</f>
        <v>1</v>
      </c>
      <c r="D171" t="b">
        <f>AND(ChargentOrders[[#This Row],[_Contract]],ChargentOrders[[#This Row],[CB Subscription]]=0)</f>
        <v>1</v>
      </c>
      <c r="E171" s="38">
        <f>INDEX(Table5[CUENTA],MATCH(ChargentOrders[[#This Row],[Contract__c]],Table5[SM_Contract__c],0))</f>
        <v>46081</v>
      </c>
      <c r="F171" s="38" t="str">
        <f ca="1">INDEX(Table5[ESTADO],MATCH(ChargentOrders[[#This Row],[Contract__c]],Table5[SM_Contract__c],0))</f>
        <v>DEBE 5</v>
      </c>
      <c r="G171" t="s">
        <v>1381</v>
      </c>
      <c r="H171" t="s">
        <v>155</v>
      </c>
      <c r="I171" t="s">
        <v>1382</v>
      </c>
      <c r="J171" s="1">
        <v>46203.417361111111</v>
      </c>
      <c r="K171">
        <v>10</v>
      </c>
      <c r="L171">
        <v>2030</v>
      </c>
      <c r="M171" t="s">
        <v>1461</v>
      </c>
      <c r="N171">
        <v>10</v>
      </c>
      <c r="O171" t="s">
        <v>68</v>
      </c>
      <c r="P171" t="s">
        <v>73</v>
      </c>
      <c r="Q171">
        <v>2030</v>
      </c>
      <c r="R171">
        <v>940</v>
      </c>
      <c r="T171" t="s">
        <v>107</v>
      </c>
      <c r="U171" t="s">
        <v>68</v>
      </c>
      <c r="V171">
        <v>0</v>
      </c>
      <c r="W171" t="s">
        <v>69</v>
      </c>
      <c r="X171" s="5">
        <v>46212</v>
      </c>
      <c r="Y171" t="s">
        <v>90</v>
      </c>
      <c r="Z171" t="s">
        <v>68</v>
      </c>
      <c r="AA171">
        <v>9400</v>
      </c>
      <c r="AB171">
        <v>0</v>
      </c>
      <c r="AC171" t="s">
        <v>489</v>
      </c>
      <c r="AD171" t="s">
        <v>68</v>
      </c>
      <c r="AE171">
        <v>0</v>
      </c>
      <c r="AF171" s="1"/>
      <c r="AG171" s="1"/>
      <c r="AH171">
        <v>0</v>
      </c>
      <c r="AI171">
        <v>3</v>
      </c>
      <c r="AJ171">
        <v>0</v>
      </c>
      <c r="AK171" t="s">
        <v>490</v>
      </c>
      <c r="AL171" t="s">
        <v>71</v>
      </c>
      <c r="AM171" t="s">
        <v>68</v>
      </c>
      <c r="AN171">
        <v>0</v>
      </c>
      <c r="AO171" s="1"/>
      <c r="AQ171">
        <v>0</v>
      </c>
      <c r="AR171">
        <v>0</v>
      </c>
      <c r="AS171" t="s">
        <v>72</v>
      </c>
      <c r="AT171" t="s">
        <v>68</v>
      </c>
      <c r="AU171">
        <v>1</v>
      </c>
      <c r="AV171" t="s">
        <v>1383</v>
      </c>
      <c r="AW171">
        <v>0</v>
      </c>
      <c r="AX171" s="1">
        <v>45961.424942129626</v>
      </c>
      <c r="AY171">
        <v>2500</v>
      </c>
      <c r="AZ171" t="s">
        <v>68</v>
      </c>
      <c r="BA171" t="s">
        <v>65</v>
      </c>
      <c r="BB171" t="s">
        <v>68</v>
      </c>
      <c r="BC171" t="s">
        <v>68</v>
      </c>
      <c r="BD171">
        <v>0</v>
      </c>
      <c r="BE171" s="1">
        <v>46209.422800925924</v>
      </c>
      <c r="BF171" s="1">
        <v>46217.006099537037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68</v>
      </c>
      <c r="BN171" t="s">
        <v>68</v>
      </c>
      <c r="BO171" t="s">
        <v>96</v>
      </c>
      <c r="BP171">
        <v>0</v>
      </c>
      <c r="BQ171" t="s">
        <v>68</v>
      </c>
      <c r="BR171" t="s">
        <v>68</v>
      </c>
      <c r="BS171" t="s">
        <v>68</v>
      </c>
    </row>
    <row r="172" spans="1:71" x14ac:dyDescent="0.35">
      <c r="A172" t="b">
        <f>ISNUMBER(MATCH(ChargentOrders[[#This Row],[Contract__c]],Contract[Id],0))</f>
        <v>1</v>
      </c>
      <c r="B172">
        <f>IFERROR(INDEX(Contract[CB_Subscription__c],MATCH(ChargentOrders[[#This Row],[Contract__c]],Contract[Id],0)),0)</f>
        <v>0</v>
      </c>
      <c r="C172" t="b">
        <f>ISNUMBER(MATCH(ChargentOrders[[#This Row],[Id]],Claude[Id],0))</f>
        <v>1</v>
      </c>
      <c r="D172" t="b">
        <f>AND(ChargentOrders[[#This Row],[_Contract]],ChargentOrders[[#This Row],[CB Subscription]]=0)</f>
        <v>1</v>
      </c>
      <c r="E172" s="38">
        <f>INDEX(Table5[CUENTA],MATCH(ChargentOrders[[#This Row],[Contract__c]],Table5[SM_Contract__c],0))</f>
        <v>46081</v>
      </c>
      <c r="F172" s="38" t="str">
        <f ca="1">INDEX(Table5[ESTADO],MATCH(ChargentOrders[[#This Row],[Contract__c]],Table5[SM_Contract__c],0))</f>
        <v>DEBE 5</v>
      </c>
      <c r="G172" t="s">
        <v>1384</v>
      </c>
      <c r="H172" t="s">
        <v>81</v>
      </c>
      <c r="I172" t="s">
        <v>1385</v>
      </c>
      <c r="J172" s="1">
        <v>46203.417361111111</v>
      </c>
      <c r="K172">
        <v>10</v>
      </c>
      <c r="L172">
        <v>2029</v>
      </c>
      <c r="M172" t="s">
        <v>1412</v>
      </c>
      <c r="N172">
        <v>10</v>
      </c>
      <c r="O172" t="s">
        <v>1466</v>
      </c>
      <c r="P172" t="s">
        <v>73</v>
      </c>
      <c r="Q172">
        <v>2029</v>
      </c>
      <c r="R172">
        <v>9400</v>
      </c>
      <c r="T172" t="s">
        <v>67</v>
      </c>
      <c r="U172" t="s">
        <v>68</v>
      </c>
      <c r="V172">
        <v>0</v>
      </c>
      <c r="W172" t="s">
        <v>69</v>
      </c>
      <c r="X172" s="5">
        <v>46212</v>
      </c>
      <c r="Y172" t="s">
        <v>84</v>
      </c>
      <c r="Z172" t="s">
        <v>68</v>
      </c>
      <c r="AA172">
        <v>9400</v>
      </c>
      <c r="AB172">
        <v>0</v>
      </c>
      <c r="AC172" t="s">
        <v>515</v>
      </c>
      <c r="AD172" t="s">
        <v>68</v>
      </c>
      <c r="AE172">
        <v>0</v>
      </c>
      <c r="AF172" s="1"/>
      <c r="AG172" s="1"/>
      <c r="AH172">
        <v>0</v>
      </c>
      <c r="AI172">
        <v>2</v>
      </c>
      <c r="AJ172">
        <v>0</v>
      </c>
      <c r="AK172" t="s">
        <v>516</v>
      </c>
      <c r="AL172" t="s">
        <v>71</v>
      </c>
      <c r="AM172" t="s">
        <v>68</v>
      </c>
      <c r="AN172">
        <v>0</v>
      </c>
      <c r="AO172" s="1"/>
      <c r="AQ172">
        <v>0</v>
      </c>
      <c r="AR172">
        <v>0</v>
      </c>
      <c r="AS172" t="s">
        <v>72</v>
      </c>
      <c r="AT172" t="s">
        <v>68</v>
      </c>
      <c r="AU172">
        <v>1</v>
      </c>
      <c r="AV172" t="s">
        <v>1386</v>
      </c>
      <c r="AW172">
        <v>0</v>
      </c>
      <c r="AX172" s="1">
        <v>45982.878946759258</v>
      </c>
      <c r="AY172">
        <v>2500</v>
      </c>
      <c r="AZ172" t="s">
        <v>68</v>
      </c>
      <c r="BA172" t="s">
        <v>65</v>
      </c>
      <c r="BB172" t="s">
        <v>68</v>
      </c>
      <c r="BC172" t="s">
        <v>68</v>
      </c>
      <c r="BD172">
        <v>0</v>
      </c>
      <c r="BE172" s="1">
        <v>46209.422881944447</v>
      </c>
      <c r="BF172" s="1">
        <v>46209.422881944447</v>
      </c>
      <c r="BG172" t="s">
        <v>68</v>
      </c>
      <c r="BH172" t="s">
        <v>68</v>
      </c>
      <c r="BI172" t="s">
        <v>68</v>
      </c>
      <c r="BJ172" t="s">
        <v>68</v>
      </c>
      <c r="BK172" t="s">
        <v>68</v>
      </c>
      <c r="BL172" t="s">
        <v>68</v>
      </c>
      <c r="BM172" t="s">
        <v>68</v>
      </c>
      <c r="BN172" t="s">
        <v>68</v>
      </c>
      <c r="BO172" t="s">
        <v>96</v>
      </c>
      <c r="BP172">
        <v>0</v>
      </c>
      <c r="BQ172" t="s">
        <v>68</v>
      </c>
      <c r="BR172" t="s">
        <v>68</v>
      </c>
      <c r="BS172" t="s">
        <v>68</v>
      </c>
    </row>
    <row r="173" spans="1:71" x14ac:dyDescent="0.35">
      <c r="A173" t="b">
        <f>ISNUMBER(MATCH(ChargentOrders[[#This Row],[Contract__c]],Contract[Id],0))</f>
        <v>1</v>
      </c>
      <c r="B173">
        <f>IFERROR(INDEX(Contract[CB_Subscription__c],MATCH(ChargentOrders[[#This Row],[Contract__c]],Contract[Id],0)),0)</f>
        <v>0</v>
      </c>
      <c r="C173" t="b">
        <f>ISNUMBER(MATCH(ChargentOrders[[#This Row],[Id]],Claude[Id],0))</f>
        <v>1</v>
      </c>
      <c r="D173" t="b">
        <f>AND(ChargentOrders[[#This Row],[_Contract]],ChargentOrders[[#This Row],[CB Subscription]]=0)</f>
        <v>1</v>
      </c>
      <c r="E173" s="38">
        <f>INDEX(Table5[CUENTA],MATCH(ChargentOrders[[#This Row],[Contract__c]],Table5[SM_Contract__c],0))</f>
        <v>46096</v>
      </c>
      <c r="F173" s="38" t="str">
        <f ca="1">INDEX(Table5[ESTADO],MATCH(ChargentOrders[[#This Row],[Contract__c]],Table5[SM_Contract__c],0))</f>
        <v>DEBE 4</v>
      </c>
      <c r="G173" t="s">
        <v>329</v>
      </c>
      <c r="H173" t="s">
        <v>155</v>
      </c>
      <c r="I173" t="s">
        <v>330</v>
      </c>
      <c r="J173" s="1">
        <v>45792.891296296293</v>
      </c>
      <c r="K173">
        <v>3</v>
      </c>
      <c r="L173">
        <v>2026</v>
      </c>
      <c r="M173" t="s">
        <v>1434</v>
      </c>
      <c r="N173">
        <v>3</v>
      </c>
      <c r="O173" t="s">
        <v>68</v>
      </c>
      <c r="P173" t="s">
        <v>73</v>
      </c>
      <c r="Q173">
        <v>2026</v>
      </c>
      <c r="R173">
        <v>0</v>
      </c>
      <c r="T173" t="s">
        <v>107</v>
      </c>
      <c r="U173" t="s">
        <v>68</v>
      </c>
      <c r="V173">
        <v>0</v>
      </c>
      <c r="W173" t="s">
        <v>69</v>
      </c>
      <c r="X173" s="5"/>
      <c r="Y173" t="s">
        <v>68</v>
      </c>
      <c r="Z173" t="s">
        <v>68</v>
      </c>
      <c r="AA173">
        <v>0</v>
      </c>
      <c r="AC173" t="s">
        <v>331</v>
      </c>
      <c r="AD173" t="s">
        <v>68</v>
      </c>
      <c r="AE173">
        <v>0</v>
      </c>
      <c r="AF173" s="1"/>
      <c r="AG173" s="1">
        <v>45792.891319444447</v>
      </c>
      <c r="AH173">
        <v>0</v>
      </c>
      <c r="AI173">
        <v>1</v>
      </c>
      <c r="AJ173">
        <v>0</v>
      </c>
      <c r="AK173" t="s">
        <v>332</v>
      </c>
      <c r="AL173" t="s">
        <v>68</v>
      </c>
      <c r="AM173" t="s">
        <v>68</v>
      </c>
      <c r="AN173">
        <v>0</v>
      </c>
      <c r="AO173" s="1"/>
      <c r="AP173">
        <v>1</v>
      </c>
      <c r="AS173" t="s">
        <v>75</v>
      </c>
      <c r="AT173" t="s">
        <v>68</v>
      </c>
      <c r="AU173">
        <v>0</v>
      </c>
      <c r="AV173" t="s">
        <v>68</v>
      </c>
      <c r="AW173">
        <v>0</v>
      </c>
      <c r="AX173" s="1"/>
      <c r="AZ173" t="s">
        <v>68</v>
      </c>
      <c r="BA173" t="s">
        <v>68</v>
      </c>
      <c r="BB173" t="s">
        <v>68</v>
      </c>
      <c r="BC173" t="s">
        <v>68</v>
      </c>
      <c r="BD173">
        <v>0</v>
      </c>
      <c r="BE173" s="1"/>
      <c r="BF173" s="1">
        <v>45792.891319444447</v>
      </c>
      <c r="BG173" t="s">
        <v>68</v>
      </c>
      <c r="BH173" t="s">
        <v>68</v>
      </c>
      <c r="BI173" t="s">
        <v>68</v>
      </c>
      <c r="BJ173" t="s">
        <v>68</v>
      </c>
      <c r="BK173" t="s">
        <v>68</v>
      </c>
      <c r="BL173" t="s">
        <v>68</v>
      </c>
      <c r="BM173" t="s">
        <v>68</v>
      </c>
      <c r="BN173" t="s">
        <v>68</v>
      </c>
      <c r="BO173" t="s">
        <v>96</v>
      </c>
      <c r="BP173">
        <v>0</v>
      </c>
      <c r="BQ173" t="s">
        <v>68</v>
      </c>
      <c r="BR173" t="s">
        <v>68</v>
      </c>
      <c r="BS173" t="s">
        <v>68</v>
      </c>
    </row>
    <row r="174" spans="1:71" x14ac:dyDescent="0.35">
      <c r="A174" t="b">
        <f>ISNUMBER(MATCH(ChargentOrders[[#This Row],[Contract__c]],Contract[Id],0))</f>
        <v>1</v>
      </c>
      <c r="B174">
        <f>IFERROR(INDEX(Contract[CB_Subscription__c],MATCH(ChargentOrders[[#This Row],[Contract__c]],Contract[Id],0)),0)</f>
        <v>0</v>
      </c>
      <c r="C174" t="b">
        <f>ISNUMBER(MATCH(ChargentOrders[[#This Row],[Id]],Claude[Id],0))</f>
        <v>1</v>
      </c>
      <c r="D174" t="b">
        <f>AND(ChargentOrders[[#This Row],[_Contract]],ChargentOrders[[#This Row],[CB Subscription]]=0)</f>
        <v>1</v>
      </c>
      <c r="E174" s="38">
        <f>INDEX(Table5[CUENTA],MATCH(ChargentOrders[[#This Row],[Contract__c]],Table5[SM_Contract__c],0))</f>
        <v>46096</v>
      </c>
      <c r="F174" s="38" t="str">
        <f ca="1">INDEX(Table5[ESTADO],MATCH(ChargentOrders[[#This Row],[Contract__c]],Table5[SM_Contract__c],0))</f>
        <v>DEBE 4</v>
      </c>
      <c r="G174" t="s">
        <v>333</v>
      </c>
      <c r="H174" t="s">
        <v>155</v>
      </c>
      <c r="I174" t="s">
        <v>334</v>
      </c>
      <c r="J174" s="1">
        <v>45792.891423611109</v>
      </c>
      <c r="K174">
        <v>3</v>
      </c>
      <c r="L174">
        <v>2026</v>
      </c>
      <c r="M174" t="s">
        <v>1434</v>
      </c>
      <c r="N174">
        <v>3</v>
      </c>
      <c r="O174" t="s">
        <v>68</v>
      </c>
      <c r="P174" t="s">
        <v>73</v>
      </c>
      <c r="Q174">
        <v>2026</v>
      </c>
      <c r="R174">
        <v>11039</v>
      </c>
      <c r="T174" t="s">
        <v>107</v>
      </c>
      <c r="U174" t="s">
        <v>68</v>
      </c>
      <c r="V174">
        <v>0</v>
      </c>
      <c r="W174" t="s">
        <v>69</v>
      </c>
      <c r="X174" s="5">
        <v>45792</v>
      </c>
      <c r="Y174" t="s">
        <v>74</v>
      </c>
      <c r="Z174" t="s">
        <v>68</v>
      </c>
      <c r="AA174">
        <v>9900</v>
      </c>
      <c r="AB174">
        <v>11385</v>
      </c>
      <c r="AC174" t="s">
        <v>331</v>
      </c>
      <c r="AD174" t="s">
        <v>68</v>
      </c>
      <c r="AE174">
        <v>0</v>
      </c>
      <c r="AF174" s="1">
        <v>45792.891689814816</v>
      </c>
      <c r="AG174" s="1">
        <v>45792.891689814816</v>
      </c>
      <c r="AH174">
        <v>1</v>
      </c>
      <c r="AI174">
        <v>1</v>
      </c>
      <c r="AJ174">
        <v>11039</v>
      </c>
      <c r="AK174" t="s">
        <v>332</v>
      </c>
      <c r="AL174" t="s">
        <v>77</v>
      </c>
      <c r="AM174" t="s">
        <v>68</v>
      </c>
      <c r="AN174">
        <v>0</v>
      </c>
      <c r="AO174" s="1"/>
      <c r="AP174">
        <v>1</v>
      </c>
      <c r="AQ174">
        <v>100</v>
      </c>
      <c r="AR174">
        <v>1050</v>
      </c>
      <c r="AS174" t="s">
        <v>75</v>
      </c>
      <c r="AT174" t="s">
        <v>68</v>
      </c>
      <c r="AU174">
        <v>0</v>
      </c>
      <c r="AV174" t="s">
        <v>68</v>
      </c>
      <c r="AW174">
        <v>0</v>
      </c>
      <c r="AX174" s="1"/>
      <c r="AZ174" t="s">
        <v>68</v>
      </c>
      <c r="BA174" t="s">
        <v>68</v>
      </c>
      <c r="BB174" t="s">
        <v>68</v>
      </c>
      <c r="BC174" t="s">
        <v>68</v>
      </c>
      <c r="BD174">
        <v>0</v>
      </c>
      <c r="BE174" s="1"/>
      <c r="BF174" s="1">
        <v>45792.891689814816</v>
      </c>
      <c r="BG174" t="s">
        <v>68</v>
      </c>
      <c r="BH174" t="s">
        <v>68</v>
      </c>
      <c r="BI174" t="s">
        <v>68</v>
      </c>
      <c r="BJ174" t="s">
        <v>68</v>
      </c>
      <c r="BK174" t="s">
        <v>68</v>
      </c>
      <c r="BL174" t="s">
        <v>68</v>
      </c>
      <c r="BM174" t="s">
        <v>68</v>
      </c>
      <c r="BN174" t="s">
        <v>68</v>
      </c>
      <c r="BO174" t="s">
        <v>96</v>
      </c>
      <c r="BP174">
        <v>0</v>
      </c>
      <c r="BQ174" t="s">
        <v>68</v>
      </c>
      <c r="BR174" t="s">
        <v>68</v>
      </c>
      <c r="BS174" t="s">
        <v>68</v>
      </c>
    </row>
    <row r="175" spans="1:71" x14ac:dyDescent="0.35">
      <c r="A175" t="b">
        <f>ISNUMBER(MATCH(ChargentOrders[[#This Row],[Contract__c]],Contract[Id],0))</f>
        <v>1</v>
      </c>
      <c r="B175">
        <f>IFERROR(INDEX(Contract[CB_Subscription__c],MATCH(ChargentOrders[[#This Row],[Contract__c]],Contract[Id],0)),0)</f>
        <v>0</v>
      </c>
      <c r="C175" t="b">
        <f>ISNUMBER(MATCH(ChargentOrders[[#This Row],[Id]],Claude[Id],0))</f>
        <v>1</v>
      </c>
      <c r="D175" t="b">
        <f>AND(ChargentOrders[[#This Row],[_Contract]],ChargentOrders[[#This Row],[CB Subscription]]=0)</f>
        <v>1</v>
      </c>
      <c r="E175" s="38">
        <f>INDEX(Table5[CUENTA],MATCH(ChargentOrders[[#This Row],[Contract__c]],Table5[SM_Contract__c],0))</f>
        <v>46096</v>
      </c>
      <c r="F175" s="38" t="str">
        <f ca="1">INDEX(Table5[ESTADO],MATCH(ChargentOrders[[#This Row],[Contract__c]],Table5[SM_Contract__c],0))</f>
        <v>DEBE 4</v>
      </c>
      <c r="G175" t="s">
        <v>335</v>
      </c>
      <c r="H175" t="s">
        <v>155</v>
      </c>
      <c r="I175" t="s">
        <v>336</v>
      </c>
      <c r="J175" s="1">
        <v>45792.891712962963</v>
      </c>
      <c r="K175">
        <v>3</v>
      </c>
      <c r="L175">
        <v>2026</v>
      </c>
      <c r="M175" t="s">
        <v>1434</v>
      </c>
      <c r="N175">
        <v>3</v>
      </c>
      <c r="O175" t="s">
        <v>68</v>
      </c>
      <c r="P175" t="s">
        <v>73</v>
      </c>
      <c r="Q175">
        <v>2026</v>
      </c>
      <c r="R175">
        <v>990</v>
      </c>
      <c r="S175">
        <v>15</v>
      </c>
      <c r="T175" t="s">
        <v>107</v>
      </c>
      <c r="U175" t="s">
        <v>68</v>
      </c>
      <c r="V175">
        <v>0</v>
      </c>
      <c r="W175" t="s">
        <v>69</v>
      </c>
      <c r="X175" s="5">
        <v>46218</v>
      </c>
      <c r="Y175" t="s">
        <v>84</v>
      </c>
      <c r="Z175" t="s">
        <v>68</v>
      </c>
      <c r="AA175">
        <v>990</v>
      </c>
      <c r="AB175">
        <v>0</v>
      </c>
      <c r="AC175" t="s">
        <v>331</v>
      </c>
      <c r="AD175" t="s">
        <v>68</v>
      </c>
      <c r="AE175">
        <v>0</v>
      </c>
      <c r="AF175" s="1">
        <v>46094.417939814812</v>
      </c>
      <c r="AG175" s="1">
        <v>46094.417962962965</v>
      </c>
      <c r="AH175">
        <v>9</v>
      </c>
      <c r="AI175">
        <v>10</v>
      </c>
      <c r="AJ175">
        <v>93656</v>
      </c>
      <c r="AK175" t="s">
        <v>332</v>
      </c>
      <c r="AL175" t="s">
        <v>76</v>
      </c>
      <c r="AM175" t="s">
        <v>68</v>
      </c>
      <c r="AN175">
        <v>0</v>
      </c>
      <c r="AO175" s="1"/>
      <c r="AP175">
        <v>11</v>
      </c>
      <c r="AQ175">
        <v>0</v>
      </c>
      <c r="AR175">
        <v>0</v>
      </c>
      <c r="AS175" t="s">
        <v>75</v>
      </c>
      <c r="AT175" t="s">
        <v>68</v>
      </c>
      <c r="AU175">
        <v>0</v>
      </c>
      <c r="AV175" t="s">
        <v>68</v>
      </c>
      <c r="AW175">
        <v>0</v>
      </c>
      <c r="AX175" s="1"/>
      <c r="AZ175" t="s">
        <v>68</v>
      </c>
      <c r="BA175" t="s">
        <v>68</v>
      </c>
      <c r="BB175" t="s">
        <v>68</v>
      </c>
      <c r="BC175" t="s">
        <v>68</v>
      </c>
      <c r="BD175">
        <v>0</v>
      </c>
      <c r="BE175" s="1">
        <v>46113.990231481483</v>
      </c>
      <c r="BF175" s="1">
        <v>46113.990231481483</v>
      </c>
      <c r="BG175" t="s">
        <v>68</v>
      </c>
      <c r="BH175" t="s">
        <v>68</v>
      </c>
      <c r="BI175" t="s">
        <v>68</v>
      </c>
      <c r="BJ175" t="s">
        <v>68</v>
      </c>
      <c r="BK175" t="s">
        <v>68</v>
      </c>
      <c r="BL175" t="s">
        <v>68</v>
      </c>
      <c r="BM175" t="s">
        <v>68</v>
      </c>
      <c r="BN175" t="s">
        <v>68</v>
      </c>
      <c r="BO175" t="s">
        <v>96</v>
      </c>
      <c r="BP175">
        <v>0</v>
      </c>
      <c r="BQ175" t="s">
        <v>68</v>
      </c>
      <c r="BR175" t="s">
        <v>68</v>
      </c>
      <c r="BS175" t="s">
        <v>68</v>
      </c>
    </row>
    <row r="176" spans="1:71" x14ac:dyDescent="0.35">
      <c r="A176" t="b">
        <f>ISNUMBER(MATCH(ChargentOrders[[#This Row],[Contract__c]],Contract[Id],0))</f>
        <v>1</v>
      </c>
      <c r="B176">
        <f>IFERROR(INDEX(Contract[CB_Subscription__c],MATCH(ChargentOrders[[#This Row],[Contract__c]],Contract[Id],0)),0)</f>
        <v>0</v>
      </c>
      <c r="C176" t="b">
        <f>ISNUMBER(MATCH(ChargentOrders[[#This Row],[Id]],Claude[Id],0))</f>
        <v>1</v>
      </c>
      <c r="D176" t="b">
        <f>AND(ChargentOrders[[#This Row],[_Contract]],ChargentOrders[[#This Row],[CB Subscription]]=0)</f>
        <v>1</v>
      </c>
      <c r="E176" s="38">
        <f>INDEX(Table5[CUENTA],MATCH(ChargentOrders[[#This Row],[Contract__c]],Table5[SM_Contract__c],0))</f>
        <v>46096</v>
      </c>
      <c r="F176" s="38" t="str">
        <f ca="1">INDEX(Table5[ESTADO],MATCH(ChargentOrders[[#This Row],[Contract__c]],Table5[SM_Contract__c],0))</f>
        <v>DEBE 4</v>
      </c>
      <c r="G176" t="s">
        <v>1068</v>
      </c>
      <c r="H176" t="s">
        <v>155</v>
      </c>
      <c r="I176" t="s">
        <v>1069</v>
      </c>
      <c r="J176" s="1">
        <v>46113.990254629629</v>
      </c>
      <c r="K176">
        <v>3</v>
      </c>
      <c r="L176">
        <v>2026</v>
      </c>
      <c r="M176" t="s">
        <v>1434</v>
      </c>
      <c r="N176">
        <v>3</v>
      </c>
      <c r="O176" t="s">
        <v>68</v>
      </c>
      <c r="P176" t="s">
        <v>73</v>
      </c>
      <c r="Q176">
        <v>2026</v>
      </c>
      <c r="R176">
        <v>1240</v>
      </c>
      <c r="T176" t="s">
        <v>107</v>
      </c>
      <c r="U176" t="s">
        <v>68</v>
      </c>
      <c r="V176">
        <v>0</v>
      </c>
      <c r="W176" t="s">
        <v>69</v>
      </c>
      <c r="X176" s="5">
        <v>46212</v>
      </c>
      <c r="Y176" t="s">
        <v>90</v>
      </c>
      <c r="Z176" t="s">
        <v>68</v>
      </c>
      <c r="AA176">
        <v>12400</v>
      </c>
      <c r="AB176">
        <v>0</v>
      </c>
      <c r="AC176" t="s">
        <v>331</v>
      </c>
      <c r="AD176" t="s">
        <v>68</v>
      </c>
      <c r="AE176">
        <v>0</v>
      </c>
      <c r="AF176" s="1"/>
      <c r="AG176" s="1"/>
      <c r="AH176">
        <v>0</v>
      </c>
      <c r="AI176">
        <v>43</v>
      </c>
      <c r="AJ176">
        <v>0</v>
      </c>
      <c r="AK176" t="s">
        <v>332</v>
      </c>
      <c r="AL176" t="s">
        <v>71</v>
      </c>
      <c r="AM176" t="s">
        <v>68</v>
      </c>
      <c r="AN176">
        <v>0</v>
      </c>
      <c r="AO176" s="1"/>
      <c r="AP176">
        <v>10</v>
      </c>
      <c r="AQ176">
        <v>0</v>
      </c>
      <c r="AR176">
        <v>0</v>
      </c>
      <c r="AS176" t="s">
        <v>72</v>
      </c>
      <c r="AT176" t="s">
        <v>68</v>
      </c>
      <c r="AU176">
        <v>1</v>
      </c>
      <c r="AV176" t="s">
        <v>1070</v>
      </c>
      <c r="AW176">
        <v>0</v>
      </c>
      <c r="AX176" s="1">
        <v>45792.891712962963</v>
      </c>
      <c r="AY176">
        <v>2500</v>
      </c>
      <c r="AZ176" t="s">
        <v>68</v>
      </c>
      <c r="BA176" t="s">
        <v>101</v>
      </c>
      <c r="BB176" t="s">
        <v>68</v>
      </c>
      <c r="BC176" t="s">
        <v>68</v>
      </c>
      <c r="BD176">
        <v>0</v>
      </c>
      <c r="BE176" s="1">
        <v>46217.000775462962</v>
      </c>
      <c r="BF176" s="1">
        <v>46217.000775462962</v>
      </c>
      <c r="BG176" t="s">
        <v>68</v>
      </c>
      <c r="BH176" t="s">
        <v>68</v>
      </c>
      <c r="BI176" t="s">
        <v>68</v>
      </c>
      <c r="BJ176" t="s">
        <v>68</v>
      </c>
      <c r="BK176" t="s">
        <v>68</v>
      </c>
      <c r="BL176" t="s">
        <v>68</v>
      </c>
      <c r="BM176" t="s">
        <v>68</v>
      </c>
      <c r="BN176" t="s">
        <v>68</v>
      </c>
      <c r="BO176" t="s">
        <v>96</v>
      </c>
      <c r="BP176">
        <v>0</v>
      </c>
      <c r="BQ176" t="s">
        <v>68</v>
      </c>
      <c r="BR176" t="s">
        <v>68</v>
      </c>
      <c r="BS176" t="s">
        <v>68</v>
      </c>
    </row>
    <row r="177" spans="1:71" x14ac:dyDescent="0.35">
      <c r="A177" t="b">
        <f>ISNUMBER(MATCH(ChargentOrders[[#This Row],[Contract__c]],Contract[Id],0))</f>
        <v>1</v>
      </c>
      <c r="B177">
        <f>IFERROR(INDEX(Contract[CB_Subscription__c],MATCH(ChargentOrders[[#This Row],[Contract__c]],Contract[Id],0)),0)</f>
        <v>0</v>
      </c>
      <c r="C177" t="b">
        <f>ISNUMBER(MATCH(ChargentOrders[[#This Row],[Id]],Claude[Id],0))</f>
        <v>1</v>
      </c>
      <c r="D177" t="b">
        <f>AND(ChargentOrders[[#This Row],[_Contract]],ChargentOrders[[#This Row],[CB Subscription]]=0)</f>
        <v>1</v>
      </c>
      <c r="E177" s="38">
        <f>INDEX(Table5[CUENTA],MATCH(ChargentOrders[[#This Row],[Contract__c]],Table5[SM_Contract__c],0))</f>
        <v>46106</v>
      </c>
      <c r="F177" s="38" t="str">
        <f ca="1">INDEX(Table5[ESTADO],MATCH(ChargentOrders[[#This Row],[Contract__c]],Table5[SM_Contract__c],0))</f>
        <v>DEBE 4</v>
      </c>
      <c r="G177" t="s">
        <v>750</v>
      </c>
      <c r="H177" t="s">
        <v>155</v>
      </c>
      <c r="I177" t="s">
        <v>751</v>
      </c>
      <c r="J177" s="1">
        <v>46037.776550925926</v>
      </c>
      <c r="K177">
        <v>7</v>
      </c>
      <c r="L177">
        <v>2030</v>
      </c>
      <c r="M177" t="s">
        <v>1496</v>
      </c>
      <c r="N177">
        <v>7</v>
      </c>
      <c r="O177" t="s">
        <v>1497</v>
      </c>
      <c r="P177" t="s">
        <v>73</v>
      </c>
      <c r="Q177">
        <v>2030</v>
      </c>
      <c r="R177">
        <v>0</v>
      </c>
      <c r="T177" t="s">
        <v>67</v>
      </c>
      <c r="U177" t="s">
        <v>68</v>
      </c>
      <c r="V177">
        <v>0</v>
      </c>
      <c r="W177" t="s">
        <v>69</v>
      </c>
      <c r="X177" s="5"/>
      <c r="Y177" t="s">
        <v>68</v>
      </c>
      <c r="Z177" t="s">
        <v>68</v>
      </c>
      <c r="AA177">
        <v>0</v>
      </c>
      <c r="AC177" t="s">
        <v>68</v>
      </c>
      <c r="AD177" t="s">
        <v>68</v>
      </c>
      <c r="AE177">
        <v>0</v>
      </c>
      <c r="AF177" s="1"/>
      <c r="AG177" s="1"/>
      <c r="AH177">
        <v>0</v>
      </c>
      <c r="AI177">
        <v>1</v>
      </c>
      <c r="AJ177">
        <v>0</v>
      </c>
      <c r="AK177" t="s">
        <v>752</v>
      </c>
      <c r="AL177" t="s">
        <v>68</v>
      </c>
      <c r="AM177" t="s">
        <v>68</v>
      </c>
      <c r="AN177">
        <v>0</v>
      </c>
      <c r="AO177" s="1"/>
      <c r="AP177">
        <v>1</v>
      </c>
      <c r="AS177" t="s">
        <v>75</v>
      </c>
      <c r="AT177" t="s">
        <v>68</v>
      </c>
      <c r="AU177">
        <v>0</v>
      </c>
      <c r="AV177" t="s">
        <v>68</v>
      </c>
      <c r="AW177">
        <v>1</v>
      </c>
      <c r="AX177" s="1"/>
      <c r="AZ177" t="s">
        <v>68</v>
      </c>
      <c r="BA177" t="s">
        <v>68</v>
      </c>
      <c r="BB177" t="s">
        <v>68</v>
      </c>
      <c r="BC177" t="s">
        <v>68</v>
      </c>
      <c r="BD177">
        <v>0</v>
      </c>
      <c r="BE177" s="1">
        <v>46037.776574074072</v>
      </c>
      <c r="BF177" s="1">
        <v>46037.776574074072</v>
      </c>
      <c r="BG177" t="s">
        <v>68</v>
      </c>
      <c r="BH177" t="s">
        <v>68</v>
      </c>
      <c r="BI177" t="s">
        <v>68</v>
      </c>
      <c r="BJ177" t="s">
        <v>68</v>
      </c>
      <c r="BK177" t="s">
        <v>68</v>
      </c>
      <c r="BL177" t="s">
        <v>68</v>
      </c>
      <c r="BM177" t="s">
        <v>68</v>
      </c>
      <c r="BN177" t="s">
        <v>68</v>
      </c>
      <c r="BO177" t="s">
        <v>96</v>
      </c>
      <c r="BP177">
        <v>0</v>
      </c>
      <c r="BQ177" t="s">
        <v>68</v>
      </c>
      <c r="BR177" t="s">
        <v>68</v>
      </c>
      <c r="BS177" t="s">
        <v>68</v>
      </c>
    </row>
    <row r="178" spans="1:71" x14ac:dyDescent="0.35">
      <c r="A178" t="b">
        <f>ISNUMBER(MATCH(ChargentOrders[[#This Row],[Contract__c]],Contract[Id],0))</f>
        <v>1</v>
      </c>
      <c r="B178">
        <f>IFERROR(INDEX(Contract[CB_Subscription__c],MATCH(ChargentOrders[[#This Row],[Contract__c]],Contract[Id],0)),0)</f>
        <v>0</v>
      </c>
      <c r="C178" t="b">
        <f>ISNUMBER(MATCH(ChargentOrders[[#This Row],[Id]],Claude[Id],0))</f>
        <v>1</v>
      </c>
      <c r="D178" t="b">
        <f>AND(ChargentOrders[[#This Row],[_Contract]],ChargentOrders[[#This Row],[CB Subscription]]=0)</f>
        <v>1</v>
      </c>
      <c r="E178" s="38">
        <f>INDEX(Table5[CUENTA],MATCH(ChargentOrders[[#This Row],[Contract__c]],Table5[SM_Contract__c],0))</f>
        <v>46106</v>
      </c>
      <c r="F178" s="38" t="str">
        <f ca="1">INDEX(Table5[ESTADO],MATCH(ChargentOrders[[#This Row],[Contract__c]],Table5[SM_Contract__c],0))</f>
        <v>DEBE 4</v>
      </c>
      <c r="G178" t="s">
        <v>753</v>
      </c>
      <c r="H178" t="s">
        <v>155</v>
      </c>
      <c r="I178" t="s">
        <v>754</v>
      </c>
      <c r="J178" s="1">
        <v>46037.777349537035</v>
      </c>
      <c r="K178">
        <v>7</v>
      </c>
      <c r="L178">
        <v>2030</v>
      </c>
      <c r="M178" t="s">
        <v>1496</v>
      </c>
      <c r="N178">
        <v>7</v>
      </c>
      <c r="O178" t="s">
        <v>1497</v>
      </c>
      <c r="P178" t="s">
        <v>73</v>
      </c>
      <c r="Q178">
        <v>2030</v>
      </c>
      <c r="R178">
        <v>0</v>
      </c>
      <c r="T178" t="s">
        <v>67</v>
      </c>
      <c r="U178" t="s">
        <v>68</v>
      </c>
      <c r="V178">
        <v>0</v>
      </c>
      <c r="W178" t="s">
        <v>69</v>
      </c>
      <c r="X178" s="5"/>
      <c r="Y178" t="s">
        <v>68</v>
      </c>
      <c r="Z178" t="s">
        <v>68</v>
      </c>
      <c r="AA178">
        <v>0</v>
      </c>
      <c r="AC178" t="s">
        <v>755</v>
      </c>
      <c r="AD178" t="s">
        <v>68</v>
      </c>
      <c r="AE178">
        <v>0</v>
      </c>
      <c r="AF178" s="1"/>
      <c r="AG178" s="1">
        <v>46037.777372685188</v>
      </c>
      <c r="AH178">
        <v>0</v>
      </c>
      <c r="AI178">
        <v>1</v>
      </c>
      <c r="AJ178">
        <v>0</v>
      </c>
      <c r="AK178" t="s">
        <v>752</v>
      </c>
      <c r="AL178" t="s">
        <v>68</v>
      </c>
      <c r="AM178" t="s">
        <v>68</v>
      </c>
      <c r="AN178">
        <v>0</v>
      </c>
      <c r="AO178" s="1"/>
      <c r="AP178">
        <v>1</v>
      </c>
      <c r="AS178" t="s">
        <v>75</v>
      </c>
      <c r="AT178" t="s">
        <v>68</v>
      </c>
      <c r="AU178">
        <v>0</v>
      </c>
      <c r="AV178" t="s">
        <v>68</v>
      </c>
      <c r="AW178">
        <v>1</v>
      </c>
      <c r="AX178" s="1"/>
      <c r="AZ178" t="s">
        <v>68</v>
      </c>
      <c r="BA178" t="s">
        <v>68</v>
      </c>
      <c r="BB178" t="s">
        <v>68</v>
      </c>
      <c r="BC178" t="s">
        <v>68</v>
      </c>
      <c r="BD178">
        <v>0</v>
      </c>
      <c r="BE178" s="1"/>
      <c r="BF178" s="1">
        <v>46037.777372685188</v>
      </c>
      <c r="BG178" t="s">
        <v>68</v>
      </c>
      <c r="BH178" t="s">
        <v>68</v>
      </c>
      <c r="BI178" t="s">
        <v>68</v>
      </c>
      <c r="BJ178" t="s">
        <v>68</v>
      </c>
      <c r="BK178" t="s">
        <v>68</v>
      </c>
      <c r="BL178" t="s">
        <v>68</v>
      </c>
      <c r="BM178" t="s">
        <v>68</v>
      </c>
      <c r="BN178" t="s">
        <v>68</v>
      </c>
      <c r="BO178" t="s">
        <v>96</v>
      </c>
      <c r="BP178">
        <v>0</v>
      </c>
      <c r="BQ178" t="s">
        <v>68</v>
      </c>
      <c r="BR178" t="s">
        <v>68</v>
      </c>
      <c r="BS178" t="s">
        <v>68</v>
      </c>
    </row>
    <row r="179" spans="1:71" x14ac:dyDescent="0.35">
      <c r="A179" t="b">
        <f>ISNUMBER(MATCH(ChargentOrders[[#This Row],[Contract__c]],Contract[Id],0))</f>
        <v>1</v>
      </c>
      <c r="B179">
        <f>IFERROR(INDEX(Contract[CB_Subscription__c],MATCH(ChargentOrders[[#This Row],[Contract__c]],Contract[Id],0)),0)</f>
        <v>0</v>
      </c>
      <c r="C179" t="b">
        <f>ISNUMBER(MATCH(ChargentOrders[[#This Row],[Id]],Claude[Id],0))</f>
        <v>1</v>
      </c>
      <c r="D179" t="b">
        <f>AND(ChargentOrders[[#This Row],[_Contract]],ChargentOrders[[#This Row],[CB Subscription]]=0)</f>
        <v>1</v>
      </c>
      <c r="E179" s="38">
        <f>INDEX(Table5[CUENTA],MATCH(ChargentOrders[[#This Row],[Contract__c]],Table5[SM_Contract__c],0))</f>
        <v>46106</v>
      </c>
      <c r="F179" s="38" t="str">
        <f ca="1">INDEX(Table5[ESTADO],MATCH(ChargentOrders[[#This Row],[Contract__c]],Table5[SM_Contract__c],0))</f>
        <v>DEBE 4</v>
      </c>
      <c r="G179" t="s">
        <v>756</v>
      </c>
      <c r="H179" t="s">
        <v>155</v>
      </c>
      <c r="I179" t="s">
        <v>757</v>
      </c>
      <c r="J179" s="1">
        <v>46037.777997685182</v>
      </c>
      <c r="K179">
        <v>7</v>
      </c>
      <c r="L179">
        <v>2030</v>
      </c>
      <c r="M179" t="s">
        <v>1496</v>
      </c>
      <c r="N179">
        <v>7</v>
      </c>
      <c r="O179" t="s">
        <v>1497</v>
      </c>
      <c r="P179" t="s">
        <v>73</v>
      </c>
      <c r="Q179">
        <v>2030</v>
      </c>
      <c r="R179">
        <v>9900</v>
      </c>
      <c r="T179" t="s">
        <v>67</v>
      </c>
      <c r="U179" t="s">
        <v>68</v>
      </c>
      <c r="V179">
        <v>0</v>
      </c>
      <c r="W179" t="s">
        <v>69</v>
      </c>
      <c r="X179" s="5">
        <v>46043</v>
      </c>
      <c r="Y179" t="s">
        <v>74</v>
      </c>
      <c r="Z179" t="s">
        <v>68</v>
      </c>
      <c r="AA179">
        <v>9900</v>
      </c>
      <c r="AB179">
        <v>0</v>
      </c>
      <c r="AC179" t="s">
        <v>755</v>
      </c>
      <c r="AD179" t="s">
        <v>68</v>
      </c>
      <c r="AE179">
        <v>0</v>
      </c>
      <c r="AF179" s="1"/>
      <c r="AG179" s="1"/>
      <c r="AH179">
        <v>0</v>
      </c>
      <c r="AI179">
        <v>1</v>
      </c>
      <c r="AJ179">
        <v>0</v>
      </c>
      <c r="AK179" t="s">
        <v>752</v>
      </c>
      <c r="AL179" t="s">
        <v>77</v>
      </c>
      <c r="AM179" t="s">
        <v>68</v>
      </c>
      <c r="AN179">
        <v>0</v>
      </c>
      <c r="AO179" s="1"/>
      <c r="AP179">
        <v>1</v>
      </c>
      <c r="AQ179">
        <v>0</v>
      </c>
      <c r="AR179">
        <v>0</v>
      </c>
      <c r="AS179" t="s">
        <v>75</v>
      </c>
      <c r="AT179" t="s">
        <v>68</v>
      </c>
      <c r="AU179">
        <v>0</v>
      </c>
      <c r="AV179" t="s">
        <v>68</v>
      </c>
      <c r="AW179">
        <v>0</v>
      </c>
      <c r="AX179" s="1"/>
      <c r="AZ179" t="s">
        <v>68</v>
      </c>
      <c r="BA179" t="s">
        <v>68</v>
      </c>
      <c r="BB179" t="s">
        <v>68</v>
      </c>
      <c r="BC179" t="s">
        <v>68</v>
      </c>
      <c r="BD179">
        <v>0</v>
      </c>
      <c r="BE179" s="1">
        <v>46043.417500000003</v>
      </c>
      <c r="BF179" s="1">
        <v>46043.417500000003</v>
      </c>
      <c r="BG179" t="s">
        <v>68</v>
      </c>
      <c r="BH179" t="s">
        <v>68</v>
      </c>
      <c r="BI179" t="s">
        <v>68</v>
      </c>
      <c r="BJ179" t="s">
        <v>68</v>
      </c>
      <c r="BK179" t="s">
        <v>68</v>
      </c>
      <c r="BL179" t="s">
        <v>68</v>
      </c>
      <c r="BM179" t="s">
        <v>68</v>
      </c>
      <c r="BN179" t="s">
        <v>68</v>
      </c>
      <c r="BO179" t="s">
        <v>96</v>
      </c>
      <c r="BP179">
        <v>0</v>
      </c>
      <c r="BQ179" t="s">
        <v>68</v>
      </c>
      <c r="BR179" t="s">
        <v>68</v>
      </c>
      <c r="BS179" t="s">
        <v>68</v>
      </c>
    </row>
    <row r="180" spans="1:71" x14ac:dyDescent="0.35">
      <c r="A180" t="b">
        <f>ISNUMBER(MATCH(ChargentOrders[[#This Row],[Contract__c]],Contract[Id],0))</f>
        <v>1</v>
      </c>
      <c r="B180">
        <f>IFERROR(INDEX(Contract[CB_Subscription__c],MATCH(ChargentOrders[[#This Row],[Contract__c]],Contract[Id],0)),0)</f>
        <v>0</v>
      </c>
      <c r="C180" t="b">
        <f>ISNUMBER(MATCH(ChargentOrders[[#This Row],[Id]],Claude[Id],0))</f>
        <v>1</v>
      </c>
      <c r="D180" t="b">
        <f>AND(ChargentOrders[[#This Row],[_Contract]],ChargentOrders[[#This Row],[CB Subscription]]=0)</f>
        <v>1</v>
      </c>
      <c r="E180" s="38">
        <f>INDEX(Table5[CUENTA],MATCH(ChargentOrders[[#This Row],[Contract__c]],Table5[SM_Contract__c],0))</f>
        <v>46106</v>
      </c>
      <c r="F180" s="38" t="str">
        <f ca="1">INDEX(Table5[ESTADO],MATCH(ChargentOrders[[#This Row],[Contract__c]],Table5[SM_Contract__c],0))</f>
        <v>DEBE 4</v>
      </c>
      <c r="G180" t="s">
        <v>794</v>
      </c>
      <c r="H180" t="s">
        <v>155</v>
      </c>
      <c r="I180" t="s">
        <v>795</v>
      </c>
      <c r="J180" s="1">
        <v>46043.417557870373</v>
      </c>
      <c r="K180">
        <v>7</v>
      </c>
      <c r="L180">
        <v>2030</v>
      </c>
      <c r="M180" t="s">
        <v>1496</v>
      </c>
      <c r="N180">
        <v>7</v>
      </c>
      <c r="O180" t="s">
        <v>1497</v>
      </c>
      <c r="P180" t="s">
        <v>73</v>
      </c>
      <c r="Q180">
        <v>2030</v>
      </c>
      <c r="R180">
        <v>12400</v>
      </c>
      <c r="T180" t="s">
        <v>67</v>
      </c>
      <c r="U180" t="s">
        <v>68</v>
      </c>
      <c r="V180">
        <v>0</v>
      </c>
      <c r="W180" t="s">
        <v>69</v>
      </c>
      <c r="X180" s="5">
        <v>46079</v>
      </c>
      <c r="Y180" t="s">
        <v>74</v>
      </c>
      <c r="Z180" t="s">
        <v>68</v>
      </c>
      <c r="AA180">
        <v>12400</v>
      </c>
      <c r="AB180">
        <v>0</v>
      </c>
      <c r="AC180" t="s">
        <v>755</v>
      </c>
      <c r="AD180" t="s">
        <v>68</v>
      </c>
      <c r="AE180">
        <v>0</v>
      </c>
      <c r="AF180" s="1">
        <v>46079.421990740739</v>
      </c>
      <c r="AG180" s="1">
        <v>46079.422037037039</v>
      </c>
      <c r="AH180">
        <v>1</v>
      </c>
      <c r="AI180">
        <v>15</v>
      </c>
      <c r="AJ180">
        <v>1240</v>
      </c>
      <c r="AK180" t="s">
        <v>752</v>
      </c>
      <c r="AL180" t="s">
        <v>71</v>
      </c>
      <c r="AM180" t="s">
        <v>68</v>
      </c>
      <c r="AN180">
        <v>0</v>
      </c>
      <c r="AO180" s="1"/>
      <c r="AQ180">
        <v>0</v>
      </c>
      <c r="AR180">
        <v>0</v>
      </c>
      <c r="AS180" t="s">
        <v>72</v>
      </c>
      <c r="AT180" t="s">
        <v>68</v>
      </c>
      <c r="AU180">
        <v>1</v>
      </c>
      <c r="AV180" t="s">
        <v>796</v>
      </c>
      <c r="AW180">
        <v>0</v>
      </c>
      <c r="AX180" s="1">
        <v>46037.777997685182</v>
      </c>
      <c r="AY180">
        <v>2500</v>
      </c>
      <c r="AZ180" t="s">
        <v>68</v>
      </c>
      <c r="BA180" t="s">
        <v>65</v>
      </c>
      <c r="BB180" t="s">
        <v>68</v>
      </c>
      <c r="BC180" t="s">
        <v>68</v>
      </c>
      <c r="BD180">
        <v>0</v>
      </c>
      <c r="BE180" s="1">
        <v>46076.422337962962</v>
      </c>
      <c r="BF180" s="1">
        <v>46079.421990740739</v>
      </c>
      <c r="BG180" t="s">
        <v>68</v>
      </c>
      <c r="BH180" t="s">
        <v>68</v>
      </c>
      <c r="BI180" t="s">
        <v>68</v>
      </c>
      <c r="BJ180" t="s">
        <v>68</v>
      </c>
      <c r="BK180" t="s">
        <v>68</v>
      </c>
      <c r="BL180" t="s">
        <v>68</v>
      </c>
      <c r="BM180" t="s">
        <v>68</v>
      </c>
      <c r="BN180" t="s">
        <v>68</v>
      </c>
      <c r="BO180" t="s">
        <v>96</v>
      </c>
      <c r="BP180">
        <v>0</v>
      </c>
      <c r="BQ180" t="s">
        <v>68</v>
      </c>
      <c r="BR180" t="s">
        <v>68</v>
      </c>
      <c r="BS180" t="s">
        <v>68</v>
      </c>
    </row>
    <row r="181" spans="1:71" x14ac:dyDescent="0.35">
      <c r="A181" t="b">
        <f>ISNUMBER(MATCH(ChargentOrders[[#This Row],[Contract__c]],Contract[Id],0))</f>
        <v>1</v>
      </c>
      <c r="B181">
        <f>IFERROR(INDEX(Contract[CB_Subscription__c],MATCH(ChargentOrders[[#This Row],[Contract__c]],Contract[Id],0)),0)</f>
        <v>0</v>
      </c>
      <c r="C181" t="b">
        <f>ISNUMBER(MATCH(ChargentOrders[[#This Row],[Id]],Claude[Id],0))</f>
        <v>1</v>
      </c>
      <c r="D181" t="b">
        <f>AND(ChargentOrders[[#This Row],[_Contract]],ChargentOrders[[#This Row],[CB Subscription]]=0)</f>
        <v>1</v>
      </c>
      <c r="E181" s="38">
        <f>INDEX(Table5[CUENTA],MATCH(ChargentOrders[[#This Row],[Contract__c]],Table5[SM_Contract__c],0))</f>
        <v>46106</v>
      </c>
      <c r="F181" s="38" t="str">
        <f ca="1">INDEX(Table5[ESTADO],MATCH(ChargentOrders[[#This Row],[Contract__c]],Table5[SM_Contract__c],0))</f>
        <v>DEBE 4</v>
      </c>
      <c r="G181" t="s">
        <v>963</v>
      </c>
      <c r="H181" t="s">
        <v>155</v>
      </c>
      <c r="I181" t="s">
        <v>964</v>
      </c>
      <c r="J181" s="1">
        <v>46079.422094907408</v>
      </c>
      <c r="K181">
        <v>7</v>
      </c>
      <c r="L181">
        <v>2030</v>
      </c>
      <c r="M181" t="s">
        <v>1496</v>
      </c>
      <c r="N181">
        <v>7</v>
      </c>
      <c r="O181" t="s">
        <v>1497</v>
      </c>
      <c r="P181" t="s">
        <v>73</v>
      </c>
      <c r="Q181">
        <v>2030</v>
      </c>
      <c r="R181">
        <v>9900</v>
      </c>
      <c r="S181">
        <v>24</v>
      </c>
      <c r="T181" t="s">
        <v>67</v>
      </c>
      <c r="U181" t="s">
        <v>68</v>
      </c>
      <c r="V181">
        <v>0</v>
      </c>
      <c r="W181" t="s">
        <v>69</v>
      </c>
      <c r="X181" s="5">
        <v>46227</v>
      </c>
      <c r="Y181" t="s">
        <v>84</v>
      </c>
      <c r="Z181" t="s">
        <v>68</v>
      </c>
      <c r="AA181">
        <v>9900</v>
      </c>
      <c r="AB181">
        <v>0</v>
      </c>
      <c r="AC181" t="s">
        <v>755</v>
      </c>
      <c r="AD181" t="s">
        <v>68</v>
      </c>
      <c r="AE181">
        <v>0</v>
      </c>
      <c r="AF181" s="1">
        <v>46094.969166666669</v>
      </c>
      <c r="AG181" s="1">
        <v>46094.969166666669</v>
      </c>
      <c r="AH181">
        <v>1</v>
      </c>
      <c r="AI181">
        <v>4</v>
      </c>
      <c r="AJ181">
        <v>990</v>
      </c>
      <c r="AK181" t="s">
        <v>752</v>
      </c>
      <c r="AL181" t="s">
        <v>76</v>
      </c>
      <c r="AM181" t="s">
        <v>68</v>
      </c>
      <c r="AN181">
        <v>0</v>
      </c>
      <c r="AO181" s="1"/>
      <c r="AP181">
        <v>5</v>
      </c>
      <c r="AQ181">
        <v>0</v>
      </c>
      <c r="AR181">
        <v>0</v>
      </c>
      <c r="AS181" t="s">
        <v>75</v>
      </c>
      <c r="AT181" t="s">
        <v>68</v>
      </c>
      <c r="AU181">
        <v>0</v>
      </c>
      <c r="AV181" t="s">
        <v>68</v>
      </c>
      <c r="AW181">
        <v>0</v>
      </c>
      <c r="AX181" s="1"/>
      <c r="AZ181" t="s">
        <v>68</v>
      </c>
      <c r="BA181" t="s">
        <v>68</v>
      </c>
      <c r="BB181" t="s">
        <v>68</v>
      </c>
      <c r="BC181" t="s">
        <v>68</v>
      </c>
      <c r="BD181">
        <v>0</v>
      </c>
      <c r="BE181" s="1">
        <v>46198.418136574073</v>
      </c>
      <c r="BF181" s="1">
        <v>46198.418136574073</v>
      </c>
      <c r="BG181" t="s">
        <v>68</v>
      </c>
      <c r="BH181" t="s">
        <v>68</v>
      </c>
      <c r="BI181" t="s">
        <v>68</v>
      </c>
      <c r="BJ181" t="s">
        <v>68</v>
      </c>
      <c r="BK181" t="s">
        <v>68</v>
      </c>
      <c r="BL181" t="s">
        <v>68</v>
      </c>
      <c r="BM181" t="s">
        <v>68</v>
      </c>
      <c r="BN181" t="s">
        <v>68</v>
      </c>
      <c r="BO181" t="s">
        <v>96</v>
      </c>
      <c r="BP181">
        <v>0</v>
      </c>
      <c r="BQ181" t="s">
        <v>68</v>
      </c>
      <c r="BR181" t="s">
        <v>68</v>
      </c>
      <c r="BS181" t="s">
        <v>68</v>
      </c>
    </row>
    <row r="182" spans="1:71" x14ac:dyDescent="0.35">
      <c r="A182" t="b">
        <f>ISNUMBER(MATCH(ChargentOrders[[#This Row],[Contract__c]],Contract[Id],0))</f>
        <v>1</v>
      </c>
      <c r="B182">
        <f>IFERROR(INDEX(Contract[CB_Subscription__c],MATCH(ChargentOrders[[#This Row],[Contract__c]],Contract[Id],0)),0)</f>
        <v>0</v>
      </c>
      <c r="C182" t="b">
        <f>ISNUMBER(MATCH(ChargentOrders[[#This Row],[Id]],Claude[Id],0))</f>
        <v>1</v>
      </c>
      <c r="D182" t="b">
        <f>AND(ChargentOrders[[#This Row],[_Contract]],ChargentOrders[[#This Row],[CB Subscription]]=0)</f>
        <v>1</v>
      </c>
      <c r="E182" s="38">
        <f>INDEX(Table5[CUENTA],MATCH(ChargentOrders[[#This Row],[Contract__c]],Table5[SM_Contract__c],0))</f>
        <v>46106</v>
      </c>
      <c r="F182" s="38" t="str">
        <f ca="1">INDEX(Table5[ESTADO],MATCH(ChargentOrders[[#This Row],[Contract__c]],Table5[SM_Contract__c],0))</f>
        <v>DEBE 4</v>
      </c>
      <c r="G182" t="s">
        <v>1092</v>
      </c>
      <c r="H182" t="s">
        <v>155</v>
      </c>
      <c r="I182" t="s">
        <v>1093</v>
      </c>
      <c r="J182" s="1">
        <v>46136.423506944448</v>
      </c>
      <c r="K182">
        <v>7</v>
      </c>
      <c r="L182">
        <v>2030</v>
      </c>
      <c r="M182" t="s">
        <v>1496</v>
      </c>
      <c r="N182">
        <v>7</v>
      </c>
      <c r="O182" t="s">
        <v>1497</v>
      </c>
      <c r="P182" t="s">
        <v>73</v>
      </c>
      <c r="Q182">
        <v>2030</v>
      </c>
      <c r="R182">
        <v>1240</v>
      </c>
      <c r="T182" t="s">
        <v>67</v>
      </c>
      <c r="U182" t="s">
        <v>68</v>
      </c>
      <c r="V182">
        <v>0</v>
      </c>
      <c r="W182" t="s">
        <v>69</v>
      </c>
      <c r="X182" s="5">
        <v>46212</v>
      </c>
      <c r="Y182" t="s">
        <v>90</v>
      </c>
      <c r="Z182" t="s">
        <v>68</v>
      </c>
      <c r="AA182">
        <v>12400</v>
      </c>
      <c r="AB182">
        <v>0</v>
      </c>
      <c r="AC182" t="s">
        <v>755</v>
      </c>
      <c r="AD182" t="s">
        <v>68</v>
      </c>
      <c r="AE182">
        <v>0</v>
      </c>
      <c r="AF182" s="1"/>
      <c r="AG182" s="1"/>
      <c r="AH182">
        <v>0</v>
      </c>
      <c r="AI182">
        <v>40</v>
      </c>
      <c r="AJ182">
        <v>0</v>
      </c>
      <c r="AK182" t="s">
        <v>752</v>
      </c>
      <c r="AL182" t="s">
        <v>71</v>
      </c>
      <c r="AM182" t="s">
        <v>68</v>
      </c>
      <c r="AN182">
        <v>0</v>
      </c>
      <c r="AO182" s="1"/>
      <c r="AQ182">
        <v>0</v>
      </c>
      <c r="AR182">
        <v>0</v>
      </c>
      <c r="AS182" t="s">
        <v>72</v>
      </c>
      <c r="AT182" t="s">
        <v>68</v>
      </c>
      <c r="AU182">
        <v>1</v>
      </c>
      <c r="AV182" t="s">
        <v>1094</v>
      </c>
      <c r="AW182">
        <v>0</v>
      </c>
      <c r="AX182" s="1">
        <v>46079.422094907408</v>
      </c>
      <c r="AY182">
        <v>2500</v>
      </c>
      <c r="AZ182" t="s">
        <v>68</v>
      </c>
      <c r="BA182" t="s">
        <v>65</v>
      </c>
      <c r="BB182" t="s">
        <v>68</v>
      </c>
      <c r="BC182" t="s">
        <v>68</v>
      </c>
      <c r="BD182">
        <v>0</v>
      </c>
      <c r="BE182" s="1">
        <v>46217.003611111111</v>
      </c>
      <c r="BF182" s="1">
        <v>46217.003611111111</v>
      </c>
      <c r="BG182" t="s">
        <v>68</v>
      </c>
      <c r="BH182" t="s">
        <v>68</v>
      </c>
      <c r="BI182" t="s">
        <v>68</v>
      </c>
      <c r="BJ182" t="s">
        <v>68</v>
      </c>
      <c r="BK182" t="s">
        <v>68</v>
      </c>
      <c r="BL182" t="s">
        <v>68</v>
      </c>
      <c r="BM182" t="s">
        <v>68</v>
      </c>
      <c r="BN182" t="s">
        <v>68</v>
      </c>
      <c r="BO182" t="s">
        <v>96</v>
      </c>
      <c r="BP182">
        <v>0</v>
      </c>
      <c r="BQ182" t="s">
        <v>68</v>
      </c>
      <c r="BR182" t="s">
        <v>68</v>
      </c>
      <c r="BS182" t="s">
        <v>68</v>
      </c>
    </row>
    <row r="183" spans="1:71" x14ac:dyDescent="0.35">
      <c r="A183" t="b">
        <f>ISNUMBER(MATCH(ChargentOrders[[#This Row],[Contract__c]],Contract[Id],0))</f>
        <v>1</v>
      </c>
      <c r="B183">
        <f>IFERROR(INDEX(Contract[CB_Subscription__c],MATCH(ChargentOrders[[#This Row],[Contract__c]],Contract[Id],0)),0)</f>
        <v>0</v>
      </c>
      <c r="C183" t="b">
        <f>ISNUMBER(MATCH(ChargentOrders[[#This Row],[Id]],Claude[Id],0))</f>
        <v>1</v>
      </c>
      <c r="D183" t="b">
        <f>AND(ChargentOrders[[#This Row],[_Contract]],ChargentOrders[[#This Row],[CB Subscription]]=0)</f>
        <v>1</v>
      </c>
      <c r="E183" s="38">
        <f>INDEX(Table5[CUENTA],MATCH(ChargentOrders[[#This Row],[Contract__c]],Table5[SM_Contract__c],0))</f>
        <v>46106</v>
      </c>
      <c r="F183" s="38" t="str">
        <f ca="1">INDEX(Table5[ESTADO],MATCH(ChargentOrders[[#This Row],[Contract__c]],Table5[SM_Contract__c],0))</f>
        <v>DEBE 4</v>
      </c>
      <c r="G183" t="s">
        <v>1188</v>
      </c>
      <c r="H183" t="s">
        <v>155</v>
      </c>
      <c r="I183" t="s">
        <v>1189</v>
      </c>
      <c r="J183" s="1">
        <v>46167.420208333337</v>
      </c>
      <c r="K183">
        <v>7</v>
      </c>
      <c r="L183">
        <v>2030</v>
      </c>
      <c r="M183" t="s">
        <v>1496</v>
      </c>
      <c r="N183">
        <v>7</v>
      </c>
      <c r="O183" t="s">
        <v>1497</v>
      </c>
      <c r="P183" t="s">
        <v>73</v>
      </c>
      <c r="Q183">
        <v>2030</v>
      </c>
      <c r="R183">
        <v>12400</v>
      </c>
      <c r="T183" t="s">
        <v>67</v>
      </c>
      <c r="U183" t="s">
        <v>68</v>
      </c>
      <c r="V183">
        <v>0</v>
      </c>
      <c r="W183" t="s">
        <v>69</v>
      </c>
      <c r="X183" s="5">
        <v>46212</v>
      </c>
      <c r="Y183" t="s">
        <v>84</v>
      </c>
      <c r="Z183" t="s">
        <v>68</v>
      </c>
      <c r="AA183">
        <v>12400</v>
      </c>
      <c r="AB183">
        <v>0</v>
      </c>
      <c r="AC183" t="s">
        <v>755</v>
      </c>
      <c r="AD183" t="s">
        <v>68</v>
      </c>
      <c r="AE183">
        <v>0</v>
      </c>
      <c r="AF183" s="1"/>
      <c r="AG183" s="1"/>
      <c r="AH183">
        <v>0</v>
      </c>
      <c r="AI183">
        <v>19</v>
      </c>
      <c r="AJ183">
        <v>0</v>
      </c>
      <c r="AK183" t="s">
        <v>752</v>
      </c>
      <c r="AL183" t="s">
        <v>71</v>
      </c>
      <c r="AM183" t="s">
        <v>68</v>
      </c>
      <c r="AN183">
        <v>0</v>
      </c>
      <c r="AO183" s="1"/>
      <c r="AQ183">
        <v>0</v>
      </c>
      <c r="AR183">
        <v>0</v>
      </c>
      <c r="AS183" t="s">
        <v>72</v>
      </c>
      <c r="AT183" t="s">
        <v>68</v>
      </c>
      <c r="AU183">
        <v>1</v>
      </c>
      <c r="AV183" t="s">
        <v>1190</v>
      </c>
      <c r="AW183">
        <v>0</v>
      </c>
      <c r="AX183" s="1">
        <v>46079.422094907408</v>
      </c>
      <c r="AY183">
        <v>2500</v>
      </c>
      <c r="AZ183" t="s">
        <v>68</v>
      </c>
      <c r="BA183" t="s">
        <v>65</v>
      </c>
      <c r="BB183" t="s">
        <v>68</v>
      </c>
      <c r="BC183" t="s">
        <v>68</v>
      </c>
      <c r="BD183">
        <v>0</v>
      </c>
      <c r="BE183" s="1">
        <v>46209.421168981484</v>
      </c>
      <c r="BF183" s="1">
        <v>46209.421168981484</v>
      </c>
      <c r="BG183" t="s">
        <v>68</v>
      </c>
      <c r="BH183" t="s">
        <v>68</v>
      </c>
      <c r="BI183" t="s">
        <v>68</v>
      </c>
      <c r="BJ183" t="s">
        <v>68</v>
      </c>
      <c r="BK183" t="s">
        <v>68</v>
      </c>
      <c r="BL183" t="s">
        <v>68</v>
      </c>
      <c r="BM183" t="s">
        <v>68</v>
      </c>
      <c r="BN183" t="s">
        <v>68</v>
      </c>
      <c r="BO183" t="s">
        <v>96</v>
      </c>
      <c r="BP183">
        <v>0</v>
      </c>
      <c r="BQ183" t="s">
        <v>68</v>
      </c>
      <c r="BR183" t="s">
        <v>68</v>
      </c>
      <c r="BS183" t="s">
        <v>68</v>
      </c>
    </row>
    <row r="184" spans="1:71" x14ac:dyDescent="0.35">
      <c r="A184" t="b">
        <f>ISNUMBER(MATCH(ChargentOrders[[#This Row],[Contract__c]],Contract[Id],0))</f>
        <v>1</v>
      </c>
      <c r="B184">
        <f>IFERROR(INDEX(Contract[CB_Subscription__c],MATCH(ChargentOrders[[#This Row],[Contract__c]],Contract[Id],0)),0)</f>
        <v>0</v>
      </c>
      <c r="C184" t="b">
        <f>ISNUMBER(MATCH(ChargentOrders[[#This Row],[Id]],Claude[Id],0))</f>
        <v>1</v>
      </c>
      <c r="D184" t="b">
        <f>AND(ChargentOrders[[#This Row],[_Contract]],ChargentOrders[[#This Row],[CB Subscription]]=0)</f>
        <v>1</v>
      </c>
      <c r="E184" s="38">
        <f>INDEX(Table5[CUENTA],MATCH(ChargentOrders[[#This Row],[Contract__c]],Table5[SM_Contract__c],0))</f>
        <v>46106</v>
      </c>
      <c r="F184" s="38" t="str">
        <f ca="1">INDEX(Table5[ESTADO],MATCH(ChargentOrders[[#This Row],[Contract__c]],Table5[SM_Contract__c],0))</f>
        <v>DEBE 4</v>
      </c>
      <c r="G184" t="s">
        <v>1329</v>
      </c>
      <c r="H184" t="s">
        <v>155</v>
      </c>
      <c r="I184" t="s">
        <v>1330</v>
      </c>
      <c r="J184" s="1">
        <v>46198.418194444443</v>
      </c>
      <c r="K184">
        <v>7</v>
      </c>
      <c r="L184">
        <v>2030</v>
      </c>
      <c r="M184" t="s">
        <v>1496</v>
      </c>
      <c r="N184">
        <v>7</v>
      </c>
      <c r="O184" t="s">
        <v>1497</v>
      </c>
      <c r="P184" t="s">
        <v>73</v>
      </c>
      <c r="Q184">
        <v>2030</v>
      </c>
      <c r="R184">
        <v>12400</v>
      </c>
      <c r="T184" t="s">
        <v>67</v>
      </c>
      <c r="U184" t="s">
        <v>68</v>
      </c>
      <c r="V184">
        <v>0</v>
      </c>
      <c r="W184" t="s">
        <v>69</v>
      </c>
      <c r="X184" s="5">
        <v>46212</v>
      </c>
      <c r="Y184" t="s">
        <v>84</v>
      </c>
      <c r="Z184" t="s">
        <v>68</v>
      </c>
      <c r="AA184">
        <v>12400</v>
      </c>
      <c r="AB184">
        <v>0</v>
      </c>
      <c r="AC184" t="s">
        <v>755</v>
      </c>
      <c r="AD184" t="s">
        <v>68</v>
      </c>
      <c r="AE184">
        <v>0</v>
      </c>
      <c r="AF184" s="1"/>
      <c r="AG184" s="1"/>
      <c r="AH184">
        <v>0</v>
      </c>
      <c r="AI184">
        <v>5</v>
      </c>
      <c r="AJ184">
        <v>0</v>
      </c>
      <c r="AK184" t="s">
        <v>752</v>
      </c>
      <c r="AL184" t="s">
        <v>71</v>
      </c>
      <c r="AM184" t="s">
        <v>68</v>
      </c>
      <c r="AN184">
        <v>0</v>
      </c>
      <c r="AO184" s="1"/>
      <c r="AQ184">
        <v>0</v>
      </c>
      <c r="AR184">
        <v>0</v>
      </c>
      <c r="AS184" t="s">
        <v>72</v>
      </c>
      <c r="AT184" t="s">
        <v>68</v>
      </c>
      <c r="AU184">
        <v>1</v>
      </c>
      <c r="AV184" t="s">
        <v>1331</v>
      </c>
      <c r="AW184">
        <v>0</v>
      </c>
      <c r="AX184" s="1">
        <v>46079.422094907408</v>
      </c>
      <c r="AY184">
        <v>2500</v>
      </c>
      <c r="AZ184" t="s">
        <v>68</v>
      </c>
      <c r="BA184" t="s">
        <v>65</v>
      </c>
      <c r="BB184" t="s">
        <v>68</v>
      </c>
      <c r="BC184" t="s">
        <v>68</v>
      </c>
      <c r="BD184">
        <v>0</v>
      </c>
      <c r="BE184" s="1">
        <v>46209.422395833331</v>
      </c>
      <c r="BF184" s="1">
        <v>46209.422395833331</v>
      </c>
      <c r="BG184" t="s">
        <v>68</v>
      </c>
      <c r="BH184" t="s">
        <v>68</v>
      </c>
      <c r="BI184" t="s">
        <v>68</v>
      </c>
      <c r="BJ184" t="s">
        <v>68</v>
      </c>
      <c r="BK184" t="s">
        <v>68</v>
      </c>
      <c r="BL184" t="s">
        <v>68</v>
      </c>
      <c r="BM184" t="s">
        <v>68</v>
      </c>
      <c r="BN184" t="s">
        <v>68</v>
      </c>
      <c r="BO184" t="s">
        <v>96</v>
      </c>
      <c r="BP184">
        <v>0</v>
      </c>
      <c r="BQ184" t="s">
        <v>68</v>
      </c>
      <c r="BR184" t="s">
        <v>68</v>
      </c>
      <c r="BS184" t="s">
        <v>68</v>
      </c>
    </row>
    <row r="185" spans="1:71" x14ac:dyDescent="0.35">
      <c r="A185" t="b">
        <f>ISNUMBER(MATCH(ChargentOrders[[#This Row],[Contract__c]],Contract[Id],0))</f>
        <v>1</v>
      </c>
      <c r="B185">
        <f>IFERROR(INDEX(Contract[CB_Subscription__c],MATCH(ChargentOrders[[#This Row],[Contract__c]],Contract[Id],0)),0)</f>
        <v>0</v>
      </c>
      <c r="C185" t="b">
        <f>ISNUMBER(MATCH(ChargentOrders[[#This Row],[Id]],Claude[Id],0))</f>
        <v>1</v>
      </c>
      <c r="D185" t="b">
        <f>AND(ChargentOrders[[#This Row],[_Contract]],ChargentOrders[[#This Row],[CB Subscription]]=0)</f>
        <v>1</v>
      </c>
      <c r="E185" s="38">
        <f>INDEX(Table5[CUENTA],MATCH(ChargentOrders[[#This Row],[Contract__c]],Table5[SM_Contract__c],0))</f>
        <v>46111</v>
      </c>
      <c r="F185" s="38" t="str">
        <f ca="1">INDEX(Table5[ESTADO],MATCH(ChargentOrders[[#This Row],[Contract__c]],Table5[SM_Contract__c],0))</f>
        <v>DEBE 4</v>
      </c>
      <c r="G185" t="s">
        <v>412</v>
      </c>
      <c r="H185" t="s">
        <v>155</v>
      </c>
      <c r="I185" t="s">
        <v>413</v>
      </c>
      <c r="J185" s="1">
        <v>45883.818333333336</v>
      </c>
      <c r="K185">
        <v>10</v>
      </c>
      <c r="L185">
        <v>2028</v>
      </c>
      <c r="M185" t="s">
        <v>1455</v>
      </c>
      <c r="N185">
        <v>10</v>
      </c>
      <c r="O185" t="s">
        <v>1456</v>
      </c>
      <c r="P185" t="s">
        <v>73</v>
      </c>
      <c r="Q185">
        <v>2028</v>
      </c>
      <c r="R185">
        <v>0</v>
      </c>
      <c r="T185" t="s">
        <v>67</v>
      </c>
      <c r="U185" t="s">
        <v>68</v>
      </c>
      <c r="V185">
        <v>0</v>
      </c>
      <c r="W185" t="s">
        <v>69</v>
      </c>
      <c r="X185" s="5"/>
      <c r="Y185" t="s">
        <v>68</v>
      </c>
      <c r="Z185" t="s">
        <v>68</v>
      </c>
      <c r="AA185">
        <v>0</v>
      </c>
      <c r="AC185" t="s">
        <v>414</v>
      </c>
      <c r="AD185" t="s">
        <v>68</v>
      </c>
      <c r="AE185">
        <v>0</v>
      </c>
      <c r="AF185" s="1"/>
      <c r="AG185" s="1">
        <v>45883.818356481483</v>
      </c>
      <c r="AH185">
        <v>0</v>
      </c>
      <c r="AI185">
        <v>1</v>
      </c>
      <c r="AJ185">
        <v>0</v>
      </c>
      <c r="AK185" t="s">
        <v>415</v>
      </c>
      <c r="AL185" t="s">
        <v>68</v>
      </c>
      <c r="AM185" t="s">
        <v>68</v>
      </c>
      <c r="AN185">
        <v>0</v>
      </c>
      <c r="AO185" s="1"/>
      <c r="AP185">
        <v>1</v>
      </c>
      <c r="AS185" t="s">
        <v>75</v>
      </c>
      <c r="AT185" t="s">
        <v>68</v>
      </c>
      <c r="AU185">
        <v>0</v>
      </c>
      <c r="AV185" t="s">
        <v>68</v>
      </c>
      <c r="AW185">
        <v>1</v>
      </c>
      <c r="AX185" s="1"/>
      <c r="AZ185" t="s">
        <v>68</v>
      </c>
      <c r="BA185" t="s">
        <v>68</v>
      </c>
      <c r="BB185" t="s">
        <v>68</v>
      </c>
      <c r="BC185" t="s">
        <v>68</v>
      </c>
      <c r="BD185">
        <v>0</v>
      </c>
      <c r="BE185" s="1"/>
      <c r="BF185" s="1">
        <v>45883.818356481483</v>
      </c>
      <c r="BG185" t="s">
        <v>68</v>
      </c>
      <c r="BH185" t="s">
        <v>68</v>
      </c>
      <c r="BI185" t="s">
        <v>68</v>
      </c>
      <c r="BJ185" t="s">
        <v>68</v>
      </c>
      <c r="BK185" t="s">
        <v>68</v>
      </c>
      <c r="BL185" t="s">
        <v>68</v>
      </c>
      <c r="BM185" t="s">
        <v>68</v>
      </c>
      <c r="BN185" t="s">
        <v>68</v>
      </c>
      <c r="BO185" t="s">
        <v>96</v>
      </c>
      <c r="BP185">
        <v>0</v>
      </c>
      <c r="BQ185" t="s">
        <v>68</v>
      </c>
      <c r="BR185" t="s">
        <v>68</v>
      </c>
      <c r="BS185" t="s">
        <v>68</v>
      </c>
    </row>
    <row r="186" spans="1:71" x14ac:dyDescent="0.35">
      <c r="A186" t="b">
        <f>ISNUMBER(MATCH(ChargentOrders[[#This Row],[Contract__c]],Contract[Id],0))</f>
        <v>1</v>
      </c>
      <c r="B186">
        <f>IFERROR(INDEX(Contract[CB_Subscription__c],MATCH(ChargentOrders[[#This Row],[Contract__c]],Contract[Id],0)),0)</f>
        <v>0</v>
      </c>
      <c r="C186" t="b">
        <f>ISNUMBER(MATCH(ChargentOrders[[#This Row],[Id]],Claude[Id],0))</f>
        <v>1</v>
      </c>
      <c r="D186" t="b">
        <f>AND(ChargentOrders[[#This Row],[_Contract]],ChargentOrders[[#This Row],[CB Subscription]]=0)</f>
        <v>1</v>
      </c>
      <c r="E186" s="38">
        <f>INDEX(Table5[CUENTA],MATCH(ChargentOrders[[#This Row],[Contract__c]],Table5[SM_Contract__c],0))</f>
        <v>46111</v>
      </c>
      <c r="F186" s="38" t="str">
        <f ca="1">INDEX(Table5[ESTADO],MATCH(ChargentOrders[[#This Row],[Contract__c]],Table5[SM_Contract__c],0))</f>
        <v>DEBE 4</v>
      </c>
      <c r="G186" t="s">
        <v>416</v>
      </c>
      <c r="H186" t="s">
        <v>155</v>
      </c>
      <c r="I186" t="s">
        <v>417</v>
      </c>
      <c r="J186" s="1">
        <v>45883.819247685184</v>
      </c>
      <c r="K186">
        <v>10</v>
      </c>
      <c r="L186">
        <v>2028</v>
      </c>
      <c r="M186" t="s">
        <v>1455</v>
      </c>
      <c r="N186">
        <v>10</v>
      </c>
      <c r="O186" t="s">
        <v>1456</v>
      </c>
      <c r="P186" t="s">
        <v>73</v>
      </c>
      <c r="Q186">
        <v>2028</v>
      </c>
      <c r="R186">
        <v>11039</v>
      </c>
      <c r="T186" t="s">
        <v>67</v>
      </c>
      <c r="U186" t="s">
        <v>68</v>
      </c>
      <c r="V186">
        <v>0</v>
      </c>
      <c r="W186" t="s">
        <v>69</v>
      </c>
      <c r="X186" s="5">
        <v>45898</v>
      </c>
      <c r="Y186" t="s">
        <v>74</v>
      </c>
      <c r="Z186" t="s">
        <v>68</v>
      </c>
      <c r="AA186">
        <v>9900</v>
      </c>
      <c r="AB186">
        <v>11385</v>
      </c>
      <c r="AC186" t="s">
        <v>414</v>
      </c>
      <c r="AD186" t="s">
        <v>68</v>
      </c>
      <c r="AE186">
        <v>0</v>
      </c>
      <c r="AF186" s="1"/>
      <c r="AG186" s="1"/>
      <c r="AH186">
        <v>0</v>
      </c>
      <c r="AI186">
        <v>1</v>
      </c>
      <c r="AJ186">
        <v>0</v>
      </c>
      <c r="AK186" t="s">
        <v>415</v>
      </c>
      <c r="AL186" t="s">
        <v>77</v>
      </c>
      <c r="AM186" t="s">
        <v>68</v>
      </c>
      <c r="AN186">
        <v>0</v>
      </c>
      <c r="AO186" s="1"/>
      <c r="AP186">
        <v>1</v>
      </c>
      <c r="AQ186">
        <v>100</v>
      </c>
      <c r="AR186">
        <v>1050</v>
      </c>
      <c r="AS186" t="s">
        <v>75</v>
      </c>
      <c r="AT186" t="s">
        <v>68</v>
      </c>
      <c r="AU186">
        <v>0</v>
      </c>
      <c r="AV186" t="s">
        <v>68</v>
      </c>
      <c r="AW186">
        <v>0</v>
      </c>
      <c r="AX186" s="1"/>
      <c r="AZ186" t="s">
        <v>68</v>
      </c>
      <c r="BA186" t="s">
        <v>68</v>
      </c>
      <c r="BB186" t="s">
        <v>68</v>
      </c>
      <c r="BC186" t="s">
        <v>68</v>
      </c>
      <c r="BD186">
        <v>0</v>
      </c>
      <c r="BE186" s="1">
        <v>45898.431122685186</v>
      </c>
      <c r="BF186" s="1">
        <v>45898.431122685186</v>
      </c>
      <c r="BG186" t="s">
        <v>68</v>
      </c>
      <c r="BH186" t="s">
        <v>68</v>
      </c>
      <c r="BI186" t="s">
        <v>68</v>
      </c>
      <c r="BJ186" t="s">
        <v>68</v>
      </c>
      <c r="BK186" t="s">
        <v>68</v>
      </c>
      <c r="BL186" t="s">
        <v>68</v>
      </c>
      <c r="BM186" t="s">
        <v>68</v>
      </c>
      <c r="BN186" t="s">
        <v>68</v>
      </c>
      <c r="BO186" t="s">
        <v>96</v>
      </c>
      <c r="BP186">
        <v>0</v>
      </c>
      <c r="BQ186" t="s">
        <v>68</v>
      </c>
      <c r="BR186" t="s">
        <v>68</v>
      </c>
      <c r="BS186" t="s">
        <v>68</v>
      </c>
    </row>
    <row r="187" spans="1:71" x14ac:dyDescent="0.35">
      <c r="A187" t="b">
        <f>ISNUMBER(MATCH(ChargentOrders[[#This Row],[Contract__c]],Contract[Id],0))</f>
        <v>1</v>
      </c>
      <c r="B187">
        <f>IFERROR(INDEX(Contract[CB_Subscription__c],MATCH(ChargentOrders[[#This Row],[Contract__c]],Contract[Id],0)),0)</f>
        <v>0</v>
      </c>
      <c r="C187" t="b">
        <f>ISNUMBER(MATCH(ChargentOrders[[#This Row],[Id]],Claude[Id],0))</f>
        <v>1</v>
      </c>
      <c r="D187" t="b">
        <f>AND(ChargentOrders[[#This Row],[_Contract]],ChargentOrders[[#This Row],[CB Subscription]]=0)</f>
        <v>1</v>
      </c>
      <c r="E187" s="38">
        <f>INDEX(Table5[CUENTA],MATCH(ChargentOrders[[#This Row],[Contract__c]],Table5[SM_Contract__c],0))</f>
        <v>46111</v>
      </c>
      <c r="F187" s="38" t="str">
        <f ca="1">INDEX(Table5[ESTADO],MATCH(ChargentOrders[[#This Row],[Contract__c]],Table5[SM_Contract__c],0))</f>
        <v>DEBE 4</v>
      </c>
      <c r="G187" t="s">
        <v>442</v>
      </c>
      <c r="H187" t="s">
        <v>155</v>
      </c>
      <c r="I187" t="s">
        <v>443</v>
      </c>
      <c r="J187" s="1">
        <v>45898.431180555555</v>
      </c>
      <c r="K187">
        <v>10</v>
      </c>
      <c r="L187">
        <v>2028</v>
      </c>
      <c r="M187" t="s">
        <v>1455</v>
      </c>
      <c r="N187">
        <v>10</v>
      </c>
      <c r="O187" t="s">
        <v>1456</v>
      </c>
      <c r="P187" t="s">
        <v>73</v>
      </c>
      <c r="Q187">
        <v>2028</v>
      </c>
      <c r="R187">
        <v>13826</v>
      </c>
      <c r="T187" t="s">
        <v>67</v>
      </c>
      <c r="U187" t="s">
        <v>68</v>
      </c>
      <c r="V187">
        <v>0</v>
      </c>
      <c r="W187" t="s">
        <v>69</v>
      </c>
      <c r="X187" s="5">
        <v>45901</v>
      </c>
      <c r="Y187" t="s">
        <v>74</v>
      </c>
      <c r="Z187" t="s">
        <v>68</v>
      </c>
      <c r="AA187">
        <v>12400</v>
      </c>
      <c r="AB187">
        <v>1426</v>
      </c>
      <c r="AC187" t="s">
        <v>414</v>
      </c>
      <c r="AD187" t="s">
        <v>68</v>
      </c>
      <c r="AE187">
        <v>0</v>
      </c>
      <c r="AF187" s="1">
        <v>45901.42869212963</v>
      </c>
      <c r="AG187" s="1">
        <v>45901.42869212963</v>
      </c>
      <c r="AH187">
        <v>1</v>
      </c>
      <c r="AI187">
        <v>1</v>
      </c>
      <c r="AJ187">
        <v>13826</v>
      </c>
      <c r="AK187" t="s">
        <v>415</v>
      </c>
      <c r="AL187" t="s">
        <v>71</v>
      </c>
      <c r="AM187" t="s">
        <v>68</v>
      </c>
      <c r="AN187">
        <v>0</v>
      </c>
      <c r="AO187" s="1"/>
      <c r="AQ187">
        <v>100</v>
      </c>
      <c r="AR187">
        <v>1050</v>
      </c>
      <c r="AS187" t="s">
        <v>72</v>
      </c>
      <c r="AT187" t="s">
        <v>68</v>
      </c>
      <c r="AU187">
        <v>1</v>
      </c>
      <c r="AV187" t="s">
        <v>444</v>
      </c>
      <c r="AW187">
        <v>0</v>
      </c>
      <c r="AX187" s="1">
        <v>45883.819247685184</v>
      </c>
      <c r="AY187">
        <v>2500</v>
      </c>
      <c r="AZ187" t="s">
        <v>68</v>
      </c>
      <c r="BA187" t="s">
        <v>65</v>
      </c>
      <c r="BB187" t="s">
        <v>68</v>
      </c>
      <c r="BC187" t="s">
        <v>68</v>
      </c>
      <c r="BD187">
        <v>0</v>
      </c>
      <c r="BE187" s="1"/>
      <c r="BF187" s="1">
        <v>45901.42869212963</v>
      </c>
      <c r="BG187" t="s">
        <v>68</v>
      </c>
      <c r="BH187" t="s">
        <v>68</v>
      </c>
      <c r="BI187" t="s">
        <v>68</v>
      </c>
      <c r="BJ187" t="s">
        <v>68</v>
      </c>
      <c r="BK187" t="s">
        <v>68</v>
      </c>
      <c r="BL187" t="s">
        <v>68</v>
      </c>
      <c r="BM187" t="s">
        <v>68</v>
      </c>
      <c r="BN187" t="s">
        <v>68</v>
      </c>
      <c r="BO187" t="s">
        <v>96</v>
      </c>
      <c r="BP187">
        <v>0</v>
      </c>
      <c r="BQ187" t="s">
        <v>68</v>
      </c>
      <c r="BR187" t="s">
        <v>68</v>
      </c>
      <c r="BS187" t="s">
        <v>68</v>
      </c>
    </row>
    <row r="188" spans="1:71" x14ac:dyDescent="0.35">
      <c r="A188" t="b">
        <f>ISNUMBER(MATCH(ChargentOrders[[#This Row],[Contract__c]],Contract[Id],0))</f>
        <v>1</v>
      </c>
      <c r="B188">
        <f>IFERROR(INDEX(Contract[CB_Subscription__c],MATCH(ChargentOrders[[#This Row],[Contract__c]],Contract[Id],0)),0)</f>
        <v>0</v>
      </c>
      <c r="C188" t="b">
        <f>ISNUMBER(MATCH(ChargentOrders[[#This Row],[Id]],Claude[Id],0))</f>
        <v>1</v>
      </c>
      <c r="D188" t="b">
        <f>AND(ChargentOrders[[#This Row],[_Contract]],ChargentOrders[[#This Row],[CB Subscription]]=0)</f>
        <v>1</v>
      </c>
      <c r="E188" s="38">
        <f>INDEX(Table5[CUENTA],MATCH(ChargentOrders[[#This Row],[Contract__c]],Table5[SM_Contract__c],0))</f>
        <v>46111</v>
      </c>
      <c r="F188" s="38" t="str">
        <f ca="1">INDEX(Table5[ESTADO],MATCH(ChargentOrders[[#This Row],[Contract__c]],Table5[SM_Contract__c],0))</f>
        <v>DEBE 4</v>
      </c>
      <c r="G188" t="s">
        <v>445</v>
      </c>
      <c r="H188" t="s">
        <v>155</v>
      </c>
      <c r="I188" t="s">
        <v>446</v>
      </c>
      <c r="J188" s="1">
        <v>45901.428703703707</v>
      </c>
      <c r="K188">
        <v>10</v>
      </c>
      <c r="L188">
        <v>2028</v>
      </c>
      <c r="M188" t="s">
        <v>1455</v>
      </c>
      <c r="N188">
        <v>10</v>
      </c>
      <c r="O188" t="s">
        <v>1456</v>
      </c>
      <c r="P188" t="s">
        <v>73</v>
      </c>
      <c r="Q188">
        <v>2028</v>
      </c>
      <c r="R188">
        <v>9900</v>
      </c>
      <c r="S188">
        <v>30</v>
      </c>
      <c r="T188" t="s">
        <v>67</v>
      </c>
      <c r="U188" t="s">
        <v>68</v>
      </c>
      <c r="V188">
        <v>0</v>
      </c>
      <c r="W188" t="s">
        <v>69</v>
      </c>
      <c r="X188" s="5">
        <v>46233</v>
      </c>
      <c r="Y188" t="s">
        <v>84</v>
      </c>
      <c r="Z188" t="s">
        <v>68</v>
      </c>
      <c r="AA188">
        <v>9900</v>
      </c>
      <c r="AB188">
        <v>0</v>
      </c>
      <c r="AC188" t="s">
        <v>414</v>
      </c>
      <c r="AD188" t="s">
        <v>68</v>
      </c>
      <c r="AE188">
        <v>0</v>
      </c>
      <c r="AF188" s="1">
        <v>46080.41983796296</v>
      </c>
      <c r="AG188" s="1">
        <v>46080.419849537036</v>
      </c>
      <c r="AH188">
        <v>4</v>
      </c>
      <c r="AI188">
        <v>10</v>
      </c>
      <c r="AJ188">
        <v>40739</v>
      </c>
      <c r="AK188" t="s">
        <v>415</v>
      </c>
      <c r="AL188" t="s">
        <v>76</v>
      </c>
      <c r="AM188" t="s">
        <v>68</v>
      </c>
      <c r="AN188">
        <v>0</v>
      </c>
      <c r="AO188" s="1"/>
      <c r="AP188">
        <v>11</v>
      </c>
      <c r="AQ188">
        <v>0</v>
      </c>
      <c r="AR188">
        <v>0</v>
      </c>
      <c r="AS188" t="s">
        <v>75</v>
      </c>
      <c r="AT188" t="s">
        <v>68</v>
      </c>
      <c r="AU188">
        <v>0</v>
      </c>
      <c r="AV188" t="s">
        <v>68</v>
      </c>
      <c r="AW188">
        <v>0</v>
      </c>
      <c r="AX188" s="1"/>
      <c r="AZ188" t="s">
        <v>68</v>
      </c>
      <c r="BA188" t="s">
        <v>68</v>
      </c>
      <c r="BB188" t="s">
        <v>68</v>
      </c>
      <c r="BC188" t="s">
        <v>68</v>
      </c>
      <c r="BD188">
        <v>0</v>
      </c>
      <c r="BE188" s="1">
        <v>46203.417071759257</v>
      </c>
      <c r="BF188" s="1">
        <v>46203.417071759257</v>
      </c>
      <c r="BG188" t="s">
        <v>68</v>
      </c>
      <c r="BH188" t="s">
        <v>68</v>
      </c>
      <c r="BI188" t="s">
        <v>68</v>
      </c>
      <c r="BJ188" t="s">
        <v>68</v>
      </c>
      <c r="BK188" t="s">
        <v>68</v>
      </c>
      <c r="BL188" t="s">
        <v>68</v>
      </c>
      <c r="BM188" t="s">
        <v>68</v>
      </c>
      <c r="BN188" t="s">
        <v>68</v>
      </c>
      <c r="BO188" t="s">
        <v>96</v>
      </c>
      <c r="BP188">
        <v>0</v>
      </c>
      <c r="BQ188" t="s">
        <v>68</v>
      </c>
      <c r="BR188" t="s">
        <v>68</v>
      </c>
      <c r="BS188" t="s">
        <v>68</v>
      </c>
    </row>
    <row r="189" spans="1:71" x14ac:dyDescent="0.35">
      <c r="A189" t="b">
        <f>ISNUMBER(MATCH(ChargentOrders[[#This Row],[Contract__c]],Contract[Id],0))</f>
        <v>1</v>
      </c>
      <c r="B189">
        <f>IFERROR(INDEX(Contract[CB_Subscription__c],MATCH(ChargentOrders[[#This Row],[Contract__c]],Contract[Id],0)),0)</f>
        <v>0</v>
      </c>
      <c r="C189" t="b">
        <f>ISNUMBER(MATCH(ChargentOrders[[#This Row],[Id]],Claude[Id],0))</f>
        <v>1</v>
      </c>
      <c r="D189" t="b">
        <f>AND(ChargentOrders[[#This Row],[_Contract]],ChargentOrders[[#This Row],[CB Subscription]]=0)</f>
        <v>1</v>
      </c>
      <c r="E189" s="38">
        <f>INDEX(Table5[CUENTA],MATCH(ChargentOrders[[#This Row],[Contract__c]],Table5[SM_Contract__c],0))</f>
        <v>46111</v>
      </c>
      <c r="F189" s="38" t="str">
        <f ca="1">INDEX(Table5[ESTADO],MATCH(ChargentOrders[[#This Row],[Contract__c]],Table5[SM_Contract__c],0))</f>
        <v>DEBE 4</v>
      </c>
      <c r="G189" t="s">
        <v>470</v>
      </c>
      <c r="H189" t="s">
        <v>155</v>
      </c>
      <c r="I189" t="s">
        <v>471</v>
      </c>
      <c r="J189" s="1">
        <v>45930.423680555556</v>
      </c>
      <c r="K189">
        <v>10</v>
      </c>
      <c r="L189">
        <v>2028</v>
      </c>
      <c r="M189" t="s">
        <v>1455</v>
      </c>
      <c r="N189">
        <v>10</v>
      </c>
      <c r="O189" t="s">
        <v>1456</v>
      </c>
      <c r="P189" t="s">
        <v>73</v>
      </c>
      <c r="Q189">
        <v>2028</v>
      </c>
      <c r="R189">
        <v>13826</v>
      </c>
      <c r="T189" t="s">
        <v>67</v>
      </c>
      <c r="U189" t="s">
        <v>68</v>
      </c>
      <c r="V189">
        <v>0</v>
      </c>
      <c r="W189" t="s">
        <v>69</v>
      </c>
      <c r="X189" s="5">
        <v>45943</v>
      </c>
      <c r="Y189" t="s">
        <v>74</v>
      </c>
      <c r="Z189" t="s">
        <v>68</v>
      </c>
      <c r="AA189">
        <v>12400</v>
      </c>
      <c r="AB189">
        <v>1426</v>
      </c>
      <c r="AC189" t="s">
        <v>414</v>
      </c>
      <c r="AD189" t="s">
        <v>68</v>
      </c>
      <c r="AE189">
        <v>0</v>
      </c>
      <c r="AF189" s="1">
        <v>45943.425891203704</v>
      </c>
      <c r="AG189" s="1">
        <v>45943.42597222222</v>
      </c>
      <c r="AH189">
        <v>1</v>
      </c>
      <c r="AI189">
        <v>17</v>
      </c>
      <c r="AJ189">
        <v>13826</v>
      </c>
      <c r="AK189" t="s">
        <v>415</v>
      </c>
      <c r="AL189" t="s">
        <v>71</v>
      </c>
      <c r="AM189" t="s">
        <v>68</v>
      </c>
      <c r="AN189">
        <v>0</v>
      </c>
      <c r="AO189" s="1"/>
      <c r="AP189">
        <v>0</v>
      </c>
      <c r="AQ189">
        <v>100</v>
      </c>
      <c r="AR189">
        <v>1050</v>
      </c>
      <c r="AS189" t="s">
        <v>72</v>
      </c>
      <c r="AT189" t="s">
        <v>68</v>
      </c>
      <c r="AU189">
        <v>1</v>
      </c>
      <c r="AV189" t="s">
        <v>472</v>
      </c>
      <c r="AW189">
        <v>0</v>
      </c>
      <c r="AX189" s="1">
        <v>45930.969502314816</v>
      </c>
      <c r="AY189">
        <v>2500</v>
      </c>
      <c r="AZ189" t="s">
        <v>68</v>
      </c>
      <c r="BA189" t="s">
        <v>65</v>
      </c>
      <c r="BB189" t="s">
        <v>68</v>
      </c>
      <c r="BC189" t="s">
        <v>68</v>
      </c>
      <c r="BD189">
        <v>0</v>
      </c>
      <c r="BE189" s="1">
        <v>45940.991261574076</v>
      </c>
      <c r="BF189" s="1">
        <v>45943.425891203704</v>
      </c>
      <c r="BG189" t="s">
        <v>68</v>
      </c>
      <c r="BH189" t="s">
        <v>68</v>
      </c>
      <c r="BI189" t="s">
        <v>68</v>
      </c>
      <c r="BJ189" t="s">
        <v>68</v>
      </c>
      <c r="BK189" t="s">
        <v>68</v>
      </c>
      <c r="BL189" t="s">
        <v>68</v>
      </c>
      <c r="BM189" t="s">
        <v>68</v>
      </c>
      <c r="BN189" t="s">
        <v>68</v>
      </c>
      <c r="BO189" t="s">
        <v>96</v>
      </c>
      <c r="BP189">
        <v>0</v>
      </c>
      <c r="BQ189" t="s">
        <v>68</v>
      </c>
      <c r="BR189" t="s">
        <v>68</v>
      </c>
      <c r="BS189" t="s">
        <v>68</v>
      </c>
    </row>
    <row r="190" spans="1:71" x14ac:dyDescent="0.35">
      <c r="A190" t="b">
        <f>ISNUMBER(MATCH(ChargentOrders[[#This Row],[Contract__c]],Contract[Id],0))</f>
        <v>1</v>
      </c>
      <c r="B190">
        <f>IFERROR(INDEX(Contract[CB_Subscription__c],MATCH(ChargentOrders[[#This Row],[Contract__c]],Contract[Id],0)),0)</f>
        <v>0</v>
      </c>
      <c r="C190" t="b">
        <f>ISNUMBER(MATCH(ChargentOrders[[#This Row],[Id]],Claude[Id],0))</f>
        <v>1</v>
      </c>
      <c r="D190" t="b">
        <f>AND(ChargentOrders[[#This Row],[_Contract]],ChargentOrders[[#This Row],[CB Subscription]]=0)</f>
        <v>1</v>
      </c>
      <c r="E190" s="38">
        <f>INDEX(Table5[CUENTA],MATCH(ChargentOrders[[#This Row],[Contract__c]],Table5[SM_Contract__c],0))</f>
        <v>46111</v>
      </c>
      <c r="F190" s="38" t="str">
        <f ca="1">INDEX(Table5[ESTADO],MATCH(ChargentOrders[[#This Row],[Contract__c]],Table5[SM_Contract__c],0))</f>
        <v>DEBE 4</v>
      </c>
      <c r="G190" t="s">
        <v>614</v>
      </c>
      <c r="H190" t="s">
        <v>79</v>
      </c>
      <c r="I190" t="s">
        <v>615</v>
      </c>
      <c r="J190" s="1">
        <v>46007.789212962962</v>
      </c>
      <c r="K190">
        <v>10</v>
      </c>
      <c r="L190">
        <v>2030</v>
      </c>
      <c r="M190" t="s">
        <v>1410</v>
      </c>
      <c r="N190">
        <v>10</v>
      </c>
      <c r="O190" t="s">
        <v>1477</v>
      </c>
      <c r="P190" t="s">
        <v>73</v>
      </c>
      <c r="Q190">
        <v>2030</v>
      </c>
      <c r="R190">
        <v>14900</v>
      </c>
      <c r="T190" t="s">
        <v>67</v>
      </c>
      <c r="U190" t="s">
        <v>68</v>
      </c>
      <c r="V190">
        <v>0</v>
      </c>
      <c r="W190" t="s">
        <v>69</v>
      </c>
      <c r="X190" s="5">
        <v>46017</v>
      </c>
      <c r="Y190" t="s">
        <v>74</v>
      </c>
      <c r="Z190" t="s">
        <v>68</v>
      </c>
      <c r="AA190">
        <v>14900</v>
      </c>
      <c r="AB190">
        <v>0</v>
      </c>
      <c r="AC190" t="s">
        <v>616</v>
      </c>
      <c r="AD190" t="s">
        <v>68</v>
      </c>
      <c r="AE190">
        <v>0</v>
      </c>
      <c r="AF190" s="1"/>
      <c r="AG190" s="1"/>
      <c r="AH190">
        <v>0</v>
      </c>
      <c r="AI190">
        <v>1</v>
      </c>
      <c r="AJ190">
        <v>0</v>
      </c>
      <c r="AK190" t="s">
        <v>617</v>
      </c>
      <c r="AL190" t="s">
        <v>77</v>
      </c>
      <c r="AM190" t="s">
        <v>68</v>
      </c>
      <c r="AN190">
        <v>0</v>
      </c>
      <c r="AO190" s="1"/>
      <c r="AP190">
        <v>1</v>
      </c>
      <c r="AQ190">
        <v>0</v>
      </c>
      <c r="AR190">
        <v>0</v>
      </c>
      <c r="AS190" t="s">
        <v>75</v>
      </c>
      <c r="AT190" t="s">
        <v>68</v>
      </c>
      <c r="AU190">
        <v>0</v>
      </c>
      <c r="AV190" t="s">
        <v>68</v>
      </c>
      <c r="AW190">
        <v>0</v>
      </c>
      <c r="AX190" s="1"/>
      <c r="AZ190" t="s">
        <v>68</v>
      </c>
      <c r="BA190" t="s">
        <v>68</v>
      </c>
      <c r="BB190" t="s">
        <v>68</v>
      </c>
      <c r="BC190" t="s">
        <v>68</v>
      </c>
      <c r="BD190">
        <v>0</v>
      </c>
      <c r="BE190" s="1">
        <v>46017.428773148145</v>
      </c>
      <c r="BF190" s="1">
        <v>46017.428773148145</v>
      </c>
      <c r="BG190" t="s">
        <v>68</v>
      </c>
      <c r="BH190" t="s">
        <v>68</v>
      </c>
      <c r="BI190" t="s">
        <v>68</v>
      </c>
      <c r="BJ190" t="s">
        <v>68</v>
      </c>
      <c r="BK190" t="s">
        <v>68</v>
      </c>
      <c r="BL190" t="s">
        <v>68</v>
      </c>
      <c r="BM190" t="s">
        <v>68</v>
      </c>
      <c r="BN190" t="s">
        <v>68</v>
      </c>
      <c r="BO190" t="s">
        <v>96</v>
      </c>
      <c r="BP190">
        <v>0</v>
      </c>
      <c r="BQ190" t="s">
        <v>68</v>
      </c>
      <c r="BR190" t="s">
        <v>68</v>
      </c>
      <c r="BS190" t="s">
        <v>68</v>
      </c>
    </row>
    <row r="191" spans="1:71" x14ac:dyDescent="0.35">
      <c r="A191" t="b">
        <f>ISNUMBER(MATCH(ChargentOrders[[#This Row],[Contract__c]],Contract[Id],0))</f>
        <v>1</v>
      </c>
      <c r="B191">
        <f>IFERROR(INDEX(Contract[CB_Subscription__c],MATCH(ChargentOrders[[#This Row],[Contract__c]],Contract[Id],0)),0)</f>
        <v>0</v>
      </c>
      <c r="C191" t="b">
        <f>ISNUMBER(MATCH(ChargentOrders[[#This Row],[Id]],Claude[Id],0))</f>
        <v>1</v>
      </c>
      <c r="D191" t="b">
        <f>AND(ChargentOrders[[#This Row],[_Contract]],ChargentOrders[[#This Row],[CB Subscription]]=0)</f>
        <v>1</v>
      </c>
      <c r="E191" s="38">
        <f>INDEX(Table5[CUENTA],MATCH(ChargentOrders[[#This Row],[Contract__c]],Table5[SM_Contract__c],0))</f>
        <v>46111</v>
      </c>
      <c r="F191" s="38" t="str">
        <f ca="1">INDEX(Table5[ESTADO],MATCH(ChargentOrders[[#This Row],[Contract__c]],Table5[SM_Contract__c],0))</f>
        <v>DEBE 4</v>
      </c>
      <c r="G191" t="s">
        <v>618</v>
      </c>
      <c r="H191" t="s">
        <v>79</v>
      </c>
      <c r="I191" t="s">
        <v>619</v>
      </c>
      <c r="J191" s="1">
        <v>46007.788946759261</v>
      </c>
      <c r="K191">
        <v>10</v>
      </c>
      <c r="L191">
        <v>2030</v>
      </c>
      <c r="M191" t="s">
        <v>1410</v>
      </c>
      <c r="N191">
        <v>10</v>
      </c>
      <c r="O191" t="s">
        <v>1477</v>
      </c>
      <c r="P191" t="s">
        <v>73</v>
      </c>
      <c r="Q191">
        <v>2030</v>
      </c>
      <c r="R191">
        <v>0</v>
      </c>
      <c r="T191" t="s">
        <v>67</v>
      </c>
      <c r="U191" t="s">
        <v>68</v>
      </c>
      <c r="V191">
        <v>0</v>
      </c>
      <c r="W191" t="s">
        <v>69</v>
      </c>
      <c r="X191" s="5"/>
      <c r="Y191" t="s">
        <v>68</v>
      </c>
      <c r="Z191" t="s">
        <v>68</v>
      </c>
      <c r="AA191">
        <v>0</v>
      </c>
      <c r="AC191" t="s">
        <v>616</v>
      </c>
      <c r="AD191" t="s">
        <v>68</v>
      </c>
      <c r="AE191">
        <v>0</v>
      </c>
      <c r="AF191" s="1"/>
      <c r="AG191" s="1">
        <v>46007.788969907408</v>
      </c>
      <c r="AH191">
        <v>0</v>
      </c>
      <c r="AI191">
        <v>1</v>
      </c>
      <c r="AJ191">
        <v>0</v>
      </c>
      <c r="AK191" t="s">
        <v>617</v>
      </c>
      <c r="AL191" t="s">
        <v>68</v>
      </c>
      <c r="AM191" t="s">
        <v>68</v>
      </c>
      <c r="AN191">
        <v>0</v>
      </c>
      <c r="AO191" s="1"/>
      <c r="AP191">
        <v>1</v>
      </c>
      <c r="AS191" t="s">
        <v>75</v>
      </c>
      <c r="AT191" t="s">
        <v>68</v>
      </c>
      <c r="AU191">
        <v>0</v>
      </c>
      <c r="AV191" t="s">
        <v>68</v>
      </c>
      <c r="AW191">
        <v>1</v>
      </c>
      <c r="AX191" s="1"/>
      <c r="AZ191" t="s">
        <v>68</v>
      </c>
      <c r="BA191" t="s">
        <v>68</v>
      </c>
      <c r="BB191" t="s">
        <v>68</v>
      </c>
      <c r="BC191" t="s">
        <v>68</v>
      </c>
      <c r="BD191">
        <v>0</v>
      </c>
      <c r="BE191" s="1"/>
      <c r="BF191" s="1">
        <v>46007.788969907408</v>
      </c>
      <c r="BG191" t="s">
        <v>68</v>
      </c>
      <c r="BH191" t="s">
        <v>68</v>
      </c>
      <c r="BI191" t="s">
        <v>68</v>
      </c>
      <c r="BJ191" t="s">
        <v>68</v>
      </c>
      <c r="BK191" t="s">
        <v>68</v>
      </c>
      <c r="BL191" t="s">
        <v>68</v>
      </c>
      <c r="BM191" t="s">
        <v>68</v>
      </c>
      <c r="BN191" t="s">
        <v>68</v>
      </c>
      <c r="BO191" t="s">
        <v>96</v>
      </c>
      <c r="BP191">
        <v>0</v>
      </c>
      <c r="BQ191" t="s">
        <v>68</v>
      </c>
      <c r="BR191" t="s">
        <v>68</v>
      </c>
      <c r="BS191" t="s">
        <v>68</v>
      </c>
    </row>
    <row r="192" spans="1:71" x14ac:dyDescent="0.35">
      <c r="A192" t="b">
        <f>ISNUMBER(MATCH(ChargentOrders[[#This Row],[Contract__c]],Contract[Id],0))</f>
        <v>1</v>
      </c>
      <c r="B192">
        <f>IFERROR(INDEX(Contract[CB_Subscription__c],MATCH(ChargentOrders[[#This Row],[Contract__c]],Contract[Id],0)),0)</f>
        <v>0</v>
      </c>
      <c r="C192" t="b">
        <f>ISNUMBER(MATCH(ChargentOrders[[#This Row],[Id]],Claude[Id],0))</f>
        <v>1</v>
      </c>
      <c r="D192" t="b">
        <f>AND(ChargentOrders[[#This Row],[_Contract]],ChargentOrders[[#This Row],[CB Subscription]]=0)</f>
        <v>1</v>
      </c>
      <c r="E192" s="38">
        <f>INDEX(Table5[CUENTA],MATCH(ChargentOrders[[#This Row],[Contract__c]],Table5[SM_Contract__c],0))</f>
        <v>46111</v>
      </c>
      <c r="F192" s="38" t="str">
        <f ca="1">INDEX(Table5[ESTADO],MATCH(ChargentOrders[[#This Row],[Contract__c]],Table5[SM_Contract__c],0))</f>
        <v>DEBE 4</v>
      </c>
      <c r="G192" t="s">
        <v>666</v>
      </c>
      <c r="H192" t="s">
        <v>79</v>
      </c>
      <c r="I192" t="s">
        <v>667</v>
      </c>
      <c r="J192" s="1">
        <v>46017.428865740738</v>
      </c>
      <c r="K192">
        <v>10</v>
      </c>
      <c r="L192">
        <v>2030</v>
      </c>
      <c r="M192" t="s">
        <v>1410</v>
      </c>
      <c r="N192">
        <v>10</v>
      </c>
      <c r="O192" t="s">
        <v>1477</v>
      </c>
      <c r="P192" t="s">
        <v>73</v>
      </c>
      <c r="Q192">
        <v>2030</v>
      </c>
      <c r="R192">
        <v>17400</v>
      </c>
      <c r="T192" t="s">
        <v>67</v>
      </c>
      <c r="U192" t="s">
        <v>68</v>
      </c>
      <c r="V192">
        <v>0</v>
      </c>
      <c r="W192" t="s">
        <v>69</v>
      </c>
      <c r="X192" s="5">
        <v>46031</v>
      </c>
      <c r="Y192" t="s">
        <v>74</v>
      </c>
      <c r="Z192" t="s">
        <v>68</v>
      </c>
      <c r="AA192">
        <v>17400</v>
      </c>
      <c r="AB192">
        <v>0</v>
      </c>
      <c r="AC192" t="s">
        <v>616</v>
      </c>
      <c r="AD192" t="s">
        <v>68</v>
      </c>
      <c r="AE192">
        <v>0</v>
      </c>
      <c r="AF192" s="1">
        <v>46031.426018518519</v>
      </c>
      <c r="AG192" s="1">
        <v>46031.426099537035</v>
      </c>
      <c r="AH192">
        <v>1</v>
      </c>
      <c r="AI192">
        <v>6</v>
      </c>
      <c r="AJ192">
        <v>1740</v>
      </c>
      <c r="AK192" t="s">
        <v>617</v>
      </c>
      <c r="AL192" t="s">
        <v>71</v>
      </c>
      <c r="AM192" t="s">
        <v>68</v>
      </c>
      <c r="AN192">
        <v>0</v>
      </c>
      <c r="AO192" s="1"/>
      <c r="AQ192">
        <v>0</v>
      </c>
      <c r="AR192">
        <v>0</v>
      </c>
      <c r="AS192" t="s">
        <v>72</v>
      </c>
      <c r="AT192" t="s">
        <v>68</v>
      </c>
      <c r="AU192">
        <v>1</v>
      </c>
      <c r="AV192" t="s">
        <v>668</v>
      </c>
      <c r="AW192">
        <v>0</v>
      </c>
      <c r="AX192" s="1">
        <v>46007.789212962962</v>
      </c>
      <c r="AY192">
        <v>2500</v>
      </c>
      <c r="AZ192" t="s">
        <v>68</v>
      </c>
      <c r="BA192" t="s">
        <v>65</v>
      </c>
      <c r="BB192" t="s">
        <v>68</v>
      </c>
      <c r="BC192" t="s">
        <v>68</v>
      </c>
      <c r="BD192">
        <v>0</v>
      </c>
      <c r="BE192" s="1">
        <v>46030.425335648149</v>
      </c>
      <c r="BF192" s="1">
        <v>46031.426018518519</v>
      </c>
      <c r="BG192" t="s">
        <v>68</v>
      </c>
      <c r="BH192" t="s">
        <v>68</v>
      </c>
      <c r="BI192" t="s">
        <v>68</v>
      </c>
      <c r="BJ192" t="s">
        <v>68</v>
      </c>
      <c r="BK192" t="s">
        <v>68</v>
      </c>
      <c r="BL192" t="s">
        <v>68</v>
      </c>
      <c r="BM192" t="s">
        <v>68</v>
      </c>
      <c r="BN192" t="s">
        <v>68</v>
      </c>
      <c r="BO192" t="s">
        <v>96</v>
      </c>
      <c r="BP192">
        <v>0</v>
      </c>
      <c r="BQ192" t="s">
        <v>68</v>
      </c>
      <c r="BR192" t="s">
        <v>68</v>
      </c>
      <c r="BS192" t="s">
        <v>68</v>
      </c>
    </row>
    <row r="193" spans="1:71" x14ac:dyDescent="0.35">
      <c r="A193" t="b">
        <f>ISNUMBER(MATCH(ChargentOrders[[#This Row],[Contract__c]],Contract[Id],0))</f>
        <v>1</v>
      </c>
      <c r="B193">
        <f>IFERROR(INDEX(Contract[CB_Subscription__c],MATCH(ChargentOrders[[#This Row],[Contract__c]],Contract[Id],0)),0)</f>
        <v>0</v>
      </c>
      <c r="C193" t="b">
        <f>ISNUMBER(MATCH(ChargentOrders[[#This Row],[Id]],Claude[Id],0))</f>
        <v>1</v>
      </c>
      <c r="D193" t="b">
        <f>AND(ChargentOrders[[#This Row],[_Contract]],ChargentOrders[[#This Row],[CB Subscription]]=0)</f>
        <v>1</v>
      </c>
      <c r="E193" s="38">
        <f>INDEX(Table5[CUENTA],MATCH(ChargentOrders[[#This Row],[Contract__c]],Table5[SM_Contract__c],0))</f>
        <v>46111</v>
      </c>
      <c r="F193" s="38" t="str">
        <f ca="1">INDEX(Table5[ESTADO],MATCH(ChargentOrders[[#This Row],[Contract__c]],Table5[SM_Contract__c],0))</f>
        <v>DEBE 4</v>
      </c>
      <c r="G193" t="s">
        <v>727</v>
      </c>
      <c r="H193" t="s">
        <v>79</v>
      </c>
      <c r="I193" t="s">
        <v>728</v>
      </c>
      <c r="J193" s="1">
        <v>46031.426122685189</v>
      </c>
      <c r="K193">
        <v>10</v>
      </c>
      <c r="L193">
        <v>2030</v>
      </c>
      <c r="M193" t="s">
        <v>1410</v>
      </c>
      <c r="N193">
        <v>10</v>
      </c>
      <c r="O193" t="s">
        <v>1477</v>
      </c>
      <c r="P193" t="s">
        <v>73</v>
      </c>
      <c r="Q193">
        <v>2030</v>
      </c>
      <c r="R193">
        <v>7900</v>
      </c>
      <c r="S193">
        <v>30</v>
      </c>
      <c r="T193" t="s">
        <v>67</v>
      </c>
      <c r="U193" t="s">
        <v>68</v>
      </c>
      <c r="V193">
        <v>0</v>
      </c>
      <c r="W193" t="s">
        <v>69</v>
      </c>
      <c r="X193" s="5">
        <v>46233</v>
      </c>
      <c r="Y193" t="s">
        <v>84</v>
      </c>
      <c r="Z193" t="s">
        <v>68</v>
      </c>
      <c r="AA193">
        <v>7900</v>
      </c>
      <c r="AB193">
        <v>0</v>
      </c>
      <c r="AC193" t="s">
        <v>616</v>
      </c>
      <c r="AD193" t="s">
        <v>68</v>
      </c>
      <c r="AE193">
        <v>0</v>
      </c>
      <c r="AF193" s="1"/>
      <c r="AG193" s="1"/>
      <c r="AH193">
        <v>0</v>
      </c>
      <c r="AI193">
        <v>5</v>
      </c>
      <c r="AJ193">
        <v>0</v>
      </c>
      <c r="AK193" t="s">
        <v>617</v>
      </c>
      <c r="AL193" t="s">
        <v>76</v>
      </c>
      <c r="AM193" t="s">
        <v>68</v>
      </c>
      <c r="AN193">
        <v>0</v>
      </c>
      <c r="AO193" s="1"/>
      <c r="AP193">
        <v>6</v>
      </c>
      <c r="AQ193">
        <v>0</v>
      </c>
      <c r="AR193">
        <v>0</v>
      </c>
      <c r="AS193" t="s">
        <v>75</v>
      </c>
      <c r="AT193" t="s">
        <v>68</v>
      </c>
      <c r="AU193">
        <v>0</v>
      </c>
      <c r="AV193" t="s">
        <v>68</v>
      </c>
      <c r="AW193">
        <v>0</v>
      </c>
      <c r="AX193" s="1"/>
      <c r="AZ193" t="s">
        <v>68</v>
      </c>
      <c r="BA193" t="s">
        <v>68</v>
      </c>
      <c r="BB193" t="s">
        <v>68</v>
      </c>
      <c r="BC193" t="s">
        <v>68</v>
      </c>
      <c r="BD193">
        <v>0</v>
      </c>
      <c r="BE193" s="1">
        <v>46203.417314814818</v>
      </c>
      <c r="BF193" s="1">
        <v>46203.417314814818</v>
      </c>
      <c r="BG193" t="s">
        <v>68</v>
      </c>
      <c r="BH193" t="s">
        <v>68</v>
      </c>
      <c r="BI193" t="s">
        <v>68</v>
      </c>
      <c r="BJ193" t="s">
        <v>68</v>
      </c>
      <c r="BK193" t="s">
        <v>68</v>
      </c>
      <c r="BL193" t="s">
        <v>68</v>
      </c>
      <c r="BM193" t="s">
        <v>68</v>
      </c>
      <c r="BN193" t="s">
        <v>68</v>
      </c>
      <c r="BO193" t="s">
        <v>96</v>
      </c>
      <c r="BP193">
        <v>0</v>
      </c>
      <c r="BQ193" t="s">
        <v>68</v>
      </c>
      <c r="BR193" t="s">
        <v>68</v>
      </c>
      <c r="BS193" t="s">
        <v>68</v>
      </c>
    </row>
    <row r="194" spans="1:71" x14ac:dyDescent="0.35">
      <c r="A194" t="b">
        <f>ISNUMBER(MATCH(ChargentOrders[[#This Row],[Contract__c]],Contract[Id],0))</f>
        <v>1</v>
      </c>
      <c r="B194">
        <f>IFERROR(INDEX(Contract[CB_Subscription__c],MATCH(ChargentOrders[[#This Row],[Contract__c]],Contract[Id],0)),0)</f>
        <v>0</v>
      </c>
      <c r="C194" t="b">
        <f>ISNUMBER(MATCH(ChargentOrders[[#This Row],[Id]],Claude[Id],0))</f>
        <v>1</v>
      </c>
      <c r="D194" t="b">
        <f>AND(ChargentOrders[[#This Row],[_Contract]],ChargentOrders[[#This Row],[CB Subscription]]=0)</f>
        <v>1</v>
      </c>
      <c r="E194" s="38">
        <f>INDEX(Table5[CUENTA],MATCH(ChargentOrders[[#This Row],[Contract__c]],Table5[SM_Contract__c],0))</f>
        <v>46111</v>
      </c>
      <c r="F194" s="38" t="str">
        <f ca="1">INDEX(Table5[ESTADO],MATCH(ChargentOrders[[#This Row],[Contract__c]],Table5[SM_Contract__c],0))</f>
        <v>DEBE 4</v>
      </c>
      <c r="G194" t="s">
        <v>829</v>
      </c>
      <c r="H194" t="s">
        <v>155</v>
      </c>
      <c r="I194" t="s">
        <v>830</v>
      </c>
      <c r="J194" s="1">
        <v>46048.419421296298</v>
      </c>
      <c r="K194">
        <v>10</v>
      </c>
      <c r="L194">
        <v>2028</v>
      </c>
      <c r="M194" t="s">
        <v>1455</v>
      </c>
      <c r="N194">
        <v>10</v>
      </c>
      <c r="O194" t="s">
        <v>1456</v>
      </c>
      <c r="P194" t="s">
        <v>73</v>
      </c>
      <c r="Q194">
        <v>2028</v>
      </c>
      <c r="R194">
        <v>12400</v>
      </c>
      <c r="T194" t="s">
        <v>67</v>
      </c>
      <c r="U194" t="s">
        <v>68</v>
      </c>
      <c r="V194">
        <v>0</v>
      </c>
      <c r="W194" t="s">
        <v>69</v>
      </c>
      <c r="X194" s="5">
        <v>46051</v>
      </c>
      <c r="Y194" t="s">
        <v>74</v>
      </c>
      <c r="Z194" t="s">
        <v>68</v>
      </c>
      <c r="AA194">
        <v>12400</v>
      </c>
      <c r="AB194">
        <v>0</v>
      </c>
      <c r="AC194" t="s">
        <v>414</v>
      </c>
      <c r="AD194" t="s">
        <v>68</v>
      </c>
      <c r="AE194">
        <v>0</v>
      </c>
      <c r="AF194" s="1">
        <v>46051.429340277777</v>
      </c>
      <c r="AG194" s="1">
        <v>46051.429340277777</v>
      </c>
      <c r="AH194">
        <v>1</v>
      </c>
      <c r="AI194">
        <v>1</v>
      </c>
      <c r="AJ194">
        <v>1240</v>
      </c>
      <c r="AK194" t="s">
        <v>415</v>
      </c>
      <c r="AL194" t="s">
        <v>71</v>
      </c>
      <c r="AM194" t="s">
        <v>68</v>
      </c>
      <c r="AN194">
        <v>0</v>
      </c>
      <c r="AO194" s="1"/>
      <c r="AP194">
        <v>0</v>
      </c>
      <c r="AQ194">
        <v>0</v>
      </c>
      <c r="AR194">
        <v>0</v>
      </c>
      <c r="AS194" t="s">
        <v>72</v>
      </c>
      <c r="AT194" t="s">
        <v>68</v>
      </c>
      <c r="AU194">
        <v>1</v>
      </c>
      <c r="AV194" t="s">
        <v>831</v>
      </c>
      <c r="AW194">
        <v>0</v>
      </c>
      <c r="AX194" s="1">
        <v>45901.428703703707</v>
      </c>
      <c r="AY194">
        <v>2500</v>
      </c>
      <c r="AZ194" t="s">
        <v>68</v>
      </c>
      <c r="BA194" t="s">
        <v>65</v>
      </c>
      <c r="BB194" t="s">
        <v>68</v>
      </c>
      <c r="BC194" t="s">
        <v>68</v>
      </c>
      <c r="BD194">
        <v>0</v>
      </c>
      <c r="BE194" s="1"/>
      <c r="BF194" s="1">
        <v>46051.429340277777</v>
      </c>
      <c r="BG194" t="s">
        <v>68</v>
      </c>
      <c r="BH194" t="s">
        <v>68</v>
      </c>
      <c r="BI194" t="s">
        <v>68</v>
      </c>
      <c r="BJ194" t="s">
        <v>68</v>
      </c>
      <c r="BK194" t="s">
        <v>68</v>
      </c>
      <c r="BL194" t="s">
        <v>68</v>
      </c>
      <c r="BM194" t="s">
        <v>68</v>
      </c>
      <c r="BN194" t="s">
        <v>68</v>
      </c>
      <c r="BO194" t="s">
        <v>96</v>
      </c>
      <c r="BP194">
        <v>0</v>
      </c>
      <c r="BQ194" t="s">
        <v>68</v>
      </c>
      <c r="BR194" t="s">
        <v>68</v>
      </c>
      <c r="BS194" t="s">
        <v>68</v>
      </c>
    </row>
    <row r="195" spans="1:71" x14ac:dyDescent="0.35">
      <c r="A195" t="b">
        <f>ISNUMBER(MATCH(ChargentOrders[[#This Row],[Contract__c]],Contract[Id],0))</f>
        <v>1</v>
      </c>
      <c r="B195">
        <f>IFERROR(INDEX(Contract[CB_Subscription__c],MATCH(ChargentOrders[[#This Row],[Contract__c]],Contract[Id],0)),0)</f>
        <v>0</v>
      </c>
      <c r="C195" t="b">
        <f>ISNUMBER(MATCH(ChargentOrders[[#This Row],[Id]],Claude[Id],0))</f>
        <v>1</v>
      </c>
      <c r="D195" t="b">
        <f>AND(ChargentOrders[[#This Row],[_Contract]],ChargentOrders[[#This Row],[CB Subscription]]=0)</f>
        <v>1</v>
      </c>
      <c r="E195" s="38">
        <f>INDEX(Table5[CUENTA],MATCH(ChargentOrders[[#This Row],[Contract__c]],Table5[SM_Contract__c],0))</f>
        <v>46111</v>
      </c>
      <c r="F195" s="38" t="str">
        <f ca="1">INDEX(Table5[ESTADO],MATCH(ChargentOrders[[#This Row],[Contract__c]],Table5[SM_Contract__c],0))</f>
        <v>DEBE 4</v>
      </c>
      <c r="G195" t="s">
        <v>908</v>
      </c>
      <c r="H195" t="s">
        <v>79</v>
      </c>
      <c r="I195" t="s">
        <v>909</v>
      </c>
      <c r="J195" s="1">
        <v>46052.438923611109</v>
      </c>
      <c r="K195">
        <v>10</v>
      </c>
      <c r="L195">
        <v>2030</v>
      </c>
      <c r="M195" t="s">
        <v>1410</v>
      </c>
      <c r="N195">
        <v>10</v>
      </c>
      <c r="O195" t="s">
        <v>1477</v>
      </c>
      <c r="P195" t="s">
        <v>73</v>
      </c>
      <c r="Q195">
        <v>2030</v>
      </c>
      <c r="R195">
        <v>1040</v>
      </c>
      <c r="T195" t="s">
        <v>67</v>
      </c>
      <c r="U195" t="s">
        <v>68</v>
      </c>
      <c r="V195">
        <v>0</v>
      </c>
      <c r="W195" t="s">
        <v>69</v>
      </c>
      <c r="X195" s="5">
        <v>46058</v>
      </c>
      <c r="Y195" t="s">
        <v>74</v>
      </c>
      <c r="Z195" t="s">
        <v>68</v>
      </c>
      <c r="AA195">
        <v>10400</v>
      </c>
      <c r="AB195">
        <v>0</v>
      </c>
      <c r="AC195" t="s">
        <v>616</v>
      </c>
      <c r="AD195" t="s">
        <v>68</v>
      </c>
      <c r="AE195">
        <v>0</v>
      </c>
      <c r="AF195" s="1">
        <v>46057.009502314817</v>
      </c>
      <c r="AG195" s="1">
        <v>46057.009502314817</v>
      </c>
      <c r="AH195">
        <v>1</v>
      </c>
      <c r="AI195">
        <v>2</v>
      </c>
      <c r="AJ195">
        <v>1040</v>
      </c>
      <c r="AK195" t="s">
        <v>617</v>
      </c>
      <c r="AL195" t="s">
        <v>71</v>
      </c>
      <c r="AM195" t="s">
        <v>68</v>
      </c>
      <c r="AN195">
        <v>0</v>
      </c>
      <c r="AO195" s="1"/>
      <c r="AP195">
        <v>0</v>
      </c>
      <c r="AQ195">
        <v>0</v>
      </c>
      <c r="AR195">
        <v>0</v>
      </c>
      <c r="AS195" t="s">
        <v>72</v>
      </c>
      <c r="AT195" t="s">
        <v>68</v>
      </c>
      <c r="AU195">
        <v>1</v>
      </c>
      <c r="AV195" t="s">
        <v>910</v>
      </c>
      <c r="AW195">
        <v>0</v>
      </c>
      <c r="AX195" s="1">
        <v>46031.426122685189</v>
      </c>
      <c r="AY195">
        <v>2500</v>
      </c>
      <c r="AZ195" t="s">
        <v>68</v>
      </c>
      <c r="BA195" t="s">
        <v>65</v>
      </c>
      <c r="BB195" t="s">
        <v>68</v>
      </c>
      <c r="BC195" t="s">
        <v>68</v>
      </c>
      <c r="BD195">
        <v>0</v>
      </c>
      <c r="BE195" s="1">
        <v>46055.432152777779</v>
      </c>
      <c r="BF195" s="1">
        <v>46057.009502314817</v>
      </c>
      <c r="BG195" t="s">
        <v>68</v>
      </c>
      <c r="BH195" t="s">
        <v>68</v>
      </c>
      <c r="BI195" t="s">
        <v>68</v>
      </c>
      <c r="BJ195" t="s">
        <v>68</v>
      </c>
      <c r="BK195" t="s">
        <v>68</v>
      </c>
      <c r="BL195" t="s">
        <v>68</v>
      </c>
      <c r="BM195" t="s">
        <v>68</v>
      </c>
      <c r="BN195" t="s">
        <v>68</v>
      </c>
      <c r="BO195" t="s">
        <v>96</v>
      </c>
      <c r="BP195">
        <v>0</v>
      </c>
      <c r="BQ195" t="s">
        <v>68</v>
      </c>
      <c r="BR195" t="s">
        <v>68</v>
      </c>
      <c r="BS195" t="s">
        <v>68</v>
      </c>
    </row>
    <row r="196" spans="1:71" x14ac:dyDescent="0.35">
      <c r="A196" t="b">
        <f>ISNUMBER(MATCH(ChargentOrders[[#This Row],[Contract__c]],Contract[Id],0))</f>
        <v>1</v>
      </c>
      <c r="B196">
        <f>IFERROR(INDEX(Contract[CB_Subscription__c],MATCH(ChargentOrders[[#This Row],[Contract__c]],Contract[Id],0)),0)</f>
        <v>0</v>
      </c>
      <c r="C196" t="b">
        <f>ISNUMBER(MATCH(ChargentOrders[[#This Row],[Id]],Claude[Id],0))</f>
        <v>1</v>
      </c>
      <c r="D196" t="b">
        <f>AND(ChargentOrders[[#This Row],[_Contract]],ChargentOrders[[#This Row],[CB Subscription]]=0)</f>
        <v>1</v>
      </c>
      <c r="E196" s="38">
        <f>INDEX(Table5[CUENTA],MATCH(ChargentOrders[[#This Row],[Contract__c]],Table5[SM_Contract__c],0))</f>
        <v>46111</v>
      </c>
      <c r="F196" s="38" t="str">
        <f ca="1">INDEX(Table5[ESTADO],MATCH(ChargentOrders[[#This Row],[Contract__c]],Table5[SM_Contract__c],0))</f>
        <v>DEBE 4</v>
      </c>
      <c r="G196" t="s">
        <v>997</v>
      </c>
      <c r="H196" t="s">
        <v>79</v>
      </c>
      <c r="I196" t="s">
        <v>998</v>
      </c>
      <c r="J196" s="1">
        <v>46093.030138888891</v>
      </c>
      <c r="K196">
        <v>10</v>
      </c>
      <c r="L196">
        <v>2030</v>
      </c>
      <c r="M196" t="s">
        <v>1410</v>
      </c>
      <c r="N196">
        <v>10</v>
      </c>
      <c r="O196" t="s">
        <v>1477</v>
      </c>
      <c r="P196" t="s">
        <v>73</v>
      </c>
      <c r="Q196">
        <v>2030</v>
      </c>
      <c r="R196">
        <v>1.04E+20</v>
      </c>
      <c r="T196" t="s">
        <v>67</v>
      </c>
      <c r="U196" t="s">
        <v>68</v>
      </c>
      <c r="V196">
        <v>0</v>
      </c>
      <c r="W196" t="s">
        <v>69</v>
      </c>
      <c r="X196" s="5">
        <v>46101</v>
      </c>
      <c r="Y196" t="s">
        <v>74</v>
      </c>
      <c r="Z196" t="s">
        <v>68</v>
      </c>
      <c r="AA196">
        <v>10400</v>
      </c>
      <c r="AB196">
        <v>0</v>
      </c>
      <c r="AC196" t="s">
        <v>616</v>
      </c>
      <c r="AD196" t="s">
        <v>68</v>
      </c>
      <c r="AE196">
        <v>0</v>
      </c>
      <c r="AF196" s="1">
        <v>46101.427106481482</v>
      </c>
      <c r="AG196" s="1">
        <v>46101.427187499998</v>
      </c>
      <c r="AH196">
        <v>1</v>
      </c>
      <c r="AI196">
        <v>6</v>
      </c>
      <c r="AJ196">
        <v>1040</v>
      </c>
      <c r="AK196" t="s">
        <v>617</v>
      </c>
      <c r="AL196" t="s">
        <v>71</v>
      </c>
      <c r="AM196" t="s">
        <v>68</v>
      </c>
      <c r="AN196">
        <v>0</v>
      </c>
      <c r="AO196" s="1"/>
      <c r="AP196">
        <v>3</v>
      </c>
      <c r="AQ196">
        <v>0</v>
      </c>
      <c r="AR196">
        <v>0</v>
      </c>
      <c r="AS196" t="s">
        <v>72</v>
      </c>
      <c r="AT196" t="s">
        <v>68</v>
      </c>
      <c r="AU196">
        <v>1</v>
      </c>
      <c r="AV196" t="s">
        <v>999</v>
      </c>
      <c r="AW196">
        <v>0</v>
      </c>
      <c r="AX196" s="1">
        <v>46031.426122685189</v>
      </c>
      <c r="AY196">
        <v>2500</v>
      </c>
      <c r="AZ196" t="s">
        <v>68</v>
      </c>
      <c r="BA196" t="s">
        <v>101</v>
      </c>
      <c r="BB196" t="s">
        <v>68</v>
      </c>
      <c r="BC196" t="s">
        <v>68</v>
      </c>
      <c r="BD196">
        <v>0</v>
      </c>
      <c r="BE196" s="1">
        <v>46099.995023148149</v>
      </c>
      <c r="BF196" s="1">
        <v>46101.427106481482</v>
      </c>
      <c r="BG196" t="s">
        <v>68</v>
      </c>
      <c r="BH196" t="s">
        <v>68</v>
      </c>
      <c r="BI196" t="s">
        <v>68</v>
      </c>
      <c r="BJ196" t="s">
        <v>68</v>
      </c>
      <c r="BK196" t="s">
        <v>68</v>
      </c>
      <c r="BL196" t="s">
        <v>68</v>
      </c>
      <c r="BM196" t="s">
        <v>68</v>
      </c>
      <c r="BN196" t="s">
        <v>68</v>
      </c>
      <c r="BO196" t="s">
        <v>96</v>
      </c>
      <c r="BP196">
        <v>0</v>
      </c>
      <c r="BQ196" t="s">
        <v>68</v>
      </c>
      <c r="BR196" t="s">
        <v>68</v>
      </c>
      <c r="BS196" t="s">
        <v>68</v>
      </c>
    </row>
    <row r="197" spans="1:71" x14ac:dyDescent="0.35">
      <c r="A197" t="b">
        <f>ISNUMBER(MATCH(ChargentOrders[[#This Row],[Contract__c]],Contract[Id],0))</f>
        <v>1</v>
      </c>
      <c r="B197">
        <f>IFERROR(INDEX(Contract[CB_Subscription__c],MATCH(ChargentOrders[[#This Row],[Contract__c]],Contract[Id],0)),0)</f>
        <v>0</v>
      </c>
      <c r="C197" t="b">
        <f>ISNUMBER(MATCH(ChargentOrders[[#This Row],[Id]],Claude[Id],0))</f>
        <v>1</v>
      </c>
      <c r="D197" t="b">
        <f>AND(ChargentOrders[[#This Row],[_Contract]],ChargentOrders[[#This Row],[CB Subscription]]=0)</f>
        <v>1</v>
      </c>
      <c r="E197" s="38">
        <f>INDEX(Table5[CUENTA],MATCH(ChargentOrders[[#This Row],[Contract__c]],Table5[SM_Contract__c],0))</f>
        <v>46111</v>
      </c>
      <c r="F197" s="38" t="str">
        <f ca="1">INDEX(Table5[ESTADO],MATCH(ChargentOrders[[#This Row],[Contract__c]],Table5[SM_Contract__c],0))</f>
        <v>DEBE 4</v>
      </c>
      <c r="G197" t="s">
        <v>1025</v>
      </c>
      <c r="H197" t="s">
        <v>155</v>
      </c>
      <c r="I197" t="s">
        <v>1026</v>
      </c>
      <c r="J197" s="1">
        <v>46111.420370370368</v>
      </c>
      <c r="K197">
        <v>10</v>
      </c>
      <c r="L197">
        <v>2028</v>
      </c>
      <c r="M197" t="s">
        <v>1455</v>
      </c>
      <c r="N197">
        <v>10</v>
      </c>
      <c r="O197" t="s">
        <v>1456</v>
      </c>
      <c r="P197" t="s">
        <v>73</v>
      </c>
      <c r="Q197">
        <v>2028</v>
      </c>
      <c r="R197">
        <v>12400</v>
      </c>
      <c r="T197" t="s">
        <v>67</v>
      </c>
      <c r="U197" t="s">
        <v>68</v>
      </c>
      <c r="V197">
        <v>0</v>
      </c>
      <c r="W197" t="s">
        <v>69</v>
      </c>
      <c r="X197" s="5">
        <v>46212</v>
      </c>
      <c r="Y197" t="s">
        <v>84</v>
      </c>
      <c r="Z197" t="s">
        <v>68</v>
      </c>
      <c r="AA197">
        <v>12400</v>
      </c>
      <c r="AB197">
        <v>0</v>
      </c>
      <c r="AC197" t="s">
        <v>414</v>
      </c>
      <c r="AD197" t="s">
        <v>68</v>
      </c>
      <c r="AE197">
        <v>0</v>
      </c>
      <c r="AF197" s="1"/>
      <c r="AG197" s="1"/>
      <c r="AH197">
        <v>0</v>
      </c>
      <c r="AI197">
        <v>12</v>
      </c>
      <c r="AJ197">
        <v>0</v>
      </c>
      <c r="AK197" t="s">
        <v>415</v>
      </c>
      <c r="AL197" t="s">
        <v>71</v>
      </c>
      <c r="AM197" t="s">
        <v>68</v>
      </c>
      <c r="AN197">
        <v>0</v>
      </c>
      <c r="AO197" s="1"/>
      <c r="AQ197">
        <v>0</v>
      </c>
      <c r="AR197">
        <v>0</v>
      </c>
      <c r="AS197" t="s">
        <v>72</v>
      </c>
      <c r="AT197" t="s">
        <v>68</v>
      </c>
      <c r="AU197">
        <v>1</v>
      </c>
      <c r="AV197" t="s">
        <v>1027</v>
      </c>
      <c r="AW197">
        <v>0</v>
      </c>
      <c r="AX197" s="1">
        <v>45901.428703703707</v>
      </c>
      <c r="AY197">
        <v>2500</v>
      </c>
      <c r="AZ197" t="s">
        <v>68</v>
      </c>
      <c r="BA197" t="s">
        <v>65</v>
      </c>
      <c r="BB197" t="s">
        <v>68</v>
      </c>
      <c r="BC197" t="s">
        <v>68</v>
      </c>
      <c r="BD197">
        <v>0</v>
      </c>
      <c r="BE197" s="1">
        <v>46209.41914351852</v>
      </c>
      <c r="BF197" s="1">
        <v>46209.41914351852</v>
      </c>
      <c r="BG197" t="s">
        <v>68</v>
      </c>
      <c r="BH197" t="s">
        <v>68</v>
      </c>
      <c r="BI197" t="s">
        <v>68</v>
      </c>
      <c r="BJ197" t="s">
        <v>68</v>
      </c>
      <c r="BK197" t="s">
        <v>68</v>
      </c>
      <c r="BL197" t="s">
        <v>68</v>
      </c>
      <c r="BM197" t="s">
        <v>68</v>
      </c>
      <c r="BN197" t="s">
        <v>68</v>
      </c>
      <c r="BO197" t="s">
        <v>96</v>
      </c>
      <c r="BP197">
        <v>0</v>
      </c>
      <c r="BQ197" t="s">
        <v>68</v>
      </c>
      <c r="BR197" t="s">
        <v>68</v>
      </c>
      <c r="BS197" t="s">
        <v>68</v>
      </c>
    </row>
    <row r="198" spans="1:71" x14ac:dyDescent="0.35">
      <c r="A198" t="b">
        <f>ISNUMBER(MATCH(ChargentOrders[[#This Row],[Contract__c]],Contract[Id],0))</f>
        <v>1</v>
      </c>
      <c r="B198">
        <f>IFERROR(INDEX(Contract[CB_Subscription__c],MATCH(ChargentOrders[[#This Row],[Contract__c]],Contract[Id],0)),0)</f>
        <v>0</v>
      </c>
      <c r="C198" t="b">
        <f>ISNUMBER(MATCH(ChargentOrders[[#This Row],[Id]],Claude[Id],0))</f>
        <v>1</v>
      </c>
      <c r="D198" t="b">
        <f>AND(ChargentOrders[[#This Row],[_Contract]],ChargentOrders[[#This Row],[CB Subscription]]=0)</f>
        <v>1</v>
      </c>
      <c r="E198" s="38">
        <f>INDEX(Table5[CUENTA],MATCH(ChargentOrders[[#This Row],[Contract__c]],Table5[SM_Contract__c],0))</f>
        <v>46111</v>
      </c>
      <c r="F198" s="38" t="str">
        <f ca="1">INDEX(Table5[ESTADO],MATCH(ChargentOrders[[#This Row],[Contract__c]],Table5[SM_Contract__c],0))</f>
        <v>DEBE 4</v>
      </c>
      <c r="G198" t="s">
        <v>1074</v>
      </c>
      <c r="H198" t="s">
        <v>78</v>
      </c>
      <c r="I198" t="s">
        <v>1075</v>
      </c>
      <c r="J198" s="1">
        <v>46114.560057870367</v>
      </c>
      <c r="K198">
        <v>10</v>
      </c>
      <c r="L198">
        <v>2030</v>
      </c>
      <c r="M198" t="s">
        <v>1410</v>
      </c>
      <c r="N198">
        <v>10</v>
      </c>
      <c r="O198" t="s">
        <v>1518</v>
      </c>
      <c r="P198" t="s">
        <v>73</v>
      </c>
      <c r="Q198">
        <v>2030</v>
      </c>
      <c r="R198">
        <v>10400</v>
      </c>
      <c r="T198" t="s">
        <v>67</v>
      </c>
      <c r="U198" t="s">
        <v>68</v>
      </c>
      <c r="V198">
        <v>0</v>
      </c>
      <c r="W198" t="s">
        <v>69</v>
      </c>
      <c r="X198" s="5">
        <v>46212</v>
      </c>
      <c r="Y198" t="s">
        <v>84</v>
      </c>
      <c r="Z198" t="s">
        <v>68</v>
      </c>
      <c r="AA198">
        <v>10400</v>
      </c>
      <c r="AB198">
        <v>0</v>
      </c>
      <c r="AC198" t="s">
        <v>616</v>
      </c>
      <c r="AD198" t="s">
        <v>68</v>
      </c>
      <c r="AE198">
        <v>0</v>
      </c>
      <c r="AF198" s="1"/>
      <c r="AG198" s="1"/>
      <c r="AH198">
        <v>0</v>
      </c>
      <c r="AI198">
        <v>43</v>
      </c>
      <c r="AJ198">
        <v>0</v>
      </c>
      <c r="AK198" t="s">
        <v>617</v>
      </c>
      <c r="AL198" t="s">
        <v>71</v>
      </c>
      <c r="AM198" t="s">
        <v>1067</v>
      </c>
      <c r="AN198">
        <v>0</v>
      </c>
      <c r="AO198" s="1"/>
      <c r="AP198">
        <v>1</v>
      </c>
      <c r="AQ198">
        <v>0</v>
      </c>
      <c r="AR198">
        <v>0</v>
      </c>
      <c r="AS198" t="s">
        <v>75</v>
      </c>
      <c r="AT198" t="s">
        <v>68</v>
      </c>
      <c r="AU198">
        <v>1</v>
      </c>
      <c r="AV198" t="s">
        <v>68</v>
      </c>
      <c r="AW198">
        <v>0</v>
      </c>
      <c r="AX198" s="1">
        <v>46140.875104166669</v>
      </c>
      <c r="AY198">
        <v>2500</v>
      </c>
      <c r="AZ198" t="s">
        <v>68</v>
      </c>
      <c r="BA198" t="s">
        <v>68</v>
      </c>
      <c r="BB198" t="s">
        <v>68</v>
      </c>
      <c r="BC198" t="s">
        <v>68</v>
      </c>
      <c r="BD198">
        <v>0</v>
      </c>
      <c r="BE198" s="1">
        <v>46209.419490740744</v>
      </c>
      <c r="BF198" s="1">
        <v>46209.419490740744</v>
      </c>
      <c r="BG198" t="s">
        <v>68</v>
      </c>
      <c r="BH198" t="s">
        <v>68</v>
      </c>
      <c r="BI198" t="s">
        <v>68</v>
      </c>
      <c r="BJ198" t="s">
        <v>68</v>
      </c>
      <c r="BK198" t="s">
        <v>68</v>
      </c>
      <c r="BL198" t="s">
        <v>68</v>
      </c>
      <c r="BM198" t="s">
        <v>68</v>
      </c>
      <c r="BN198" t="s">
        <v>68</v>
      </c>
      <c r="BO198" t="s">
        <v>96</v>
      </c>
      <c r="BP198">
        <v>0</v>
      </c>
      <c r="BQ198" t="s">
        <v>68</v>
      </c>
      <c r="BR198" t="s">
        <v>68</v>
      </c>
      <c r="BS198" t="s">
        <v>249</v>
      </c>
    </row>
    <row r="199" spans="1:71" x14ac:dyDescent="0.35">
      <c r="A199" t="b">
        <f>ISNUMBER(MATCH(ChargentOrders[[#This Row],[Contract__c]],Contract[Id],0))</f>
        <v>1</v>
      </c>
      <c r="B199">
        <f>IFERROR(INDEX(Contract[CB_Subscription__c],MATCH(ChargentOrders[[#This Row],[Contract__c]],Contract[Id],0)),0)</f>
        <v>0</v>
      </c>
      <c r="C199" t="b">
        <f>ISNUMBER(MATCH(ChargentOrders[[#This Row],[Id]],Claude[Id],0))</f>
        <v>1</v>
      </c>
      <c r="D199" t="b">
        <f>AND(ChargentOrders[[#This Row],[_Contract]],ChargentOrders[[#This Row],[CB Subscription]]=0)</f>
        <v>1</v>
      </c>
      <c r="E199" s="38">
        <f>INDEX(Table5[CUENTA],MATCH(ChargentOrders[[#This Row],[Contract__c]],Table5[SM_Contract__c],0))</f>
        <v>46111</v>
      </c>
      <c r="F199" s="38" t="str">
        <f ca="1">INDEX(Table5[ESTADO],MATCH(ChargentOrders[[#This Row],[Contract__c]],Table5[SM_Contract__c],0))</f>
        <v>DEBE 4</v>
      </c>
      <c r="G199" t="s">
        <v>1131</v>
      </c>
      <c r="H199" t="s">
        <v>155</v>
      </c>
      <c r="I199" t="s">
        <v>1132</v>
      </c>
      <c r="J199" s="1">
        <v>46142.420243055552</v>
      </c>
      <c r="K199">
        <v>10</v>
      </c>
      <c r="L199">
        <v>2028</v>
      </c>
      <c r="M199" t="s">
        <v>1455</v>
      </c>
      <c r="N199">
        <v>10</v>
      </c>
      <c r="O199" t="s">
        <v>1456</v>
      </c>
      <c r="P199" t="s">
        <v>73</v>
      </c>
      <c r="Q199">
        <v>2028</v>
      </c>
      <c r="R199">
        <v>1240</v>
      </c>
      <c r="T199" t="s">
        <v>67</v>
      </c>
      <c r="U199" t="s">
        <v>68</v>
      </c>
      <c r="V199">
        <v>0</v>
      </c>
      <c r="W199" t="s">
        <v>69</v>
      </c>
      <c r="X199" s="5">
        <v>46212</v>
      </c>
      <c r="Y199" t="s">
        <v>90</v>
      </c>
      <c r="Z199" t="s">
        <v>68</v>
      </c>
      <c r="AA199">
        <v>12400</v>
      </c>
      <c r="AB199">
        <v>0</v>
      </c>
      <c r="AC199" t="s">
        <v>414</v>
      </c>
      <c r="AD199" t="s">
        <v>68</v>
      </c>
      <c r="AE199">
        <v>0</v>
      </c>
      <c r="AF199" s="1"/>
      <c r="AG199" s="1"/>
      <c r="AH199">
        <v>0</v>
      </c>
      <c r="AI199">
        <v>31</v>
      </c>
      <c r="AJ199">
        <v>0</v>
      </c>
      <c r="AK199" t="s">
        <v>415</v>
      </c>
      <c r="AL199" t="s">
        <v>71</v>
      </c>
      <c r="AM199" t="s">
        <v>68</v>
      </c>
      <c r="AN199">
        <v>0</v>
      </c>
      <c r="AO199" s="1"/>
      <c r="AQ199">
        <v>0</v>
      </c>
      <c r="AR199">
        <v>0</v>
      </c>
      <c r="AS199" t="s">
        <v>72</v>
      </c>
      <c r="AT199" t="s">
        <v>68</v>
      </c>
      <c r="AU199">
        <v>1</v>
      </c>
      <c r="AV199" t="s">
        <v>1133</v>
      </c>
      <c r="AW199">
        <v>0</v>
      </c>
      <c r="AX199" s="1">
        <v>45901.428703703707</v>
      </c>
      <c r="AY199">
        <v>2500</v>
      </c>
      <c r="AZ199" t="s">
        <v>68</v>
      </c>
      <c r="BA199" t="s">
        <v>65</v>
      </c>
      <c r="BB199" t="s">
        <v>68</v>
      </c>
      <c r="BC199" t="s">
        <v>68</v>
      </c>
      <c r="BD199">
        <v>0</v>
      </c>
      <c r="BE199" s="1">
        <v>46217.007025462961</v>
      </c>
      <c r="BF199" s="1">
        <v>46217.007025462961</v>
      </c>
      <c r="BG199" t="s">
        <v>68</v>
      </c>
      <c r="BH199" t="s">
        <v>68</v>
      </c>
      <c r="BI199" t="s">
        <v>68</v>
      </c>
      <c r="BJ199" t="s">
        <v>68</v>
      </c>
      <c r="BK199" t="s">
        <v>68</v>
      </c>
      <c r="BL199" t="s">
        <v>68</v>
      </c>
      <c r="BM199" t="s">
        <v>68</v>
      </c>
      <c r="BN199" t="s">
        <v>68</v>
      </c>
      <c r="BO199" t="s">
        <v>96</v>
      </c>
      <c r="BP199">
        <v>0</v>
      </c>
      <c r="BQ199" t="s">
        <v>68</v>
      </c>
      <c r="BR199" t="s">
        <v>68</v>
      </c>
      <c r="BS199" t="s">
        <v>68</v>
      </c>
    </row>
    <row r="200" spans="1:71" x14ac:dyDescent="0.35">
      <c r="A200" t="b">
        <f>ISNUMBER(MATCH(ChargentOrders[[#This Row],[Contract__c]],Contract[Id],0))</f>
        <v>1</v>
      </c>
      <c r="B200">
        <f>IFERROR(INDEX(Contract[CB_Subscription__c],MATCH(ChargentOrders[[#This Row],[Contract__c]],Contract[Id],0)),0)</f>
        <v>0</v>
      </c>
      <c r="C200" t="b">
        <f>ISNUMBER(MATCH(ChargentOrders[[#This Row],[Id]],Claude[Id],0))</f>
        <v>1</v>
      </c>
      <c r="D200" t="b">
        <f>AND(ChargentOrders[[#This Row],[_Contract]],ChargentOrders[[#This Row],[CB Subscription]]=0)</f>
        <v>1</v>
      </c>
      <c r="E200" s="38">
        <f>INDEX(Table5[CUENTA],MATCH(ChargentOrders[[#This Row],[Contract__c]],Table5[SM_Contract__c],0))</f>
        <v>46111</v>
      </c>
      <c r="F200" s="38" t="str">
        <f ca="1">INDEX(Table5[ESTADO],MATCH(ChargentOrders[[#This Row],[Contract__c]],Table5[SM_Contract__c],0))</f>
        <v>DEBE 4</v>
      </c>
      <c r="G200" t="s">
        <v>1155</v>
      </c>
      <c r="H200" t="s">
        <v>79</v>
      </c>
      <c r="I200" t="s">
        <v>1156</v>
      </c>
      <c r="J200" s="1">
        <v>46142.424745370372</v>
      </c>
      <c r="K200">
        <v>10</v>
      </c>
      <c r="L200">
        <v>2030</v>
      </c>
      <c r="M200" t="s">
        <v>1410</v>
      </c>
      <c r="N200">
        <v>10</v>
      </c>
      <c r="O200" t="s">
        <v>1477</v>
      </c>
      <c r="P200" t="s">
        <v>73</v>
      </c>
      <c r="Q200">
        <v>2030</v>
      </c>
      <c r="R200">
        <v>10400</v>
      </c>
      <c r="T200" t="s">
        <v>67</v>
      </c>
      <c r="U200" t="s">
        <v>68</v>
      </c>
      <c r="V200">
        <v>0</v>
      </c>
      <c r="W200" t="s">
        <v>69</v>
      </c>
      <c r="X200" s="5">
        <v>46212</v>
      </c>
      <c r="Y200" t="s">
        <v>84</v>
      </c>
      <c r="Z200" t="s">
        <v>68</v>
      </c>
      <c r="AA200">
        <v>10400</v>
      </c>
      <c r="AB200">
        <v>0</v>
      </c>
      <c r="AC200" t="s">
        <v>616</v>
      </c>
      <c r="AD200" t="s">
        <v>68</v>
      </c>
      <c r="AE200">
        <v>0</v>
      </c>
      <c r="AF200" s="1"/>
      <c r="AG200" s="1"/>
      <c r="AH200">
        <v>0</v>
      </c>
      <c r="AI200">
        <v>29</v>
      </c>
      <c r="AJ200">
        <v>0</v>
      </c>
      <c r="AK200" t="s">
        <v>617</v>
      </c>
      <c r="AL200" t="s">
        <v>71</v>
      </c>
      <c r="AM200" t="s">
        <v>68</v>
      </c>
      <c r="AN200">
        <v>0</v>
      </c>
      <c r="AO200" s="1"/>
      <c r="AQ200">
        <v>0</v>
      </c>
      <c r="AR200">
        <v>0</v>
      </c>
      <c r="AS200" t="s">
        <v>72</v>
      </c>
      <c r="AT200" t="s">
        <v>68</v>
      </c>
      <c r="AU200">
        <v>1</v>
      </c>
      <c r="AV200" t="s">
        <v>1157</v>
      </c>
      <c r="AW200">
        <v>0</v>
      </c>
      <c r="AX200" s="1">
        <v>46031.426122685189</v>
      </c>
      <c r="AY200">
        <v>2500</v>
      </c>
      <c r="AZ200" t="s">
        <v>68</v>
      </c>
      <c r="BA200" t="s">
        <v>65</v>
      </c>
      <c r="BB200" t="s">
        <v>68</v>
      </c>
      <c r="BC200" t="s">
        <v>68</v>
      </c>
      <c r="BD200">
        <v>0</v>
      </c>
      <c r="BE200" s="1">
        <v>46209.42050925926</v>
      </c>
      <c r="BF200" s="1">
        <v>46209.42050925926</v>
      </c>
      <c r="BG200" t="s">
        <v>68</v>
      </c>
      <c r="BH200" t="s">
        <v>68</v>
      </c>
      <c r="BI200" t="s">
        <v>68</v>
      </c>
      <c r="BJ200" t="s">
        <v>68</v>
      </c>
      <c r="BK200" t="s">
        <v>68</v>
      </c>
      <c r="BL200" t="s">
        <v>68</v>
      </c>
      <c r="BM200" t="s">
        <v>68</v>
      </c>
      <c r="BN200" t="s">
        <v>68</v>
      </c>
      <c r="BO200" t="s">
        <v>96</v>
      </c>
      <c r="BP200">
        <v>0</v>
      </c>
      <c r="BQ200" t="s">
        <v>68</v>
      </c>
      <c r="BR200" t="s">
        <v>68</v>
      </c>
      <c r="BS200" t="s">
        <v>68</v>
      </c>
    </row>
    <row r="201" spans="1:71" x14ac:dyDescent="0.35">
      <c r="A201" t="b">
        <f>ISNUMBER(MATCH(ChargentOrders[[#This Row],[Contract__c]],Contract[Id],0))</f>
        <v>1</v>
      </c>
      <c r="B201">
        <f>IFERROR(INDEX(Contract[CB_Subscription__c],MATCH(ChargentOrders[[#This Row],[Contract__c]],Contract[Id],0)),0)</f>
        <v>0</v>
      </c>
      <c r="C201" t="b">
        <f>ISNUMBER(MATCH(ChargentOrders[[#This Row],[Id]],Claude[Id],0))</f>
        <v>1</v>
      </c>
      <c r="D201" t="b">
        <f>AND(ChargentOrders[[#This Row],[_Contract]],ChargentOrders[[#This Row],[CB Subscription]]=0)</f>
        <v>1</v>
      </c>
      <c r="E201" s="38">
        <f>INDEX(Table5[CUENTA],MATCH(ChargentOrders[[#This Row],[Contract__c]],Table5[SM_Contract__c],0))</f>
        <v>46111</v>
      </c>
      <c r="F201" s="38" t="str">
        <f ca="1">INDEX(Table5[ESTADO],MATCH(ChargentOrders[[#This Row],[Contract__c]],Table5[SM_Contract__c],0))</f>
        <v>DEBE 4</v>
      </c>
      <c r="G201" t="s">
        <v>1259</v>
      </c>
      <c r="H201" t="s">
        <v>155</v>
      </c>
      <c r="I201" t="s">
        <v>1260</v>
      </c>
      <c r="J201" s="1">
        <v>46171.417199074072</v>
      </c>
      <c r="K201">
        <v>10</v>
      </c>
      <c r="L201">
        <v>2028</v>
      </c>
      <c r="M201" t="s">
        <v>1455</v>
      </c>
      <c r="N201">
        <v>10</v>
      </c>
      <c r="O201" t="s">
        <v>1456</v>
      </c>
      <c r="P201" t="s">
        <v>73</v>
      </c>
      <c r="Q201">
        <v>2028</v>
      </c>
      <c r="R201">
        <v>12400</v>
      </c>
      <c r="T201" t="s">
        <v>67</v>
      </c>
      <c r="U201" t="s">
        <v>68</v>
      </c>
      <c r="V201">
        <v>0</v>
      </c>
      <c r="W201" t="s">
        <v>69</v>
      </c>
      <c r="X201" s="5">
        <v>46212</v>
      </c>
      <c r="Y201" t="s">
        <v>84</v>
      </c>
      <c r="Z201" t="s">
        <v>68</v>
      </c>
      <c r="AA201">
        <v>12400</v>
      </c>
      <c r="AB201">
        <v>0</v>
      </c>
      <c r="AC201" t="s">
        <v>414</v>
      </c>
      <c r="AD201" t="s">
        <v>68</v>
      </c>
      <c r="AE201">
        <v>0</v>
      </c>
      <c r="AF201" s="1"/>
      <c r="AG201" s="1"/>
      <c r="AH201">
        <v>0</v>
      </c>
      <c r="AI201">
        <v>16</v>
      </c>
      <c r="AJ201">
        <v>0</v>
      </c>
      <c r="AK201" t="s">
        <v>415</v>
      </c>
      <c r="AL201" t="s">
        <v>71</v>
      </c>
      <c r="AM201" t="s">
        <v>68</v>
      </c>
      <c r="AN201">
        <v>0</v>
      </c>
      <c r="AO201" s="1"/>
      <c r="AQ201">
        <v>0</v>
      </c>
      <c r="AR201">
        <v>0</v>
      </c>
      <c r="AS201" t="s">
        <v>72</v>
      </c>
      <c r="AT201" t="s">
        <v>68</v>
      </c>
      <c r="AU201">
        <v>1</v>
      </c>
      <c r="AV201" t="s">
        <v>1261</v>
      </c>
      <c r="AW201">
        <v>0</v>
      </c>
      <c r="AX201" s="1">
        <v>45901.428703703707</v>
      </c>
      <c r="AY201">
        <v>2500</v>
      </c>
      <c r="AZ201" t="s">
        <v>68</v>
      </c>
      <c r="BA201" t="s">
        <v>65</v>
      </c>
      <c r="BB201" t="s">
        <v>68</v>
      </c>
      <c r="BC201" t="s">
        <v>68</v>
      </c>
      <c r="BD201">
        <v>0</v>
      </c>
      <c r="BE201" s="1">
        <v>46209.421516203707</v>
      </c>
      <c r="BF201" s="1">
        <v>46209.421516203707</v>
      </c>
      <c r="BG201" t="s">
        <v>68</v>
      </c>
      <c r="BH201" t="s">
        <v>68</v>
      </c>
      <c r="BI201" t="s">
        <v>68</v>
      </c>
      <c r="BJ201" t="s">
        <v>68</v>
      </c>
      <c r="BK201" t="s">
        <v>68</v>
      </c>
      <c r="BL201" t="s">
        <v>68</v>
      </c>
      <c r="BM201" t="s">
        <v>68</v>
      </c>
      <c r="BN201" t="s">
        <v>68</v>
      </c>
      <c r="BO201" t="s">
        <v>96</v>
      </c>
      <c r="BP201">
        <v>0</v>
      </c>
      <c r="BQ201" t="s">
        <v>68</v>
      </c>
      <c r="BR201" t="s">
        <v>68</v>
      </c>
      <c r="BS201" t="s">
        <v>68</v>
      </c>
    </row>
    <row r="202" spans="1:71" x14ac:dyDescent="0.35">
      <c r="A202" t="b">
        <f>ISNUMBER(MATCH(ChargentOrders[[#This Row],[Contract__c]],Contract[Id],0))</f>
        <v>1</v>
      </c>
      <c r="B202">
        <f>IFERROR(INDEX(Contract[CB_Subscription__c],MATCH(ChargentOrders[[#This Row],[Contract__c]],Contract[Id],0)),0)</f>
        <v>0</v>
      </c>
      <c r="C202" t="b">
        <f>ISNUMBER(MATCH(ChargentOrders[[#This Row],[Id]],Claude[Id],0))</f>
        <v>1</v>
      </c>
      <c r="D202" t="b">
        <f>AND(ChargentOrders[[#This Row],[_Contract]],ChargentOrders[[#This Row],[CB Subscription]]=0)</f>
        <v>1</v>
      </c>
      <c r="E202" s="38">
        <f>INDEX(Table5[CUENTA],MATCH(ChargentOrders[[#This Row],[Contract__c]],Table5[SM_Contract__c],0))</f>
        <v>46111</v>
      </c>
      <c r="F202" s="38" t="str">
        <f ca="1">INDEX(Table5[ESTADO],MATCH(ChargentOrders[[#This Row],[Contract__c]],Table5[SM_Contract__c],0))</f>
        <v>DEBE 4</v>
      </c>
      <c r="G202" t="s">
        <v>1271</v>
      </c>
      <c r="H202" t="s">
        <v>79</v>
      </c>
      <c r="I202" t="s">
        <v>1272</v>
      </c>
      <c r="J202" s="1">
        <v>46171.418368055558</v>
      </c>
      <c r="K202">
        <v>10</v>
      </c>
      <c r="L202">
        <v>2030</v>
      </c>
      <c r="M202" t="s">
        <v>1410</v>
      </c>
      <c r="N202">
        <v>10</v>
      </c>
      <c r="O202" t="s">
        <v>1477</v>
      </c>
      <c r="P202" t="s">
        <v>73</v>
      </c>
      <c r="Q202">
        <v>2030</v>
      </c>
      <c r="R202">
        <v>10400</v>
      </c>
      <c r="T202" t="s">
        <v>67</v>
      </c>
      <c r="U202" t="s">
        <v>68</v>
      </c>
      <c r="V202">
        <v>0</v>
      </c>
      <c r="W202" t="s">
        <v>69</v>
      </c>
      <c r="X202" s="5">
        <v>46212</v>
      </c>
      <c r="Y202" t="s">
        <v>84</v>
      </c>
      <c r="Z202" t="s">
        <v>68</v>
      </c>
      <c r="AA202">
        <v>10400</v>
      </c>
      <c r="AB202">
        <v>0</v>
      </c>
      <c r="AC202" t="s">
        <v>616</v>
      </c>
      <c r="AD202" t="s">
        <v>68</v>
      </c>
      <c r="AE202">
        <v>0</v>
      </c>
      <c r="AF202" s="1"/>
      <c r="AG202" s="1"/>
      <c r="AH202">
        <v>0</v>
      </c>
      <c r="AI202">
        <v>16</v>
      </c>
      <c r="AJ202">
        <v>0</v>
      </c>
      <c r="AK202" t="s">
        <v>617</v>
      </c>
      <c r="AL202" t="s">
        <v>71</v>
      </c>
      <c r="AM202" t="s">
        <v>68</v>
      </c>
      <c r="AN202">
        <v>0</v>
      </c>
      <c r="AO202" s="1"/>
      <c r="AQ202">
        <v>0</v>
      </c>
      <c r="AR202">
        <v>0</v>
      </c>
      <c r="AS202" t="s">
        <v>72</v>
      </c>
      <c r="AT202" t="s">
        <v>68</v>
      </c>
      <c r="AU202">
        <v>1</v>
      </c>
      <c r="AV202" t="s">
        <v>1273</v>
      </c>
      <c r="AW202">
        <v>0</v>
      </c>
      <c r="AX202" s="1">
        <v>46031.426122685189</v>
      </c>
      <c r="AY202">
        <v>2500</v>
      </c>
      <c r="AZ202" t="s">
        <v>68</v>
      </c>
      <c r="BA202" t="s">
        <v>65</v>
      </c>
      <c r="BB202" t="s">
        <v>68</v>
      </c>
      <c r="BC202" t="s">
        <v>68</v>
      </c>
      <c r="BD202">
        <v>0</v>
      </c>
      <c r="BE202" s="1">
        <v>46209.421666666669</v>
      </c>
      <c r="BF202" s="1">
        <v>46209.421666666669</v>
      </c>
      <c r="BG202" t="s">
        <v>68</v>
      </c>
      <c r="BH202" t="s">
        <v>68</v>
      </c>
      <c r="BI202" t="s">
        <v>68</v>
      </c>
      <c r="BJ202" t="s">
        <v>68</v>
      </c>
      <c r="BK202" t="s">
        <v>68</v>
      </c>
      <c r="BL202" t="s">
        <v>68</v>
      </c>
      <c r="BM202" t="s">
        <v>68</v>
      </c>
      <c r="BN202" t="s">
        <v>68</v>
      </c>
      <c r="BO202" t="s">
        <v>96</v>
      </c>
      <c r="BP202">
        <v>0</v>
      </c>
      <c r="BQ202" t="s">
        <v>68</v>
      </c>
      <c r="BR202" t="s">
        <v>68</v>
      </c>
      <c r="BS202" t="s">
        <v>68</v>
      </c>
    </row>
    <row r="203" spans="1:71" x14ac:dyDescent="0.35">
      <c r="A203" t="b">
        <f>ISNUMBER(MATCH(ChargentOrders[[#This Row],[Contract__c]],Contract[Id],0))</f>
        <v>1</v>
      </c>
      <c r="B203">
        <f>IFERROR(INDEX(Contract[CB_Subscription__c],MATCH(ChargentOrders[[#This Row],[Contract__c]],Contract[Id],0)),0)</f>
        <v>0</v>
      </c>
      <c r="C203" t="b">
        <f>ISNUMBER(MATCH(ChargentOrders[[#This Row],[Id]],Claude[Id],0))</f>
        <v>1</v>
      </c>
      <c r="D203" t="b">
        <f>AND(ChargentOrders[[#This Row],[_Contract]],ChargentOrders[[#This Row],[CB Subscription]]=0)</f>
        <v>1</v>
      </c>
      <c r="E203" s="38">
        <f>INDEX(Table5[CUENTA],MATCH(ChargentOrders[[#This Row],[Contract__c]],Table5[SM_Contract__c],0))</f>
        <v>46111</v>
      </c>
      <c r="F203" s="38" t="str">
        <f ca="1">INDEX(Table5[ESTADO],MATCH(ChargentOrders[[#This Row],[Contract__c]],Table5[SM_Contract__c],0))</f>
        <v>DEBE 4</v>
      </c>
      <c r="G203" t="s">
        <v>1375</v>
      </c>
      <c r="H203" t="s">
        <v>155</v>
      </c>
      <c r="I203" t="s">
        <v>1376</v>
      </c>
      <c r="J203" s="1">
        <v>46203.417164351849</v>
      </c>
      <c r="K203">
        <v>10</v>
      </c>
      <c r="L203">
        <v>2028</v>
      </c>
      <c r="M203" t="s">
        <v>1455</v>
      </c>
      <c r="N203">
        <v>10</v>
      </c>
      <c r="O203" t="s">
        <v>1456</v>
      </c>
      <c r="P203" t="s">
        <v>73</v>
      </c>
      <c r="Q203">
        <v>2028</v>
      </c>
      <c r="R203">
        <v>12400</v>
      </c>
      <c r="T203" t="s">
        <v>67</v>
      </c>
      <c r="U203" t="s">
        <v>68</v>
      </c>
      <c r="V203">
        <v>0</v>
      </c>
      <c r="W203" t="s">
        <v>69</v>
      </c>
      <c r="X203" s="5">
        <v>46212</v>
      </c>
      <c r="Y203" t="s">
        <v>84</v>
      </c>
      <c r="Z203" t="s">
        <v>68</v>
      </c>
      <c r="AA203">
        <v>12400</v>
      </c>
      <c r="AB203">
        <v>0</v>
      </c>
      <c r="AC203" t="s">
        <v>414</v>
      </c>
      <c r="AD203" t="s">
        <v>68</v>
      </c>
      <c r="AE203">
        <v>0</v>
      </c>
      <c r="AF203" s="1"/>
      <c r="AG203" s="1"/>
      <c r="AH203">
        <v>0</v>
      </c>
      <c r="AI203">
        <v>2</v>
      </c>
      <c r="AJ203">
        <v>0</v>
      </c>
      <c r="AK203" t="s">
        <v>415</v>
      </c>
      <c r="AL203" t="s">
        <v>71</v>
      </c>
      <c r="AM203" t="s">
        <v>68</v>
      </c>
      <c r="AN203">
        <v>0</v>
      </c>
      <c r="AO203" s="1"/>
      <c r="AQ203">
        <v>0</v>
      </c>
      <c r="AR203">
        <v>0</v>
      </c>
      <c r="AS203" t="s">
        <v>72</v>
      </c>
      <c r="AT203" t="s">
        <v>68</v>
      </c>
      <c r="AU203">
        <v>1</v>
      </c>
      <c r="AV203" t="s">
        <v>1377</v>
      </c>
      <c r="AW203">
        <v>0</v>
      </c>
      <c r="AX203" s="1">
        <v>45901.428703703707</v>
      </c>
      <c r="AY203">
        <v>2500</v>
      </c>
      <c r="AZ203" t="s">
        <v>68</v>
      </c>
      <c r="BA203" t="s">
        <v>65</v>
      </c>
      <c r="BB203" t="s">
        <v>68</v>
      </c>
      <c r="BC203" t="s">
        <v>68</v>
      </c>
      <c r="BD203">
        <v>0</v>
      </c>
      <c r="BE203" s="1">
        <v>46209.422754629632</v>
      </c>
      <c r="BF203" s="1">
        <v>46209.422754629632</v>
      </c>
      <c r="BG203" t="s">
        <v>68</v>
      </c>
      <c r="BH203" t="s">
        <v>68</v>
      </c>
      <c r="BI203" t="s">
        <v>68</v>
      </c>
      <c r="BJ203" t="s">
        <v>68</v>
      </c>
      <c r="BK203" t="s">
        <v>68</v>
      </c>
      <c r="BL203" t="s">
        <v>68</v>
      </c>
      <c r="BM203" t="s">
        <v>68</v>
      </c>
      <c r="BN203" t="s">
        <v>68</v>
      </c>
      <c r="BO203" t="s">
        <v>96</v>
      </c>
      <c r="BP203">
        <v>0</v>
      </c>
      <c r="BQ203" t="s">
        <v>68</v>
      </c>
      <c r="BR203" t="s">
        <v>68</v>
      </c>
      <c r="BS203" t="s">
        <v>68</v>
      </c>
    </row>
    <row r="204" spans="1:71" x14ac:dyDescent="0.35">
      <c r="A204" t="b">
        <f>ISNUMBER(MATCH(ChargentOrders[[#This Row],[Contract__c]],Contract[Id],0))</f>
        <v>1</v>
      </c>
      <c r="B204">
        <f>IFERROR(INDEX(Contract[CB_Subscription__c],MATCH(ChargentOrders[[#This Row],[Contract__c]],Contract[Id],0)),0)</f>
        <v>0</v>
      </c>
      <c r="C204" t="b">
        <f>ISNUMBER(MATCH(ChargentOrders[[#This Row],[Id]],Claude[Id],0))</f>
        <v>1</v>
      </c>
      <c r="D204" t="b">
        <f>AND(ChargentOrders[[#This Row],[_Contract]],ChargentOrders[[#This Row],[CB Subscription]]=0)</f>
        <v>1</v>
      </c>
      <c r="E204" s="38">
        <f>INDEX(Table5[CUENTA],MATCH(ChargentOrders[[#This Row],[Contract__c]],Table5[SM_Contract__c],0))</f>
        <v>46111</v>
      </c>
      <c r="F204" s="38" t="str">
        <f ca="1">INDEX(Table5[ESTADO],MATCH(ChargentOrders[[#This Row],[Contract__c]],Table5[SM_Contract__c],0))</f>
        <v>DEBE 4</v>
      </c>
      <c r="G204" t="s">
        <v>1387</v>
      </c>
      <c r="H204" t="s">
        <v>79</v>
      </c>
      <c r="I204" t="s">
        <v>1388</v>
      </c>
      <c r="J204" s="1">
        <v>46203.417361111111</v>
      </c>
      <c r="K204">
        <v>10</v>
      </c>
      <c r="L204">
        <v>2030</v>
      </c>
      <c r="M204" t="s">
        <v>1410</v>
      </c>
      <c r="N204">
        <v>10</v>
      </c>
      <c r="O204" t="s">
        <v>1477</v>
      </c>
      <c r="P204" t="s">
        <v>73</v>
      </c>
      <c r="Q204">
        <v>2030</v>
      </c>
      <c r="R204">
        <v>1040</v>
      </c>
      <c r="T204" t="s">
        <v>67</v>
      </c>
      <c r="U204" t="s">
        <v>68</v>
      </c>
      <c r="V204">
        <v>0</v>
      </c>
      <c r="W204" t="s">
        <v>69</v>
      </c>
      <c r="X204" s="5">
        <v>46212</v>
      </c>
      <c r="Y204" t="s">
        <v>90</v>
      </c>
      <c r="Z204" t="s">
        <v>68</v>
      </c>
      <c r="AA204">
        <v>10400</v>
      </c>
      <c r="AB204">
        <v>0</v>
      </c>
      <c r="AC204" t="s">
        <v>616</v>
      </c>
      <c r="AD204" t="s">
        <v>68</v>
      </c>
      <c r="AE204">
        <v>0</v>
      </c>
      <c r="AF204" s="1"/>
      <c r="AG204" s="1"/>
      <c r="AH204">
        <v>0</v>
      </c>
      <c r="AI204">
        <v>3</v>
      </c>
      <c r="AJ204">
        <v>0</v>
      </c>
      <c r="AK204" t="s">
        <v>617</v>
      </c>
      <c r="AL204" t="s">
        <v>71</v>
      </c>
      <c r="AM204" t="s">
        <v>68</v>
      </c>
      <c r="AN204">
        <v>0</v>
      </c>
      <c r="AO204" s="1"/>
      <c r="AQ204">
        <v>0</v>
      </c>
      <c r="AR204">
        <v>0</v>
      </c>
      <c r="AS204" t="s">
        <v>72</v>
      </c>
      <c r="AT204" t="s">
        <v>68</v>
      </c>
      <c r="AU204">
        <v>1</v>
      </c>
      <c r="AV204" t="s">
        <v>1389</v>
      </c>
      <c r="AW204">
        <v>0</v>
      </c>
      <c r="AX204" s="1">
        <v>46031.426122685189</v>
      </c>
      <c r="AY204">
        <v>2500</v>
      </c>
      <c r="AZ204" t="s">
        <v>68</v>
      </c>
      <c r="BA204" t="s">
        <v>65</v>
      </c>
      <c r="BB204" t="s">
        <v>68</v>
      </c>
      <c r="BC204" t="s">
        <v>68</v>
      </c>
      <c r="BD204">
        <v>0</v>
      </c>
      <c r="BE204" s="1">
        <v>46217.004178240742</v>
      </c>
      <c r="BF204" s="1">
        <v>46217.004178240742</v>
      </c>
      <c r="BG204" t="s">
        <v>68</v>
      </c>
      <c r="BH204" t="s">
        <v>68</v>
      </c>
      <c r="BI204" t="s">
        <v>68</v>
      </c>
      <c r="BJ204" t="s">
        <v>68</v>
      </c>
      <c r="BK204" t="s">
        <v>68</v>
      </c>
      <c r="BL204" t="s">
        <v>68</v>
      </c>
      <c r="BM204" t="s">
        <v>68</v>
      </c>
      <c r="BN204" t="s">
        <v>68</v>
      </c>
      <c r="BO204" t="s">
        <v>96</v>
      </c>
      <c r="BP204">
        <v>0</v>
      </c>
      <c r="BQ204" t="s">
        <v>68</v>
      </c>
      <c r="BR204" t="s">
        <v>68</v>
      </c>
      <c r="BS204" t="s">
        <v>68</v>
      </c>
    </row>
    <row r="205" spans="1:71" x14ac:dyDescent="0.35">
      <c r="A205" t="b">
        <f>ISNUMBER(MATCH(ChargentOrders[[#This Row],[Contract__c]],Contract[Id],0))</f>
        <v>1</v>
      </c>
      <c r="B205">
        <f>IFERROR(INDEX(Contract[CB_Subscription__c],MATCH(ChargentOrders[[#This Row],[Contract__c]],Contract[Id],0)),0)</f>
        <v>0</v>
      </c>
      <c r="C205" t="b">
        <f>ISNUMBER(MATCH(ChargentOrders[[#This Row],[Id]],Claude[Id],0))</f>
        <v>1</v>
      </c>
      <c r="D205" t="b">
        <f>AND(ChargentOrders[[#This Row],[_Contract]],ChargentOrders[[#This Row],[CB Subscription]]=0)</f>
        <v>1</v>
      </c>
      <c r="E205" s="38">
        <f>INDEX(Table5[CUENTA],MATCH(ChargentOrders[[#This Row],[Contract__c]],Table5[SM_Contract__c],0))</f>
        <v>46128</v>
      </c>
      <c r="F205" s="38" t="str">
        <f ca="1">INDEX(Table5[ESTADO],MATCH(ChargentOrders[[#This Row],[Contract__c]],Table5[SM_Contract__c],0))</f>
        <v>DEBE 3</v>
      </c>
      <c r="G205" t="s">
        <v>632</v>
      </c>
      <c r="H205" t="s">
        <v>531</v>
      </c>
      <c r="I205" t="s">
        <v>633</v>
      </c>
      <c r="J205" s="1">
        <v>46008.727361111109</v>
      </c>
      <c r="K205">
        <v>4</v>
      </c>
      <c r="L205">
        <v>2030</v>
      </c>
      <c r="M205" t="s">
        <v>1482</v>
      </c>
      <c r="N205">
        <v>4</v>
      </c>
      <c r="O205" t="s">
        <v>1483</v>
      </c>
      <c r="P205" t="s">
        <v>73</v>
      </c>
      <c r="Q205">
        <v>2030</v>
      </c>
      <c r="R205">
        <v>0</v>
      </c>
      <c r="T205" t="s">
        <v>67</v>
      </c>
      <c r="U205" t="s">
        <v>68</v>
      </c>
      <c r="V205">
        <v>0</v>
      </c>
      <c r="W205" t="s">
        <v>69</v>
      </c>
      <c r="X205" s="5"/>
      <c r="Y205" t="s">
        <v>218</v>
      </c>
      <c r="Z205" t="s">
        <v>68</v>
      </c>
      <c r="AA205">
        <v>0</v>
      </c>
      <c r="AC205" t="s">
        <v>634</v>
      </c>
      <c r="AD205" t="s">
        <v>68</v>
      </c>
      <c r="AE205">
        <v>0</v>
      </c>
      <c r="AF205" s="1"/>
      <c r="AG205" s="1">
        <v>46008.727384259262</v>
      </c>
      <c r="AH205">
        <v>0</v>
      </c>
      <c r="AI205">
        <v>1</v>
      </c>
      <c r="AJ205">
        <v>0</v>
      </c>
      <c r="AK205" t="s">
        <v>635</v>
      </c>
      <c r="AL205" t="s">
        <v>68</v>
      </c>
      <c r="AM205" t="s">
        <v>68</v>
      </c>
      <c r="AN205">
        <v>0</v>
      </c>
      <c r="AO205" s="1"/>
      <c r="AP205">
        <v>1</v>
      </c>
      <c r="AS205" t="s">
        <v>75</v>
      </c>
      <c r="AT205" t="s">
        <v>68</v>
      </c>
      <c r="AU205">
        <v>0</v>
      </c>
      <c r="AV205" t="s">
        <v>68</v>
      </c>
      <c r="AW205">
        <v>1</v>
      </c>
      <c r="AX205" s="1"/>
      <c r="AZ205" t="s">
        <v>68</v>
      </c>
      <c r="BA205" t="s">
        <v>68</v>
      </c>
      <c r="BB205" t="s">
        <v>68</v>
      </c>
      <c r="BC205" t="s">
        <v>68</v>
      </c>
      <c r="BD205">
        <v>0</v>
      </c>
      <c r="BE205" s="1"/>
      <c r="BF205" s="1">
        <v>46008.727384259262</v>
      </c>
      <c r="BG205" t="s">
        <v>68</v>
      </c>
      <c r="BH205" t="s">
        <v>68</v>
      </c>
      <c r="BI205" t="s">
        <v>68</v>
      </c>
      <c r="BJ205" t="s">
        <v>68</v>
      </c>
      <c r="BK205" t="s">
        <v>68</v>
      </c>
      <c r="BL205" t="s">
        <v>68</v>
      </c>
      <c r="BM205" t="s">
        <v>68</v>
      </c>
      <c r="BN205" t="s">
        <v>68</v>
      </c>
      <c r="BO205" t="s">
        <v>96</v>
      </c>
      <c r="BP205">
        <v>0</v>
      </c>
      <c r="BQ205" t="s">
        <v>68</v>
      </c>
      <c r="BR205" t="s">
        <v>68</v>
      </c>
      <c r="BS205" t="s">
        <v>68</v>
      </c>
    </row>
    <row r="206" spans="1:71" x14ac:dyDescent="0.35">
      <c r="A206" t="b">
        <f>ISNUMBER(MATCH(ChargentOrders[[#This Row],[Contract__c]],Contract[Id],0))</f>
        <v>1</v>
      </c>
      <c r="B206">
        <f>IFERROR(INDEX(Contract[CB_Subscription__c],MATCH(ChargentOrders[[#This Row],[Contract__c]],Contract[Id],0)),0)</f>
        <v>0</v>
      </c>
      <c r="C206" t="b">
        <f>ISNUMBER(MATCH(ChargentOrders[[#This Row],[Id]],Claude[Id],0))</f>
        <v>1</v>
      </c>
      <c r="D206" t="b">
        <f>AND(ChargentOrders[[#This Row],[_Contract]],ChargentOrders[[#This Row],[CB Subscription]]=0)</f>
        <v>1</v>
      </c>
      <c r="E206" s="38">
        <f>INDEX(Table5[CUENTA],MATCH(ChargentOrders[[#This Row],[Contract__c]],Table5[SM_Contract__c],0))</f>
        <v>46128</v>
      </c>
      <c r="F206" s="38" t="str">
        <f ca="1">INDEX(Table5[ESTADO],MATCH(ChargentOrders[[#This Row],[Contract__c]],Table5[SM_Contract__c],0))</f>
        <v>DEBE 3</v>
      </c>
      <c r="G206" t="s">
        <v>636</v>
      </c>
      <c r="H206" t="s">
        <v>531</v>
      </c>
      <c r="I206" t="s">
        <v>637</v>
      </c>
      <c r="J206" s="1">
        <v>46008.733819444446</v>
      </c>
      <c r="K206">
        <v>4</v>
      </c>
      <c r="L206">
        <v>2030</v>
      </c>
      <c r="M206" t="s">
        <v>1482</v>
      </c>
      <c r="N206">
        <v>4</v>
      </c>
      <c r="O206" t="s">
        <v>1483</v>
      </c>
      <c r="P206" t="s">
        <v>73</v>
      </c>
      <c r="Q206">
        <v>2030</v>
      </c>
      <c r="R206">
        <v>7450</v>
      </c>
      <c r="T206" t="s">
        <v>67</v>
      </c>
      <c r="U206" t="s">
        <v>68</v>
      </c>
      <c r="V206">
        <v>0</v>
      </c>
      <c r="W206" t="s">
        <v>69</v>
      </c>
      <c r="X206" s="5">
        <v>46038</v>
      </c>
      <c r="Y206" t="s">
        <v>74</v>
      </c>
      <c r="Z206" t="s">
        <v>68</v>
      </c>
      <c r="AA206">
        <v>7450</v>
      </c>
      <c r="AB206">
        <v>0</v>
      </c>
      <c r="AC206" t="s">
        <v>634</v>
      </c>
      <c r="AD206" t="s">
        <v>68</v>
      </c>
      <c r="AE206">
        <v>0</v>
      </c>
      <c r="AF206" s="1">
        <v>46038.425381944442</v>
      </c>
      <c r="AG206" s="1">
        <v>46038.425405092596</v>
      </c>
      <c r="AH206">
        <v>1</v>
      </c>
      <c r="AI206">
        <v>1</v>
      </c>
      <c r="AJ206">
        <v>745</v>
      </c>
      <c r="AK206" t="s">
        <v>635</v>
      </c>
      <c r="AL206" t="s">
        <v>77</v>
      </c>
      <c r="AM206" t="s">
        <v>68</v>
      </c>
      <c r="AN206">
        <v>0</v>
      </c>
      <c r="AO206" s="1"/>
      <c r="AP206">
        <v>1</v>
      </c>
      <c r="AQ206">
        <v>0</v>
      </c>
      <c r="AR206">
        <v>0</v>
      </c>
      <c r="AS206" t="s">
        <v>75</v>
      </c>
      <c r="AT206" t="s">
        <v>68</v>
      </c>
      <c r="AU206">
        <v>0</v>
      </c>
      <c r="AV206" t="s">
        <v>68</v>
      </c>
      <c r="AW206">
        <v>0</v>
      </c>
      <c r="AX206" s="1"/>
      <c r="AZ206" t="s">
        <v>68</v>
      </c>
      <c r="BA206" t="s">
        <v>68</v>
      </c>
      <c r="BB206" t="s">
        <v>68</v>
      </c>
      <c r="BC206" t="s">
        <v>68</v>
      </c>
      <c r="BD206">
        <v>0</v>
      </c>
      <c r="BE206" s="1"/>
      <c r="BF206" s="1">
        <v>46038.425381944442</v>
      </c>
      <c r="BG206" t="s">
        <v>68</v>
      </c>
      <c r="BH206" t="s">
        <v>68</v>
      </c>
      <c r="BI206" t="s">
        <v>68</v>
      </c>
      <c r="BJ206" t="s">
        <v>68</v>
      </c>
      <c r="BK206" t="s">
        <v>68</v>
      </c>
      <c r="BL206" t="s">
        <v>68</v>
      </c>
      <c r="BM206" t="s">
        <v>68</v>
      </c>
      <c r="BN206" t="s">
        <v>68</v>
      </c>
      <c r="BO206" t="s">
        <v>96</v>
      </c>
      <c r="BP206">
        <v>0</v>
      </c>
      <c r="BQ206" t="s">
        <v>68</v>
      </c>
      <c r="BR206" t="s">
        <v>68</v>
      </c>
      <c r="BS206" t="s">
        <v>68</v>
      </c>
    </row>
    <row r="207" spans="1:71" x14ac:dyDescent="0.35">
      <c r="A207" t="b">
        <f>ISNUMBER(MATCH(ChargentOrders[[#This Row],[Contract__c]],Contract[Id],0))</f>
        <v>1</v>
      </c>
      <c r="B207">
        <f>IFERROR(INDEX(Contract[CB_Subscription__c],MATCH(ChargentOrders[[#This Row],[Contract__c]],Contract[Id],0)),0)</f>
        <v>0</v>
      </c>
      <c r="C207" t="b">
        <f>ISNUMBER(MATCH(ChargentOrders[[#This Row],[Id]],Claude[Id],0))</f>
        <v>1</v>
      </c>
      <c r="D207" t="b">
        <f>AND(ChargentOrders[[#This Row],[_Contract]],ChargentOrders[[#This Row],[CB Subscription]]=0)</f>
        <v>1</v>
      </c>
      <c r="E207" s="38">
        <f>INDEX(Table5[CUENTA],MATCH(ChargentOrders[[#This Row],[Contract__c]],Table5[SM_Contract__c],0))</f>
        <v>46128</v>
      </c>
      <c r="F207" s="38" t="str">
        <f ca="1">INDEX(Table5[ESTADO],MATCH(ChargentOrders[[#This Row],[Contract__c]],Table5[SM_Contract__c],0))</f>
        <v>DEBE 3</v>
      </c>
      <c r="G207" t="s">
        <v>638</v>
      </c>
      <c r="H207" t="s">
        <v>531</v>
      </c>
      <c r="I207" t="s">
        <v>639</v>
      </c>
      <c r="J207" s="1">
        <v>46008.733819444446</v>
      </c>
      <c r="K207">
        <v>4</v>
      </c>
      <c r="L207">
        <v>2030</v>
      </c>
      <c r="M207" t="s">
        <v>1482</v>
      </c>
      <c r="N207">
        <v>4</v>
      </c>
      <c r="O207" t="s">
        <v>1483</v>
      </c>
      <c r="P207" t="s">
        <v>73</v>
      </c>
      <c r="Q207">
        <v>2030</v>
      </c>
      <c r="R207">
        <v>7450</v>
      </c>
      <c r="T207" t="s">
        <v>67</v>
      </c>
      <c r="U207" t="s">
        <v>68</v>
      </c>
      <c r="V207">
        <v>0</v>
      </c>
      <c r="W207" t="s">
        <v>69</v>
      </c>
      <c r="X207" s="5">
        <v>46052</v>
      </c>
      <c r="Y207" t="s">
        <v>74</v>
      </c>
      <c r="Z207" t="s">
        <v>68</v>
      </c>
      <c r="AA207">
        <v>7450</v>
      </c>
      <c r="AB207">
        <v>0</v>
      </c>
      <c r="AC207" t="s">
        <v>634</v>
      </c>
      <c r="AD207" t="s">
        <v>68</v>
      </c>
      <c r="AE207">
        <v>0</v>
      </c>
      <c r="AF207" s="1">
        <v>46052.434733796297</v>
      </c>
      <c r="AG207" s="1">
        <v>46052.43476851852</v>
      </c>
      <c r="AH207">
        <v>1</v>
      </c>
      <c r="AI207">
        <v>1</v>
      </c>
      <c r="AJ207">
        <v>745</v>
      </c>
      <c r="AK207" t="s">
        <v>635</v>
      </c>
      <c r="AL207" t="s">
        <v>77</v>
      </c>
      <c r="AM207" t="s">
        <v>68</v>
      </c>
      <c r="AN207">
        <v>0</v>
      </c>
      <c r="AO207" s="1"/>
      <c r="AP207">
        <v>1</v>
      </c>
      <c r="AQ207">
        <v>0</v>
      </c>
      <c r="AR207">
        <v>0</v>
      </c>
      <c r="AS207" t="s">
        <v>75</v>
      </c>
      <c r="AT207" t="s">
        <v>68</v>
      </c>
      <c r="AU207">
        <v>0</v>
      </c>
      <c r="AV207" t="s">
        <v>68</v>
      </c>
      <c r="AW207">
        <v>0</v>
      </c>
      <c r="AX207" s="1"/>
      <c r="AZ207" t="s">
        <v>68</v>
      </c>
      <c r="BA207" t="s">
        <v>68</v>
      </c>
      <c r="BB207" t="s">
        <v>68</v>
      </c>
      <c r="BC207" t="s">
        <v>68</v>
      </c>
      <c r="BD207">
        <v>0</v>
      </c>
      <c r="BE207" s="1"/>
      <c r="BF207" s="1">
        <v>46052.434733796297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68</v>
      </c>
      <c r="BN207" t="s">
        <v>68</v>
      </c>
      <c r="BO207" t="s">
        <v>96</v>
      </c>
      <c r="BP207">
        <v>0</v>
      </c>
      <c r="BQ207" t="s">
        <v>68</v>
      </c>
      <c r="BR207" t="s">
        <v>68</v>
      </c>
      <c r="BS207" t="s">
        <v>68</v>
      </c>
    </row>
    <row r="208" spans="1:71" x14ac:dyDescent="0.35">
      <c r="A208" t="b">
        <f>ISNUMBER(MATCH(ChargentOrders[[#This Row],[Contract__c]],Contract[Id],0))</f>
        <v>1</v>
      </c>
      <c r="B208">
        <f>IFERROR(INDEX(Contract[CB_Subscription__c],MATCH(ChargentOrders[[#This Row],[Contract__c]],Contract[Id],0)),0)</f>
        <v>0</v>
      </c>
      <c r="C208" t="b">
        <f>ISNUMBER(MATCH(ChargentOrders[[#This Row],[Id]],Claude[Id],0))</f>
        <v>1</v>
      </c>
      <c r="D208" t="b">
        <f>AND(ChargentOrders[[#This Row],[_Contract]],ChargentOrders[[#This Row],[CB Subscription]]=0)</f>
        <v>1</v>
      </c>
      <c r="E208" s="38">
        <f>INDEX(Table5[CUENTA],MATCH(ChargentOrders[[#This Row],[Contract__c]],Table5[SM_Contract__c],0))</f>
        <v>46128</v>
      </c>
      <c r="F208" s="38" t="str">
        <f ca="1">INDEX(Table5[ESTADO],MATCH(ChargentOrders[[#This Row],[Contract__c]],Table5[SM_Contract__c],0))</f>
        <v>DEBE 3</v>
      </c>
      <c r="G208" t="s">
        <v>902</v>
      </c>
      <c r="H208" t="s">
        <v>531</v>
      </c>
      <c r="I208" t="s">
        <v>903</v>
      </c>
      <c r="J208" s="1">
        <v>46052.43478009259</v>
      </c>
      <c r="K208">
        <v>4</v>
      </c>
      <c r="L208">
        <v>2030</v>
      </c>
      <c r="M208" t="s">
        <v>1482</v>
      </c>
      <c r="N208">
        <v>4</v>
      </c>
      <c r="O208" t="s">
        <v>1482</v>
      </c>
      <c r="P208" t="s">
        <v>73</v>
      </c>
      <c r="Q208">
        <v>2030</v>
      </c>
      <c r="R208">
        <v>7900</v>
      </c>
      <c r="S208">
        <v>16</v>
      </c>
      <c r="T208" t="s">
        <v>67</v>
      </c>
      <c r="U208" t="s">
        <v>68</v>
      </c>
      <c r="V208">
        <v>0</v>
      </c>
      <c r="W208" t="s">
        <v>69</v>
      </c>
      <c r="X208" s="5">
        <v>46069</v>
      </c>
      <c r="Y208" t="s">
        <v>218</v>
      </c>
      <c r="Z208" t="s">
        <v>68</v>
      </c>
      <c r="AA208">
        <v>7900</v>
      </c>
      <c r="AB208">
        <v>0</v>
      </c>
      <c r="AC208" t="s">
        <v>634</v>
      </c>
      <c r="AD208" t="s">
        <v>68</v>
      </c>
      <c r="AE208">
        <v>0</v>
      </c>
      <c r="AF208" s="1">
        <v>46097.422546296293</v>
      </c>
      <c r="AG208" s="1">
        <v>46097.422546296293</v>
      </c>
      <c r="AH208">
        <v>2</v>
      </c>
      <c r="AI208">
        <v>2</v>
      </c>
      <c r="AJ208">
        <v>1580</v>
      </c>
      <c r="AK208" t="s">
        <v>635</v>
      </c>
      <c r="AL208" t="s">
        <v>76</v>
      </c>
      <c r="AM208" t="s">
        <v>68</v>
      </c>
      <c r="AN208">
        <v>0</v>
      </c>
      <c r="AO208" s="1"/>
      <c r="AP208">
        <v>3</v>
      </c>
      <c r="AQ208">
        <v>0</v>
      </c>
      <c r="AR208">
        <v>0</v>
      </c>
      <c r="AS208" t="s">
        <v>75</v>
      </c>
      <c r="AT208" t="s">
        <v>68</v>
      </c>
      <c r="AU208">
        <v>0</v>
      </c>
      <c r="AV208" t="s">
        <v>68</v>
      </c>
      <c r="AW208">
        <v>0</v>
      </c>
      <c r="AX208" s="1"/>
      <c r="AZ208" t="s">
        <v>68</v>
      </c>
      <c r="BA208" t="s">
        <v>68</v>
      </c>
      <c r="BB208" t="s">
        <v>68</v>
      </c>
      <c r="BC208" t="s">
        <v>68</v>
      </c>
      <c r="BD208">
        <v>0</v>
      </c>
      <c r="BE208" s="1"/>
      <c r="BF208" s="1">
        <v>46097.422546296293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68</v>
      </c>
      <c r="BN208" t="s">
        <v>68</v>
      </c>
      <c r="BO208" t="s">
        <v>96</v>
      </c>
      <c r="BP208">
        <v>0</v>
      </c>
      <c r="BQ208" t="s">
        <v>68</v>
      </c>
      <c r="BR208" t="s">
        <v>68</v>
      </c>
      <c r="BS208" t="s">
        <v>68</v>
      </c>
    </row>
    <row r="209" spans="1:71" x14ac:dyDescent="0.35">
      <c r="A209" t="b">
        <f>ISNUMBER(MATCH(ChargentOrders[[#This Row],[Contract__c]],Contract[Id],0))</f>
        <v>1</v>
      </c>
      <c r="B209">
        <f>IFERROR(INDEX(Contract[CB_Subscription__c],MATCH(ChargentOrders[[#This Row],[Contract__c]],Contract[Id],0)),0)</f>
        <v>0</v>
      </c>
      <c r="C209" t="b">
        <f>ISNUMBER(MATCH(ChargentOrders[[#This Row],[Id]],Claude[Id],0))</f>
        <v>1</v>
      </c>
      <c r="D209" t="b">
        <f>AND(ChargentOrders[[#This Row],[_Contract]],ChargentOrders[[#This Row],[CB Subscription]]=0)</f>
        <v>1</v>
      </c>
      <c r="E209" s="38">
        <f>INDEX(Table5[CUENTA],MATCH(ChargentOrders[[#This Row],[Contract__c]],Table5[SM_Contract__c],0))</f>
        <v>46137</v>
      </c>
      <c r="F209" s="38" t="str">
        <f ca="1">INDEX(Table5[ESTADO],MATCH(ChargentOrders[[#This Row],[Contract__c]],Table5[SM_Contract__c],0))</f>
        <v>DEBE 3</v>
      </c>
      <c r="G209" t="s">
        <v>800</v>
      </c>
      <c r="H209" t="s">
        <v>531</v>
      </c>
      <c r="I209" t="s">
        <v>801</v>
      </c>
      <c r="J209" s="1">
        <v>46043.735775462963</v>
      </c>
      <c r="K209">
        <v>6</v>
      </c>
      <c r="L209">
        <v>2030</v>
      </c>
      <c r="M209" t="s">
        <v>1425</v>
      </c>
      <c r="N209">
        <v>6</v>
      </c>
      <c r="O209" t="s">
        <v>1504</v>
      </c>
      <c r="P209" t="s">
        <v>73</v>
      </c>
      <c r="Q209">
        <v>2030</v>
      </c>
      <c r="R209">
        <v>0</v>
      </c>
      <c r="T209" t="s">
        <v>98</v>
      </c>
      <c r="U209" t="s">
        <v>68</v>
      </c>
      <c r="V209">
        <v>0</v>
      </c>
      <c r="W209" t="s">
        <v>69</v>
      </c>
      <c r="X209" s="5"/>
      <c r="Y209" t="s">
        <v>68</v>
      </c>
      <c r="Z209" t="s">
        <v>68</v>
      </c>
      <c r="AA209">
        <v>0</v>
      </c>
      <c r="AC209" t="s">
        <v>802</v>
      </c>
      <c r="AD209" t="s">
        <v>68</v>
      </c>
      <c r="AE209">
        <v>0</v>
      </c>
      <c r="AF209" s="1"/>
      <c r="AG209" s="1">
        <v>46043.735798611109</v>
      </c>
      <c r="AH209">
        <v>0</v>
      </c>
      <c r="AI209">
        <v>1</v>
      </c>
      <c r="AJ209">
        <v>0</v>
      </c>
      <c r="AK209" t="s">
        <v>803</v>
      </c>
      <c r="AL209" t="s">
        <v>68</v>
      </c>
      <c r="AM209" t="s">
        <v>68</v>
      </c>
      <c r="AN209">
        <v>0</v>
      </c>
      <c r="AO209" s="1"/>
      <c r="AP209">
        <v>1</v>
      </c>
      <c r="AS209" t="s">
        <v>75</v>
      </c>
      <c r="AT209" t="s">
        <v>68</v>
      </c>
      <c r="AU209">
        <v>0</v>
      </c>
      <c r="AV209" t="s">
        <v>68</v>
      </c>
      <c r="AW209">
        <v>1</v>
      </c>
      <c r="AX209" s="1"/>
      <c r="AZ209" t="s">
        <v>68</v>
      </c>
      <c r="BA209" t="s">
        <v>68</v>
      </c>
      <c r="BB209" t="s">
        <v>68</v>
      </c>
      <c r="BC209" t="s">
        <v>68</v>
      </c>
      <c r="BD209">
        <v>0</v>
      </c>
      <c r="BE209" s="1"/>
      <c r="BF209" s="1">
        <v>46043.735798611109</v>
      </c>
      <c r="BG209" t="s">
        <v>68</v>
      </c>
      <c r="BH209" t="s">
        <v>68</v>
      </c>
      <c r="BI209" t="s">
        <v>68</v>
      </c>
      <c r="BJ209" t="s">
        <v>68</v>
      </c>
      <c r="BK209" t="s">
        <v>68</v>
      </c>
      <c r="BL209" t="s">
        <v>68</v>
      </c>
      <c r="BM209" t="s">
        <v>68</v>
      </c>
      <c r="BN209" t="s">
        <v>68</v>
      </c>
      <c r="BO209" t="s">
        <v>96</v>
      </c>
      <c r="BP209">
        <v>0</v>
      </c>
      <c r="BQ209" t="s">
        <v>68</v>
      </c>
      <c r="BR209" t="s">
        <v>68</v>
      </c>
      <c r="BS209" t="s">
        <v>68</v>
      </c>
    </row>
    <row r="210" spans="1:71" x14ac:dyDescent="0.35">
      <c r="A210" t="b">
        <f>ISNUMBER(MATCH(ChargentOrders[[#This Row],[Contract__c]],Contract[Id],0))</f>
        <v>1</v>
      </c>
      <c r="B210">
        <f>IFERROR(INDEX(Contract[CB_Subscription__c],MATCH(ChargentOrders[[#This Row],[Contract__c]],Contract[Id],0)),0)</f>
        <v>0</v>
      </c>
      <c r="C210" t="b">
        <f>ISNUMBER(MATCH(ChargentOrders[[#This Row],[Id]],Claude[Id],0))</f>
        <v>1</v>
      </c>
      <c r="D210" t="b">
        <f>AND(ChargentOrders[[#This Row],[_Contract]],ChargentOrders[[#This Row],[CB Subscription]]=0)</f>
        <v>1</v>
      </c>
      <c r="E210" s="38">
        <f>INDEX(Table5[CUENTA],MATCH(ChargentOrders[[#This Row],[Contract__c]],Table5[SM_Contract__c],0))</f>
        <v>46137</v>
      </c>
      <c r="F210" s="38" t="str">
        <f ca="1">INDEX(Table5[ESTADO],MATCH(ChargentOrders[[#This Row],[Contract__c]],Table5[SM_Contract__c],0))</f>
        <v>DEBE 3</v>
      </c>
      <c r="G210" t="s">
        <v>804</v>
      </c>
      <c r="H210" t="s">
        <v>531</v>
      </c>
      <c r="I210" t="s">
        <v>805</v>
      </c>
      <c r="J210" s="1">
        <v>46043.736284722225</v>
      </c>
      <c r="K210">
        <v>6</v>
      </c>
      <c r="L210">
        <v>2030</v>
      </c>
      <c r="M210" t="s">
        <v>1425</v>
      </c>
      <c r="N210">
        <v>6</v>
      </c>
      <c r="O210" t="s">
        <v>1504</v>
      </c>
      <c r="P210" t="s">
        <v>73</v>
      </c>
      <c r="Q210">
        <v>2030</v>
      </c>
      <c r="R210">
        <v>13900</v>
      </c>
      <c r="T210" t="s">
        <v>98</v>
      </c>
      <c r="U210" t="s">
        <v>68</v>
      </c>
      <c r="V210">
        <v>0</v>
      </c>
      <c r="W210" t="s">
        <v>69</v>
      </c>
      <c r="X210" s="5">
        <v>46050</v>
      </c>
      <c r="Y210" t="s">
        <v>74</v>
      </c>
      <c r="Z210" t="s">
        <v>68</v>
      </c>
      <c r="AA210">
        <v>13900</v>
      </c>
      <c r="AB210">
        <v>0</v>
      </c>
      <c r="AC210" t="s">
        <v>802</v>
      </c>
      <c r="AD210" t="s">
        <v>68</v>
      </c>
      <c r="AE210">
        <v>0</v>
      </c>
      <c r="AF210" s="1">
        <v>46050.417569444442</v>
      </c>
      <c r="AG210" s="1">
        <v>46050.417592592596</v>
      </c>
      <c r="AH210">
        <v>1</v>
      </c>
      <c r="AI210">
        <v>1</v>
      </c>
      <c r="AJ210">
        <v>1390</v>
      </c>
      <c r="AK210" t="s">
        <v>803</v>
      </c>
      <c r="AL210" t="s">
        <v>77</v>
      </c>
      <c r="AM210" t="s">
        <v>68</v>
      </c>
      <c r="AN210">
        <v>0</v>
      </c>
      <c r="AO210" s="1"/>
      <c r="AP210">
        <v>1</v>
      </c>
      <c r="AQ210">
        <v>0</v>
      </c>
      <c r="AR210">
        <v>0</v>
      </c>
      <c r="AS210" t="s">
        <v>75</v>
      </c>
      <c r="AT210" t="s">
        <v>68</v>
      </c>
      <c r="AU210">
        <v>0</v>
      </c>
      <c r="AV210" t="s">
        <v>68</v>
      </c>
      <c r="AW210">
        <v>0</v>
      </c>
      <c r="AX210" s="1"/>
      <c r="AZ210" t="s">
        <v>68</v>
      </c>
      <c r="BA210" t="s">
        <v>68</v>
      </c>
      <c r="BB210" t="s">
        <v>68</v>
      </c>
      <c r="BC210" t="s">
        <v>68</v>
      </c>
      <c r="BD210">
        <v>0</v>
      </c>
      <c r="BE210" s="1"/>
      <c r="BF210" s="1">
        <v>46050.417569444442</v>
      </c>
      <c r="BG210" t="s">
        <v>68</v>
      </c>
      <c r="BH210" t="s">
        <v>68</v>
      </c>
      <c r="BI210" t="s">
        <v>68</v>
      </c>
      <c r="BJ210" t="s">
        <v>68</v>
      </c>
      <c r="BK210" t="s">
        <v>68</v>
      </c>
      <c r="BL210" t="s">
        <v>68</v>
      </c>
      <c r="BM210" t="s">
        <v>68</v>
      </c>
      <c r="BN210" t="s">
        <v>68</v>
      </c>
      <c r="BO210" t="s">
        <v>96</v>
      </c>
      <c r="BP210">
        <v>0</v>
      </c>
      <c r="BQ210" t="s">
        <v>68</v>
      </c>
      <c r="BR210" t="s">
        <v>68</v>
      </c>
      <c r="BS210" t="s">
        <v>68</v>
      </c>
    </row>
    <row r="211" spans="1:71" x14ac:dyDescent="0.35">
      <c r="A211" t="b">
        <f>ISNUMBER(MATCH(ChargentOrders[[#This Row],[Contract__c]],Contract[Id],0))</f>
        <v>1</v>
      </c>
      <c r="B211">
        <f>IFERROR(INDEX(Contract[CB_Subscription__c],MATCH(ChargentOrders[[#This Row],[Contract__c]],Contract[Id],0)),0)</f>
        <v>0</v>
      </c>
      <c r="C211" t="b">
        <f>ISNUMBER(MATCH(ChargentOrders[[#This Row],[Id]],Claude[Id],0))</f>
        <v>1</v>
      </c>
      <c r="D211" t="b">
        <f>AND(ChargentOrders[[#This Row],[_Contract]],ChargentOrders[[#This Row],[CB Subscription]]=0)</f>
        <v>1</v>
      </c>
      <c r="E211" s="38">
        <f>INDEX(Table5[CUENTA],MATCH(ChargentOrders[[#This Row],[Contract__c]],Table5[SM_Contract__c],0))</f>
        <v>46137</v>
      </c>
      <c r="F211" s="38" t="str">
        <f ca="1">INDEX(Table5[ESTADO],MATCH(ChargentOrders[[#This Row],[Contract__c]],Table5[SM_Contract__c],0))</f>
        <v>DEBE 3</v>
      </c>
      <c r="G211" t="s">
        <v>852</v>
      </c>
      <c r="H211" t="s">
        <v>531</v>
      </c>
      <c r="I211" t="s">
        <v>853</v>
      </c>
      <c r="J211" s="1">
        <v>46050.417627314811</v>
      </c>
      <c r="K211">
        <v>6</v>
      </c>
      <c r="L211">
        <v>2030</v>
      </c>
      <c r="M211" t="s">
        <v>1425</v>
      </c>
      <c r="N211">
        <v>6</v>
      </c>
      <c r="O211" t="s">
        <v>1504</v>
      </c>
      <c r="P211" t="s">
        <v>73</v>
      </c>
      <c r="Q211">
        <v>2030</v>
      </c>
      <c r="R211">
        <v>13900</v>
      </c>
      <c r="S211">
        <v>25</v>
      </c>
      <c r="T211" t="s">
        <v>98</v>
      </c>
      <c r="U211" t="s">
        <v>68</v>
      </c>
      <c r="V211">
        <v>0</v>
      </c>
      <c r="W211" t="s">
        <v>69</v>
      </c>
      <c r="X211" s="5">
        <v>46167</v>
      </c>
      <c r="Y211" t="s">
        <v>613</v>
      </c>
      <c r="Z211" t="s">
        <v>68</v>
      </c>
      <c r="AA211">
        <v>13900</v>
      </c>
      <c r="AB211">
        <v>0</v>
      </c>
      <c r="AC211" t="s">
        <v>802</v>
      </c>
      <c r="AD211" t="s">
        <v>68</v>
      </c>
      <c r="AE211">
        <v>0</v>
      </c>
      <c r="AF211" s="1">
        <v>46106.417650462965</v>
      </c>
      <c r="AG211" s="1">
        <v>46106.417662037034</v>
      </c>
      <c r="AH211">
        <v>2</v>
      </c>
      <c r="AI211">
        <v>3</v>
      </c>
      <c r="AJ211">
        <v>2780</v>
      </c>
      <c r="AK211" t="s">
        <v>803</v>
      </c>
      <c r="AL211" t="s">
        <v>76</v>
      </c>
      <c r="AM211" t="s">
        <v>68</v>
      </c>
      <c r="AN211">
        <v>0</v>
      </c>
      <c r="AO211" s="1"/>
      <c r="AP211">
        <v>4</v>
      </c>
      <c r="AQ211">
        <v>0</v>
      </c>
      <c r="AR211">
        <v>0</v>
      </c>
      <c r="AS211" t="s">
        <v>75</v>
      </c>
      <c r="AT211" t="s">
        <v>68</v>
      </c>
      <c r="AU211">
        <v>0</v>
      </c>
      <c r="AV211" t="s">
        <v>68</v>
      </c>
      <c r="AW211">
        <v>0</v>
      </c>
      <c r="AX211" s="1"/>
      <c r="AZ211" t="s">
        <v>68</v>
      </c>
      <c r="BA211" t="s">
        <v>68</v>
      </c>
      <c r="BB211" t="s">
        <v>68</v>
      </c>
      <c r="BC211" t="s">
        <v>68</v>
      </c>
      <c r="BD211">
        <v>0</v>
      </c>
      <c r="BE211" s="1">
        <v>46136.42114583333</v>
      </c>
      <c r="BF211" s="1">
        <v>46136.42114583333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68</v>
      </c>
      <c r="BN211" t="s">
        <v>68</v>
      </c>
      <c r="BO211" t="s">
        <v>96</v>
      </c>
      <c r="BP211">
        <v>0</v>
      </c>
      <c r="BQ211" t="s">
        <v>68</v>
      </c>
      <c r="BR211" t="s">
        <v>68</v>
      </c>
      <c r="BS211" t="s">
        <v>68</v>
      </c>
    </row>
    <row r="212" spans="1:71" x14ac:dyDescent="0.35">
      <c r="A212" t="b">
        <f>ISNUMBER(MATCH(ChargentOrders[[#This Row],[Contract__c]],Contract[Id],0))</f>
        <v>1</v>
      </c>
      <c r="B212">
        <f>IFERROR(INDEX(Contract[CB_Subscription__c],MATCH(ChargentOrders[[#This Row],[Contract__c]],Contract[Id],0)),0)</f>
        <v>0</v>
      </c>
      <c r="C212" t="b">
        <f>ISNUMBER(MATCH(ChargentOrders[[#This Row],[Id]],Claude[Id],0))</f>
        <v>1</v>
      </c>
      <c r="D212" t="b">
        <f>AND(ChargentOrders[[#This Row],[_Contract]],ChargentOrders[[#This Row],[CB Subscription]]=0)</f>
        <v>1</v>
      </c>
      <c r="E212" s="38">
        <f>INDEX(Table5[CUENTA],MATCH(ChargentOrders[[#This Row],[Contract__c]],Table5[SM_Contract__c],0))</f>
        <v>46137</v>
      </c>
      <c r="F212" s="38" t="str">
        <f ca="1">INDEX(Table5[ESTADO],MATCH(ChargentOrders[[#This Row],[Contract__c]],Table5[SM_Contract__c],0))</f>
        <v>DEBE 3</v>
      </c>
      <c r="G212" t="s">
        <v>1089</v>
      </c>
      <c r="H212" t="s">
        <v>531</v>
      </c>
      <c r="I212" t="s">
        <v>1090</v>
      </c>
      <c r="J212" s="1">
        <v>46136.421238425923</v>
      </c>
      <c r="K212">
        <v>6</v>
      </c>
      <c r="L212">
        <v>2030</v>
      </c>
      <c r="M212" t="s">
        <v>1425</v>
      </c>
      <c r="N212">
        <v>6</v>
      </c>
      <c r="O212" t="s">
        <v>1504</v>
      </c>
      <c r="P212" t="s">
        <v>73</v>
      </c>
      <c r="Q212">
        <v>2030</v>
      </c>
      <c r="R212">
        <v>16400</v>
      </c>
      <c r="T212" t="s">
        <v>98</v>
      </c>
      <c r="U212" t="s">
        <v>68</v>
      </c>
      <c r="V212">
        <v>0</v>
      </c>
      <c r="W212" t="s">
        <v>69</v>
      </c>
      <c r="X212" s="5">
        <v>46163</v>
      </c>
      <c r="Y212" t="s">
        <v>84</v>
      </c>
      <c r="Z212" t="s">
        <v>68</v>
      </c>
      <c r="AA212">
        <v>16400</v>
      </c>
      <c r="AB212">
        <v>0</v>
      </c>
      <c r="AC212" t="s">
        <v>802</v>
      </c>
      <c r="AD212" t="s">
        <v>68</v>
      </c>
      <c r="AE212">
        <v>0</v>
      </c>
      <c r="AF212" s="1"/>
      <c r="AG212" s="1"/>
      <c r="AH212">
        <v>0</v>
      </c>
      <c r="AI212">
        <v>10</v>
      </c>
      <c r="AJ212">
        <v>0</v>
      </c>
      <c r="AK212" t="s">
        <v>803</v>
      </c>
      <c r="AL212" t="s">
        <v>71</v>
      </c>
      <c r="AM212" t="s">
        <v>68</v>
      </c>
      <c r="AN212">
        <v>0</v>
      </c>
      <c r="AO212" s="1"/>
      <c r="AQ212">
        <v>0</v>
      </c>
      <c r="AR212">
        <v>0</v>
      </c>
      <c r="AS212" t="s">
        <v>72</v>
      </c>
      <c r="AT212" t="s">
        <v>68</v>
      </c>
      <c r="AU212">
        <v>1</v>
      </c>
      <c r="AV212" t="s">
        <v>1091</v>
      </c>
      <c r="AW212">
        <v>0</v>
      </c>
      <c r="AX212" s="1">
        <v>46050.417627314811</v>
      </c>
      <c r="AY212">
        <v>2500</v>
      </c>
      <c r="AZ212" t="s">
        <v>68</v>
      </c>
      <c r="BA212" t="s">
        <v>65</v>
      </c>
      <c r="BB212" t="s">
        <v>68</v>
      </c>
      <c r="BC212" t="s">
        <v>68</v>
      </c>
      <c r="BD212">
        <v>0</v>
      </c>
      <c r="BE212" s="1">
        <v>46160.426689814813</v>
      </c>
      <c r="BF212" s="1">
        <v>46160.426689814813</v>
      </c>
      <c r="BG212" t="s">
        <v>68</v>
      </c>
      <c r="BH212" t="s">
        <v>68</v>
      </c>
      <c r="BI212" t="s">
        <v>68</v>
      </c>
      <c r="BJ212" t="s">
        <v>68</v>
      </c>
      <c r="BK212" t="s">
        <v>68</v>
      </c>
      <c r="BL212" t="s">
        <v>68</v>
      </c>
      <c r="BM212" t="s">
        <v>68</v>
      </c>
      <c r="BN212" t="s">
        <v>68</v>
      </c>
      <c r="BO212" t="s">
        <v>96</v>
      </c>
      <c r="BP212">
        <v>0</v>
      </c>
      <c r="BQ212" t="s">
        <v>68</v>
      </c>
      <c r="BR212" t="s">
        <v>68</v>
      </c>
      <c r="BS212" t="s">
        <v>68</v>
      </c>
    </row>
    <row r="213" spans="1:71" x14ac:dyDescent="0.35">
      <c r="A213" t="b">
        <f>ISNUMBER(MATCH(ChargentOrders[[#This Row],[Contract__c]],Contract[Id],0))</f>
        <v>1</v>
      </c>
      <c r="B213">
        <f>IFERROR(INDEX(Contract[CB_Subscription__c],MATCH(ChargentOrders[[#This Row],[Contract__c]],Contract[Id],0)),0)</f>
        <v>0</v>
      </c>
      <c r="C213" t="b">
        <f>ISNUMBER(MATCH(ChargentOrders[[#This Row],[Id]],Claude[Id],0))</f>
        <v>1</v>
      </c>
      <c r="D213" t="b">
        <f>AND(ChargentOrders[[#This Row],[_Contract]],ChargentOrders[[#This Row],[CB Subscription]]=0)</f>
        <v>1</v>
      </c>
      <c r="E213" s="38">
        <f>INDEX(Table5[CUENTA],MATCH(ChargentOrders[[#This Row],[Contract__c]],Table5[SM_Contract__c],0))</f>
        <v>46142</v>
      </c>
      <c r="F213" s="38" t="str">
        <f ca="1">INDEX(Table5[ESTADO],MATCH(ChargentOrders[[#This Row],[Contract__c]],Table5[SM_Contract__c],0))</f>
        <v>DEBE 3</v>
      </c>
      <c r="G213" t="s">
        <v>353</v>
      </c>
      <c r="H213" t="s">
        <v>79</v>
      </c>
      <c r="I213" t="s">
        <v>354</v>
      </c>
      <c r="J213" s="1">
        <v>45812.72855324074</v>
      </c>
      <c r="K213">
        <v>7</v>
      </c>
      <c r="L213">
        <v>2028</v>
      </c>
      <c r="M213" t="s">
        <v>1447</v>
      </c>
      <c r="N213">
        <v>7</v>
      </c>
      <c r="O213" t="s">
        <v>1448</v>
      </c>
      <c r="P213" t="s">
        <v>73</v>
      </c>
      <c r="Q213">
        <v>2028</v>
      </c>
      <c r="R213">
        <v>0</v>
      </c>
      <c r="T213" t="s">
        <v>67</v>
      </c>
      <c r="U213" t="s">
        <v>68</v>
      </c>
      <c r="V213">
        <v>0</v>
      </c>
      <c r="W213" t="s">
        <v>69</v>
      </c>
      <c r="X213" s="5"/>
      <c r="Y213" t="s">
        <v>68</v>
      </c>
      <c r="Z213" t="s">
        <v>68</v>
      </c>
      <c r="AA213">
        <v>0</v>
      </c>
      <c r="AC213" t="s">
        <v>355</v>
      </c>
      <c r="AD213" t="s">
        <v>68</v>
      </c>
      <c r="AE213">
        <v>0</v>
      </c>
      <c r="AF213" s="1"/>
      <c r="AG213" s="1">
        <v>45812.728587962964</v>
      </c>
      <c r="AH213">
        <v>0</v>
      </c>
      <c r="AI213">
        <v>1</v>
      </c>
      <c r="AJ213">
        <v>0</v>
      </c>
      <c r="AK213" t="s">
        <v>356</v>
      </c>
      <c r="AL213" t="s">
        <v>68</v>
      </c>
      <c r="AM213" t="s">
        <v>68</v>
      </c>
      <c r="AN213">
        <v>0</v>
      </c>
      <c r="AO213" s="1"/>
      <c r="AP213">
        <v>1</v>
      </c>
      <c r="AS213" t="s">
        <v>75</v>
      </c>
      <c r="AT213" t="s">
        <v>68</v>
      </c>
      <c r="AU213">
        <v>0</v>
      </c>
      <c r="AV213" t="s">
        <v>68</v>
      </c>
      <c r="AW213">
        <v>1</v>
      </c>
      <c r="AX213" s="1"/>
      <c r="AZ213" t="s">
        <v>68</v>
      </c>
      <c r="BA213" t="s">
        <v>68</v>
      </c>
      <c r="BB213" t="s">
        <v>68</v>
      </c>
      <c r="BC213" t="s">
        <v>68</v>
      </c>
      <c r="BD213">
        <v>0</v>
      </c>
      <c r="BE213" s="1"/>
      <c r="BF213" s="1">
        <v>45812.728576388887</v>
      </c>
      <c r="BG213" t="s">
        <v>68</v>
      </c>
      <c r="BH213" t="s">
        <v>68</v>
      </c>
      <c r="BI213" t="s">
        <v>68</v>
      </c>
      <c r="BJ213" t="s">
        <v>68</v>
      </c>
      <c r="BK213" t="s">
        <v>68</v>
      </c>
      <c r="BL213" t="s">
        <v>68</v>
      </c>
      <c r="BM213" t="s">
        <v>68</v>
      </c>
      <c r="BN213" t="s">
        <v>68</v>
      </c>
      <c r="BO213" t="s">
        <v>96</v>
      </c>
      <c r="BP213">
        <v>0</v>
      </c>
      <c r="BQ213" t="s">
        <v>68</v>
      </c>
      <c r="BR213" t="s">
        <v>68</v>
      </c>
      <c r="BS213" t="s">
        <v>68</v>
      </c>
    </row>
    <row r="214" spans="1:71" x14ac:dyDescent="0.35">
      <c r="A214" t="b">
        <f>ISNUMBER(MATCH(ChargentOrders[[#This Row],[Contract__c]],Contract[Id],0))</f>
        <v>1</v>
      </c>
      <c r="B214">
        <f>IFERROR(INDEX(Contract[CB_Subscription__c],MATCH(ChargentOrders[[#This Row],[Contract__c]],Contract[Id],0)),0)</f>
        <v>0</v>
      </c>
      <c r="C214" t="b">
        <f>ISNUMBER(MATCH(ChargentOrders[[#This Row],[Id]],Claude[Id],0))</f>
        <v>1</v>
      </c>
      <c r="D214" t="b">
        <f>AND(ChargentOrders[[#This Row],[_Contract]],ChargentOrders[[#This Row],[CB Subscription]]=0)</f>
        <v>1</v>
      </c>
      <c r="E214" s="38">
        <f>INDEX(Table5[CUENTA],MATCH(ChargentOrders[[#This Row],[Contract__c]],Table5[SM_Contract__c],0))</f>
        <v>46142</v>
      </c>
      <c r="F214" s="38" t="str">
        <f ca="1">INDEX(Table5[ESTADO],MATCH(ChargentOrders[[#This Row],[Contract__c]],Table5[SM_Contract__c],0))</f>
        <v>DEBE 3</v>
      </c>
      <c r="G214" t="s">
        <v>357</v>
      </c>
      <c r="H214" t="s">
        <v>79</v>
      </c>
      <c r="I214" t="s">
        <v>358</v>
      </c>
      <c r="J214" s="1">
        <v>45812.729004629633</v>
      </c>
      <c r="K214">
        <v>7</v>
      </c>
      <c r="L214">
        <v>2028</v>
      </c>
      <c r="M214" t="s">
        <v>1447</v>
      </c>
      <c r="N214">
        <v>7</v>
      </c>
      <c r="O214" t="s">
        <v>1448</v>
      </c>
      <c r="P214" t="s">
        <v>73</v>
      </c>
      <c r="Q214">
        <v>2028</v>
      </c>
      <c r="R214">
        <v>17729</v>
      </c>
      <c r="T214" t="s">
        <v>67</v>
      </c>
      <c r="U214" t="s">
        <v>68</v>
      </c>
      <c r="V214">
        <v>0</v>
      </c>
      <c r="W214" t="s">
        <v>69</v>
      </c>
      <c r="X214" s="5">
        <v>45812</v>
      </c>
      <c r="Y214" t="s">
        <v>74</v>
      </c>
      <c r="Z214" t="s">
        <v>68</v>
      </c>
      <c r="AA214">
        <v>15900</v>
      </c>
      <c r="AB214">
        <v>18285</v>
      </c>
      <c r="AC214" t="s">
        <v>355</v>
      </c>
      <c r="AD214" t="s">
        <v>68</v>
      </c>
      <c r="AE214">
        <v>0</v>
      </c>
      <c r="AF214" s="1">
        <v>45812.729155092595</v>
      </c>
      <c r="AG214" s="1">
        <v>45812.729155092595</v>
      </c>
      <c r="AH214">
        <v>1</v>
      </c>
      <c r="AI214">
        <v>1</v>
      </c>
      <c r="AJ214">
        <v>17729</v>
      </c>
      <c r="AK214" t="s">
        <v>356</v>
      </c>
      <c r="AL214" t="s">
        <v>77</v>
      </c>
      <c r="AM214" t="s">
        <v>68</v>
      </c>
      <c r="AN214">
        <v>0</v>
      </c>
      <c r="AO214" s="1"/>
      <c r="AP214">
        <v>1</v>
      </c>
      <c r="AQ214">
        <v>100</v>
      </c>
      <c r="AR214">
        <v>1050</v>
      </c>
      <c r="AS214" t="s">
        <v>75</v>
      </c>
      <c r="AT214" t="s">
        <v>68</v>
      </c>
      <c r="AU214">
        <v>0</v>
      </c>
      <c r="AV214" t="s">
        <v>68</v>
      </c>
      <c r="AW214">
        <v>0</v>
      </c>
      <c r="AX214" s="1"/>
      <c r="AZ214" t="s">
        <v>68</v>
      </c>
      <c r="BA214" t="s">
        <v>68</v>
      </c>
      <c r="BB214" t="s">
        <v>68</v>
      </c>
      <c r="BC214" t="s">
        <v>68</v>
      </c>
      <c r="BD214">
        <v>0</v>
      </c>
      <c r="BE214" s="1"/>
      <c r="BF214" s="1">
        <v>45812.729155092595</v>
      </c>
      <c r="BG214" t="s">
        <v>68</v>
      </c>
      <c r="BH214" t="s">
        <v>68</v>
      </c>
      <c r="BI214" t="s">
        <v>68</v>
      </c>
      <c r="BJ214" t="s">
        <v>68</v>
      </c>
      <c r="BK214" t="s">
        <v>68</v>
      </c>
      <c r="BL214" t="s">
        <v>68</v>
      </c>
      <c r="BM214" t="s">
        <v>68</v>
      </c>
      <c r="BN214" t="s">
        <v>68</v>
      </c>
      <c r="BO214" t="s">
        <v>96</v>
      </c>
      <c r="BP214">
        <v>0</v>
      </c>
      <c r="BQ214" t="s">
        <v>68</v>
      </c>
      <c r="BR214" t="s">
        <v>68</v>
      </c>
      <c r="BS214" t="s">
        <v>68</v>
      </c>
    </row>
    <row r="215" spans="1:71" x14ac:dyDescent="0.35">
      <c r="A215" t="b">
        <f>ISNUMBER(MATCH(ChargentOrders[[#This Row],[Contract__c]],Contract[Id],0))</f>
        <v>1</v>
      </c>
      <c r="B215">
        <f>IFERROR(INDEX(Contract[CB_Subscription__c],MATCH(ChargentOrders[[#This Row],[Contract__c]],Contract[Id],0)),0)</f>
        <v>0</v>
      </c>
      <c r="C215" t="b">
        <f>ISNUMBER(MATCH(ChargentOrders[[#This Row],[Id]],Claude[Id],0))</f>
        <v>1</v>
      </c>
      <c r="D215" t="b">
        <f>AND(ChargentOrders[[#This Row],[_Contract]],ChargentOrders[[#This Row],[CB Subscription]]=0)</f>
        <v>1</v>
      </c>
      <c r="E215" s="38">
        <f>INDEX(Table5[CUENTA],MATCH(ChargentOrders[[#This Row],[Contract__c]],Table5[SM_Contract__c],0))</f>
        <v>46142</v>
      </c>
      <c r="F215" s="38" t="str">
        <f ca="1">INDEX(Table5[ESTADO],MATCH(ChargentOrders[[#This Row],[Contract__c]],Table5[SM_Contract__c],0))</f>
        <v>DEBE 3</v>
      </c>
      <c r="G215" t="s">
        <v>359</v>
      </c>
      <c r="H215" t="s">
        <v>79</v>
      </c>
      <c r="I215" t="s">
        <v>360</v>
      </c>
      <c r="J215" s="1">
        <v>45812.729178240741</v>
      </c>
      <c r="K215">
        <v>7</v>
      </c>
      <c r="L215">
        <v>2028</v>
      </c>
      <c r="M215" t="s">
        <v>1447</v>
      </c>
      <c r="N215">
        <v>7</v>
      </c>
      <c r="O215" t="s">
        <v>1448</v>
      </c>
      <c r="P215" t="s">
        <v>73</v>
      </c>
      <c r="Q215">
        <v>2028</v>
      </c>
      <c r="R215">
        <v>790</v>
      </c>
      <c r="S215">
        <v>30</v>
      </c>
      <c r="T215" t="s">
        <v>67</v>
      </c>
      <c r="U215" t="s">
        <v>68</v>
      </c>
      <c r="V215">
        <v>0</v>
      </c>
      <c r="W215" t="s">
        <v>69</v>
      </c>
      <c r="X215" s="5">
        <v>46233</v>
      </c>
      <c r="Y215" t="s">
        <v>84</v>
      </c>
      <c r="Z215" t="s">
        <v>68</v>
      </c>
      <c r="AA215">
        <v>790</v>
      </c>
      <c r="AB215">
        <v>0</v>
      </c>
      <c r="AC215" t="s">
        <v>355</v>
      </c>
      <c r="AD215" t="s">
        <v>68</v>
      </c>
      <c r="AE215">
        <v>0</v>
      </c>
      <c r="AF215" s="1">
        <v>45987.421527777777</v>
      </c>
      <c r="AG215" s="1">
        <v>45987.421574074076</v>
      </c>
      <c r="AH215">
        <v>5</v>
      </c>
      <c r="AI215">
        <v>11</v>
      </c>
      <c r="AJ215">
        <v>43136</v>
      </c>
      <c r="AK215" t="s">
        <v>356</v>
      </c>
      <c r="AL215" t="s">
        <v>76</v>
      </c>
      <c r="AM215" t="s">
        <v>68</v>
      </c>
      <c r="AN215">
        <v>0</v>
      </c>
      <c r="AO215" s="1"/>
      <c r="AP215">
        <v>12</v>
      </c>
      <c r="AQ215">
        <v>0</v>
      </c>
      <c r="AR215">
        <v>0</v>
      </c>
      <c r="AS215" t="s">
        <v>75</v>
      </c>
      <c r="AT215" t="s">
        <v>68</v>
      </c>
      <c r="AU215">
        <v>0</v>
      </c>
      <c r="AV215" t="s">
        <v>68</v>
      </c>
      <c r="AW215">
        <v>0</v>
      </c>
      <c r="AX215" s="1"/>
      <c r="AZ215" t="s">
        <v>68</v>
      </c>
      <c r="BA215" t="s">
        <v>68</v>
      </c>
      <c r="BB215" t="s">
        <v>68</v>
      </c>
      <c r="BC215" t="s">
        <v>68</v>
      </c>
      <c r="BD215">
        <v>0</v>
      </c>
      <c r="BE215" s="1">
        <v>46192.924328703702</v>
      </c>
      <c r="BF215" s="1">
        <v>46192.924328703702</v>
      </c>
      <c r="BG215" t="s">
        <v>68</v>
      </c>
      <c r="BH215" t="s">
        <v>68</v>
      </c>
      <c r="BI215" t="s">
        <v>68</v>
      </c>
      <c r="BJ215" t="s">
        <v>68</v>
      </c>
      <c r="BK215" t="s">
        <v>68</v>
      </c>
      <c r="BL215" t="s">
        <v>68</v>
      </c>
      <c r="BM215" t="s">
        <v>68</v>
      </c>
      <c r="BN215" t="s">
        <v>68</v>
      </c>
      <c r="BO215" t="s">
        <v>96</v>
      </c>
      <c r="BP215">
        <v>0</v>
      </c>
      <c r="BQ215" t="s">
        <v>68</v>
      </c>
      <c r="BR215" t="s">
        <v>68</v>
      </c>
      <c r="BS215" t="s">
        <v>68</v>
      </c>
    </row>
    <row r="216" spans="1:71" x14ac:dyDescent="0.35">
      <c r="A216" t="b">
        <f>ISNUMBER(MATCH(ChargentOrders[[#This Row],[Contract__c]],Contract[Id],0))</f>
        <v>1</v>
      </c>
      <c r="B216">
        <f>IFERROR(INDEX(Contract[CB_Subscription__c],MATCH(ChargentOrders[[#This Row],[Contract__c]],Contract[Id],0)),0)</f>
        <v>0</v>
      </c>
      <c r="C216" t="b">
        <f>ISNUMBER(MATCH(ChargentOrders[[#This Row],[Id]],Claude[Id],0))</f>
        <v>1</v>
      </c>
      <c r="D216" t="b">
        <f>AND(ChargentOrders[[#This Row],[_Contract]],ChargentOrders[[#This Row],[CB Subscription]]=0)</f>
        <v>1</v>
      </c>
      <c r="E216" s="38">
        <f>INDEX(Table5[CUENTA],MATCH(ChargentOrders[[#This Row],[Contract__c]],Table5[SM_Contract__c],0))</f>
        <v>46142</v>
      </c>
      <c r="F216" s="38" t="str">
        <f ca="1">INDEX(Table5[ESTADO],MATCH(ChargentOrders[[#This Row],[Contract__c]],Table5[SM_Contract__c],0))</f>
        <v>DEBE 3</v>
      </c>
      <c r="G216" t="s">
        <v>628</v>
      </c>
      <c r="H216" t="s">
        <v>81</v>
      </c>
      <c r="I216" t="s">
        <v>629</v>
      </c>
      <c r="J216" s="1">
        <v>46008.770844907405</v>
      </c>
      <c r="K216">
        <v>8</v>
      </c>
      <c r="L216">
        <v>2030</v>
      </c>
      <c r="M216" t="s">
        <v>1480</v>
      </c>
      <c r="N216">
        <v>8</v>
      </c>
      <c r="O216" t="s">
        <v>1481</v>
      </c>
      <c r="P216" t="s">
        <v>73</v>
      </c>
      <c r="Q216">
        <v>2030</v>
      </c>
      <c r="R216">
        <v>11900</v>
      </c>
      <c r="T216" t="s">
        <v>98</v>
      </c>
      <c r="U216" t="s">
        <v>68</v>
      </c>
      <c r="V216">
        <v>0</v>
      </c>
      <c r="W216" t="s">
        <v>69</v>
      </c>
      <c r="X216" s="5">
        <v>46017</v>
      </c>
      <c r="Y216" t="s">
        <v>74</v>
      </c>
      <c r="Z216" t="s">
        <v>68</v>
      </c>
      <c r="AA216">
        <v>11900</v>
      </c>
      <c r="AB216">
        <v>0</v>
      </c>
      <c r="AC216" t="s">
        <v>630</v>
      </c>
      <c r="AD216" t="s">
        <v>68</v>
      </c>
      <c r="AE216">
        <v>0</v>
      </c>
      <c r="AF216" s="1">
        <v>46017.428935185184</v>
      </c>
      <c r="AG216" s="1">
        <v>46017.428993055553</v>
      </c>
      <c r="AH216">
        <v>1</v>
      </c>
      <c r="AI216">
        <v>1</v>
      </c>
      <c r="AJ216">
        <v>1190</v>
      </c>
      <c r="AK216" t="s">
        <v>631</v>
      </c>
      <c r="AL216" t="s">
        <v>77</v>
      </c>
      <c r="AM216" t="s">
        <v>68</v>
      </c>
      <c r="AN216">
        <v>0</v>
      </c>
      <c r="AO216" s="1"/>
      <c r="AP216">
        <v>1</v>
      </c>
      <c r="AQ216">
        <v>0</v>
      </c>
      <c r="AR216">
        <v>0</v>
      </c>
      <c r="AS216" t="s">
        <v>75</v>
      </c>
      <c r="AT216" t="s">
        <v>68</v>
      </c>
      <c r="AU216">
        <v>0</v>
      </c>
      <c r="AV216" t="s">
        <v>68</v>
      </c>
      <c r="AW216">
        <v>0</v>
      </c>
      <c r="AX216" s="1"/>
      <c r="AZ216" t="s">
        <v>68</v>
      </c>
      <c r="BA216" t="s">
        <v>68</v>
      </c>
      <c r="BB216" t="s">
        <v>68</v>
      </c>
      <c r="BC216" t="s">
        <v>68</v>
      </c>
      <c r="BD216">
        <v>0</v>
      </c>
      <c r="BE216" s="1"/>
      <c r="BF216" s="1">
        <v>46017.428935185184</v>
      </c>
      <c r="BG216" t="s">
        <v>68</v>
      </c>
      <c r="BH216" t="s">
        <v>68</v>
      </c>
      <c r="BI216" t="s">
        <v>68</v>
      </c>
      <c r="BJ216" t="s">
        <v>68</v>
      </c>
      <c r="BK216" t="s">
        <v>68</v>
      </c>
      <c r="BL216" t="s">
        <v>68</v>
      </c>
      <c r="BM216" t="s">
        <v>68</v>
      </c>
      <c r="BN216" t="s">
        <v>68</v>
      </c>
      <c r="BO216" t="s">
        <v>96</v>
      </c>
      <c r="BP216">
        <v>0</v>
      </c>
      <c r="BQ216" t="s">
        <v>68</v>
      </c>
      <c r="BR216" t="s">
        <v>68</v>
      </c>
      <c r="BS216" t="s">
        <v>68</v>
      </c>
    </row>
    <row r="217" spans="1:71" x14ac:dyDescent="0.35">
      <c r="A217" t="b">
        <f>ISNUMBER(MATCH(ChargentOrders[[#This Row],[Contract__c]],Contract[Id],0))</f>
        <v>1</v>
      </c>
      <c r="B217">
        <f>IFERROR(INDEX(Contract[CB_Subscription__c],MATCH(ChargentOrders[[#This Row],[Contract__c]],Contract[Id],0)),0)</f>
        <v>0</v>
      </c>
      <c r="C217" t="b">
        <f>ISNUMBER(MATCH(ChargentOrders[[#This Row],[Id]],Claude[Id],0))</f>
        <v>1</v>
      </c>
      <c r="D217" t="b">
        <f>AND(ChargentOrders[[#This Row],[_Contract]],ChargentOrders[[#This Row],[CB Subscription]]=0)</f>
        <v>1</v>
      </c>
      <c r="E217" s="38">
        <f>INDEX(Table5[CUENTA],MATCH(ChargentOrders[[#This Row],[Contract__c]],Table5[SM_Contract__c],0))</f>
        <v>46142</v>
      </c>
      <c r="F217" s="38" t="str">
        <f ca="1">INDEX(Table5[ESTADO],MATCH(ChargentOrders[[#This Row],[Contract__c]],Table5[SM_Contract__c],0))</f>
        <v>DEBE 3</v>
      </c>
      <c r="G217" t="s">
        <v>640</v>
      </c>
      <c r="H217" t="s">
        <v>81</v>
      </c>
      <c r="I217" t="s">
        <v>641</v>
      </c>
      <c r="J217" s="1">
        <v>46008.768495370372</v>
      </c>
      <c r="K217">
        <v>8</v>
      </c>
      <c r="L217">
        <v>2030</v>
      </c>
      <c r="M217" t="s">
        <v>1480</v>
      </c>
      <c r="N217">
        <v>8</v>
      </c>
      <c r="O217" t="s">
        <v>1481</v>
      </c>
      <c r="P217" t="s">
        <v>73</v>
      </c>
      <c r="Q217">
        <v>2030</v>
      </c>
      <c r="R217">
        <v>0</v>
      </c>
      <c r="T217" t="s">
        <v>98</v>
      </c>
      <c r="U217" t="s">
        <v>68</v>
      </c>
      <c r="V217">
        <v>0</v>
      </c>
      <c r="W217" t="s">
        <v>69</v>
      </c>
      <c r="X217" s="5"/>
      <c r="Y217" t="s">
        <v>68</v>
      </c>
      <c r="Z217" t="s">
        <v>68</v>
      </c>
      <c r="AA217">
        <v>0</v>
      </c>
      <c r="AC217" t="s">
        <v>630</v>
      </c>
      <c r="AD217" t="s">
        <v>68</v>
      </c>
      <c r="AE217">
        <v>0</v>
      </c>
      <c r="AF217" s="1"/>
      <c r="AG217" s="1">
        <v>46008.768530092595</v>
      </c>
      <c r="AH217">
        <v>0</v>
      </c>
      <c r="AI217">
        <v>1</v>
      </c>
      <c r="AJ217">
        <v>0</v>
      </c>
      <c r="AK217" t="s">
        <v>631</v>
      </c>
      <c r="AL217" t="s">
        <v>68</v>
      </c>
      <c r="AM217" t="s">
        <v>68</v>
      </c>
      <c r="AN217">
        <v>0</v>
      </c>
      <c r="AO217" s="1"/>
      <c r="AP217">
        <v>1</v>
      </c>
      <c r="AS217" t="s">
        <v>75</v>
      </c>
      <c r="AT217" t="s">
        <v>68</v>
      </c>
      <c r="AU217">
        <v>0</v>
      </c>
      <c r="AV217" t="s">
        <v>68</v>
      </c>
      <c r="AW217">
        <v>1</v>
      </c>
      <c r="AX217" s="1"/>
      <c r="AZ217" t="s">
        <v>68</v>
      </c>
      <c r="BA217" t="s">
        <v>68</v>
      </c>
      <c r="BB217" t="s">
        <v>68</v>
      </c>
      <c r="BC217" t="s">
        <v>68</v>
      </c>
      <c r="BD217">
        <v>0</v>
      </c>
      <c r="BE217" s="1"/>
      <c r="BF217" s="1">
        <v>46008.768530092595</v>
      </c>
      <c r="BG217" t="s">
        <v>68</v>
      </c>
      <c r="BH217" t="s">
        <v>68</v>
      </c>
      <c r="BI217" t="s">
        <v>68</v>
      </c>
      <c r="BJ217" t="s">
        <v>68</v>
      </c>
      <c r="BK217" t="s">
        <v>68</v>
      </c>
      <c r="BL217" t="s">
        <v>68</v>
      </c>
      <c r="BM217" t="s">
        <v>68</v>
      </c>
      <c r="BN217" t="s">
        <v>68</v>
      </c>
      <c r="BO217" t="s">
        <v>96</v>
      </c>
      <c r="BP217">
        <v>0</v>
      </c>
      <c r="BQ217" t="s">
        <v>68</v>
      </c>
      <c r="BR217" t="s">
        <v>68</v>
      </c>
      <c r="BS217" t="s">
        <v>68</v>
      </c>
    </row>
    <row r="218" spans="1:71" x14ac:dyDescent="0.35">
      <c r="A218" t="b">
        <f>ISNUMBER(MATCH(ChargentOrders[[#This Row],[Contract__c]],Contract[Id],0))</f>
        <v>1</v>
      </c>
      <c r="B218">
        <f>IFERROR(INDEX(Contract[CB_Subscription__c],MATCH(ChargentOrders[[#This Row],[Contract__c]],Contract[Id],0)),0)</f>
        <v>0</v>
      </c>
      <c r="C218" t="b">
        <f>ISNUMBER(MATCH(ChargentOrders[[#This Row],[Id]],Claude[Id],0))</f>
        <v>1</v>
      </c>
      <c r="D218" t="b">
        <f>AND(ChargentOrders[[#This Row],[_Contract]],ChargentOrders[[#This Row],[CB Subscription]]=0)</f>
        <v>1</v>
      </c>
      <c r="E218" s="38">
        <f>INDEX(Table5[CUENTA],MATCH(ChargentOrders[[#This Row],[Contract__c]],Table5[SM_Contract__c],0))</f>
        <v>46142</v>
      </c>
      <c r="F218" s="38" t="str">
        <f ca="1">INDEX(Table5[ESTADO],MATCH(ChargentOrders[[#This Row],[Contract__c]],Table5[SM_Contract__c],0))</f>
        <v>DEBE 3</v>
      </c>
      <c r="G218" t="s">
        <v>660</v>
      </c>
      <c r="H218" t="s">
        <v>79</v>
      </c>
      <c r="I218" t="s">
        <v>661</v>
      </c>
      <c r="J218" s="1">
        <v>46017.419259259259</v>
      </c>
      <c r="K218">
        <v>7</v>
      </c>
      <c r="L218">
        <v>2028</v>
      </c>
      <c r="M218" t="s">
        <v>1447</v>
      </c>
      <c r="N218">
        <v>7</v>
      </c>
      <c r="O218" t="s">
        <v>1448</v>
      </c>
      <c r="P218" t="s">
        <v>73</v>
      </c>
      <c r="Q218">
        <v>2028</v>
      </c>
      <c r="R218">
        <v>10400</v>
      </c>
      <c r="T218" t="s">
        <v>67</v>
      </c>
      <c r="U218" t="s">
        <v>68</v>
      </c>
      <c r="V218">
        <v>0</v>
      </c>
      <c r="W218" t="s">
        <v>69</v>
      </c>
      <c r="X218" s="5">
        <v>46037</v>
      </c>
      <c r="Y218" t="s">
        <v>74</v>
      </c>
      <c r="Z218" t="s">
        <v>68</v>
      </c>
      <c r="AA218">
        <v>10400</v>
      </c>
      <c r="AB218">
        <v>0</v>
      </c>
      <c r="AC218" t="s">
        <v>355</v>
      </c>
      <c r="AD218" t="s">
        <v>68</v>
      </c>
      <c r="AE218">
        <v>0</v>
      </c>
      <c r="AF218" s="1">
        <v>46037.428657407407</v>
      </c>
      <c r="AG218" s="1">
        <v>46037.428715277776</v>
      </c>
      <c r="AH218">
        <v>1</v>
      </c>
      <c r="AI218">
        <v>8</v>
      </c>
      <c r="AJ218">
        <v>1040</v>
      </c>
      <c r="AK218" t="s">
        <v>356</v>
      </c>
      <c r="AL218" t="s">
        <v>71</v>
      </c>
      <c r="AM218" t="s">
        <v>68</v>
      </c>
      <c r="AN218">
        <v>0</v>
      </c>
      <c r="AO218" s="1"/>
      <c r="AP218">
        <v>0</v>
      </c>
      <c r="AQ218">
        <v>0</v>
      </c>
      <c r="AR218">
        <v>0</v>
      </c>
      <c r="AS218" t="s">
        <v>72</v>
      </c>
      <c r="AT218" t="s">
        <v>68</v>
      </c>
      <c r="AU218">
        <v>1</v>
      </c>
      <c r="AV218" t="s">
        <v>662</v>
      </c>
      <c r="AW218">
        <v>0</v>
      </c>
      <c r="AX218" s="1">
        <v>45812.729178240741</v>
      </c>
      <c r="AY218">
        <v>2500</v>
      </c>
      <c r="AZ218" t="s">
        <v>68</v>
      </c>
      <c r="BA218" t="s">
        <v>65</v>
      </c>
      <c r="BB218" t="s">
        <v>68</v>
      </c>
      <c r="BC218" t="s">
        <v>68</v>
      </c>
      <c r="BD218">
        <v>0</v>
      </c>
      <c r="BE218" s="1">
        <v>46034.426006944443</v>
      </c>
      <c r="BF218" s="1">
        <v>46037.428657407407</v>
      </c>
      <c r="BG218" t="s">
        <v>68</v>
      </c>
      <c r="BH218" t="s">
        <v>68</v>
      </c>
      <c r="BI218" t="s">
        <v>68</v>
      </c>
      <c r="BJ218" t="s">
        <v>68</v>
      </c>
      <c r="BK218" t="s">
        <v>68</v>
      </c>
      <c r="BL218" t="s">
        <v>68</v>
      </c>
      <c r="BM218" t="s">
        <v>68</v>
      </c>
      <c r="BN218" t="s">
        <v>68</v>
      </c>
      <c r="BO218" t="s">
        <v>96</v>
      </c>
      <c r="BP218">
        <v>0</v>
      </c>
      <c r="BQ218" t="s">
        <v>68</v>
      </c>
      <c r="BR218" t="s">
        <v>68</v>
      </c>
      <c r="BS218" t="s">
        <v>68</v>
      </c>
    </row>
    <row r="219" spans="1:71" x14ac:dyDescent="0.35">
      <c r="A219" t="b">
        <f>ISNUMBER(MATCH(ChargentOrders[[#This Row],[Contract__c]],Contract[Id],0))</f>
        <v>1</v>
      </c>
      <c r="B219">
        <f>IFERROR(INDEX(Contract[CB_Subscription__c],MATCH(ChargentOrders[[#This Row],[Contract__c]],Contract[Id],0)),0)</f>
        <v>0</v>
      </c>
      <c r="C219" t="b">
        <f>ISNUMBER(MATCH(ChargentOrders[[#This Row],[Id]],Claude[Id],0))</f>
        <v>1</v>
      </c>
      <c r="D219" t="b">
        <f>AND(ChargentOrders[[#This Row],[_Contract]],ChargentOrders[[#This Row],[CB Subscription]]=0)</f>
        <v>1</v>
      </c>
      <c r="E219" s="38">
        <f>INDEX(Table5[CUENTA],MATCH(ChargentOrders[[#This Row],[Contract__c]],Table5[SM_Contract__c],0))</f>
        <v>46142</v>
      </c>
      <c r="F219" s="38" t="str">
        <f ca="1">INDEX(Table5[ESTADO],MATCH(ChargentOrders[[#This Row],[Contract__c]],Table5[SM_Contract__c],0))</f>
        <v>DEBE 3</v>
      </c>
      <c r="G219" t="s">
        <v>669</v>
      </c>
      <c r="H219" t="s">
        <v>81</v>
      </c>
      <c r="I219" t="s">
        <v>670</v>
      </c>
      <c r="J219" s="1">
        <v>46017.42900462963</v>
      </c>
      <c r="K219">
        <v>8</v>
      </c>
      <c r="L219">
        <v>2030</v>
      </c>
      <c r="M219" t="s">
        <v>1480</v>
      </c>
      <c r="N219">
        <v>8</v>
      </c>
      <c r="O219" t="s">
        <v>1481</v>
      </c>
      <c r="P219" t="s">
        <v>73</v>
      </c>
      <c r="Q219">
        <v>2030</v>
      </c>
      <c r="R219">
        <v>11900</v>
      </c>
      <c r="S219">
        <v>29</v>
      </c>
      <c r="T219" t="s">
        <v>98</v>
      </c>
      <c r="U219" t="s">
        <v>68</v>
      </c>
      <c r="V219">
        <v>0</v>
      </c>
      <c r="W219" t="s">
        <v>69</v>
      </c>
      <c r="X219" s="5">
        <v>46171</v>
      </c>
      <c r="Y219" t="s">
        <v>613</v>
      </c>
      <c r="Z219" t="s">
        <v>68</v>
      </c>
      <c r="AA219">
        <v>11900</v>
      </c>
      <c r="AB219">
        <v>0</v>
      </c>
      <c r="AC219" t="s">
        <v>630</v>
      </c>
      <c r="AD219" t="s">
        <v>68</v>
      </c>
      <c r="AE219">
        <v>0</v>
      </c>
      <c r="AF219" s="1"/>
      <c r="AG219" s="1"/>
      <c r="AH219">
        <v>0</v>
      </c>
      <c r="AI219">
        <v>3</v>
      </c>
      <c r="AJ219">
        <v>0</v>
      </c>
      <c r="AK219" t="s">
        <v>631</v>
      </c>
      <c r="AL219" t="s">
        <v>76</v>
      </c>
      <c r="AM219" t="s">
        <v>68</v>
      </c>
      <c r="AN219">
        <v>0</v>
      </c>
      <c r="AO219" s="1"/>
      <c r="AP219">
        <v>4</v>
      </c>
      <c r="AQ219">
        <v>0</v>
      </c>
      <c r="AR219">
        <v>0</v>
      </c>
      <c r="AS219" t="s">
        <v>75</v>
      </c>
      <c r="AT219" t="s">
        <v>68</v>
      </c>
      <c r="AU219">
        <v>0</v>
      </c>
      <c r="AV219" t="s">
        <v>68</v>
      </c>
      <c r="AW219">
        <v>0</v>
      </c>
      <c r="AX219" s="1"/>
      <c r="AZ219" t="s">
        <v>68</v>
      </c>
      <c r="BA219" t="s">
        <v>68</v>
      </c>
      <c r="BB219" t="s">
        <v>68</v>
      </c>
      <c r="BC219" t="s">
        <v>68</v>
      </c>
      <c r="BD219">
        <v>0</v>
      </c>
      <c r="BE219" s="1">
        <v>46142.424212962964</v>
      </c>
      <c r="BF219" s="1">
        <v>46142.424212962964</v>
      </c>
      <c r="BG219" t="s">
        <v>68</v>
      </c>
      <c r="BH219" t="s">
        <v>68</v>
      </c>
      <c r="BI219" t="s">
        <v>68</v>
      </c>
      <c r="BJ219" t="s">
        <v>68</v>
      </c>
      <c r="BK219" t="s">
        <v>68</v>
      </c>
      <c r="BL219" t="s">
        <v>68</v>
      </c>
      <c r="BM219" t="s">
        <v>68</v>
      </c>
      <c r="BN219" t="s">
        <v>68</v>
      </c>
      <c r="BO219" t="s">
        <v>96</v>
      </c>
      <c r="BP219">
        <v>0</v>
      </c>
      <c r="BQ219" t="s">
        <v>68</v>
      </c>
      <c r="BR219" t="s">
        <v>68</v>
      </c>
      <c r="BS219" t="s">
        <v>68</v>
      </c>
    </row>
    <row r="220" spans="1:71" x14ac:dyDescent="0.35">
      <c r="A220" t="b">
        <f>ISNUMBER(MATCH(ChargentOrders[[#This Row],[Contract__c]],Contract[Id],0))</f>
        <v>1</v>
      </c>
      <c r="B220">
        <f>IFERROR(INDEX(Contract[CB_Subscription__c],MATCH(ChargentOrders[[#This Row],[Contract__c]],Contract[Id],0)),0)</f>
        <v>0</v>
      </c>
      <c r="C220" t="b">
        <f>ISNUMBER(MATCH(ChargentOrders[[#This Row],[Id]],Claude[Id],0))</f>
        <v>1</v>
      </c>
      <c r="D220" t="b">
        <f>AND(ChargentOrders[[#This Row],[_Contract]],ChargentOrders[[#This Row],[CB Subscription]]=0)</f>
        <v>1</v>
      </c>
      <c r="E220" s="38">
        <f>INDEX(Table5[CUENTA],MATCH(ChargentOrders[[#This Row],[Contract__c]],Table5[SM_Contract__c],0))</f>
        <v>46142</v>
      </c>
      <c r="F220" s="38" t="str">
        <f ca="1">INDEX(Table5[ESTADO],MATCH(ChargentOrders[[#This Row],[Contract__c]],Table5[SM_Contract__c],0))</f>
        <v>DEBE 3</v>
      </c>
      <c r="G220" t="s">
        <v>864</v>
      </c>
      <c r="H220" t="s">
        <v>81</v>
      </c>
      <c r="I220" t="s">
        <v>865</v>
      </c>
      <c r="J220" s="1">
        <v>46052.436296296299</v>
      </c>
      <c r="K220">
        <v>8</v>
      </c>
      <c r="L220">
        <v>2030</v>
      </c>
      <c r="M220" t="s">
        <v>1480</v>
      </c>
      <c r="N220">
        <v>8</v>
      </c>
      <c r="O220" t="s">
        <v>1481</v>
      </c>
      <c r="P220" t="s">
        <v>73</v>
      </c>
      <c r="Q220">
        <v>2030</v>
      </c>
      <c r="R220">
        <v>14400</v>
      </c>
      <c r="T220" t="s">
        <v>98</v>
      </c>
      <c r="U220" t="s">
        <v>68</v>
      </c>
      <c r="V220">
        <v>0</v>
      </c>
      <c r="W220" t="s">
        <v>69</v>
      </c>
      <c r="X220" s="5">
        <v>46062</v>
      </c>
      <c r="Y220" t="s">
        <v>74</v>
      </c>
      <c r="Z220" t="s">
        <v>68</v>
      </c>
      <c r="AA220">
        <v>14400</v>
      </c>
      <c r="AB220">
        <v>0</v>
      </c>
      <c r="AC220" t="s">
        <v>630</v>
      </c>
      <c r="AD220" t="s">
        <v>68</v>
      </c>
      <c r="AE220">
        <v>0</v>
      </c>
      <c r="AF220" s="1">
        <v>46062.427060185182</v>
      </c>
      <c r="AG220" s="1">
        <v>46062.427083333336</v>
      </c>
      <c r="AH220">
        <v>1</v>
      </c>
      <c r="AI220">
        <v>4</v>
      </c>
      <c r="AJ220">
        <v>1440</v>
      </c>
      <c r="AK220" t="s">
        <v>631</v>
      </c>
      <c r="AL220" t="s">
        <v>71</v>
      </c>
      <c r="AM220" t="s">
        <v>68</v>
      </c>
      <c r="AN220">
        <v>0</v>
      </c>
      <c r="AO220" s="1"/>
      <c r="AP220">
        <v>0</v>
      </c>
      <c r="AQ220">
        <v>0</v>
      </c>
      <c r="AR220">
        <v>0</v>
      </c>
      <c r="AS220" t="s">
        <v>72</v>
      </c>
      <c r="AT220" t="s">
        <v>68</v>
      </c>
      <c r="AU220">
        <v>1</v>
      </c>
      <c r="AV220" t="s">
        <v>866</v>
      </c>
      <c r="AW220">
        <v>0</v>
      </c>
      <c r="AX220" s="1">
        <v>46017.42900462963</v>
      </c>
      <c r="AY220">
        <v>2500</v>
      </c>
      <c r="AZ220" t="s">
        <v>68</v>
      </c>
      <c r="BA220" t="s">
        <v>65</v>
      </c>
      <c r="BB220" t="s">
        <v>68</v>
      </c>
      <c r="BC220" t="s">
        <v>68</v>
      </c>
      <c r="BD220">
        <v>0</v>
      </c>
      <c r="BE220" s="1">
        <v>46059.427928240744</v>
      </c>
      <c r="BF220" s="1">
        <v>46062.427060185182</v>
      </c>
      <c r="BG220" t="s">
        <v>68</v>
      </c>
      <c r="BH220" t="s">
        <v>68</v>
      </c>
      <c r="BI220" t="s">
        <v>68</v>
      </c>
      <c r="BJ220" t="s">
        <v>68</v>
      </c>
      <c r="BK220" t="s">
        <v>68</v>
      </c>
      <c r="BL220" t="s">
        <v>68</v>
      </c>
      <c r="BM220" t="s">
        <v>68</v>
      </c>
      <c r="BN220" t="s">
        <v>68</v>
      </c>
      <c r="BO220" t="s">
        <v>96</v>
      </c>
      <c r="BP220">
        <v>0</v>
      </c>
      <c r="BQ220" t="s">
        <v>68</v>
      </c>
      <c r="BR220" t="s">
        <v>68</v>
      </c>
      <c r="BS220" t="s">
        <v>68</v>
      </c>
    </row>
    <row r="221" spans="1:71" x14ac:dyDescent="0.35">
      <c r="A221" t="b">
        <f>ISNUMBER(MATCH(ChargentOrders[[#This Row],[Contract__c]],Contract[Id],0))</f>
        <v>1</v>
      </c>
      <c r="B221">
        <f>IFERROR(INDEX(Contract[CB_Subscription__c],MATCH(ChargentOrders[[#This Row],[Contract__c]],Contract[Id],0)),0)</f>
        <v>0</v>
      </c>
      <c r="C221" t="b">
        <f>ISNUMBER(MATCH(ChargentOrders[[#This Row],[Id]],Claude[Id],0))</f>
        <v>1</v>
      </c>
      <c r="D221" t="b">
        <f>AND(ChargentOrders[[#This Row],[_Contract]],ChargentOrders[[#This Row],[CB Subscription]]=0)</f>
        <v>1</v>
      </c>
      <c r="E221" s="38">
        <f>INDEX(Table5[CUENTA],MATCH(ChargentOrders[[#This Row],[Contract__c]],Table5[SM_Contract__c],0))</f>
        <v>46142</v>
      </c>
      <c r="F221" s="38" t="str">
        <f ca="1">INDEX(Table5[ESTADO],MATCH(ChargentOrders[[#This Row],[Contract__c]],Table5[SM_Contract__c],0))</f>
        <v>DEBE 3</v>
      </c>
      <c r="G221" t="s">
        <v>888</v>
      </c>
      <c r="H221" t="s">
        <v>79</v>
      </c>
      <c r="I221" t="s">
        <v>889</v>
      </c>
      <c r="J221" s="1">
        <v>46052.420868055553</v>
      </c>
      <c r="K221">
        <v>7</v>
      </c>
      <c r="L221">
        <v>2028</v>
      </c>
      <c r="M221" t="s">
        <v>1447</v>
      </c>
      <c r="N221">
        <v>7</v>
      </c>
      <c r="O221" t="s">
        <v>1448</v>
      </c>
      <c r="P221" t="s">
        <v>73</v>
      </c>
      <c r="Q221">
        <v>2028</v>
      </c>
      <c r="R221">
        <v>10400</v>
      </c>
      <c r="T221" t="s">
        <v>67</v>
      </c>
      <c r="U221" t="s">
        <v>68</v>
      </c>
      <c r="V221">
        <v>0</v>
      </c>
      <c r="W221" t="s">
        <v>69</v>
      </c>
      <c r="X221" s="5">
        <v>46065</v>
      </c>
      <c r="Y221" t="s">
        <v>74</v>
      </c>
      <c r="Z221" t="s">
        <v>68</v>
      </c>
      <c r="AA221">
        <v>10400</v>
      </c>
      <c r="AB221">
        <v>0</v>
      </c>
      <c r="AC221" t="s">
        <v>355</v>
      </c>
      <c r="AD221" t="s">
        <v>68</v>
      </c>
      <c r="AE221">
        <v>0</v>
      </c>
      <c r="AF221" s="1">
        <v>46065.423159722224</v>
      </c>
      <c r="AG221" s="1">
        <v>46065.42324074074</v>
      </c>
      <c r="AH221">
        <v>1</v>
      </c>
      <c r="AI221">
        <v>5</v>
      </c>
      <c r="AJ221">
        <v>1040</v>
      </c>
      <c r="AK221" t="s">
        <v>356</v>
      </c>
      <c r="AL221" t="s">
        <v>71</v>
      </c>
      <c r="AM221" t="s">
        <v>68</v>
      </c>
      <c r="AN221">
        <v>0</v>
      </c>
      <c r="AO221" s="1"/>
      <c r="AP221">
        <v>0</v>
      </c>
      <c r="AQ221">
        <v>0</v>
      </c>
      <c r="AR221">
        <v>0</v>
      </c>
      <c r="AS221" t="s">
        <v>72</v>
      </c>
      <c r="AT221" t="s">
        <v>68</v>
      </c>
      <c r="AU221">
        <v>1</v>
      </c>
      <c r="AV221" t="s">
        <v>890</v>
      </c>
      <c r="AW221">
        <v>0</v>
      </c>
      <c r="AX221" s="1">
        <v>45812.729178240741</v>
      </c>
      <c r="AY221">
        <v>2500</v>
      </c>
      <c r="AZ221" t="s">
        <v>68</v>
      </c>
      <c r="BA221" t="s">
        <v>65</v>
      </c>
      <c r="BB221" t="s">
        <v>68</v>
      </c>
      <c r="BC221" t="s">
        <v>68</v>
      </c>
      <c r="BD221">
        <v>0</v>
      </c>
      <c r="BE221" s="1">
        <v>46062.42800925926</v>
      </c>
      <c r="BF221" s="1">
        <v>46065.423159722224</v>
      </c>
      <c r="BG221" t="s">
        <v>68</v>
      </c>
      <c r="BH221" t="s">
        <v>68</v>
      </c>
      <c r="BI221" t="s">
        <v>68</v>
      </c>
      <c r="BJ221" t="s">
        <v>68</v>
      </c>
      <c r="BK221" t="s">
        <v>68</v>
      </c>
      <c r="BL221" t="s">
        <v>68</v>
      </c>
      <c r="BM221" t="s">
        <v>68</v>
      </c>
      <c r="BN221" t="s">
        <v>68</v>
      </c>
      <c r="BO221" t="s">
        <v>96</v>
      </c>
      <c r="BP221">
        <v>0</v>
      </c>
      <c r="BQ221" t="s">
        <v>68</v>
      </c>
      <c r="BR221" t="s">
        <v>68</v>
      </c>
      <c r="BS221" t="s">
        <v>68</v>
      </c>
    </row>
    <row r="222" spans="1:71" x14ac:dyDescent="0.35">
      <c r="A222" t="b">
        <f>ISNUMBER(MATCH(ChargentOrders[[#This Row],[Contract__c]],Contract[Id],0))</f>
        <v>1</v>
      </c>
      <c r="B222">
        <f>IFERROR(INDEX(Contract[CB_Subscription__c],MATCH(ChargentOrders[[#This Row],[Contract__c]],Contract[Id],0)),0)</f>
        <v>0</v>
      </c>
      <c r="C222" t="b">
        <f>ISNUMBER(MATCH(ChargentOrders[[#This Row],[Id]],Claude[Id],0))</f>
        <v>1</v>
      </c>
      <c r="D222" t="b">
        <f>AND(ChargentOrders[[#This Row],[_Contract]],ChargentOrders[[#This Row],[CB Subscription]]=0)</f>
        <v>1</v>
      </c>
      <c r="E222" s="38">
        <f>INDEX(Table5[CUENTA],MATCH(ChargentOrders[[#This Row],[Contract__c]],Table5[SM_Contract__c],0))</f>
        <v>46142</v>
      </c>
      <c r="F222" s="38" t="str">
        <f ca="1">INDEX(Table5[ESTADO],MATCH(ChargentOrders[[#This Row],[Contract__c]],Table5[SM_Contract__c],0))</f>
        <v>DEBE 3</v>
      </c>
      <c r="G222" t="s">
        <v>1043</v>
      </c>
      <c r="H222" t="s">
        <v>79</v>
      </c>
      <c r="I222" t="s">
        <v>1044</v>
      </c>
      <c r="J222" s="1">
        <v>46111.419594907406</v>
      </c>
      <c r="K222">
        <v>7</v>
      </c>
      <c r="L222">
        <v>2028</v>
      </c>
      <c r="M222" t="s">
        <v>1447</v>
      </c>
      <c r="N222">
        <v>7</v>
      </c>
      <c r="O222" t="s">
        <v>1448</v>
      </c>
      <c r="P222" t="s">
        <v>73</v>
      </c>
      <c r="Q222">
        <v>2028</v>
      </c>
      <c r="R222">
        <v>10400</v>
      </c>
      <c r="T222" t="s">
        <v>67</v>
      </c>
      <c r="U222" t="s">
        <v>68</v>
      </c>
      <c r="V222">
        <v>0</v>
      </c>
      <c r="W222" t="s">
        <v>69</v>
      </c>
      <c r="X222" s="5">
        <v>46170</v>
      </c>
      <c r="Y222" t="s">
        <v>74</v>
      </c>
      <c r="Z222" t="s">
        <v>68</v>
      </c>
      <c r="AA222">
        <v>10400</v>
      </c>
      <c r="AB222">
        <v>0</v>
      </c>
      <c r="AC222" t="s">
        <v>355</v>
      </c>
      <c r="AD222" t="s">
        <v>68</v>
      </c>
      <c r="AE222">
        <v>0</v>
      </c>
      <c r="AF222" s="1">
        <v>46170.421550925923</v>
      </c>
      <c r="AG222" s="1">
        <v>46170.421550925923</v>
      </c>
      <c r="AH222">
        <v>1</v>
      </c>
      <c r="AI222">
        <v>27</v>
      </c>
      <c r="AJ222">
        <v>1040</v>
      </c>
      <c r="AK222" t="s">
        <v>356</v>
      </c>
      <c r="AL222" t="s">
        <v>71</v>
      </c>
      <c r="AM222" t="s">
        <v>68</v>
      </c>
      <c r="AN222">
        <v>0</v>
      </c>
      <c r="AO222" s="1"/>
      <c r="AP222">
        <v>0</v>
      </c>
      <c r="AQ222">
        <v>0</v>
      </c>
      <c r="AR222">
        <v>0</v>
      </c>
      <c r="AS222" t="s">
        <v>72</v>
      </c>
      <c r="AT222" t="s">
        <v>68</v>
      </c>
      <c r="AU222">
        <v>1</v>
      </c>
      <c r="AV222" t="s">
        <v>1045</v>
      </c>
      <c r="AW222">
        <v>0</v>
      </c>
      <c r="AX222" s="1">
        <v>45812.729178240741</v>
      </c>
      <c r="AY222">
        <v>2500</v>
      </c>
      <c r="AZ222" t="s">
        <v>68</v>
      </c>
      <c r="BA222" t="s">
        <v>65</v>
      </c>
      <c r="BB222" t="s">
        <v>68</v>
      </c>
      <c r="BC222" t="s">
        <v>68</v>
      </c>
      <c r="BD222">
        <v>0</v>
      </c>
      <c r="BE222" s="1">
        <v>46167.422511574077</v>
      </c>
      <c r="BF222" s="1">
        <v>46170.421550925923</v>
      </c>
      <c r="BG222" t="s">
        <v>68</v>
      </c>
      <c r="BH222" t="s">
        <v>68</v>
      </c>
      <c r="BI222" t="s">
        <v>68</v>
      </c>
      <c r="BJ222" t="s">
        <v>68</v>
      </c>
      <c r="BK222" t="s">
        <v>68</v>
      </c>
      <c r="BL222" t="s">
        <v>68</v>
      </c>
      <c r="BM222" t="s">
        <v>68</v>
      </c>
      <c r="BN222" t="s">
        <v>68</v>
      </c>
      <c r="BO222" t="s">
        <v>96</v>
      </c>
      <c r="BP222">
        <v>0</v>
      </c>
      <c r="BQ222" t="s">
        <v>68</v>
      </c>
      <c r="BR222" t="s">
        <v>68</v>
      </c>
      <c r="BS222" t="s">
        <v>68</v>
      </c>
    </row>
    <row r="223" spans="1:71" x14ac:dyDescent="0.35">
      <c r="A223" t="b">
        <f>ISNUMBER(MATCH(ChargentOrders[[#This Row],[Contract__c]],Contract[Id],0))</f>
        <v>1</v>
      </c>
      <c r="B223">
        <f>IFERROR(INDEX(Contract[CB_Subscription__c],MATCH(ChargentOrders[[#This Row],[Contract__c]],Contract[Id],0)),0)</f>
        <v>0</v>
      </c>
      <c r="C223" t="b">
        <f>ISNUMBER(MATCH(ChargentOrders[[#This Row],[Id]],Claude[Id],0))</f>
        <v>1</v>
      </c>
      <c r="D223" t="b">
        <f>AND(ChargentOrders[[#This Row],[_Contract]],ChargentOrders[[#This Row],[CB Subscription]]=0)</f>
        <v>1</v>
      </c>
      <c r="E223" s="38">
        <f>INDEX(Table5[CUENTA],MATCH(ChargentOrders[[#This Row],[Contract__c]],Table5[SM_Contract__c],0))</f>
        <v>46142</v>
      </c>
      <c r="F223" s="38" t="str">
        <f ca="1">INDEX(Table5[ESTADO],MATCH(ChargentOrders[[#This Row],[Contract__c]],Table5[SM_Contract__c],0))</f>
        <v>DEBE 3</v>
      </c>
      <c r="G223" t="s">
        <v>1058</v>
      </c>
      <c r="H223" t="s">
        <v>81</v>
      </c>
      <c r="I223" t="s">
        <v>1059</v>
      </c>
      <c r="J223" s="1">
        <v>46111.42491898148</v>
      </c>
      <c r="K223">
        <v>8</v>
      </c>
      <c r="L223">
        <v>2030</v>
      </c>
      <c r="M223" t="s">
        <v>1480</v>
      </c>
      <c r="N223">
        <v>8</v>
      </c>
      <c r="O223" t="s">
        <v>1481</v>
      </c>
      <c r="P223" t="s">
        <v>73</v>
      </c>
      <c r="Q223">
        <v>2030</v>
      </c>
      <c r="R223">
        <v>1190</v>
      </c>
      <c r="T223" t="s">
        <v>98</v>
      </c>
      <c r="U223" t="s">
        <v>68</v>
      </c>
      <c r="V223">
        <v>0</v>
      </c>
      <c r="W223" t="s">
        <v>69</v>
      </c>
      <c r="X223" s="5">
        <v>46153</v>
      </c>
      <c r="Y223" t="s">
        <v>74</v>
      </c>
      <c r="Z223" t="s">
        <v>68</v>
      </c>
      <c r="AA223">
        <v>11900</v>
      </c>
      <c r="AB223">
        <v>0</v>
      </c>
      <c r="AC223" t="s">
        <v>630</v>
      </c>
      <c r="AD223" t="s">
        <v>68</v>
      </c>
      <c r="AE223">
        <v>0</v>
      </c>
      <c r="AF223" s="1">
        <v>46150.995416666665</v>
      </c>
      <c r="AG223" s="1">
        <v>46150.995416666665</v>
      </c>
      <c r="AH223">
        <v>1</v>
      </c>
      <c r="AI223">
        <v>19</v>
      </c>
      <c r="AJ223">
        <v>1190</v>
      </c>
      <c r="AK223" t="s">
        <v>631</v>
      </c>
      <c r="AL223" t="s">
        <v>71</v>
      </c>
      <c r="AM223" t="s">
        <v>68</v>
      </c>
      <c r="AN223">
        <v>0</v>
      </c>
      <c r="AO223" s="1"/>
      <c r="AP223">
        <v>0</v>
      </c>
      <c r="AQ223">
        <v>0</v>
      </c>
      <c r="AR223">
        <v>0</v>
      </c>
      <c r="AS223" t="s">
        <v>72</v>
      </c>
      <c r="AT223" t="s">
        <v>68</v>
      </c>
      <c r="AU223">
        <v>0</v>
      </c>
      <c r="AV223" t="s">
        <v>1060</v>
      </c>
      <c r="AW223">
        <v>0</v>
      </c>
      <c r="AX223" s="1">
        <v>46143.957442129627</v>
      </c>
      <c r="AY223">
        <v>0</v>
      </c>
      <c r="AZ223" t="s">
        <v>68</v>
      </c>
      <c r="BA223" t="s">
        <v>65</v>
      </c>
      <c r="BB223" t="s">
        <v>68</v>
      </c>
      <c r="BC223" t="s">
        <v>68</v>
      </c>
      <c r="BD223">
        <v>0</v>
      </c>
      <c r="BE223" s="1">
        <v>46150.007233796299</v>
      </c>
      <c r="BF223" s="1">
        <v>46150.995416666665</v>
      </c>
      <c r="BG223" t="s">
        <v>68</v>
      </c>
      <c r="BH223" t="s">
        <v>68</v>
      </c>
      <c r="BI223" t="s">
        <v>68</v>
      </c>
      <c r="BJ223" t="s">
        <v>68</v>
      </c>
      <c r="BK223" t="s">
        <v>68</v>
      </c>
      <c r="BL223" t="s">
        <v>68</v>
      </c>
      <c r="BM223" t="s">
        <v>68</v>
      </c>
      <c r="BN223" t="s">
        <v>68</v>
      </c>
      <c r="BO223" t="s">
        <v>96</v>
      </c>
      <c r="BP223">
        <v>0</v>
      </c>
      <c r="BQ223" t="s">
        <v>68</v>
      </c>
      <c r="BR223" t="s">
        <v>68</v>
      </c>
      <c r="BS223" t="s">
        <v>68</v>
      </c>
    </row>
    <row r="224" spans="1:71" x14ac:dyDescent="0.35">
      <c r="A224" t="b">
        <f>ISNUMBER(MATCH(ChargentOrders[[#This Row],[Contract__c]],Contract[Id],0))</f>
        <v>1</v>
      </c>
      <c r="B224">
        <f>IFERROR(INDEX(Contract[CB_Subscription__c],MATCH(ChargentOrders[[#This Row],[Contract__c]],Contract[Id],0)),0)</f>
        <v>0</v>
      </c>
      <c r="C224" t="b">
        <f>ISNUMBER(MATCH(ChargentOrders[[#This Row],[Id]],Claude[Id],0))</f>
        <v>1</v>
      </c>
      <c r="D224" t="b">
        <f>AND(ChargentOrders[[#This Row],[_Contract]],ChargentOrders[[#This Row],[CB Subscription]]=0)</f>
        <v>1</v>
      </c>
      <c r="E224" s="38">
        <f>INDEX(Table5[CUENTA],MATCH(ChargentOrders[[#This Row],[Contract__c]],Table5[SM_Contract__c],0))</f>
        <v>46142</v>
      </c>
      <c r="F224" s="38" t="str">
        <f ca="1">INDEX(Table5[ESTADO],MATCH(ChargentOrders[[#This Row],[Contract__c]],Table5[SM_Contract__c],0))</f>
        <v>DEBE 3</v>
      </c>
      <c r="G224" t="s">
        <v>1134</v>
      </c>
      <c r="H224" t="s">
        <v>79</v>
      </c>
      <c r="I224" t="s">
        <v>1135</v>
      </c>
      <c r="J224" s="1">
        <v>46142.419606481482</v>
      </c>
      <c r="K224">
        <v>7</v>
      </c>
      <c r="L224">
        <v>2028</v>
      </c>
      <c r="M224" t="s">
        <v>1447</v>
      </c>
      <c r="N224">
        <v>7</v>
      </c>
      <c r="O224" t="s">
        <v>1448</v>
      </c>
      <c r="P224" t="s">
        <v>73</v>
      </c>
      <c r="Q224">
        <v>2028</v>
      </c>
      <c r="R224">
        <v>10400</v>
      </c>
      <c r="T224" t="s">
        <v>67</v>
      </c>
      <c r="U224" t="s">
        <v>68</v>
      </c>
      <c r="V224">
        <v>0</v>
      </c>
      <c r="W224" t="s">
        <v>69</v>
      </c>
      <c r="X224" s="5">
        <v>46170</v>
      </c>
      <c r="Y224" t="s">
        <v>74</v>
      </c>
      <c r="Z224" t="s">
        <v>68</v>
      </c>
      <c r="AA224">
        <v>10400</v>
      </c>
      <c r="AB224">
        <v>0</v>
      </c>
      <c r="AC224" t="s">
        <v>355</v>
      </c>
      <c r="AD224" t="s">
        <v>68</v>
      </c>
      <c r="AE224">
        <v>0</v>
      </c>
      <c r="AF224" s="1">
        <v>46170.423645833333</v>
      </c>
      <c r="AG224" s="1">
        <v>46170.423715277779</v>
      </c>
      <c r="AH224">
        <v>1</v>
      </c>
      <c r="AI224">
        <v>14</v>
      </c>
      <c r="AJ224">
        <v>1040</v>
      </c>
      <c r="AK224" t="s">
        <v>356</v>
      </c>
      <c r="AL224" t="s">
        <v>71</v>
      </c>
      <c r="AM224" t="s">
        <v>68</v>
      </c>
      <c r="AN224">
        <v>0</v>
      </c>
      <c r="AO224" s="1"/>
      <c r="AP224">
        <v>0</v>
      </c>
      <c r="AQ224">
        <v>0</v>
      </c>
      <c r="AR224">
        <v>0</v>
      </c>
      <c r="AS224" t="s">
        <v>72</v>
      </c>
      <c r="AT224" t="s">
        <v>68</v>
      </c>
      <c r="AU224">
        <v>1</v>
      </c>
      <c r="AV224" t="s">
        <v>1136</v>
      </c>
      <c r="AW224">
        <v>0</v>
      </c>
      <c r="AX224" s="1">
        <v>45812.729178240741</v>
      </c>
      <c r="AY224">
        <v>2500</v>
      </c>
      <c r="AZ224" t="s">
        <v>68</v>
      </c>
      <c r="BA224" t="s">
        <v>65</v>
      </c>
      <c r="BB224" t="s">
        <v>68</v>
      </c>
      <c r="BC224" t="s">
        <v>68</v>
      </c>
      <c r="BD224">
        <v>0</v>
      </c>
      <c r="BE224" s="1">
        <v>46167.426076388889</v>
      </c>
      <c r="BF224" s="1">
        <v>46170.423645833333</v>
      </c>
      <c r="BG224" t="s">
        <v>68</v>
      </c>
      <c r="BH224" t="s">
        <v>68</v>
      </c>
      <c r="BI224" t="s">
        <v>68</v>
      </c>
      <c r="BJ224" t="s">
        <v>68</v>
      </c>
      <c r="BK224" t="s">
        <v>68</v>
      </c>
      <c r="BL224" t="s">
        <v>68</v>
      </c>
      <c r="BM224" t="s">
        <v>68</v>
      </c>
      <c r="BN224" t="s">
        <v>68</v>
      </c>
      <c r="BO224" t="s">
        <v>96</v>
      </c>
      <c r="BP224">
        <v>0</v>
      </c>
      <c r="BQ224" t="s">
        <v>68</v>
      </c>
      <c r="BR224" t="s">
        <v>68</v>
      </c>
      <c r="BS224" t="s">
        <v>68</v>
      </c>
    </row>
    <row r="225" spans="1:71" x14ac:dyDescent="0.35">
      <c r="A225" t="b">
        <f>ISNUMBER(MATCH(ChargentOrders[[#This Row],[Contract__c]],Contract[Id],0))</f>
        <v>1</v>
      </c>
      <c r="B225">
        <f>IFERROR(INDEX(Contract[CB_Subscription__c],MATCH(ChargentOrders[[#This Row],[Contract__c]],Contract[Id],0)),0)</f>
        <v>0</v>
      </c>
      <c r="C225" t="b">
        <f>ISNUMBER(MATCH(ChargentOrders[[#This Row],[Id]],Claude[Id],0))</f>
        <v>1</v>
      </c>
      <c r="D225" t="b">
        <f>AND(ChargentOrders[[#This Row],[_Contract]],ChargentOrders[[#This Row],[CB Subscription]]=0)</f>
        <v>1</v>
      </c>
      <c r="E225" s="38">
        <f>INDEX(Table5[CUENTA],MATCH(ChargentOrders[[#This Row],[Contract__c]],Table5[SM_Contract__c],0))</f>
        <v>46142</v>
      </c>
      <c r="F225" s="38" t="str">
        <f ca="1">INDEX(Table5[ESTADO],MATCH(ChargentOrders[[#This Row],[Contract__c]],Table5[SM_Contract__c],0))</f>
        <v>DEBE 3</v>
      </c>
      <c r="G225" t="s">
        <v>1152</v>
      </c>
      <c r="H225" t="s">
        <v>81</v>
      </c>
      <c r="I225" t="s">
        <v>1153</v>
      </c>
      <c r="J225" s="1">
        <v>46142.424259259256</v>
      </c>
      <c r="K225">
        <v>8</v>
      </c>
      <c r="L225">
        <v>2030</v>
      </c>
      <c r="M225" t="s">
        <v>1480</v>
      </c>
      <c r="N225">
        <v>8</v>
      </c>
      <c r="O225" t="s">
        <v>1481</v>
      </c>
      <c r="P225" t="s">
        <v>73</v>
      </c>
      <c r="Q225">
        <v>2030</v>
      </c>
      <c r="R225">
        <v>1440</v>
      </c>
      <c r="T225" t="s">
        <v>98</v>
      </c>
      <c r="U225" t="s">
        <v>68</v>
      </c>
      <c r="V225">
        <v>0</v>
      </c>
      <c r="W225" t="s">
        <v>69</v>
      </c>
      <c r="X225" s="5">
        <v>46146</v>
      </c>
      <c r="Y225" t="s">
        <v>74</v>
      </c>
      <c r="Z225" t="s">
        <v>68</v>
      </c>
      <c r="AA225">
        <v>14400</v>
      </c>
      <c r="AB225">
        <v>0</v>
      </c>
      <c r="AC225" t="s">
        <v>630</v>
      </c>
      <c r="AD225" t="s">
        <v>68</v>
      </c>
      <c r="AE225">
        <v>0</v>
      </c>
      <c r="AF225" s="1">
        <v>46143.956180555557</v>
      </c>
      <c r="AG225" s="1">
        <v>46143.956180555557</v>
      </c>
      <c r="AH225">
        <v>1</v>
      </c>
      <c r="AI225">
        <v>2</v>
      </c>
      <c r="AJ225">
        <v>1440</v>
      </c>
      <c r="AK225" t="s">
        <v>631</v>
      </c>
      <c r="AL225" t="s">
        <v>71</v>
      </c>
      <c r="AM225" t="s">
        <v>68</v>
      </c>
      <c r="AN225">
        <v>0</v>
      </c>
      <c r="AO225" s="1"/>
      <c r="AP225">
        <v>0</v>
      </c>
      <c r="AQ225">
        <v>0</v>
      </c>
      <c r="AR225">
        <v>0</v>
      </c>
      <c r="AS225" t="s">
        <v>72</v>
      </c>
      <c r="AT225" t="s">
        <v>68</v>
      </c>
      <c r="AU225">
        <v>1</v>
      </c>
      <c r="AV225" t="s">
        <v>1154</v>
      </c>
      <c r="AW225">
        <v>0</v>
      </c>
      <c r="AX225" s="1">
        <v>46017.42900462963</v>
      </c>
      <c r="AY225">
        <v>2500</v>
      </c>
      <c r="AZ225" t="s">
        <v>68</v>
      </c>
      <c r="BA225" t="s">
        <v>65</v>
      </c>
      <c r="BB225" t="s">
        <v>68</v>
      </c>
      <c r="BC225" t="s">
        <v>68</v>
      </c>
      <c r="BD225">
        <v>0</v>
      </c>
      <c r="BE225" s="1">
        <v>46142.971493055556</v>
      </c>
      <c r="BF225" s="1">
        <v>46143.956180555557</v>
      </c>
      <c r="BG225" t="s">
        <v>68</v>
      </c>
      <c r="BH225" t="s">
        <v>68</v>
      </c>
      <c r="BI225" t="s">
        <v>68</v>
      </c>
      <c r="BJ225" t="s">
        <v>68</v>
      </c>
      <c r="BK225" t="s">
        <v>68</v>
      </c>
      <c r="BL225" t="s">
        <v>68</v>
      </c>
      <c r="BM225" t="s">
        <v>68</v>
      </c>
      <c r="BN225" t="s">
        <v>68</v>
      </c>
      <c r="BO225" t="s">
        <v>96</v>
      </c>
      <c r="BP225">
        <v>0</v>
      </c>
      <c r="BQ225" t="s">
        <v>68</v>
      </c>
      <c r="BR225" t="s">
        <v>68</v>
      </c>
      <c r="BS225" t="s">
        <v>68</v>
      </c>
    </row>
    <row r="226" spans="1:71" x14ac:dyDescent="0.35">
      <c r="A226" t="b">
        <f>ISNUMBER(MATCH(ChargentOrders[[#This Row],[Contract__c]],Contract[Id],0))</f>
        <v>1</v>
      </c>
      <c r="B226">
        <f>IFERROR(INDEX(Contract[CB_Subscription__c],MATCH(ChargentOrders[[#This Row],[Contract__c]],Contract[Id],0)),0)</f>
        <v>0</v>
      </c>
      <c r="C226" t="b">
        <f>ISNUMBER(MATCH(ChargentOrders[[#This Row],[Id]],Claude[Id],0))</f>
        <v>1</v>
      </c>
      <c r="D226" t="b">
        <f>AND(ChargentOrders[[#This Row],[_Contract]],ChargentOrders[[#This Row],[CB Subscription]]=0)</f>
        <v>1</v>
      </c>
      <c r="E226" s="38">
        <f>INDEX(Table5[CUENTA],MATCH(ChargentOrders[[#This Row],[Contract__c]],Table5[SM_Contract__c],0))</f>
        <v>46142</v>
      </c>
      <c r="F226" s="38" t="str">
        <f ca="1">INDEX(Table5[ESTADO],MATCH(ChargentOrders[[#This Row],[Contract__c]],Table5[SM_Contract__c],0))</f>
        <v>DEBE 3</v>
      </c>
      <c r="G226" t="s">
        <v>1247</v>
      </c>
      <c r="H226" t="s">
        <v>79</v>
      </c>
      <c r="I226" t="s">
        <v>1248</v>
      </c>
      <c r="J226" s="1">
        <v>46171.417199074072</v>
      </c>
      <c r="K226">
        <v>7</v>
      </c>
      <c r="L226">
        <v>2028</v>
      </c>
      <c r="M226" t="s">
        <v>1447</v>
      </c>
      <c r="N226">
        <v>7</v>
      </c>
      <c r="O226" t="s">
        <v>1448</v>
      </c>
      <c r="P226" t="s">
        <v>73</v>
      </c>
      <c r="Q226">
        <v>2028</v>
      </c>
      <c r="R226">
        <v>1040</v>
      </c>
      <c r="T226" t="s">
        <v>67</v>
      </c>
      <c r="U226" t="s">
        <v>68</v>
      </c>
      <c r="V226">
        <v>0</v>
      </c>
      <c r="W226" t="s">
        <v>69</v>
      </c>
      <c r="X226" s="5">
        <v>46213</v>
      </c>
      <c r="Y226" t="s">
        <v>90</v>
      </c>
      <c r="Z226" t="s">
        <v>68</v>
      </c>
      <c r="AA226">
        <v>10400</v>
      </c>
      <c r="AB226">
        <v>0</v>
      </c>
      <c r="AC226" t="s">
        <v>355</v>
      </c>
      <c r="AD226" t="s">
        <v>68</v>
      </c>
      <c r="AE226">
        <v>0</v>
      </c>
      <c r="AF226" s="1"/>
      <c r="AG226" s="1"/>
      <c r="AH226">
        <v>0</v>
      </c>
      <c r="AI226">
        <v>25</v>
      </c>
      <c r="AJ226">
        <v>0</v>
      </c>
      <c r="AK226" t="s">
        <v>356</v>
      </c>
      <c r="AL226" t="s">
        <v>71</v>
      </c>
      <c r="AM226" t="s">
        <v>68</v>
      </c>
      <c r="AN226">
        <v>0</v>
      </c>
      <c r="AO226" s="1"/>
      <c r="AQ226">
        <v>0</v>
      </c>
      <c r="AR226">
        <v>0</v>
      </c>
      <c r="AS226" t="s">
        <v>72</v>
      </c>
      <c r="AT226" t="s">
        <v>68</v>
      </c>
      <c r="AU226">
        <v>1</v>
      </c>
      <c r="AV226" t="s">
        <v>1249</v>
      </c>
      <c r="AW226">
        <v>0</v>
      </c>
      <c r="AX226" s="1">
        <v>45812.729178240741</v>
      </c>
      <c r="AY226">
        <v>2500</v>
      </c>
      <c r="AZ226" t="s">
        <v>68</v>
      </c>
      <c r="BA226" t="s">
        <v>65</v>
      </c>
      <c r="BB226" t="s">
        <v>68</v>
      </c>
      <c r="BC226" t="s">
        <v>68</v>
      </c>
      <c r="BD226">
        <v>0</v>
      </c>
      <c r="BE226" s="1">
        <v>46217.022418981483</v>
      </c>
      <c r="BF226" s="1">
        <v>46217.022418981483</v>
      </c>
      <c r="BG226" t="s">
        <v>68</v>
      </c>
      <c r="BH226" t="s">
        <v>68</v>
      </c>
      <c r="BI226" t="s">
        <v>68</v>
      </c>
      <c r="BJ226" t="s">
        <v>68</v>
      </c>
      <c r="BK226" t="s">
        <v>68</v>
      </c>
      <c r="BL226" t="s">
        <v>68</v>
      </c>
      <c r="BM226" t="s">
        <v>68</v>
      </c>
      <c r="BN226" t="s">
        <v>68</v>
      </c>
      <c r="BO226" t="s">
        <v>96</v>
      </c>
      <c r="BP226">
        <v>0</v>
      </c>
      <c r="BQ226" t="s">
        <v>68</v>
      </c>
      <c r="BR226" t="s">
        <v>68</v>
      </c>
      <c r="BS226" t="s">
        <v>68</v>
      </c>
    </row>
    <row r="227" spans="1:71" x14ac:dyDescent="0.35">
      <c r="A227" t="b">
        <f>ISNUMBER(MATCH(ChargentOrders[[#This Row],[Contract__c]],Contract[Id],0))</f>
        <v>1</v>
      </c>
      <c r="B227">
        <f>IFERROR(INDEX(Contract[CB_Subscription__c],MATCH(ChargentOrders[[#This Row],[Contract__c]],Contract[Id],0)),0)</f>
        <v>0</v>
      </c>
      <c r="C227" t="b">
        <f>ISNUMBER(MATCH(ChargentOrders[[#This Row],[Id]],Claude[Id],0))</f>
        <v>1</v>
      </c>
      <c r="D227" t="b">
        <f>AND(ChargentOrders[[#This Row],[_Contract]],ChargentOrders[[#This Row],[CB Subscription]]=0)</f>
        <v>1</v>
      </c>
      <c r="E227" s="38">
        <f>INDEX(Table5[CUENTA],MATCH(ChargentOrders[[#This Row],[Contract__c]],Table5[SM_Contract__c],0))</f>
        <v>46142</v>
      </c>
      <c r="F227" s="38" t="str">
        <f ca="1">INDEX(Table5[ESTADO],MATCH(ChargentOrders[[#This Row],[Contract__c]],Table5[SM_Contract__c],0))</f>
        <v>DEBE 3</v>
      </c>
      <c r="G227" t="s">
        <v>1324</v>
      </c>
      <c r="H227" t="s">
        <v>79</v>
      </c>
      <c r="I227" t="s">
        <v>1325</v>
      </c>
      <c r="J227" s="1">
        <v>46192.924351851849</v>
      </c>
      <c r="K227">
        <v>7</v>
      </c>
      <c r="L227">
        <v>2028</v>
      </c>
      <c r="M227" t="s">
        <v>1447</v>
      </c>
      <c r="N227">
        <v>7</v>
      </c>
      <c r="O227" t="s">
        <v>1448</v>
      </c>
      <c r="P227" t="s">
        <v>73</v>
      </c>
      <c r="Q227">
        <v>2028</v>
      </c>
      <c r="R227">
        <v>1040</v>
      </c>
      <c r="T227" t="s">
        <v>67</v>
      </c>
      <c r="U227" t="s">
        <v>68</v>
      </c>
      <c r="V227">
        <v>0</v>
      </c>
      <c r="W227" t="s">
        <v>69</v>
      </c>
      <c r="X227" s="5">
        <v>46212</v>
      </c>
      <c r="Y227" t="s">
        <v>90</v>
      </c>
      <c r="Z227" t="s">
        <v>68</v>
      </c>
      <c r="AA227">
        <v>10400</v>
      </c>
      <c r="AB227">
        <v>0</v>
      </c>
      <c r="AC227" t="s">
        <v>355</v>
      </c>
      <c r="AD227" t="s">
        <v>68</v>
      </c>
      <c r="AE227">
        <v>0</v>
      </c>
      <c r="AF227" s="1"/>
      <c r="AG227" s="1"/>
      <c r="AH227">
        <v>0</v>
      </c>
      <c r="AI227">
        <v>11</v>
      </c>
      <c r="AJ227">
        <v>0</v>
      </c>
      <c r="AK227" t="s">
        <v>356</v>
      </c>
      <c r="AL227" t="s">
        <v>71</v>
      </c>
      <c r="AM227" t="s">
        <v>68</v>
      </c>
      <c r="AN227">
        <v>0</v>
      </c>
      <c r="AO227" s="1"/>
      <c r="AP227">
        <v>11</v>
      </c>
      <c r="AQ227">
        <v>0</v>
      </c>
      <c r="AR227">
        <v>0</v>
      </c>
      <c r="AS227" t="s">
        <v>72</v>
      </c>
      <c r="AT227" t="s">
        <v>68</v>
      </c>
      <c r="AU227">
        <v>1</v>
      </c>
      <c r="AV227" t="s">
        <v>1326</v>
      </c>
      <c r="AW227">
        <v>0</v>
      </c>
      <c r="AX227" s="1">
        <v>45812.729178240741</v>
      </c>
      <c r="AY227">
        <v>2500</v>
      </c>
      <c r="AZ227" t="s">
        <v>68</v>
      </c>
      <c r="BA227" t="s">
        <v>101</v>
      </c>
      <c r="BB227" t="s">
        <v>68</v>
      </c>
      <c r="BC227" t="s">
        <v>68</v>
      </c>
      <c r="BD227">
        <v>0</v>
      </c>
      <c r="BE227" s="1">
        <v>46216.998078703706</v>
      </c>
      <c r="BF227" s="1">
        <v>46216.998078703706</v>
      </c>
      <c r="BG227" t="s">
        <v>68</v>
      </c>
      <c r="BH227" t="s">
        <v>68</v>
      </c>
      <c r="BI227" t="s">
        <v>68</v>
      </c>
      <c r="BJ227" t="s">
        <v>68</v>
      </c>
      <c r="BK227" t="s">
        <v>68</v>
      </c>
      <c r="BL227" t="s">
        <v>68</v>
      </c>
      <c r="BM227" t="s">
        <v>68</v>
      </c>
      <c r="BN227" t="s">
        <v>68</v>
      </c>
      <c r="BO227" t="s">
        <v>96</v>
      </c>
      <c r="BP227">
        <v>0</v>
      </c>
      <c r="BQ227" t="s">
        <v>68</v>
      </c>
      <c r="BR227" t="s">
        <v>68</v>
      </c>
      <c r="BS227" t="s">
        <v>68</v>
      </c>
    </row>
    <row r="228" spans="1:71" x14ac:dyDescent="0.35">
      <c r="A228" t="b">
        <f>ISNUMBER(MATCH(ChargentOrders[[#This Row],[Contract__c]],Contract[Id],0))</f>
        <v>1</v>
      </c>
      <c r="B228">
        <f>IFERROR(INDEX(Contract[CB_Subscription__c],MATCH(ChargentOrders[[#This Row],[Contract__c]],Contract[Id],0)),0)</f>
        <v>0</v>
      </c>
      <c r="C228" t="b">
        <f>ISNUMBER(MATCH(ChargentOrders[[#This Row],[Id]],Claude[Id],0))</f>
        <v>1</v>
      </c>
      <c r="D228" t="b">
        <f>AND(ChargentOrders[[#This Row],[_Contract]],ChargentOrders[[#This Row],[CB Subscription]]=0)</f>
        <v>1</v>
      </c>
      <c r="E228" s="38">
        <f>INDEX(Table5[CUENTA],MATCH(ChargentOrders[[#This Row],[Contract__c]],Table5[SM_Contract__c],0))</f>
        <v>46144</v>
      </c>
      <c r="F228" s="38" t="str">
        <f ca="1">INDEX(Table5[ESTADO],MATCH(ChargentOrders[[#This Row],[Contract__c]],Table5[SM_Contract__c],0))</f>
        <v>DEBE 2</v>
      </c>
      <c r="G228" t="s">
        <v>602</v>
      </c>
      <c r="H228" t="s">
        <v>531</v>
      </c>
      <c r="I228" t="s">
        <v>603</v>
      </c>
      <c r="J228" s="1">
        <v>46001.851898148147</v>
      </c>
      <c r="K228">
        <v>9</v>
      </c>
      <c r="L228">
        <v>2029</v>
      </c>
      <c r="M228" t="s">
        <v>1467</v>
      </c>
      <c r="N228">
        <v>9</v>
      </c>
      <c r="O228" t="s">
        <v>1476</v>
      </c>
      <c r="P228" t="s">
        <v>73</v>
      </c>
      <c r="Q228">
        <v>2029</v>
      </c>
      <c r="R228">
        <v>0</v>
      </c>
      <c r="T228" t="s">
        <v>67</v>
      </c>
      <c r="U228" t="s">
        <v>68</v>
      </c>
      <c r="V228">
        <v>0</v>
      </c>
      <c r="W228" t="s">
        <v>69</v>
      </c>
      <c r="X228" s="5"/>
      <c r="Y228" t="s">
        <v>68</v>
      </c>
      <c r="Z228" t="s">
        <v>68</v>
      </c>
      <c r="AA228">
        <v>0</v>
      </c>
      <c r="AC228" t="s">
        <v>604</v>
      </c>
      <c r="AD228" t="s">
        <v>68</v>
      </c>
      <c r="AE228">
        <v>0</v>
      </c>
      <c r="AF228" s="1"/>
      <c r="AG228" s="1">
        <v>46001.851921296293</v>
      </c>
      <c r="AH228">
        <v>0</v>
      </c>
      <c r="AI228">
        <v>1</v>
      </c>
      <c r="AJ228">
        <v>0</v>
      </c>
      <c r="AK228" t="s">
        <v>605</v>
      </c>
      <c r="AL228" t="s">
        <v>68</v>
      </c>
      <c r="AM228" t="s">
        <v>68</v>
      </c>
      <c r="AN228">
        <v>0</v>
      </c>
      <c r="AO228" s="1"/>
      <c r="AP228">
        <v>1</v>
      </c>
      <c r="AS228" t="s">
        <v>75</v>
      </c>
      <c r="AT228" t="s">
        <v>68</v>
      </c>
      <c r="AU228">
        <v>0</v>
      </c>
      <c r="AV228" t="s">
        <v>68</v>
      </c>
      <c r="AW228">
        <v>1</v>
      </c>
      <c r="AX228" s="1"/>
      <c r="AZ228" t="s">
        <v>68</v>
      </c>
      <c r="BA228" t="s">
        <v>68</v>
      </c>
      <c r="BB228" t="s">
        <v>68</v>
      </c>
      <c r="BC228" t="s">
        <v>68</v>
      </c>
      <c r="BD228">
        <v>0</v>
      </c>
      <c r="BE228" s="1"/>
      <c r="BF228" s="1">
        <v>46001.851921296293</v>
      </c>
      <c r="BG228" t="s">
        <v>68</v>
      </c>
      <c r="BH228" t="s">
        <v>68</v>
      </c>
      <c r="BI228" t="s">
        <v>68</v>
      </c>
      <c r="BJ228" t="s">
        <v>68</v>
      </c>
      <c r="BK228" t="s">
        <v>68</v>
      </c>
      <c r="BL228" t="s">
        <v>68</v>
      </c>
      <c r="BM228" t="s">
        <v>68</v>
      </c>
      <c r="BN228" t="s">
        <v>68</v>
      </c>
      <c r="BO228" t="s">
        <v>96</v>
      </c>
      <c r="BP228">
        <v>0</v>
      </c>
      <c r="BQ228" t="s">
        <v>68</v>
      </c>
      <c r="BR228" t="s">
        <v>68</v>
      </c>
      <c r="BS228" t="s">
        <v>68</v>
      </c>
    </row>
    <row r="229" spans="1:71" x14ac:dyDescent="0.35">
      <c r="A229" t="b">
        <f>ISNUMBER(MATCH(ChargentOrders[[#This Row],[Contract__c]],Contract[Id],0))</f>
        <v>1</v>
      </c>
      <c r="B229">
        <f>IFERROR(INDEX(Contract[CB_Subscription__c],MATCH(ChargentOrders[[#This Row],[Contract__c]],Contract[Id],0)),0)</f>
        <v>0</v>
      </c>
      <c r="C229" t="b">
        <f>ISNUMBER(MATCH(ChargentOrders[[#This Row],[Id]],Claude[Id],0))</f>
        <v>1</v>
      </c>
      <c r="D229" t="b">
        <f>AND(ChargentOrders[[#This Row],[_Contract]],ChargentOrders[[#This Row],[CB Subscription]]=0)</f>
        <v>1</v>
      </c>
      <c r="E229" s="38">
        <f>INDEX(Table5[CUENTA],MATCH(ChargentOrders[[#This Row],[Contract__c]],Table5[SM_Contract__c],0))</f>
        <v>46144</v>
      </c>
      <c r="F229" s="38" t="str">
        <f ca="1">INDEX(Table5[ESTADO],MATCH(ChargentOrders[[#This Row],[Contract__c]],Table5[SM_Contract__c],0))</f>
        <v>DEBE 2</v>
      </c>
      <c r="G229" t="s">
        <v>606</v>
      </c>
      <c r="H229" t="s">
        <v>531</v>
      </c>
      <c r="I229" t="s">
        <v>607</v>
      </c>
      <c r="J229" s="1">
        <v>46001.880995370368</v>
      </c>
      <c r="K229">
        <v>9</v>
      </c>
      <c r="L229">
        <v>2029</v>
      </c>
      <c r="M229" t="s">
        <v>1467</v>
      </c>
      <c r="N229">
        <v>9</v>
      </c>
      <c r="O229" t="s">
        <v>1476</v>
      </c>
      <c r="P229" t="s">
        <v>73</v>
      </c>
      <c r="Q229">
        <v>2029</v>
      </c>
      <c r="R229">
        <v>7450</v>
      </c>
      <c r="T229" t="s">
        <v>67</v>
      </c>
      <c r="U229" t="s">
        <v>68</v>
      </c>
      <c r="V229">
        <v>0</v>
      </c>
      <c r="W229" t="s">
        <v>69</v>
      </c>
      <c r="X229" s="5">
        <v>46041</v>
      </c>
      <c r="Y229" t="s">
        <v>74</v>
      </c>
      <c r="Z229" t="s">
        <v>68</v>
      </c>
      <c r="AA229">
        <v>7450</v>
      </c>
      <c r="AB229">
        <v>0</v>
      </c>
      <c r="AC229" t="s">
        <v>604</v>
      </c>
      <c r="AD229" t="s">
        <v>68</v>
      </c>
      <c r="AE229">
        <v>0</v>
      </c>
      <c r="AF229" s="1">
        <v>46041.423368055555</v>
      </c>
      <c r="AG229" s="1">
        <v>46041.423402777778</v>
      </c>
      <c r="AH229">
        <v>1</v>
      </c>
      <c r="AI229">
        <v>1</v>
      </c>
      <c r="AJ229">
        <v>745</v>
      </c>
      <c r="AK229" t="s">
        <v>605</v>
      </c>
      <c r="AL229" t="s">
        <v>77</v>
      </c>
      <c r="AM229" t="s">
        <v>68</v>
      </c>
      <c r="AN229">
        <v>0</v>
      </c>
      <c r="AO229" s="1"/>
      <c r="AP229">
        <v>1</v>
      </c>
      <c r="AQ229">
        <v>0</v>
      </c>
      <c r="AR229">
        <v>0</v>
      </c>
      <c r="AS229" t="s">
        <v>75</v>
      </c>
      <c r="AT229" t="s">
        <v>68</v>
      </c>
      <c r="AU229">
        <v>0</v>
      </c>
      <c r="AV229" t="s">
        <v>68</v>
      </c>
      <c r="AW229">
        <v>0</v>
      </c>
      <c r="AX229" s="1"/>
      <c r="AZ229" t="s">
        <v>68</v>
      </c>
      <c r="BA229" t="s">
        <v>68</v>
      </c>
      <c r="BB229" t="s">
        <v>68</v>
      </c>
      <c r="BC229" t="s">
        <v>68</v>
      </c>
      <c r="BD229">
        <v>0</v>
      </c>
      <c r="BE229" s="1"/>
      <c r="BF229" s="1">
        <v>46041.423368055555</v>
      </c>
      <c r="BG229" t="s">
        <v>68</v>
      </c>
      <c r="BH229" t="s">
        <v>68</v>
      </c>
      <c r="BI229" t="s">
        <v>68</v>
      </c>
      <c r="BJ229" t="s">
        <v>68</v>
      </c>
      <c r="BK229" t="s">
        <v>68</v>
      </c>
      <c r="BL229" t="s">
        <v>68</v>
      </c>
      <c r="BM229" t="s">
        <v>68</v>
      </c>
      <c r="BN229" t="s">
        <v>68</v>
      </c>
      <c r="BO229" t="s">
        <v>96</v>
      </c>
      <c r="BP229">
        <v>0</v>
      </c>
      <c r="BQ229" t="s">
        <v>68</v>
      </c>
      <c r="BR229" t="s">
        <v>68</v>
      </c>
      <c r="BS229" t="s">
        <v>68</v>
      </c>
    </row>
    <row r="230" spans="1:71" x14ac:dyDescent="0.35">
      <c r="A230" t="b">
        <f>ISNUMBER(MATCH(ChargentOrders[[#This Row],[Contract__c]],Contract[Id],0))</f>
        <v>1</v>
      </c>
      <c r="B230">
        <f>IFERROR(INDEX(Contract[CB_Subscription__c],MATCH(ChargentOrders[[#This Row],[Contract__c]],Contract[Id],0)),0)</f>
        <v>0</v>
      </c>
      <c r="C230" t="b">
        <f>ISNUMBER(MATCH(ChargentOrders[[#This Row],[Id]],Claude[Id],0))</f>
        <v>1</v>
      </c>
      <c r="D230" t="b">
        <f>AND(ChargentOrders[[#This Row],[_Contract]],ChargentOrders[[#This Row],[CB Subscription]]=0)</f>
        <v>1</v>
      </c>
      <c r="E230" s="38">
        <f>INDEX(Table5[CUENTA],MATCH(ChargentOrders[[#This Row],[Contract__c]],Table5[SM_Contract__c],0))</f>
        <v>46144</v>
      </c>
      <c r="F230" s="38" t="str">
        <f ca="1">INDEX(Table5[ESTADO],MATCH(ChargentOrders[[#This Row],[Contract__c]],Table5[SM_Contract__c],0))</f>
        <v>DEBE 2</v>
      </c>
      <c r="G230" t="s">
        <v>608</v>
      </c>
      <c r="H230" t="s">
        <v>531</v>
      </c>
      <c r="I230" t="s">
        <v>609</v>
      </c>
      <c r="J230" s="1">
        <v>46001.880995370368</v>
      </c>
      <c r="K230">
        <v>9</v>
      </c>
      <c r="L230">
        <v>2029</v>
      </c>
      <c r="M230" t="s">
        <v>1467</v>
      </c>
      <c r="N230">
        <v>9</v>
      </c>
      <c r="O230" t="s">
        <v>1476</v>
      </c>
      <c r="P230" t="s">
        <v>73</v>
      </c>
      <c r="Q230">
        <v>2029</v>
      </c>
      <c r="R230">
        <v>7450</v>
      </c>
      <c r="T230" t="s">
        <v>67</v>
      </c>
      <c r="U230" t="s">
        <v>68</v>
      </c>
      <c r="V230">
        <v>0</v>
      </c>
      <c r="W230" t="s">
        <v>69</v>
      </c>
      <c r="X230" s="5">
        <v>46055</v>
      </c>
      <c r="Y230" t="s">
        <v>74</v>
      </c>
      <c r="Z230" t="s">
        <v>68</v>
      </c>
      <c r="AA230">
        <v>7450</v>
      </c>
      <c r="AB230">
        <v>0</v>
      </c>
      <c r="AC230" t="s">
        <v>604</v>
      </c>
      <c r="AD230" t="s">
        <v>68</v>
      </c>
      <c r="AE230">
        <v>0</v>
      </c>
      <c r="AF230" s="1">
        <v>46055.422638888886</v>
      </c>
      <c r="AG230" s="1">
        <v>46055.422662037039</v>
      </c>
      <c r="AH230">
        <v>1</v>
      </c>
      <c r="AI230">
        <v>1</v>
      </c>
      <c r="AJ230">
        <v>745</v>
      </c>
      <c r="AK230" t="s">
        <v>605</v>
      </c>
      <c r="AL230" t="s">
        <v>77</v>
      </c>
      <c r="AM230" t="s">
        <v>68</v>
      </c>
      <c r="AN230">
        <v>0</v>
      </c>
      <c r="AO230" s="1"/>
      <c r="AP230">
        <v>1</v>
      </c>
      <c r="AQ230">
        <v>0</v>
      </c>
      <c r="AR230">
        <v>0</v>
      </c>
      <c r="AS230" t="s">
        <v>75</v>
      </c>
      <c r="AT230" t="s">
        <v>68</v>
      </c>
      <c r="AU230">
        <v>0</v>
      </c>
      <c r="AV230" t="s">
        <v>68</v>
      </c>
      <c r="AW230">
        <v>0</v>
      </c>
      <c r="AX230" s="1"/>
      <c r="AZ230" t="s">
        <v>68</v>
      </c>
      <c r="BA230" t="s">
        <v>68</v>
      </c>
      <c r="BB230" t="s">
        <v>68</v>
      </c>
      <c r="BC230" t="s">
        <v>68</v>
      </c>
      <c r="BD230">
        <v>0</v>
      </c>
      <c r="BE230" s="1"/>
      <c r="BF230" s="1">
        <v>46055.422638888886</v>
      </c>
      <c r="BG230" t="s">
        <v>68</v>
      </c>
      <c r="BH230" t="s">
        <v>68</v>
      </c>
      <c r="BI230" t="s">
        <v>68</v>
      </c>
      <c r="BJ230" t="s">
        <v>68</v>
      </c>
      <c r="BK230" t="s">
        <v>68</v>
      </c>
      <c r="BL230" t="s">
        <v>68</v>
      </c>
      <c r="BM230" t="s">
        <v>68</v>
      </c>
      <c r="BN230" t="s">
        <v>68</v>
      </c>
      <c r="BO230" t="s">
        <v>96</v>
      </c>
      <c r="BP230">
        <v>0</v>
      </c>
      <c r="BQ230" t="s">
        <v>68</v>
      </c>
      <c r="BR230" t="s">
        <v>68</v>
      </c>
      <c r="BS230" t="s">
        <v>68</v>
      </c>
    </row>
    <row r="231" spans="1:71" x14ac:dyDescent="0.35">
      <c r="A231" t="b">
        <f>ISNUMBER(MATCH(ChargentOrders[[#This Row],[Contract__c]],Contract[Id],0))</f>
        <v>1</v>
      </c>
      <c r="B231">
        <f>IFERROR(INDEX(Contract[CB_Subscription__c],MATCH(ChargentOrders[[#This Row],[Contract__c]],Contract[Id],0)),0)</f>
        <v>0</v>
      </c>
      <c r="C231" t="b">
        <f>ISNUMBER(MATCH(ChargentOrders[[#This Row],[Id]],Claude[Id],0))</f>
        <v>1</v>
      </c>
      <c r="D231" t="b">
        <f>AND(ChargentOrders[[#This Row],[_Contract]],ChargentOrders[[#This Row],[CB Subscription]]=0)</f>
        <v>1</v>
      </c>
      <c r="E231" s="38">
        <f>INDEX(Table5[CUENTA],MATCH(ChargentOrders[[#This Row],[Contract__c]],Table5[SM_Contract__c],0))</f>
        <v>46144</v>
      </c>
      <c r="F231" s="38" t="str">
        <f ca="1">INDEX(Table5[ESTADO],MATCH(ChargentOrders[[#This Row],[Contract__c]],Table5[SM_Contract__c],0))</f>
        <v>DEBE 2</v>
      </c>
      <c r="G231" t="s">
        <v>914</v>
      </c>
      <c r="H231" t="s">
        <v>531</v>
      </c>
      <c r="I231" t="s">
        <v>915</v>
      </c>
      <c r="J231" s="1">
        <v>46055.422685185185</v>
      </c>
      <c r="K231">
        <v>9</v>
      </c>
      <c r="L231">
        <v>2029</v>
      </c>
      <c r="M231" t="s">
        <v>1467</v>
      </c>
      <c r="N231">
        <v>9</v>
      </c>
      <c r="O231" t="s">
        <v>1476</v>
      </c>
      <c r="P231" t="s">
        <v>73</v>
      </c>
      <c r="Q231">
        <v>2029</v>
      </c>
      <c r="R231">
        <v>7900</v>
      </c>
      <c r="S231">
        <v>2</v>
      </c>
      <c r="T231" t="s">
        <v>67</v>
      </c>
      <c r="U231" t="s">
        <v>68</v>
      </c>
      <c r="V231">
        <v>0</v>
      </c>
      <c r="W231" t="s">
        <v>69</v>
      </c>
      <c r="X231" s="5">
        <v>46175</v>
      </c>
      <c r="Y231" t="s">
        <v>613</v>
      </c>
      <c r="Z231" t="s">
        <v>68</v>
      </c>
      <c r="AA231">
        <v>7900</v>
      </c>
      <c r="AB231">
        <v>0</v>
      </c>
      <c r="AC231" t="s">
        <v>604</v>
      </c>
      <c r="AD231" t="s">
        <v>68</v>
      </c>
      <c r="AE231">
        <v>0</v>
      </c>
      <c r="AF231" s="1">
        <v>46083.424166666664</v>
      </c>
      <c r="AG231" s="1">
        <v>46083.424166666664</v>
      </c>
      <c r="AH231">
        <v>1</v>
      </c>
      <c r="AI231">
        <v>3</v>
      </c>
      <c r="AJ231">
        <v>790</v>
      </c>
      <c r="AK231" t="s">
        <v>605</v>
      </c>
      <c r="AL231" t="s">
        <v>76</v>
      </c>
      <c r="AM231" t="s">
        <v>68</v>
      </c>
      <c r="AN231">
        <v>0</v>
      </c>
      <c r="AO231" s="1"/>
      <c r="AP231">
        <v>4</v>
      </c>
      <c r="AQ231">
        <v>0</v>
      </c>
      <c r="AR231">
        <v>0</v>
      </c>
      <c r="AS231" t="s">
        <v>75</v>
      </c>
      <c r="AT231" t="s">
        <v>68</v>
      </c>
      <c r="AU231">
        <v>0</v>
      </c>
      <c r="AV231" t="s">
        <v>68</v>
      </c>
      <c r="AW231">
        <v>0</v>
      </c>
      <c r="AX231" s="1"/>
      <c r="AZ231" t="s">
        <v>68</v>
      </c>
      <c r="BA231" t="s">
        <v>68</v>
      </c>
      <c r="BB231" t="s">
        <v>68</v>
      </c>
      <c r="BC231" t="s">
        <v>68</v>
      </c>
      <c r="BD231">
        <v>0</v>
      </c>
      <c r="BE231" s="1">
        <v>46143.421261574076</v>
      </c>
      <c r="BF231" s="1">
        <v>46143.421261574076</v>
      </c>
      <c r="BG231" t="s">
        <v>68</v>
      </c>
      <c r="BH231" t="s">
        <v>68</v>
      </c>
      <c r="BI231" t="s">
        <v>68</v>
      </c>
      <c r="BJ231" t="s">
        <v>68</v>
      </c>
      <c r="BK231" t="s">
        <v>68</v>
      </c>
      <c r="BL231" t="s">
        <v>68</v>
      </c>
      <c r="BM231" t="s">
        <v>68</v>
      </c>
      <c r="BN231" t="s">
        <v>68</v>
      </c>
      <c r="BO231" t="s">
        <v>96</v>
      </c>
      <c r="BP231">
        <v>0</v>
      </c>
      <c r="BQ231" t="s">
        <v>68</v>
      </c>
      <c r="BR231" t="s">
        <v>68</v>
      </c>
      <c r="BS231" t="s">
        <v>68</v>
      </c>
    </row>
    <row r="232" spans="1:71" x14ac:dyDescent="0.35">
      <c r="A232" t="b">
        <f>ISNUMBER(MATCH(ChargentOrders[[#This Row],[Contract__c]],Contract[Id],0))</f>
        <v>1</v>
      </c>
      <c r="B232">
        <f>IFERROR(INDEX(Contract[CB_Subscription__c],MATCH(ChargentOrders[[#This Row],[Contract__c]],Contract[Id],0)),0)</f>
        <v>0</v>
      </c>
      <c r="C232" t="b">
        <f>ISNUMBER(MATCH(ChargentOrders[[#This Row],[Id]],Claude[Id],0))</f>
        <v>1</v>
      </c>
      <c r="D232" t="b">
        <f>AND(ChargentOrders[[#This Row],[_Contract]],ChargentOrders[[#This Row],[CB Subscription]]=0)</f>
        <v>1</v>
      </c>
      <c r="E232" s="38">
        <f>INDEX(Table5[CUENTA],MATCH(ChargentOrders[[#This Row],[Contract__c]],Table5[SM_Contract__c],0))</f>
        <v>46144</v>
      </c>
      <c r="F232" s="38" t="str">
        <f ca="1">INDEX(Table5[ESTADO],MATCH(ChargentOrders[[#This Row],[Contract__c]],Table5[SM_Contract__c],0))</f>
        <v>DEBE 2</v>
      </c>
      <c r="G232" t="s">
        <v>1071</v>
      </c>
      <c r="H232" t="s">
        <v>531</v>
      </c>
      <c r="I232" t="s">
        <v>1072</v>
      </c>
      <c r="J232" s="1">
        <v>46114.420428240737</v>
      </c>
      <c r="K232">
        <v>9</v>
      </c>
      <c r="L232">
        <v>2029</v>
      </c>
      <c r="M232" t="s">
        <v>1467</v>
      </c>
      <c r="N232">
        <v>9</v>
      </c>
      <c r="O232" t="s">
        <v>1476</v>
      </c>
      <c r="P232" t="s">
        <v>73</v>
      </c>
      <c r="Q232">
        <v>2029</v>
      </c>
      <c r="R232">
        <v>10400</v>
      </c>
      <c r="T232" t="s">
        <v>67</v>
      </c>
      <c r="U232" t="s">
        <v>68</v>
      </c>
      <c r="V232">
        <v>0</v>
      </c>
      <c r="W232" t="s">
        <v>69</v>
      </c>
      <c r="X232" s="5">
        <v>46129</v>
      </c>
      <c r="Y232" t="s">
        <v>74</v>
      </c>
      <c r="Z232" t="s">
        <v>68</v>
      </c>
      <c r="AA232">
        <v>10400</v>
      </c>
      <c r="AB232">
        <v>0</v>
      </c>
      <c r="AC232" t="s">
        <v>604</v>
      </c>
      <c r="AD232" t="s">
        <v>68</v>
      </c>
      <c r="AE232">
        <v>0</v>
      </c>
      <c r="AF232" s="1">
        <v>46129.427615740744</v>
      </c>
      <c r="AG232" s="1">
        <v>46129.427685185183</v>
      </c>
      <c r="AH232">
        <v>1</v>
      </c>
      <c r="AI232">
        <v>7</v>
      </c>
      <c r="AJ232">
        <v>1040</v>
      </c>
      <c r="AK232" t="s">
        <v>605</v>
      </c>
      <c r="AL232" t="s">
        <v>71</v>
      </c>
      <c r="AM232" t="s">
        <v>68</v>
      </c>
      <c r="AN232">
        <v>0</v>
      </c>
      <c r="AO232" s="1"/>
      <c r="AP232">
        <v>0</v>
      </c>
      <c r="AQ232">
        <v>0</v>
      </c>
      <c r="AR232">
        <v>0</v>
      </c>
      <c r="AS232" t="s">
        <v>72</v>
      </c>
      <c r="AT232" t="s">
        <v>68</v>
      </c>
      <c r="AU232">
        <v>1</v>
      </c>
      <c r="AV232" t="s">
        <v>1073</v>
      </c>
      <c r="AW232">
        <v>0</v>
      </c>
      <c r="AX232" s="1">
        <v>46055.422685185185</v>
      </c>
      <c r="AY232">
        <v>2500</v>
      </c>
      <c r="AZ232" t="s">
        <v>68</v>
      </c>
      <c r="BA232" t="s">
        <v>65</v>
      </c>
      <c r="BB232" t="s">
        <v>68</v>
      </c>
      <c r="BC232" t="s">
        <v>68</v>
      </c>
      <c r="BD232">
        <v>0</v>
      </c>
      <c r="BE232" s="1">
        <v>46128.427037037036</v>
      </c>
      <c r="BF232" s="1">
        <v>46129.427615740744</v>
      </c>
      <c r="BG232" t="s">
        <v>68</v>
      </c>
      <c r="BH232" t="s">
        <v>68</v>
      </c>
      <c r="BI232" t="s">
        <v>68</v>
      </c>
      <c r="BJ232" t="s">
        <v>68</v>
      </c>
      <c r="BK232" t="s">
        <v>68</v>
      </c>
      <c r="BL232" t="s">
        <v>68</v>
      </c>
      <c r="BM232" t="s">
        <v>68</v>
      </c>
      <c r="BN232" t="s">
        <v>68</v>
      </c>
      <c r="BO232" t="s">
        <v>96</v>
      </c>
      <c r="BP232">
        <v>0</v>
      </c>
      <c r="BQ232" t="s">
        <v>68</v>
      </c>
      <c r="BR232" t="s">
        <v>68</v>
      </c>
      <c r="BS232" t="s">
        <v>68</v>
      </c>
    </row>
    <row r="233" spans="1:71" x14ac:dyDescent="0.35">
      <c r="A233" t="b">
        <f>ISNUMBER(MATCH(ChargentOrders[[#This Row],[Contract__c]],Contract[Id],0))</f>
        <v>1</v>
      </c>
      <c r="B233">
        <f>IFERROR(INDEX(Contract[CB_Subscription__c],MATCH(ChargentOrders[[#This Row],[Contract__c]],Contract[Id],0)),0)</f>
        <v>0</v>
      </c>
      <c r="C233" t="b">
        <f>ISNUMBER(MATCH(ChargentOrders[[#This Row],[Id]],Claude[Id],0))</f>
        <v>1</v>
      </c>
      <c r="D233" t="b">
        <f>AND(ChargentOrders[[#This Row],[_Contract]],ChargentOrders[[#This Row],[CB Subscription]]=0)</f>
        <v>1</v>
      </c>
      <c r="E233" s="38">
        <f>INDEX(Table5[CUENTA],MATCH(ChargentOrders[[#This Row],[Contract__c]],Table5[SM_Contract__c],0))</f>
        <v>46144</v>
      </c>
      <c r="F233" s="38" t="str">
        <f ca="1">INDEX(Table5[ESTADO],MATCH(ChargentOrders[[#This Row],[Contract__c]],Table5[SM_Contract__c],0))</f>
        <v>DEBE 2</v>
      </c>
      <c r="G233" t="s">
        <v>1164</v>
      </c>
      <c r="H233" t="s">
        <v>531</v>
      </c>
      <c r="I233" t="s">
        <v>1165</v>
      </c>
      <c r="J233" s="1">
        <v>46143.421354166669</v>
      </c>
      <c r="K233">
        <v>9</v>
      </c>
      <c r="L233">
        <v>2029</v>
      </c>
      <c r="M233" t="s">
        <v>1467</v>
      </c>
      <c r="N233">
        <v>9</v>
      </c>
      <c r="O233" t="s">
        <v>1476</v>
      </c>
      <c r="P233" t="s">
        <v>73</v>
      </c>
      <c r="Q233">
        <v>2029</v>
      </c>
      <c r="R233">
        <v>10400</v>
      </c>
      <c r="T233" t="s">
        <v>67</v>
      </c>
      <c r="U233" t="s">
        <v>68</v>
      </c>
      <c r="V233">
        <v>0</v>
      </c>
      <c r="W233" t="s">
        <v>69</v>
      </c>
      <c r="X233" s="5">
        <v>46163</v>
      </c>
      <c r="Y233" t="s">
        <v>84</v>
      </c>
      <c r="Z233" t="s">
        <v>68</v>
      </c>
      <c r="AA233">
        <v>10400</v>
      </c>
      <c r="AB233">
        <v>0</v>
      </c>
      <c r="AC233" t="s">
        <v>604</v>
      </c>
      <c r="AD233" t="s">
        <v>68</v>
      </c>
      <c r="AE233">
        <v>0</v>
      </c>
      <c r="AF233" s="1"/>
      <c r="AG233" s="1"/>
      <c r="AH233">
        <v>0</v>
      </c>
      <c r="AI233">
        <v>7</v>
      </c>
      <c r="AJ233">
        <v>0</v>
      </c>
      <c r="AK233" t="s">
        <v>605</v>
      </c>
      <c r="AL233" t="s">
        <v>71</v>
      </c>
      <c r="AM233" t="s">
        <v>68</v>
      </c>
      <c r="AN233">
        <v>0</v>
      </c>
      <c r="AO233" s="1"/>
      <c r="AQ233">
        <v>0</v>
      </c>
      <c r="AR233">
        <v>0</v>
      </c>
      <c r="AS233" t="s">
        <v>72</v>
      </c>
      <c r="AT233" t="s">
        <v>68</v>
      </c>
      <c r="AU233">
        <v>1</v>
      </c>
      <c r="AV233" t="s">
        <v>1166</v>
      </c>
      <c r="AW233">
        <v>0</v>
      </c>
      <c r="AX233" s="1">
        <v>46055.422685185185</v>
      </c>
      <c r="AY233">
        <v>2500</v>
      </c>
      <c r="AZ233" t="s">
        <v>68</v>
      </c>
      <c r="BA233" t="s">
        <v>65</v>
      </c>
      <c r="BB233" t="s">
        <v>68</v>
      </c>
      <c r="BC233" t="s">
        <v>68</v>
      </c>
      <c r="BD233">
        <v>0</v>
      </c>
      <c r="BE233" s="1">
        <v>46160.429155092592</v>
      </c>
      <c r="BF233" s="1">
        <v>46160.429155092592</v>
      </c>
      <c r="BG233" t="s">
        <v>68</v>
      </c>
      <c r="BH233" t="s">
        <v>68</v>
      </c>
      <c r="BI233" t="s">
        <v>68</v>
      </c>
      <c r="BJ233" t="s">
        <v>68</v>
      </c>
      <c r="BK233" t="s">
        <v>68</v>
      </c>
      <c r="BL233" t="s">
        <v>68</v>
      </c>
      <c r="BM233" t="s">
        <v>68</v>
      </c>
      <c r="BN233" t="s">
        <v>68</v>
      </c>
      <c r="BO233" t="s">
        <v>96</v>
      </c>
      <c r="BP233">
        <v>0</v>
      </c>
      <c r="BQ233" t="s">
        <v>68</v>
      </c>
      <c r="BR233" t="s">
        <v>68</v>
      </c>
      <c r="BS233" t="s">
        <v>68</v>
      </c>
    </row>
    <row r="234" spans="1:71" x14ac:dyDescent="0.35">
      <c r="A234" t="b">
        <f>ISNUMBER(MATCH(ChargentOrders[[#This Row],[Contract__c]],Contract[Id],0))</f>
        <v>1</v>
      </c>
      <c r="B234">
        <f>IFERROR(INDEX(Contract[CB_Subscription__c],MATCH(ChargentOrders[[#This Row],[Contract__c]],Contract[Id],0)),0)</f>
        <v>0</v>
      </c>
      <c r="C234" t="b">
        <f>ISNUMBER(MATCH(ChargentOrders[[#This Row],[Id]],Claude[Id],0))</f>
        <v>1</v>
      </c>
      <c r="D234" t="b">
        <f>AND(ChargentOrders[[#This Row],[_Contract]],ChargentOrders[[#This Row],[CB Subscription]]=0)</f>
        <v>1</v>
      </c>
      <c r="E234" s="38">
        <f>INDEX(Table5[CUENTA],MATCH(ChargentOrders[[#This Row],[Contract__c]],Table5[SM_Contract__c],0))</f>
        <v>46152</v>
      </c>
      <c r="F234" s="38" t="str">
        <f ca="1">INDEX(Table5[ESTADO],MATCH(ChargentOrders[[#This Row],[Contract__c]],Table5[SM_Contract__c],0))</f>
        <v>DEBE 2</v>
      </c>
      <c r="G234" t="s">
        <v>560</v>
      </c>
      <c r="H234" t="s">
        <v>531</v>
      </c>
      <c r="I234" t="s">
        <v>561</v>
      </c>
      <c r="J234" s="1">
        <v>45990.683854166666</v>
      </c>
      <c r="K234">
        <v>10</v>
      </c>
      <c r="L234">
        <v>2028</v>
      </c>
      <c r="M234" t="s">
        <v>1435</v>
      </c>
      <c r="N234">
        <v>10</v>
      </c>
      <c r="O234" t="s">
        <v>1469</v>
      </c>
      <c r="P234" t="s">
        <v>66</v>
      </c>
      <c r="Q234">
        <v>2028</v>
      </c>
      <c r="R234">
        <v>0</v>
      </c>
      <c r="T234" t="s">
        <v>67</v>
      </c>
      <c r="U234" t="s">
        <v>68</v>
      </c>
      <c r="V234">
        <v>0</v>
      </c>
      <c r="W234" t="s">
        <v>69</v>
      </c>
      <c r="X234" s="5"/>
      <c r="Y234" t="s">
        <v>68</v>
      </c>
      <c r="Z234" t="s">
        <v>68</v>
      </c>
      <c r="AA234">
        <v>0</v>
      </c>
      <c r="AC234" t="s">
        <v>562</v>
      </c>
      <c r="AD234" t="s">
        <v>68</v>
      </c>
      <c r="AE234">
        <v>0</v>
      </c>
      <c r="AF234" s="1"/>
      <c r="AG234" s="1">
        <v>45990.683888888889</v>
      </c>
      <c r="AH234">
        <v>0</v>
      </c>
      <c r="AI234">
        <v>1</v>
      </c>
      <c r="AJ234">
        <v>0</v>
      </c>
      <c r="AK234" t="s">
        <v>563</v>
      </c>
      <c r="AL234" t="s">
        <v>68</v>
      </c>
      <c r="AM234" t="s">
        <v>68</v>
      </c>
      <c r="AN234">
        <v>0</v>
      </c>
      <c r="AO234" s="1"/>
      <c r="AP234">
        <v>1</v>
      </c>
      <c r="AS234" t="s">
        <v>75</v>
      </c>
      <c r="AT234" t="s">
        <v>68</v>
      </c>
      <c r="AU234">
        <v>0</v>
      </c>
      <c r="AV234" t="s">
        <v>68</v>
      </c>
      <c r="AW234">
        <v>1</v>
      </c>
      <c r="AX234" s="1"/>
      <c r="AZ234" t="s">
        <v>68</v>
      </c>
      <c r="BA234" t="s">
        <v>68</v>
      </c>
      <c r="BB234" t="s">
        <v>68</v>
      </c>
      <c r="BC234" t="s">
        <v>68</v>
      </c>
      <c r="BD234">
        <v>0</v>
      </c>
      <c r="BE234" s="1"/>
      <c r="BF234" s="1">
        <v>45990.683888888889</v>
      </c>
      <c r="BG234" t="s">
        <v>68</v>
      </c>
      <c r="BH234" t="s">
        <v>68</v>
      </c>
      <c r="BI234" t="s">
        <v>68</v>
      </c>
      <c r="BJ234" t="s">
        <v>68</v>
      </c>
      <c r="BK234" t="s">
        <v>68</v>
      </c>
      <c r="BL234" t="s">
        <v>68</v>
      </c>
      <c r="BM234" t="s">
        <v>68</v>
      </c>
      <c r="BN234" t="s">
        <v>68</v>
      </c>
      <c r="BO234" t="s">
        <v>96</v>
      </c>
      <c r="BP234">
        <v>0</v>
      </c>
      <c r="BQ234" t="s">
        <v>68</v>
      </c>
      <c r="BR234" t="s">
        <v>68</v>
      </c>
      <c r="BS234" t="s">
        <v>68</v>
      </c>
    </row>
    <row r="235" spans="1:71" x14ac:dyDescent="0.35">
      <c r="A235" t="b">
        <f>ISNUMBER(MATCH(ChargentOrders[[#This Row],[Contract__c]],Contract[Id],0))</f>
        <v>1</v>
      </c>
      <c r="B235">
        <f>IFERROR(INDEX(Contract[CB_Subscription__c],MATCH(ChargentOrders[[#This Row],[Contract__c]],Contract[Id],0)),0)</f>
        <v>0</v>
      </c>
      <c r="C235" t="b">
        <f>ISNUMBER(MATCH(ChargentOrders[[#This Row],[Id]],Claude[Id],0))</f>
        <v>1</v>
      </c>
      <c r="D235" t="b">
        <f>AND(ChargentOrders[[#This Row],[_Contract]],ChargentOrders[[#This Row],[CB Subscription]]=0)</f>
        <v>1</v>
      </c>
      <c r="E235" s="38">
        <f>INDEX(Table5[CUENTA],MATCH(ChargentOrders[[#This Row],[Contract__c]],Table5[SM_Contract__c],0))</f>
        <v>46152</v>
      </c>
      <c r="F235" s="38" t="str">
        <f ca="1">INDEX(Table5[ESTADO],MATCH(ChargentOrders[[#This Row],[Contract__c]],Table5[SM_Contract__c],0))</f>
        <v>DEBE 2</v>
      </c>
      <c r="G235" t="s">
        <v>564</v>
      </c>
      <c r="H235" t="s">
        <v>531</v>
      </c>
      <c r="I235" t="s">
        <v>565</v>
      </c>
      <c r="J235" s="1">
        <v>45990.689004629632</v>
      </c>
      <c r="K235">
        <v>10</v>
      </c>
      <c r="L235">
        <v>2028</v>
      </c>
      <c r="M235" t="s">
        <v>1435</v>
      </c>
      <c r="N235">
        <v>10</v>
      </c>
      <c r="O235" t="s">
        <v>1435</v>
      </c>
      <c r="P235" t="s">
        <v>66</v>
      </c>
      <c r="Q235">
        <v>2028</v>
      </c>
      <c r="R235">
        <v>690</v>
      </c>
      <c r="S235">
        <v>8</v>
      </c>
      <c r="T235" t="s">
        <v>67</v>
      </c>
      <c r="U235" t="s">
        <v>68</v>
      </c>
      <c r="V235">
        <v>0</v>
      </c>
      <c r="W235" t="s">
        <v>69</v>
      </c>
      <c r="X235" s="5">
        <v>46150</v>
      </c>
      <c r="Y235" t="s">
        <v>90</v>
      </c>
      <c r="Z235" t="s">
        <v>68</v>
      </c>
      <c r="AA235">
        <v>6900</v>
      </c>
      <c r="AB235">
        <v>0</v>
      </c>
      <c r="AC235" t="s">
        <v>562</v>
      </c>
      <c r="AD235" t="s">
        <v>68</v>
      </c>
      <c r="AE235">
        <v>0</v>
      </c>
      <c r="AF235" s="1">
        <v>46091.417372685188</v>
      </c>
      <c r="AG235" s="1">
        <v>46091.417372685188</v>
      </c>
      <c r="AH235">
        <v>1</v>
      </c>
      <c r="AI235">
        <v>6</v>
      </c>
      <c r="AJ235">
        <v>690</v>
      </c>
      <c r="AK235" t="s">
        <v>563</v>
      </c>
      <c r="AL235" t="s">
        <v>76</v>
      </c>
      <c r="AM235" t="s">
        <v>68</v>
      </c>
      <c r="AN235">
        <v>0</v>
      </c>
      <c r="AO235" s="1"/>
      <c r="AP235">
        <v>6</v>
      </c>
      <c r="AQ235">
        <v>0</v>
      </c>
      <c r="AR235">
        <v>0</v>
      </c>
      <c r="AS235" t="s">
        <v>75</v>
      </c>
      <c r="AT235" t="s">
        <v>68</v>
      </c>
      <c r="AU235">
        <v>0</v>
      </c>
      <c r="AV235" t="s">
        <v>68</v>
      </c>
      <c r="AW235">
        <v>0</v>
      </c>
      <c r="AX235" s="1"/>
      <c r="AZ235" t="s">
        <v>68</v>
      </c>
      <c r="BA235" t="s">
        <v>68</v>
      </c>
      <c r="BB235" t="s">
        <v>68</v>
      </c>
      <c r="BC235" t="s">
        <v>68</v>
      </c>
      <c r="BD235">
        <v>0</v>
      </c>
      <c r="BE235" s="1">
        <v>46216.954837962963</v>
      </c>
      <c r="BF235" s="1">
        <v>46216.954837962963</v>
      </c>
      <c r="BG235" t="s">
        <v>68</v>
      </c>
      <c r="BH235" t="s">
        <v>68</v>
      </c>
      <c r="BI235" t="s">
        <v>68</v>
      </c>
      <c r="BJ235" t="s">
        <v>68</v>
      </c>
      <c r="BK235" t="s">
        <v>68</v>
      </c>
      <c r="BL235" t="s">
        <v>68</v>
      </c>
      <c r="BM235" t="s">
        <v>68</v>
      </c>
      <c r="BN235" t="s">
        <v>68</v>
      </c>
      <c r="BO235" t="s">
        <v>96</v>
      </c>
      <c r="BP235">
        <v>0</v>
      </c>
      <c r="BQ235" t="s">
        <v>68</v>
      </c>
      <c r="BR235" t="s">
        <v>68</v>
      </c>
      <c r="BS235" t="s">
        <v>68</v>
      </c>
    </row>
    <row r="236" spans="1:71" x14ac:dyDescent="0.35">
      <c r="A236" t="b">
        <f>ISNUMBER(MATCH(ChargentOrders[[#This Row],[Contract__c]],Contract[Id],0))</f>
        <v>1</v>
      </c>
      <c r="B236">
        <f>IFERROR(INDEX(Contract[CB_Subscription__c],MATCH(ChargentOrders[[#This Row],[Contract__c]],Contract[Id],0)),0)</f>
        <v>0</v>
      </c>
      <c r="C236" t="b">
        <f>ISNUMBER(MATCH(ChargentOrders[[#This Row],[Id]],Claude[Id],0))</f>
        <v>1</v>
      </c>
      <c r="D236" t="b">
        <f>AND(ChargentOrders[[#This Row],[_Contract]],ChargentOrders[[#This Row],[CB Subscription]]=0)</f>
        <v>1</v>
      </c>
      <c r="E236" s="38">
        <f>INDEX(Table5[CUENTA],MATCH(ChargentOrders[[#This Row],[Contract__c]],Table5[SM_Contract__c],0))</f>
        <v>46152</v>
      </c>
      <c r="F236" s="38" t="str">
        <f ca="1">INDEX(Table5[ESTADO],MATCH(ChargentOrders[[#This Row],[Contract__c]],Table5[SM_Contract__c],0))</f>
        <v>DEBE 2</v>
      </c>
      <c r="G236" t="s">
        <v>591</v>
      </c>
      <c r="H236" t="s">
        <v>531</v>
      </c>
      <c r="I236" t="s">
        <v>592</v>
      </c>
      <c r="J236" s="1">
        <v>46001.417812500003</v>
      </c>
      <c r="K236">
        <v>10</v>
      </c>
      <c r="L236">
        <v>2028</v>
      </c>
      <c r="M236" t="s">
        <v>1435</v>
      </c>
      <c r="N236">
        <v>10</v>
      </c>
      <c r="O236" t="s">
        <v>1469</v>
      </c>
      <c r="P236" t="s">
        <v>66</v>
      </c>
      <c r="Q236">
        <v>2028</v>
      </c>
      <c r="R236">
        <v>9400</v>
      </c>
      <c r="T236" t="s">
        <v>67</v>
      </c>
      <c r="U236" t="s">
        <v>68</v>
      </c>
      <c r="V236">
        <v>0</v>
      </c>
      <c r="W236" t="s">
        <v>69</v>
      </c>
      <c r="X236" s="5">
        <v>46023</v>
      </c>
      <c r="Y236" t="s">
        <v>74</v>
      </c>
      <c r="Z236" t="s">
        <v>68</v>
      </c>
      <c r="AA236">
        <v>9400</v>
      </c>
      <c r="AB236">
        <v>0</v>
      </c>
      <c r="AC236" t="s">
        <v>562</v>
      </c>
      <c r="AD236" t="s">
        <v>68</v>
      </c>
      <c r="AE236">
        <v>0</v>
      </c>
      <c r="AF236" s="1">
        <v>46023.424583333333</v>
      </c>
      <c r="AG236" s="1">
        <v>46023.424641203703</v>
      </c>
      <c r="AH236">
        <v>1</v>
      </c>
      <c r="AI236">
        <v>9</v>
      </c>
      <c r="AJ236">
        <v>940</v>
      </c>
      <c r="AK236" t="s">
        <v>563</v>
      </c>
      <c r="AL236" t="s">
        <v>71</v>
      </c>
      <c r="AM236" t="s">
        <v>68</v>
      </c>
      <c r="AN236">
        <v>0</v>
      </c>
      <c r="AO236" s="1"/>
      <c r="AP236">
        <v>0</v>
      </c>
      <c r="AQ236">
        <v>0</v>
      </c>
      <c r="AR236">
        <v>0</v>
      </c>
      <c r="AS236" t="s">
        <v>72</v>
      </c>
      <c r="AT236" t="s">
        <v>68</v>
      </c>
      <c r="AU236">
        <v>1</v>
      </c>
      <c r="AV236" t="s">
        <v>593</v>
      </c>
      <c r="AW236">
        <v>0</v>
      </c>
      <c r="AX236" s="1">
        <v>45990.689004629632</v>
      </c>
      <c r="AY236">
        <v>2500</v>
      </c>
      <c r="AZ236" t="s">
        <v>68</v>
      </c>
      <c r="BA236" t="s">
        <v>65</v>
      </c>
      <c r="BB236" t="s">
        <v>68</v>
      </c>
      <c r="BC236" t="s">
        <v>68</v>
      </c>
      <c r="BD236">
        <v>0</v>
      </c>
      <c r="BE236" s="1">
        <v>46020.423842592594</v>
      </c>
      <c r="BF236" s="1">
        <v>46023.424583333333</v>
      </c>
      <c r="BG236" t="s">
        <v>68</v>
      </c>
      <c r="BH236" t="s">
        <v>68</v>
      </c>
      <c r="BI236" t="s">
        <v>68</v>
      </c>
      <c r="BJ236" t="s">
        <v>68</v>
      </c>
      <c r="BK236" t="s">
        <v>68</v>
      </c>
      <c r="BL236" t="s">
        <v>68</v>
      </c>
      <c r="BM236" t="s">
        <v>68</v>
      </c>
      <c r="BN236" t="s">
        <v>68</v>
      </c>
      <c r="BO236" t="s">
        <v>96</v>
      </c>
      <c r="BP236">
        <v>0</v>
      </c>
      <c r="BQ236" t="s">
        <v>68</v>
      </c>
      <c r="BR236" t="s">
        <v>68</v>
      </c>
      <c r="BS236" t="s">
        <v>68</v>
      </c>
    </row>
    <row r="237" spans="1:71" x14ac:dyDescent="0.35">
      <c r="A237" t="b">
        <f>ISNUMBER(MATCH(ChargentOrders[[#This Row],[Contract__c]],Contract[Id],0))</f>
        <v>1</v>
      </c>
      <c r="B237">
        <f>IFERROR(INDEX(Contract[CB_Subscription__c],MATCH(ChargentOrders[[#This Row],[Contract__c]],Contract[Id],0)),0)</f>
        <v>0</v>
      </c>
      <c r="C237" t="b">
        <f>ISNUMBER(MATCH(ChargentOrders[[#This Row],[Id]],Claude[Id],0))</f>
        <v>1</v>
      </c>
      <c r="D237" t="b">
        <f>AND(ChargentOrders[[#This Row],[_Contract]],ChargentOrders[[#This Row],[CB Subscription]]=0)</f>
        <v>1</v>
      </c>
      <c r="E237" s="38">
        <f>INDEX(Table5[CUENTA],MATCH(ChargentOrders[[#This Row],[Contract__c]],Table5[SM_Contract__c],0))</f>
        <v>46152</v>
      </c>
      <c r="F237" s="38" t="str">
        <f ca="1">INDEX(Table5[ESTADO],MATCH(ChargentOrders[[#This Row],[Contract__c]],Table5[SM_Contract__c],0))</f>
        <v>DEBE 2</v>
      </c>
      <c r="G237" t="s">
        <v>724</v>
      </c>
      <c r="H237" t="s">
        <v>531</v>
      </c>
      <c r="I237" t="s">
        <v>725</v>
      </c>
      <c r="J237" s="1">
        <v>46031.423483796294</v>
      </c>
      <c r="K237">
        <v>10</v>
      </c>
      <c r="L237">
        <v>2028</v>
      </c>
      <c r="M237" t="s">
        <v>1435</v>
      </c>
      <c r="N237">
        <v>10</v>
      </c>
      <c r="O237" t="s">
        <v>1435</v>
      </c>
      <c r="P237" t="s">
        <v>66</v>
      </c>
      <c r="Q237">
        <v>2028</v>
      </c>
      <c r="R237">
        <v>6900</v>
      </c>
      <c r="T237" t="s">
        <v>67</v>
      </c>
      <c r="U237" t="s">
        <v>68</v>
      </c>
      <c r="V237">
        <v>0</v>
      </c>
      <c r="W237" t="s">
        <v>69</v>
      </c>
      <c r="X237" s="5">
        <v>46128</v>
      </c>
      <c r="Y237" t="s">
        <v>74</v>
      </c>
      <c r="Z237" t="s">
        <v>68</v>
      </c>
      <c r="AA237">
        <v>6900</v>
      </c>
      <c r="AB237">
        <v>0</v>
      </c>
      <c r="AC237" t="s">
        <v>562</v>
      </c>
      <c r="AD237" t="s">
        <v>68</v>
      </c>
      <c r="AE237">
        <v>0</v>
      </c>
      <c r="AF237" s="1">
        <v>46128.419421296298</v>
      </c>
      <c r="AG237" s="1">
        <v>46128.419432870367</v>
      </c>
      <c r="AH237">
        <v>1</v>
      </c>
      <c r="AI237">
        <v>47</v>
      </c>
      <c r="AJ237">
        <v>690</v>
      </c>
      <c r="AK237" t="s">
        <v>563</v>
      </c>
      <c r="AL237" t="s">
        <v>71</v>
      </c>
      <c r="AM237" t="s">
        <v>68</v>
      </c>
      <c r="AN237">
        <v>0</v>
      </c>
      <c r="AO237" s="1"/>
      <c r="AP237">
        <v>0</v>
      </c>
      <c r="AQ237">
        <v>0</v>
      </c>
      <c r="AR237">
        <v>0</v>
      </c>
      <c r="AS237" t="s">
        <v>72</v>
      </c>
      <c r="AT237" t="s">
        <v>68</v>
      </c>
      <c r="AU237">
        <v>0</v>
      </c>
      <c r="AV237" t="s">
        <v>726</v>
      </c>
      <c r="AW237">
        <v>0</v>
      </c>
      <c r="AX237" s="1">
        <v>46101.875138888892</v>
      </c>
      <c r="AY237">
        <v>0</v>
      </c>
      <c r="AZ237" t="s">
        <v>68</v>
      </c>
      <c r="BA237" t="s">
        <v>65</v>
      </c>
      <c r="BB237" t="s">
        <v>68</v>
      </c>
      <c r="BC237" t="s">
        <v>68</v>
      </c>
      <c r="BD237">
        <v>0</v>
      </c>
      <c r="BE237" s="1">
        <v>46125.969895833332</v>
      </c>
      <c r="BF237" s="1">
        <v>46128.419421296298</v>
      </c>
      <c r="BG237" t="s">
        <v>68</v>
      </c>
      <c r="BH237" t="s">
        <v>68</v>
      </c>
      <c r="BI237" t="s">
        <v>68</v>
      </c>
      <c r="BJ237" t="s">
        <v>68</v>
      </c>
      <c r="BK237" t="s">
        <v>68</v>
      </c>
      <c r="BL237" t="s">
        <v>68</v>
      </c>
      <c r="BM237" t="s">
        <v>68</v>
      </c>
      <c r="BN237" t="s">
        <v>68</v>
      </c>
      <c r="BO237" t="s">
        <v>96</v>
      </c>
      <c r="BP237">
        <v>0</v>
      </c>
      <c r="BQ237" t="s">
        <v>68</v>
      </c>
      <c r="BR237" t="s">
        <v>68</v>
      </c>
      <c r="BS237" t="s">
        <v>68</v>
      </c>
    </row>
    <row r="238" spans="1:71" x14ac:dyDescent="0.35">
      <c r="A238" t="b">
        <f>ISNUMBER(MATCH(ChargentOrders[[#This Row],[Contract__c]],Contract[Id],0))</f>
        <v>1</v>
      </c>
      <c r="B238">
        <f>IFERROR(INDEX(Contract[CB_Subscription__c],MATCH(ChargentOrders[[#This Row],[Contract__c]],Contract[Id],0)),0)</f>
        <v>0</v>
      </c>
      <c r="C238" t="b">
        <f>ISNUMBER(MATCH(ChargentOrders[[#This Row],[Id]],Claude[Id],0))</f>
        <v>1</v>
      </c>
      <c r="D238" t="b">
        <f>AND(ChargentOrders[[#This Row],[_Contract]],ChargentOrders[[#This Row],[CB Subscription]]=0)</f>
        <v>1</v>
      </c>
      <c r="E238" s="38">
        <f>INDEX(Table5[CUENTA],MATCH(ChargentOrders[[#This Row],[Contract__c]],Table5[SM_Contract__c],0))</f>
        <v>46152</v>
      </c>
      <c r="F238" s="38" t="str">
        <f ca="1">INDEX(Table5[ESTADO],MATCH(ChargentOrders[[#This Row],[Contract__c]],Table5[SM_Contract__c],0))</f>
        <v>DEBE 2</v>
      </c>
      <c r="G238" t="s">
        <v>927</v>
      </c>
      <c r="H238" t="s">
        <v>531</v>
      </c>
      <c r="I238" t="s">
        <v>928</v>
      </c>
      <c r="J238" s="1">
        <v>46063.417407407411</v>
      </c>
      <c r="K238">
        <v>10</v>
      </c>
      <c r="L238">
        <v>2028</v>
      </c>
      <c r="M238" t="s">
        <v>1435</v>
      </c>
      <c r="N238">
        <v>10</v>
      </c>
      <c r="O238" t="s">
        <v>1435</v>
      </c>
      <c r="P238" t="s">
        <v>66</v>
      </c>
      <c r="Q238">
        <v>2028</v>
      </c>
      <c r="R238">
        <v>940</v>
      </c>
      <c r="T238" t="s">
        <v>67</v>
      </c>
      <c r="U238" t="s">
        <v>68</v>
      </c>
      <c r="V238">
        <v>0</v>
      </c>
      <c r="W238" t="s">
        <v>69</v>
      </c>
      <c r="X238" s="5">
        <v>46128</v>
      </c>
      <c r="Y238" t="s">
        <v>74</v>
      </c>
      <c r="Z238" t="s">
        <v>68</v>
      </c>
      <c r="AA238">
        <v>9400</v>
      </c>
      <c r="AB238">
        <v>0</v>
      </c>
      <c r="AC238" t="s">
        <v>562</v>
      </c>
      <c r="AD238" t="s">
        <v>68</v>
      </c>
      <c r="AE238">
        <v>0</v>
      </c>
      <c r="AF238" s="1">
        <v>46126.993692129632</v>
      </c>
      <c r="AG238" s="1">
        <v>46126.993692129632</v>
      </c>
      <c r="AH238">
        <v>1</v>
      </c>
      <c r="AI238">
        <v>38</v>
      </c>
      <c r="AJ238">
        <v>940</v>
      </c>
      <c r="AK238" t="s">
        <v>563</v>
      </c>
      <c r="AL238" t="s">
        <v>71</v>
      </c>
      <c r="AM238" t="s">
        <v>68</v>
      </c>
      <c r="AN238">
        <v>0</v>
      </c>
      <c r="AO238" s="1"/>
      <c r="AP238">
        <v>0</v>
      </c>
      <c r="AQ238">
        <v>0</v>
      </c>
      <c r="AR238">
        <v>0</v>
      </c>
      <c r="AS238" t="s">
        <v>72</v>
      </c>
      <c r="AT238" t="s">
        <v>68</v>
      </c>
      <c r="AU238">
        <v>1</v>
      </c>
      <c r="AV238" t="s">
        <v>929</v>
      </c>
      <c r="AW238">
        <v>0</v>
      </c>
      <c r="AX238" s="1">
        <v>46125.967974537038</v>
      </c>
      <c r="AY238">
        <v>2500</v>
      </c>
      <c r="AZ238" t="s">
        <v>68</v>
      </c>
      <c r="BA238" t="s">
        <v>65</v>
      </c>
      <c r="BB238" t="s">
        <v>68</v>
      </c>
      <c r="BC238" t="s">
        <v>68</v>
      </c>
      <c r="BD238">
        <v>0</v>
      </c>
      <c r="BE238" s="1">
        <v>46125.969687500001</v>
      </c>
      <c r="BF238" s="1">
        <v>46126.993692129632</v>
      </c>
      <c r="BG238" t="s">
        <v>68</v>
      </c>
      <c r="BH238" t="s">
        <v>68</v>
      </c>
      <c r="BI238" t="s">
        <v>68</v>
      </c>
      <c r="BJ238" t="s">
        <v>68</v>
      </c>
      <c r="BK238" t="s">
        <v>68</v>
      </c>
      <c r="BL238" t="s">
        <v>68</v>
      </c>
      <c r="BM238" t="s">
        <v>68</v>
      </c>
      <c r="BN238" t="s">
        <v>68</v>
      </c>
      <c r="BO238" t="s">
        <v>96</v>
      </c>
      <c r="BP238">
        <v>0</v>
      </c>
      <c r="BQ238" t="s">
        <v>68</v>
      </c>
      <c r="BR238" t="s">
        <v>68</v>
      </c>
      <c r="BS238" t="s">
        <v>68</v>
      </c>
    </row>
    <row r="239" spans="1:71" x14ac:dyDescent="0.35">
      <c r="A239" t="b">
        <f>ISNUMBER(MATCH(ChargentOrders[[#This Row],[Contract__c]],Contract[Id],0))</f>
        <v>1</v>
      </c>
      <c r="B239">
        <f>IFERROR(INDEX(Contract[CB_Subscription__c],MATCH(ChargentOrders[[#This Row],[Contract__c]],Contract[Id],0)),0)</f>
        <v>0</v>
      </c>
      <c r="C239" t="b">
        <f>ISNUMBER(MATCH(ChargentOrders[[#This Row],[Id]],Claude[Id],0))</f>
        <v>1</v>
      </c>
      <c r="D239" t="b">
        <f>AND(ChargentOrders[[#This Row],[_Contract]],ChargentOrders[[#This Row],[CB Subscription]]=0)</f>
        <v>1</v>
      </c>
      <c r="E239" s="38">
        <f>INDEX(Table5[CUENTA],MATCH(ChargentOrders[[#This Row],[Contract__c]],Table5[SM_Contract__c],0))</f>
        <v>46152</v>
      </c>
      <c r="F239" s="38" t="str">
        <f ca="1">INDEX(Table5[ESTADO],MATCH(ChargentOrders[[#This Row],[Contract__c]],Table5[SM_Contract__c],0))</f>
        <v>DEBE 2</v>
      </c>
      <c r="G239" t="s">
        <v>1076</v>
      </c>
      <c r="H239" t="s">
        <v>531</v>
      </c>
      <c r="I239" t="s">
        <v>1077</v>
      </c>
      <c r="J239" s="1">
        <v>46122.418310185189</v>
      </c>
      <c r="K239">
        <v>10</v>
      </c>
      <c r="L239">
        <v>2028</v>
      </c>
      <c r="M239" t="s">
        <v>1435</v>
      </c>
      <c r="N239">
        <v>10</v>
      </c>
      <c r="O239" t="s">
        <v>1435</v>
      </c>
      <c r="P239" t="s">
        <v>66</v>
      </c>
      <c r="Q239">
        <v>2028</v>
      </c>
      <c r="R239">
        <v>940</v>
      </c>
      <c r="T239" t="s">
        <v>67</v>
      </c>
      <c r="U239" t="s">
        <v>68</v>
      </c>
      <c r="V239">
        <v>0</v>
      </c>
      <c r="W239" t="s">
        <v>69</v>
      </c>
      <c r="X239" s="5">
        <v>46128</v>
      </c>
      <c r="Y239" t="s">
        <v>74</v>
      </c>
      <c r="Z239" t="s">
        <v>68</v>
      </c>
      <c r="AA239">
        <v>9400</v>
      </c>
      <c r="AB239">
        <v>0</v>
      </c>
      <c r="AC239" t="s">
        <v>562</v>
      </c>
      <c r="AD239" t="s">
        <v>68</v>
      </c>
      <c r="AE239">
        <v>0</v>
      </c>
      <c r="AF239" s="1">
        <v>46125.967002314814</v>
      </c>
      <c r="AG239" s="1">
        <v>46125.967002314814</v>
      </c>
      <c r="AH239">
        <v>1</v>
      </c>
      <c r="AI239">
        <v>3</v>
      </c>
      <c r="AJ239">
        <v>940</v>
      </c>
      <c r="AK239" t="s">
        <v>563</v>
      </c>
      <c r="AL239" t="s">
        <v>71</v>
      </c>
      <c r="AM239" t="s">
        <v>68</v>
      </c>
      <c r="AN239">
        <v>0</v>
      </c>
      <c r="AO239" s="1"/>
      <c r="AP239">
        <v>0</v>
      </c>
      <c r="AQ239">
        <v>0</v>
      </c>
      <c r="AR239">
        <v>0</v>
      </c>
      <c r="AS239" t="s">
        <v>72</v>
      </c>
      <c r="AT239" t="s">
        <v>68</v>
      </c>
      <c r="AU239">
        <v>1</v>
      </c>
      <c r="AV239" t="s">
        <v>1078</v>
      </c>
      <c r="AW239">
        <v>0</v>
      </c>
      <c r="AX239" s="1">
        <v>45990.689004629632</v>
      </c>
      <c r="AY239">
        <v>2500</v>
      </c>
      <c r="AZ239" t="s">
        <v>68</v>
      </c>
      <c r="BA239" t="s">
        <v>65</v>
      </c>
      <c r="BB239" t="s">
        <v>68</v>
      </c>
      <c r="BC239" t="s">
        <v>68</v>
      </c>
      <c r="BD239">
        <v>0</v>
      </c>
      <c r="BE239" s="1">
        <v>46125.427835648145</v>
      </c>
      <c r="BF239" s="1">
        <v>46125.967002314814</v>
      </c>
      <c r="BG239" t="s">
        <v>68</v>
      </c>
      <c r="BH239" t="s">
        <v>68</v>
      </c>
      <c r="BI239" t="s">
        <v>68</v>
      </c>
      <c r="BJ239" t="s">
        <v>68</v>
      </c>
      <c r="BK239" t="s">
        <v>68</v>
      </c>
      <c r="BL239" t="s">
        <v>68</v>
      </c>
      <c r="BM239" t="s">
        <v>68</v>
      </c>
      <c r="BN239" t="s">
        <v>68</v>
      </c>
      <c r="BO239" t="s">
        <v>96</v>
      </c>
      <c r="BP239">
        <v>0</v>
      </c>
      <c r="BQ239" t="s">
        <v>68</v>
      </c>
      <c r="BR239" t="s">
        <v>68</v>
      </c>
      <c r="BS239" t="s">
        <v>68</v>
      </c>
    </row>
    <row r="240" spans="1:71" x14ac:dyDescent="0.35">
      <c r="A240" t="b">
        <f>ISNUMBER(MATCH(ChargentOrders[[#This Row],[Contract__c]],Contract[Id],0))</f>
        <v>1</v>
      </c>
      <c r="B240">
        <f>IFERROR(INDEX(Contract[CB_Subscription__c],MATCH(ChargentOrders[[#This Row],[Contract__c]],Contract[Id],0)),0)</f>
        <v>0</v>
      </c>
      <c r="C240" t="b">
        <f>ISNUMBER(MATCH(ChargentOrders[[#This Row],[Id]],Claude[Id],0))</f>
        <v>1</v>
      </c>
      <c r="D240" t="b">
        <f>AND(ChargentOrders[[#This Row],[_Contract]],ChargentOrders[[#This Row],[CB Subscription]]=0)</f>
        <v>1</v>
      </c>
      <c r="E240" s="38">
        <f>INDEX(Table5[CUENTA],MATCH(ChargentOrders[[#This Row],[Contract__c]],Table5[SM_Contract__c],0))</f>
        <v>46157</v>
      </c>
      <c r="F240" s="38" t="str">
        <f ca="1">INDEX(Table5[ESTADO],MATCH(ChargentOrders[[#This Row],[Contract__c]],Table5[SM_Contract__c],0))</f>
        <v>DEBE 2</v>
      </c>
      <c r="G240" t="s">
        <v>714</v>
      </c>
      <c r="H240" t="s">
        <v>155</v>
      </c>
      <c r="I240" t="s">
        <v>715</v>
      </c>
      <c r="J240" s="1">
        <v>46030.741469907407</v>
      </c>
      <c r="K240">
        <v>8</v>
      </c>
      <c r="L240">
        <v>2029</v>
      </c>
      <c r="M240" t="s">
        <v>1404</v>
      </c>
      <c r="N240">
        <v>8</v>
      </c>
      <c r="O240" t="s">
        <v>68</v>
      </c>
      <c r="P240" t="s">
        <v>73</v>
      </c>
      <c r="Q240">
        <v>2029</v>
      </c>
      <c r="R240">
        <v>0</v>
      </c>
      <c r="T240" t="s">
        <v>107</v>
      </c>
      <c r="U240" t="s">
        <v>68</v>
      </c>
      <c r="V240">
        <v>0</v>
      </c>
      <c r="W240" t="s">
        <v>69</v>
      </c>
      <c r="X240" s="5"/>
      <c r="Y240" t="s">
        <v>68</v>
      </c>
      <c r="Z240" t="s">
        <v>68</v>
      </c>
      <c r="AA240">
        <v>0</v>
      </c>
      <c r="AC240" t="s">
        <v>716</v>
      </c>
      <c r="AD240" t="s">
        <v>68</v>
      </c>
      <c r="AE240">
        <v>0</v>
      </c>
      <c r="AF240" s="1"/>
      <c r="AG240" s="1">
        <v>46030.74150462963</v>
      </c>
      <c r="AH240">
        <v>0</v>
      </c>
      <c r="AI240">
        <v>1</v>
      </c>
      <c r="AJ240">
        <v>0</v>
      </c>
      <c r="AK240" t="s">
        <v>717</v>
      </c>
      <c r="AL240" t="s">
        <v>68</v>
      </c>
      <c r="AM240" t="s">
        <v>68</v>
      </c>
      <c r="AN240">
        <v>0</v>
      </c>
      <c r="AO240" s="1"/>
      <c r="AP240">
        <v>1</v>
      </c>
      <c r="AS240" t="s">
        <v>75</v>
      </c>
      <c r="AT240" t="s">
        <v>68</v>
      </c>
      <c r="AU240">
        <v>0</v>
      </c>
      <c r="AV240" t="s">
        <v>68</v>
      </c>
      <c r="AW240">
        <v>1</v>
      </c>
      <c r="AX240" s="1"/>
      <c r="AZ240" t="s">
        <v>68</v>
      </c>
      <c r="BA240" t="s">
        <v>68</v>
      </c>
      <c r="BB240" t="s">
        <v>68</v>
      </c>
      <c r="BC240" t="s">
        <v>68</v>
      </c>
      <c r="BD240">
        <v>0</v>
      </c>
      <c r="BE240" s="1"/>
      <c r="BF240" s="1">
        <v>46030.74150462963</v>
      </c>
      <c r="BG240" t="s">
        <v>68</v>
      </c>
      <c r="BH240" t="s">
        <v>68</v>
      </c>
      <c r="BI240" t="s">
        <v>68</v>
      </c>
      <c r="BJ240" t="s">
        <v>68</v>
      </c>
      <c r="BK240" t="s">
        <v>68</v>
      </c>
      <c r="BL240" t="s">
        <v>68</v>
      </c>
      <c r="BM240" t="s">
        <v>68</v>
      </c>
      <c r="BN240" t="s">
        <v>68</v>
      </c>
      <c r="BO240" t="s">
        <v>96</v>
      </c>
      <c r="BP240">
        <v>0</v>
      </c>
      <c r="BQ240" t="s">
        <v>68</v>
      </c>
      <c r="BR240" t="s">
        <v>68</v>
      </c>
      <c r="BS240" t="s">
        <v>68</v>
      </c>
    </row>
    <row r="241" spans="1:71" x14ac:dyDescent="0.35">
      <c r="A241" t="b">
        <f>ISNUMBER(MATCH(ChargentOrders[[#This Row],[Contract__c]],Contract[Id],0))</f>
        <v>1</v>
      </c>
      <c r="B241">
        <f>IFERROR(INDEX(Contract[CB_Subscription__c],MATCH(ChargentOrders[[#This Row],[Contract__c]],Contract[Id],0)),0)</f>
        <v>0</v>
      </c>
      <c r="C241" t="b">
        <f>ISNUMBER(MATCH(ChargentOrders[[#This Row],[Id]],Claude[Id],0))</f>
        <v>1</v>
      </c>
      <c r="D241" t="b">
        <f>AND(ChargentOrders[[#This Row],[_Contract]],ChargentOrders[[#This Row],[CB Subscription]]=0)</f>
        <v>1</v>
      </c>
      <c r="E241" s="38">
        <f>INDEX(Table5[CUENTA],MATCH(ChargentOrders[[#This Row],[Contract__c]],Table5[SM_Contract__c],0))</f>
        <v>46157</v>
      </c>
      <c r="F241" s="38" t="str">
        <f ca="1">INDEX(Table5[ESTADO],MATCH(ChargentOrders[[#This Row],[Contract__c]],Table5[SM_Contract__c],0))</f>
        <v>DEBE 2</v>
      </c>
      <c r="G241" t="s">
        <v>718</v>
      </c>
      <c r="H241" t="s">
        <v>155</v>
      </c>
      <c r="I241" t="s">
        <v>719</v>
      </c>
      <c r="J241" s="1">
        <v>46030.742199074077</v>
      </c>
      <c r="K241">
        <v>8</v>
      </c>
      <c r="L241">
        <v>2029</v>
      </c>
      <c r="M241" t="s">
        <v>1404</v>
      </c>
      <c r="N241">
        <v>8</v>
      </c>
      <c r="O241" t="s">
        <v>68</v>
      </c>
      <c r="P241" t="s">
        <v>73</v>
      </c>
      <c r="Q241">
        <v>2029</v>
      </c>
      <c r="R241">
        <v>990</v>
      </c>
      <c r="T241" t="s">
        <v>107</v>
      </c>
      <c r="U241" t="s">
        <v>68</v>
      </c>
      <c r="V241">
        <v>0</v>
      </c>
      <c r="W241" t="s">
        <v>69</v>
      </c>
      <c r="X241" s="5">
        <v>46030</v>
      </c>
      <c r="Y241" t="s">
        <v>74</v>
      </c>
      <c r="Z241" t="s">
        <v>68</v>
      </c>
      <c r="AA241">
        <v>9900</v>
      </c>
      <c r="AB241">
        <v>0</v>
      </c>
      <c r="AC241" t="s">
        <v>716</v>
      </c>
      <c r="AD241" t="s">
        <v>68</v>
      </c>
      <c r="AE241">
        <v>0</v>
      </c>
      <c r="AF241" s="1"/>
      <c r="AG241" s="1"/>
      <c r="AH241">
        <v>0</v>
      </c>
      <c r="AI241">
        <v>1</v>
      </c>
      <c r="AJ241">
        <v>0</v>
      </c>
      <c r="AK241" t="s">
        <v>717</v>
      </c>
      <c r="AL241" t="s">
        <v>77</v>
      </c>
      <c r="AM241" t="s">
        <v>68</v>
      </c>
      <c r="AN241">
        <v>0</v>
      </c>
      <c r="AO241" s="1"/>
      <c r="AP241">
        <v>1</v>
      </c>
      <c r="AQ241">
        <v>0</v>
      </c>
      <c r="AR241">
        <v>0</v>
      </c>
      <c r="AS241" t="s">
        <v>75</v>
      </c>
      <c r="AT241" t="s">
        <v>68</v>
      </c>
      <c r="AU241">
        <v>0</v>
      </c>
      <c r="AV241" t="s">
        <v>68</v>
      </c>
      <c r="AW241">
        <v>0</v>
      </c>
      <c r="AX241" s="1"/>
      <c r="AZ241" t="s">
        <v>68</v>
      </c>
      <c r="BA241" t="s">
        <v>68</v>
      </c>
      <c r="BB241" t="s">
        <v>68</v>
      </c>
      <c r="BC241" t="s">
        <v>68</v>
      </c>
      <c r="BD241">
        <v>0</v>
      </c>
      <c r="BE241" s="1"/>
      <c r="BF241" s="1">
        <v>46030.742465277777</v>
      </c>
      <c r="BG241" t="s">
        <v>68</v>
      </c>
      <c r="BH241" t="s">
        <v>68</v>
      </c>
      <c r="BI241" t="s">
        <v>68</v>
      </c>
      <c r="BJ241" t="s">
        <v>68</v>
      </c>
      <c r="BK241" t="s">
        <v>68</v>
      </c>
      <c r="BL241" t="s">
        <v>68</v>
      </c>
      <c r="BM241" t="s">
        <v>68</v>
      </c>
      <c r="BN241" t="s">
        <v>68</v>
      </c>
      <c r="BO241" t="s">
        <v>96</v>
      </c>
      <c r="BP241">
        <v>0</v>
      </c>
      <c r="BQ241" t="s">
        <v>68</v>
      </c>
      <c r="BR241" t="s">
        <v>68</v>
      </c>
      <c r="BS241" t="s">
        <v>68</v>
      </c>
    </row>
    <row r="242" spans="1:71" x14ac:dyDescent="0.35">
      <c r="A242" t="b">
        <f>ISNUMBER(MATCH(ChargentOrders[[#This Row],[Contract__c]],Contract[Id],0))</f>
        <v>1</v>
      </c>
      <c r="B242">
        <f>IFERROR(INDEX(Contract[CB_Subscription__c],MATCH(ChargentOrders[[#This Row],[Contract__c]],Contract[Id],0)),0)</f>
        <v>0</v>
      </c>
      <c r="C242" t="b">
        <f>ISNUMBER(MATCH(ChargentOrders[[#This Row],[Id]],Claude[Id],0))</f>
        <v>1</v>
      </c>
      <c r="D242" t="b">
        <f>AND(ChargentOrders[[#This Row],[_Contract]],ChargentOrders[[#This Row],[CB Subscription]]=0)</f>
        <v>1</v>
      </c>
      <c r="E242" s="38">
        <f>INDEX(Table5[CUENTA],MATCH(ChargentOrders[[#This Row],[Contract__c]],Table5[SM_Contract__c],0))</f>
        <v>46157</v>
      </c>
      <c r="F242" s="38" t="str">
        <f ca="1">INDEX(Table5[ESTADO],MATCH(ChargentOrders[[#This Row],[Contract__c]],Table5[SM_Contract__c],0))</f>
        <v>DEBE 2</v>
      </c>
      <c r="G242" t="s">
        <v>720</v>
      </c>
      <c r="H242" t="s">
        <v>155</v>
      </c>
      <c r="I242" t="s">
        <v>721</v>
      </c>
      <c r="J242" s="1">
        <v>46030.742488425924</v>
      </c>
      <c r="K242">
        <v>11</v>
      </c>
      <c r="L242">
        <v>2030</v>
      </c>
      <c r="M242" t="s">
        <v>1493</v>
      </c>
      <c r="N242">
        <v>11</v>
      </c>
      <c r="O242" t="s">
        <v>68</v>
      </c>
      <c r="P242" t="s">
        <v>73</v>
      </c>
      <c r="Q242">
        <v>2030</v>
      </c>
      <c r="R242">
        <v>990</v>
      </c>
      <c r="T242" t="s">
        <v>107</v>
      </c>
      <c r="U242" t="s">
        <v>68</v>
      </c>
      <c r="V242">
        <v>0</v>
      </c>
      <c r="W242" t="s">
        <v>69</v>
      </c>
      <c r="X242" s="5">
        <v>46034</v>
      </c>
      <c r="Y242" t="s">
        <v>74</v>
      </c>
      <c r="Z242" t="s">
        <v>68</v>
      </c>
      <c r="AA242">
        <v>9900</v>
      </c>
      <c r="AB242">
        <v>0</v>
      </c>
      <c r="AC242" t="s">
        <v>722</v>
      </c>
      <c r="AD242" t="s">
        <v>68</v>
      </c>
      <c r="AE242">
        <v>0</v>
      </c>
      <c r="AF242" s="1">
        <v>46031.672754629632</v>
      </c>
      <c r="AG242" s="1">
        <v>46031.672754629632</v>
      </c>
      <c r="AH242">
        <v>1</v>
      </c>
      <c r="AI242">
        <v>2</v>
      </c>
      <c r="AJ242">
        <v>990</v>
      </c>
      <c r="AK242" t="s">
        <v>717</v>
      </c>
      <c r="AL242" t="s">
        <v>71</v>
      </c>
      <c r="AM242" t="s">
        <v>68</v>
      </c>
      <c r="AN242">
        <v>0</v>
      </c>
      <c r="AO242" s="1"/>
      <c r="AP242">
        <v>1</v>
      </c>
      <c r="AQ242">
        <v>0</v>
      </c>
      <c r="AR242">
        <v>0</v>
      </c>
      <c r="AS242" t="s">
        <v>72</v>
      </c>
      <c r="AT242" t="s">
        <v>68</v>
      </c>
      <c r="AU242">
        <v>0</v>
      </c>
      <c r="AV242" t="s">
        <v>723</v>
      </c>
      <c r="AW242">
        <v>0</v>
      </c>
      <c r="AX242" s="1">
        <v>46031.663206018522</v>
      </c>
      <c r="AY242">
        <v>0</v>
      </c>
      <c r="AZ242" t="s">
        <v>68</v>
      </c>
      <c r="BA242" t="s">
        <v>155</v>
      </c>
      <c r="BB242" t="s">
        <v>68</v>
      </c>
      <c r="BC242" t="s">
        <v>68</v>
      </c>
      <c r="BD242">
        <v>0</v>
      </c>
      <c r="BE242" s="1"/>
      <c r="BF242" s="1">
        <v>46031.672754629632</v>
      </c>
      <c r="BG242" t="s">
        <v>68</v>
      </c>
      <c r="BH242" t="s">
        <v>68</v>
      </c>
      <c r="BI242" t="s">
        <v>68</v>
      </c>
      <c r="BJ242" t="s">
        <v>68</v>
      </c>
      <c r="BK242" t="s">
        <v>68</v>
      </c>
      <c r="BL242" t="s">
        <v>68</v>
      </c>
      <c r="BM242" t="s">
        <v>68</v>
      </c>
      <c r="BN242" t="s">
        <v>68</v>
      </c>
      <c r="BO242" t="s">
        <v>96</v>
      </c>
      <c r="BP242">
        <v>0</v>
      </c>
      <c r="BQ242" t="s">
        <v>68</v>
      </c>
      <c r="BR242" t="s">
        <v>68</v>
      </c>
      <c r="BS242" t="s">
        <v>68</v>
      </c>
    </row>
    <row r="243" spans="1:71" x14ac:dyDescent="0.35">
      <c r="A243" t="b">
        <f>ISNUMBER(MATCH(ChargentOrders[[#This Row],[Contract__c]],Contract[Id],0))</f>
        <v>1</v>
      </c>
      <c r="B243">
        <f>IFERROR(INDEX(Contract[CB_Subscription__c],MATCH(ChargentOrders[[#This Row],[Contract__c]],Contract[Id],0)),0)</f>
        <v>0</v>
      </c>
      <c r="C243" t="b">
        <f>ISNUMBER(MATCH(ChargentOrders[[#This Row],[Id]],Claude[Id],0))</f>
        <v>1</v>
      </c>
      <c r="D243" t="b">
        <f>AND(ChargentOrders[[#This Row],[_Contract]],ChargentOrders[[#This Row],[CB Subscription]]=0)</f>
        <v>1</v>
      </c>
      <c r="E243" s="38">
        <f>INDEX(Table5[CUENTA],MATCH(ChargentOrders[[#This Row],[Contract__c]],Table5[SM_Contract__c],0))</f>
        <v>46157</v>
      </c>
      <c r="F243" s="38" t="str">
        <f ca="1">INDEX(Table5[ESTADO],MATCH(ChargentOrders[[#This Row],[Contract__c]],Table5[SM_Contract__c],0))</f>
        <v>DEBE 2</v>
      </c>
      <c r="G243" t="s">
        <v>737</v>
      </c>
      <c r="H243" t="s">
        <v>101</v>
      </c>
      <c r="I243" t="s">
        <v>738</v>
      </c>
      <c r="J243" s="1">
        <v>46031.672384259262</v>
      </c>
      <c r="K243">
        <v>11</v>
      </c>
      <c r="L243">
        <v>2030</v>
      </c>
      <c r="M243" t="s">
        <v>1493</v>
      </c>
      <c r="N243">
        <v>11</v>
      </c>
      <c r="O243" t="s">
        <v>68</v>
      </c>
      <c r="P243" t="s">
        <v>66</v>
      </c>
      <c r="Q243">
        <v>2030</v>
      </c>
      <c r="R243">
        <v>0</v>
      </c>
      <c r="T243" t="s">
        <v>107</v>
      </c>
      <c r="U243" t="s">
        <v>68</v>
      </c>
      <c r="V243">
        <v>0</v>
      </c>
      <c r="W243" t="s">
        <v>69</v>
      </c>
      <c r="X243" s="5"/>
      <c r="Y243" t="s">
        <v>68</v>
      </c>
      <c r="Z243" t="s">
        <v>68</v>
      </c>
      <c r="AA243">
        <v>0</v>
      </c>
      <c r="AC243" t="s">
        <v>722</v>
      </c>
      <c r="AD243" t="s">
        <v>68</v>
      </c>
      <c r="AE243">
        <v>0</v>
      </c>
      <c r="AF243" s="1"/>
      <c r="AG243" s="1">
        <v>46031.672430555554</v>
      </c>
      <c r="AH243">
        <v>0</v>
      </c>
      <c r="AI243">
        <v>1</v>
      </c>
      <c r="AJ243">
        <v>0</v>
      </c>
      <c r="AK243" t="s">
        <v>717</v>
      </c>
      <c r="AL243" t="s">
        <v>68</v>
      </c>
      <c r="AM243" t="s">
        <v>68</v>
      </c>
      <c r="AN243">
        <v>0</v>
      </c>
      <c r="AO243" s="1"/>
      <c r="AP243">
        <v>1</v>
      </c>
      <c r="AS243" t="s">
        <v>75</v>
      </c>
      <c r="AT243" t="s">
        <v>68</v>
      </c>
      <c r="AU243">
        <v>0</v>
      </c>
      <c r="AV243" t="s">
        <v>68</v>
      </c>
      <c r="AW243">
        <v>1</v>
      </c>
      <c r="AX243" s="1"/>
      <c r="AZ243" t="s">
        <v>68</v>
      </c>
      <c r="BA243" t="s">
        <v>68</v>
      </c>
      <c r="BB243" t="s">
        <v>68</v>
      </c>
      <c r="BC243" t="s">
        <v>68</v>
      </c>
      <c r="BD243">
        <v>0</v>
      </c>
      <c r="BE243" s="1"/>
      <c r="BF243" s="1">
        <v>46031.672418981485</v>
      </c>
      <c r="BG243" t="s">
        <v>68</v>
      </c>
      <c r="BH243" t="s">
        <v>68</v>
      </c>
      <c r="BI243" t="s">
        <v>68</v>
      </c>
      <c r="BJ243" t="s">
        <v>68</v>
      </c>
      <c r="BK243" t="s">
        <v>68</v>
      </c>
      <c r="BL243" t="s">
        <v>68</v>
      </c>
      <c r="BM243" t="s">
        <v>68</v>
      </c>
      <c r="BN243" t="s">
        <v>68</v>
      </c>
      <c r="BO243" t="s">
        <v>96</v>
      </c>
      <c r="BP243">
        <v>0</v>
      </c>
      <c r="BQ243" t="s">
        <v>68</v>
      </c>
      <c r="BR243" t="s">
        <v>68</v>
      </c>
      <c r="BS243" t="s">
        <v>68</v>
      </c>
    </row>
    <row r="244" spans="1:71" x14ac:dyDescent="0.35">
      <c r="A244" t="b">
        <f>ISNUMBER(MATCH(ChargentOrders[[#This Row],[Contract__c]],Contract[Id],0))</f>
        <v>1</v>
      </c>
      <c r="B244">
        <f>IFERROR(INDEX(Contract[CB_Subscription__c],MATCH(ChargentOrders[[#This Row],[Contract__c]],Contract[Id],0)),0)</f>
        <v>0</v>
      </c>
      <c r="C244" t="b">
        <f>ISNUMBER(MATCH(ChargentOrders[[#This Row],[Id]],Claude[Id],0))</f>
        <v>1</v>
      </c>
      <c r="D244" t="b">
        <f>AND(ChargentOrders[[#This Row],[_Contract]],ChargentOrders[[#This Row],[CB Subscription]]=0)</f>
        <v>1</v>
      </c>
      <c r="E244" s="38">
        <f>INDEX(Table5[CUENTA],MATCH(ChargentOrders[[#This Row],[Contract__c]],Table5[SM_Contract__c],0))</f>
        <v>46157</v>
      </c>
      <c r="F244" s="38" t="str">
        <f ca="1">INDEX(Table5[ESTADO],MATCH(ChargentOrders[[#This Row],[Contract__c]],Table5[SM_Contract__c],0))</f>
        <v>DEBE 2</v>
      </c>
      <c r="G244" t="s">
        <v>739</v>
      </c>
      <c r="H244" t="s">
        <v>155</v>
      </c>
      <c r="I244" t="s">
        <v>740</v>
      </c>
      <c r="J244" s="1">
        <v>46031.672777777778</v>
      </c>
      <c r="K244">
        <v>1</v>
      </c>
      <c r="L244">
        <v>2031</v>
      </c>
      <c r="M244" t="s">
        <v>1492</v>
      </c>
      <c r="N244">
        <v>1</v>
      </c>
      <c r="O244" t="s">
        <v>68</v>
      </c>
      <c r="P244" t="s">
        <v>73</v>
      </c>
      <c r="Q244">
        <v>2031</v>
      </c>
      <c r="R244">
        <v>990</v>
      </c>
      <c r="S244">
        <v>12</v>
      </c>
      <c r="T244" t="s">
        <v>107</v>
      </c>
      <c r="U244" t="s">
        <v>68</v>
      </c>
      <c r="V244">
        <v>0</v>
      </c>
      <c r="W244" t="s">
        <v>69</v>
      </c>
      <c r="X244" s="5">
        <v>46185</v>
      </c>
      <c r="Y244" t="s">
        <v>74</v>
      </c>
      <c r="Z244" t="s">
        <v>68</v>
      </c>
      <c r="AA244">
        <v>990</v>
      </c>
      <c r="AB244">
        <v>0</v>
      </c>
      <c r="AC244" t="s">
        <v>741</v>
      </c>
      <c r="AD244" t="s">
        <v>68</v>
      </c>
      <c r="AE244">
        <v>0</v>
      </c>
      <c r="AF244" s="1">
        <v>46153.916620370372</v>
      </c>
      <c r="AG244" s="1">
        <v>46153.916620370372</v>
      </c>
      <c r="AH244">
        <v>1</v>
      </c>
      <c r="AI244">
        <v>4</v>
      </c>
      <c r="AJ244">
        <v>990</v>
      </c>
      <c r="AK244" t="s">
        <v>717</v>
      </c>
      <c r="AL244" t="s">
        <v>76</v>
      </c>
      <c r="AM244" t="s">
        <v>68</v>
      </c>
      <c r="AN244">
        <v>0</v>
      </c>
      <c r="AO244" s="1"/>
      <c r="AP244">
        <v>5</v>
      </c>
      <c r="AQ244">
        <v>0</v>
      </c>
      <c r="AR244">
        <v>0</v>
      </c>
      <c r="AS244" t="s">
        <v>72</v>
      </c>
      <c r="AT244" t="s">
        <v>68</v>
      </c>
      <c r="AU244">
        <v>0</v>
      </c>
      <c r="AV244" t="s">
        <v>68</v>
      </c>
      <c r="AW244">
        <v>0</v>
      </c>
      <c r="AX244" s="1">
        <v>46031.663206018522</v>
      </c>
      <c r="AY244">
        <v>0</v>
      </c>
      <c r="AZ244" t="s">
        <v>68</v>
      </c>
      <c r="BA244" t="s">
        <v>155</v>
      </c>
      <c r="BB244" t="s">
        <v>68</v>
      </c>
      <c r="BC244" t="s">
        <v>68</v>
      </c>
      <c r="BD244">
        <v>0</v>
      </c>
      <c r="BE244" s="1"/>
      <c r="BF244" s="1">
        <v>46153.916620370372</v>
      </c>
      <c r="BG244" t="s">
        <v>68</v>
      </c>
      <c r="BH244" t="s">
        <v>68</v>
      </c>
      <c r="BI244" t="s">
        <v>68</v>
      </c>
      <c r="BJ244" t="s">
        <v>68</v>
      </c>
      <c r="BK244" t="s">
        <v>68</v>
      </c>
      <c r="BL244" t="s">
        <v>68</v>
      </c>
      <c r="BM244" t="s">
        <v>68</v>
      </c>
      <c r="BN244" t="s">
        <v>68</v>
      </c>
      <c r="BO244" t="s">
        <v>96</v>
      </c>
      <c r="BP244">
        <v>0</v>
      </c>
      <c r="BQ244" t="s">
        <v>68</v>
      </c>
      <c r="BR244" t="s">
        <v>68</v>
      </c>
      <c r="BS244" t="s">
        <v>68</v>
      </c>
    </row>
    <row r="245" spans="1:71" x14ac:dyDescent="0.35">
      <c r="A245" t="b">
        <f>ISNUMBER(MATCH(ChargentOrders[[#This Row],[Contract__c]],Contract[Id],0))</f>
        <v>1</v>
      </c>
      <c r="B245">
        <f>IFERROR(INDEX(Contract[CB_Subscription__c],MATCH(ChargentOrders[[#This Row],[Contract__c]],Contract[Id],0)),0)</f>
        <v>0</v>
      </c>
      <c r="C245" t="b">
        <f>ISNUMBER(MATCH(ChargentOrders[[#This Row],[Id]],Claude[Id],0))</f>
        <v>1</v>
      </c>
      <c r="D245" t="b">
        <f>AND(ChargentOrders[[#This Row],[_Contract]],ChargentOrders[[#This Row],[CB Subscription]]=0)</f>
        <v>1</v>
      </c>
      <c r="E245" s="38">
        <f>INDEX(Table5[CUENTA],MATCH(ChargentOrders[[#This Row],[Contract__c]],Table5[SM_Contract__c],0))</f>
        <v>46157</v>
      </c>
      <c r="F245" s="38" t="str">
        <f ca="1">INDEX(Table5[ESTADO],MATCH(ChargentOrders[[#This Row],[Contract__c]],Table5[SM_Contract__c],0))</f>
        <v>DEBE 2</v>
      </c>
      <c r="G245" t="s">
        <v>931</v>
      </c>
      <c r="H245" t="s">
        <v>78</v>
      </c>
      <c r="I245" t="s">
        <v>932</v>
      </c>
      <c r="J245" s="1">
        <v>46065.699629629627</v>
      </c>
      <c r="K245">
        <v>11</v>
      </c>
      <c r="L245">
        <v>2030</v>
      </c>
      <c r="M245" t="s">
        <v>1493</v>
      </c>
      <c r="N245">
        <v>11</v>
      </c>
      <c r="O245" t="s">
        <v>1515</v>
      </c>
      <c r="P245" t="s">
        <v>73</v>
      </c>
      <c r="Q245">
        <v>2030</v>
      </c>
      <c r="R245">
        <v>12400</v>
      </c>
      <c r="T245" t="s">
        <v>107</v>
      </c>
      <c r="U245" t="s">
        <v>68</v>
      </c>
      <c r="V245">
        <v>0</v>
      </c>
      <c r="W245" t="s">
        <v>69</v>
      </c>
      <c r="X245" s="5">
        <v>46076</v>
      </c>
      <c r="Y245" t="s">
        <v>70</v>
      </c>
      <c r="Z245" t="s">
        <v>68</v>
      </c>
      <c r="AA245">
        <v>12400</v>
      </c>
      <c r="AB245">
        <v>0</v>
      </c>
      <c r="AC245" t="s">
        <v>722</v>
      </c>
      <c r="AD245" t="s">
        <v>68</v>
      </c>
      <c r="AE245">
        <v>0</v>
      </c>
      <c r="AF245" s="1"/>
      <c r="AG245" s="1"/>
      <c r="AH245">
        <v>0</v>
      </c>
      <c r="AI245">
        <v>0</v>
      </c>
      <c r="AJ245">
        <v>0</v>
      </c>
      <c r="AK245" t="s">
        <v>717</v>
      </c>
      <c r="AL245" t="s">
        <v>71</v>
      </c>
      <c r="AM245" t="s">
        <v>930</v>
      </c>
      <c r="AN245">
        <v>0</v>
      </c>
      <c r="AO245" s="1"/>
      <c r="AP245">
        <v>1</v>
      </c>
      <c r="AQ245">
        <v>0</v>
      </c>
      <c r="AR245">
        <v>0</v>
      </c>
      <c r="AS245" t="s">
        <v>75</v>
      </c>
      <c r="AT245" t="s">
        <v>68</v>
      </c>
      <c r="AU245">
        <v>1</v>
      </c>
      <c r="AV245" t="s">
        <v>68</v>
      </c>
      <c r="AW245">
        <v>0</v>
      </c>
      <c r="AX245" s="1">
        <v>46065.712696759256</v>
      </c>
      <c r="AY245">
        <v>2500</v>
      </c>
      <c r="AZ245" t="s">
        <v>68</v>
      </c>
      <c r="BA245" t="s">
        <v>68</v>
      </c>
      <c r="BB245" t="s">
        <v>68</v>
      </c>
      <c r="BC245" t="s">
        <v>68</v>
      </c>
      <c r="BD245">
        <v>0</v>
      </c>
      <c r="BE245" s="1"/>
      <c r="BF245" s="1"/>
      <c r="BG245" t="s">
        <v>68</v>
      </c>
      <c r="BH245" t="s">
        <v>68</v>
      </c>
      <c r="BI245" t="s">
        <v>68</v>
      </c>
      <c r="BJ245" t="s">
        <v>68</v>
      </c>
      <c r="BK245" t="s">
        <v>68</v>
      </c>
      <c r="BL245" t="s">
        <v>68</v>
      </c>
      <c r="BM245" t="s">
        <v>68</v>
      </c>
      <c r="BN245" t="s">
        <v>68</v>
      </c>
      <c r="BO245" t="s">
        <v>96</v>
      </c>
      <c r="BP245">
        <v>0</v>
      </c>
      <c r="BQ245" t="s">
        <v>68</v>
      </c>
      <c r="BR245" t="s">
        <v>68</v>
      </c>
      <c r="BS245" t="s">
        <v>231</v>
      </c>
    </row>
    <row r="246" spans="1:71" x14ac:dyDescent="0.35">
      <c r="A246" t="b">
        <f>ISNUMBER(MATCH(ChargentOrders[[#This Row],[Contract__c]],Contract[Id],0))</f>
        <v>1</v>
      </c>
      <c r="B246">
        <f>IFERROR(INDEX(Contract[CB_Subscription__c],MATCH(ChargentOrders[[#This Row],[Contract__c]],Contract[Id],0)),0)</f>
        <v>0</v>
      </c>
      <c r="C246" t="b">
        <f>ISNUMBER(MATCH(ChargentOrders[[#This Row],[Id]],Claude[Id],0))</f>
        <v>1</v>
      </c>
      <c r="D246" t="b">
        <f>AND(ChargentOrders[[#This Row],[_Contract]],ChargentOrders[[#This Row],[CB Subscription]]=0)</f>
        <v>1</v>
      </c>
      <c r="E246" s="38">
        <f>INDEX(Table5[CUENTA],MATCH(ChargentOrders[[#This Row],[Contract__c]],Table5[SM_Contract__c],0))</f>
        <v>46157</v>
      </c>
      <c r="F246" s="38" t="str">
        <f ca="1">INDEX(Table5[ESTADO],MATCH(ChargentOrders[[#This Row],[Contract__c]],Table5[SM_Contract__c],0))</f>
        <v>DEBE 2</v>
      </c>
      <c r="G246" t="s">
        <v>957</v>
      </c>
      <c r="H246" t="s">
        <v>155</v>
      </c>
      <c r="I246" t="s">
        <v>958</v>
      </c>
      <c r="J246" s="1">
        <v>46073.597083333334</v>
      </c>
      <c r="K246">
        <v>2</v>
      </c>
      <c r="L246">
        <v>2029</v>
      </c>
      <c r="M246" t="s">
        <v>1406</v>
      </c>
      <c r="N246">
        <v>2</v>
      </c>
      <c r="O246" t="s">
        <v>68</v>
      </c>
      <c r="P246" t="s">
        <v>73</v>
      </c>
      <c r="Q246">
        <v>2029</v>
      </c>
      <c r="R246">
        <v>1240</v>
      </c>
      <c r="T246" t="s">
        <v>107</v>
      </c>
      <c r="U246" t="s">
        <v>68</v>
      </c>
      <c r="V246">
        <v>0</v>
      </c>
      <c r="W246" t="s">
        <v>69</v>
      </c>
      <c r="X246" s="5">
        <v>46087</v>
      </c>
      <c r="Y246" t="s">
        <v>74</v>
      </c>
      <c r="Z246" t="s">
        <v>68</v>
      </c>
      <c r="AA246">
        <v>990</v>
      </c>
      <c r="AB246">
        <v>0</v>
      </c>
      <c r="AC246" t="s">
        <v>959</v>
      </c>
      <c r="AD246" t="s">
        <v>68</v>
      </c>
      <c r="AE246">
        <v>0</v>
      </c>
      <c r="AF246" s="1">
        <v>46086.675752314812</v>
      </c>
      <c r="AG246" s="1">
        <v>46086.675752314812</v>
      </c>
      <c r="AH246">
        <v>1</v>
      </c>
      <c r="AI246">
        <v>8</v>
      </c>
      <c r="AJ246">
        <v>1240</v>
      </c>
      <c r="AK246" t="s">
        <v>717</v>
      </c>
      <c r="AL246" t="s">
        <v>71</v>
      </c>
      <c r="AM246" t="s">
        <v>68</v>
      </c>
      <c r="AN246">
        <v>0</v>
      </c>
      <c r="AO246" s="1"/>
      <c r="AP246">
        <v>2</v>
      </c>
      <c r="AQ246">
        <v>0</v>
      </c>
      <c r="AR246">
        <v>0</v>
      </c>
      <c r="AS246" t="s">
        <v>72</v>
      </c>
      <c r="AT246" t="s">
        <v>68</v>
      </c>
      <c r="AU246">
        <v>1</v>
      </c>
      <c r="AV246" t="s">
        <v>960</v>
      </c>
      <c r="AW246">
        <v>0</v>
      </c>
      <c r="AX246" s="1">
        <v>46031.672777777778</v>
      </c>
      <c r="AY246">
        <v>2500</v>
      </c>
      <c r="AZ246" t="s">
        <v>68</v>
      </c>
      <c r="BA246" t="s">
        <v>101</v>
      </c>
      <c r="BB246" t="s">
        <v>68</v>
      </c>
      <c r="BC246" t="s">
        <v>68</v>
      </c>
      <c r="BD246">
        <v>0</v>
      </c>
      <c r="BE246" s="1"/>
      <c r="BF246" s="1">
        <v>46086.675752314812</v>
      </c>
      <c r="BG246" t="s">
        <v>68</v>
      </c>
      <c r="BH246" t="s">
        <v>68</v>
      </c>
      <c r="BI246" t="s">
        <v>68</v>
      </c>
      <c r="BJ246" t="s">
        <v>68</v>
      </c>
      <c r="BK246" t="s">
        <v>68</v>
      </c>
      <c r="BL246" t="s">
        <v>68</v>
      </c>
      <c r="BM246" t="s">
        <v>68</v>
      </c>
      <c r="BN246" t="s">
        <v>68</v>
      </c>
      <c r="BO246" t="s">
        <v>96</v>
      </c>
      <c r="BP246">
        <v>0</v>
      </c>
      <c r="BQ246" t="s">
        <v>68</v>
      </c>
      <c r="BR246" t="s">
        <v>68</v>
      </c>
      <c r="BS246" t="s">
        <v>68</v>
      </c>
    </row>
    <row r="247" spans="1:71" x14ac:dyDescent="0.35">
      <c r="A247" t="b">
        <f>ISNUMBER(MATCH(ChargentOrders[[#This Row],[Contract__c]],Contract[Id],0))</f>
        <v>1</v>
      </c>
      <c r="B247">
        <f>IFERROR(INDEX(Contract[CB_Subscription__c],MATCH(ChargentOrders[[#This Row],[Contract__c]],Contract[Id],0)),0)</f>
        <v>0</v>
      </c>
      <c r="C247" t="b">
        <f>ISNUMBER(MATCH(ChargentOrders[[#This Row],[Id]],Claude[Id],0))</f>
        <v>1</v>
      </c>
      <c r="D247" t="b">
        <f>AND(ChargentOrders[[#This Row],[_Contract]],ChargentOrders[[#This Row],[CB Subscription]]=0)</f>
        <v>1</v>
      </c>
      <c r="E247" s="38">
        <f>INDEX(Table5[CUENTA],MATCH(ChargentOrders[[#This Row],[Contract__c]],Table5[SM_Contract__c],0))</f>
        <v>46157</v>
      </c>
      <c r="F247" s="38" t="str">
        <f ca="1">INDEX(Table5[ESTADO],MATCH(ChargentOrders[[#This Row],[Contract__c]],Table5[SM_Contract__c],0))</f>
        <v>DEBE 2</v>
      </c>
      <c r="G247" t="s">
        <v>991</v>
      </c>
      <c r="H247" t="s">
        <v>102</v>
      </c>
      <c r="I247" t="s">
        <v>992</v>
      </c>
      <c r="J247" s="1">
        <v>46086.554444444446</v>
      </c>
      <c r="K247">
        <v>2</v>
      </c>
      <c r="L247">
        <v>2029</v>
      </c>
      <c r="M247" t="s">
        <v>1406</v>
      </c>
      <c r="N247">
        <v>2</v>
      </c>
      <c r="O247" t="s">
        <v>68</v>
      </c>
      <c r="P247" t="s">
        <v>73</v>
      </c>
      <c r="Q247">
        <v>2029</v>
      </c>
      <c r="R247">
        <v>0</v>
      </c>
      <c r="T247" t="s">
        <v>107</v>
      </c>
      <c r="U247" t="s">
        <v>68</v>
      </c>
      <c r="V247">
        <v>0</v>
      </c>
      <c r="W247" t="s">
        <v>69</v>
      </c>
      <c r="X247" s="5"/>
      <c r="Y247" t="s">
        <v>68</v>
      </c>
      <c r="Z247" t="s">
        <v>68</v>
      </c>
      <c r="AA247">
        <v>0</v>
      </c>
      <c r="AC247" t="s">
        <v>959</v>
      </c>
      <c r="AD247" t="s">
        <v>68</v>
      </c>
      <c r="AE247">
        <v>0</v>
      </c>
      <c r="AF247" s="1"/>
      <c r="AG247" s="1">
        <v>46086.554479166669</v>
      </c>
      <c r="AH247">
        <v>0</v>
      </c>
      <c r="AI247">
        <v>1</v>
      </c>
      <c r="AJ247">
        <v>0</v>
      </c>
      <c r="AK247" t="s">
        <v>717</v>
      </c>
      <c r="AL247" t="s">
        <v>68</v>
      </c>
      <c r="AM247" t="s">
        <v>68</v>
      </c>
      <c r="AN247">
        <v>0</v>
      </c>
      <c r="AO247" s="1"/>
      <c r="AP247">
        <v>1</v>
      </c>
      <c r="AS247" t="s">
        <v>75</v>
      </c>
      <c r="AT247" t="s">
        <v>68</v>
      </c>
      <c r="AU247">
        <v>0</v>
      </c>
      <c r="AV247" t="s">
        <v>68</v>
      </c>
      <c r="AW247">
        <v>1</v>
      </c>
      <c r="AX247" s="1"/>
      <c r="AZ247" t="s">
        <v>68</v>
      </c>
      <c r="BA247" t="s">
        <v>68</v>
      </c>
      <c r="BB247" t="s">
        <v>68</v>
      </c>
      <c r="BC247" t="s">
        <v>68</v>
      </c>
      <c r="BD247">
        <v>0</v>
      </c>
      <c r="BE247" s="1"/>
      <c r="BF247" s="1">
        <v>46086.554479166669</v>
      </c>
      <c r="BG247" t="s">
        <v>68</v>
      </c>
      <c r="BH247" t="s">
        <v>68</v>
      </c>
      <c r="BI247" t="s">
        <v>68</v>
      </c>
      <c r="BJ247" t="s">
        <v>68</v>
      </c>
      <c r="BK247" t="s">
        <v>68</v>
      </c>
      <c r="BL247" t="s">
        <v>68</v>
      </c>
      <c r="BM247" t="s">
        <v>68</v>
      </c>
      <c r="BN247" t="s">
        <v>68</v>
      </c>
      <c r="BO247" t="s">
        <v>96</v>
      </c>
      <c r="BP247">
        <v>0</v>
      </c>
      <c r="BQ247" t="s">
        <v>68</v>
      </c>
      <c r="BR247" t="s">
        <v>68</v>
      </c>
      <c r="BS247" t="s">
        <v>68</v>
      </c>
    </row>
    <row r="248" spans="1:71" x14ac:dyDescent="0.35">
      <c r="A248" t="b">
        <f>ISNUMBER(MATCH(ChargentOrders[[#This Row],[Contract__c]],Contract[Id],0))</f>
        <v>1</v>
      </c>
      <c r="B248">
        <f>IFERROR(INDEX(Contract[CB_Subscription__c],MATCH(ChargentOrders[[#This Row],[Contract__c]],Contract[Id],0)),0)</f>
        <v>0</v>
      </c>
      <c r="C248" t="b">
        <f>ISNUMBER(MATCH(ChargentOrders[[#This Row],[Id]],Claude[Id],0))</f>
        <v>1</v>
      </c>
      <c r="D248" t="b">
        <f>AND(ChargentOrders[[#This Row],[_Contract]],ChargentOrders[[#This Row],[CB Subscription]]=0)</f>
        <v>1</v>
      </c>
      <c r="E248" s="38">
        <f>INDEX(Table5[CUENTA],MATCH(ChargentOrders[[#This Row],[Contract__c]],Table5[SM_Contract__c],0))</f>
        <v>46157</v>
      </c>
      <c r="F248" s="38" t="str">
        <f ca="1">INDEX(Table5[ESTADO],MATCH(ChargentOrders[[#This Row],[Contract__c]],Table5[SM_Contract__c],0))</f>
        <v>DEBE 2</v>
      </c>
      <c r="G248" t="s">
        <v>1000</v>
      </c>
      <c r="H248" t="s">
        <v>155</v>
      </c>
      <c r="I248" t="s">
        <v>1001</v>
      </c>
      <c r="J248" s="1">
        <v>46095.416932870372</v>
      </c>
      <c r="K248">
        <v>6</v>
      </c>
      <c r="L248">
        <v>2030</v>
      </c>
      <c r="M248" t="s">
        <v>1409</v>
      </c>
      <c r="N248">
        <v>6</v>
      </c>
      <c r="O248" t="s">
        <v>68</v>
      </c>
      <c r="P248" t="s">
        <v>73</v>
      </c>
      <c r="Q248">
        <v>2030</v>
      </c>
      <c r="R248">
        <v>1240</v>
      </c>
      <c r="T248" t="s">
        <v>107</v>
      </c>
      <c r="U248" t="s">
        <v>68</v>
      </c>
      <c r="V248">
        <v>0</v>
      </c>
      <c r="W248" t="s">
        <v>69</v>
      </c>
      <c r="X248" s="5">
        <v>46212</v>
      </c>
      <c r="Y248" t="s">
        <v>90</v>
      </c>
      <c r="Z248" t="s">
        <v>68</v>
      </c>
      <c r="AA248">
        <v>12400</v>
      </c>
      <c r="AB248">
        <v>0</v>
      </c>
      <c r="AC248" t="s">
        <v>1002</v>
      </c>
      <c r="AD248" t="s">
        <v>68</v>
      </c>
      <c r="AE248">
        <v>0</v>
      </c>
      <c r="AF248" s="1"/>
      <c r="AG248" s="1"/>
      <c r="AH248">
        <v>0</v>
      </c>
      <c r="AI248">
        <v>31</v>
      </c>
      <c r="AJ248">
        <v>0</v>
      </c>
      <c r="AK248" t="s">
        <v>717</v>
      </c>
      <c r="AL248" t="s">
        <v>71</v>
      </c>
      <c r="AM248" t="s">
        <v>68</v>
      </c>
      <c r="AN248">
        <v>0</v>
      </c>
      <c r="AO248" s="1"/>
      <c r="AQ248">
        <v>0</v>
      </c>
      <c r="AR248">
        <v>0</v>
      </c>
      <c r="AS248" t="s">
        <v>72</v>
      </c>
      <c r="AT248" t="s">
        <v>68</v>
      </c>
      <c r="AU248">
        <v>1</v>
      </c>
      <c r="AV248" t="s">
        <v>1003</v>
      </c>
      <c r="AW248">
        <v>0</v>
      </c>
      <c r="AX248" s="1">
        <v>46031.672777777778</v>
      </c>
      <c r="AY248">
        <v>2500</v>
      </c>
      <c r="AZ248" t="s">
        <v>68</v>
      </c>
      <c r="BA248" t="s">
        <v>65</v>
      </c>
      <c r="BB248" t="s">
        <v>68</v>
      </c>
      <c r="BC248" t="s">
        <v>68</v>
      </c>
      <c r="BD248">
        <v>0</v>
      </c>
      <c r="BE248" s="1"/>
      <c r="BF248" s="1">
        <v>46216.998854166668</v>
      </c>
      <c r="BG248" t="s">
        <v>68</v>
      </c>
      <c r="BH248" t="s">
        <v>68</v>
      </c>
      <c r="BI248" t="s">
        <v>68</v>
      </c>
      <c r="BJ248" t="s">
        <v>68</v>
      </c>
      <c r="BK248" t="s">
        <v>68</v>
      </c>
      <c r="BL248" t="s">
        <v>68</v>
      </c>
      <c r="BM248" t="s">
        <v>68</v>
      </c>
      <c r="BN248" t="s">
        <v>68</v>
      </c>
      <c r="BO248" t="s">
        <v>96</v>
      </c>
      <c r="BP248">
        <v>0</v>
      </c>
      <c r="BQ248" t="s">
        <v>68</v>
      </c>
      <c r="BR248" t="s">
        <v>68</v>
      </c>
      <c r="BS248" t="s">
        <v>68</v>
      </c>
    </row>
    <row r="249" spans="1:71" x14ac:dyDescent="0.35">
      <c r="A249" t="b">
        <f>ISNUMBER(MATCH(ChargentOrders[[#This Row],[Contract__c]],Contract[Id],0))</f>
        <v>1</v>
      </c>
      <c r="B249">
        <f>IFERROR(INDEX(Contract[CB_Subscription__c],MATCH(ChargentOrders[[#This Row],[Contract__c]],Contract[Id],0)),0)</f>
        <v>0</v>
      </c>
      <c r="C249" t="b">
        <f>ISNUMBER(MATCH(ChargentOrders[[#This Row],[Id]],Claude[Id],0))</f>
        <v>1</v>
      </c>
      <c r="D249" t="b">
        <f>AND(ChargentOrders[[#This Row],[_Contract]],ChargentOrders[[#This Row],[CB Subscription]]=0)</f>
        <v>1</v>
      </c>
      <c r="E249" s="38">
        <f>INDEX(Table5[CUENTA],MATCH(ChargentOrders[[#This Row],[Contract__c]],Table5[SM_Contract__c],0))</f>
        <v>46157</v>
      </c>
      <c r="F249" s="38" t="str">
        <f ca="1">INDEX(Table5[ESTADO],MATCH(ChargentOrders[[#This Row],[Contract__c]],Table5[SM_Contract__c],0))</f>
        <v>DEBE 2</v>
      </c>
      <c r="G249" t="s">
        <v>1079</v>
      </c>
      <c r="H249" t="s">
        <v>101</v>
      </c>
      <c r="I249" t="s">
        <v>1080</v>
      </c>
      <c r="J249" s="1">
        <v>46125.750868055555</v>
      </c>
      <c r="K249">
        <v>11</v>
      </c>
      <c r="L249">
        <v>2030</v>
      </c>
      <c r="M249" t="s">
        <v>1493</v>
      </c>
      <c r="N249">
        <v>11</v>
      </c>
      <c r="O249" t="s">
        <v>68</v>
      </c>
      <c r="P249" t="s">
        <v>66</v>
      </c>
      <c r="Q249">
        <v>2030</v>
      </c>
      <c r="R249">
        <v>0</v>
      </c>
      <c r="T249" t="s">
        <v>107</v>
      </c>
      <c r="U249" t="s">
        <v>68</v>
      </c>
      <c r="V249">
        <v>0</v>
      </c>
      <c r="W249" t="s">
        <v>69</v>
      </c>
      <c r="X249" s="5"/>
      <c r="Y249" t="s">
        <v>68</v>
      </c>
      <c r="Z249" t="s">
        <v>68</v>
      </c>
      <c r="AA249">
        <v>0</v>
      </c>
      <c r="AC249" t="s">
        <v>1081</v>
      </c>
      <c r="AD249" t="s">
        <v>68</v>
      </c>
      <c r="AE249">
        <v>0</v>
      </c>
      <c r="AF249" s="1"/>
      <c r="AG249" s="1">
        <v>46125.750925925924</v>
      </c>
      <c r="AH249">
        <v>0</v>
      </c>
      <c r="AI249">
        <v>1</v>
      </c>
      <c r="AJ249">
        <v>0</v>
      </c>
      <c r="AK249" t="s">
        <v>717</v>
      </c>
      <c r="AL249" t="s">
        <v>68</v>
      </c>
      <c r="AM249" t="s">
        <v>68</v>
      </c>
      <c r="AN249">
        <v>0</v>
      </c>
      <c r="AO249" s="1"/>
      <c r="AP249">
        <v>1</v>
      </c>
      <c r="AS249" t="s">
        <v>75</v>
      </c>
      <c r="AT249" t="s">
        <v>68</v>
      </c>
      <c r="AU249">
        <v>0</v>
      </c>
      <c r="AV249" t="s">
        <v>68</v>
      </c>
      <c r="AW249">
        <v>1</v>
      </c>
      <c r="AX249" s="1"/>
      <c r="AZ249" t="s">
        <v>68</v>
      </c>
      <c r="BA249" t="s">
        <v>68</v>
      </c>
      <c r="BB249" t="s">
        <v>68</v>
      </c>
      <c r="BC249" t="s">
        <v>68</v>
      </c>
      <c r="BD249">
        <v>0</v>
      </c>
      <c r="BE249" s="1"/>
      <c r="BF249" s="1">
        <v>46125.750925925924</v>
      </c>
      <c r="BG249" t="s">
        <v>68</v>
      </c>
      <c r="BH249" t="s">
        <v>68</v>
      </c>
      <c r="BI249" t="s">
        <v>68</v>
      </c>
      <c r="BJ249" t="s">
        <v>68</v>
      </c>
      <c r="BK249" t="s">
        <v>68</v>
      </c>
      <c r="BL249" t="s">
        <v>68</v>
      </c>
      <c r="BM249" t="s">
        <v>68</v>
      </c>
      <c r="BN249" t="s">
        <v>68</v>
      </c>
      <c r="BO249" t="s">
        <v>96</v>
      </c>
      <c r="BP249">
        <v>0</v>
      </c>
      <c r="BQ249" t="s">
        <v>68</v>
      </c>
      <c r="BR249" t="s">
        <v>68</v>
      </c>
      <c r="BS249" t="s">
        <v>68</v>
      </c>
    </row>
    <row r="250" spans="1:71" x14ac:dyDescent="0.35">
      <c r="A250" t="b">
        <f>ISNUMBER(MATCH(ChargentOrders[[#This Row],[Contract__c]],Contract[Id],0))</f>
        <v>1</v>
      </c>
      <c r="B250">
        <f>IFERROR(INDEX(Contract[CB_Subscription__c],MATCH(ChargentOrders[[#This Row],[Contract__c]],Contract[Id],0)),0)</f>
        <v>0</v>
      </c>
      <c r="C250" t="b">
        <f>ISNUMBER(MATCH(ChargentOrders[[#This Row],[Id]],Claude[Id],0))</f>
        <v>1</v>
      </c>
      <c r="D250" t="b">
        <f>AND(ChargentOrders[[#This Row],[_Contract]],ChargentOrders[[#This Row],[CB Subscription]]=0)</f>
        <v>1</v>
      </c>
      <c r="E250" s="38">
        <f>INDEX(Table5[CUENTA],MATCH(ChargentOrders[[#This Row],[Contract__c]],Table5[SM_Contract__c],0))</f>
        <v>46157</v>
      </c>
      <c r="F250" s="38" t="str">
        <f ca="1">INDEX(Table5[ESTADO],MATCH(ChargentOrders[[#This Row],[Contract__c]],Table5[SM_Contract__c],0))</f>
        <v>DEBE 2</v>
      </c>
      <c r="G250" t="s">
        <v>1082</v>
      </c>
      <c r="H250" t="s">
        <v>155</v>
      </c>
      <c r="I250" t="s">
        <v>1083</v>
      </c>
      <c r="J250" s="1">
        <v>46126.417488425926</v>
      </c>
      <c r="K250">
        <v>1</v>
      </c>
      <c r="L250">
        <v>2031</v>
      </c>
      <c r="M250" t="s">
        <v>1492</v>
      </c>
      <c r="N250">
        <v>1</v>
      </c>
      <c r="O250" t="s">
        <v>68</v>
      </c>
      <c r="P250" t="s">
        <v>73</v>
      </c>
      <c r="Q250">
        <v>2031</v>
      </c>
      <c r="R250">
        <v>990</v>
      </c>
      <c r="T250" t="s">
        <v>107</v>
      </c>
      <c r="U250" t="s">
        <v>68</v>
      </c>
      <c r="V250">
        <v>0</v>
      </c>
      <c r="W250" t="s">
        <v>69</v>
      </c>
      <c r="X250" s="5">
        <v>46129</v>
      </c>
      <c r="Y250" t="s">
        <v>74</v>
      </c>
      <c r="Z250" t="s">
        <v>68</v>
      </c>
      <c r="AA250">
        <v>9900</v>
      </c>
      <c r="AB250">
        <v>0</v>
      </c>
      <c r="AC250" t="s">
        <v>741</v>
      </c>
      <c r="AD250" t="s">
        <v>68</v>
      </c>
      <c r="AE250">
        <v>0</v>
      </c>
      <c r="AF250" s="1">
        <v>46127.9377662037</v>
      </c>
      <c r="AG250" s="1">
        <v>46127.9377662037</v>
      </c>
      <c r="AH250">
        <v>1</v>
      </c>
      <c r="AI250">
        <v>2</v>
      </c>
      <c r="AJ250">
        <v>990</v>
      </c>
      <c r="AK250" t="s">
        <v>717</v>
      </c>
      <c r="AL250" t="s">
        <v>71</v>
      </c>
      <c r="AM250" t="s">
        <v>68</v>
      </c>
      <c r="AN250">
        <v>0</v>
      </c>
      <c r="AO250" s="1"/>
      <c r="AP250">
        <v>0</v>
      </c>
      <c r="AQ250">
        <v>0</v>
      </c>
      <c r="AR250">
        <v>0</v>
      </c>
      <c r="AS250" t="s">
        <v>72</v>
      </c>
      <c r="AT250" t="s">
        <v>68</v>
      </c>
      <c r="AU250">
        <v>0</v>
      </c>
      <c r="AV250" t="s">
        <v>1084</v>
      </c>
      <c r="AW250">
        <v>0</v>
      </c>
      <c r="AX250" s="1">
        <v>46127.715960648151</v>
      </c>
      <c r="AY250">
        <v>0</v>
      </c>
      <c r="AZ250" t="s">
        <v>68</v>
      </c>
      <c r="BA250" t="s">
        <v>65</v>
      </c>
      <c r="BB250" t="s">
        <v>68</v>
      </c>
      <c r="BC250" t="s">
        <v>68</v>
      </c>
      <c r="BD250">
        <v>0</v>
      </c>
      <c r="BE250" s="1"/>
      <c r="BF250" s="1">
        <v>46127.9377662037</v>
      </c>
      <c r="BG250" t="s">
        <v>68</v>
      </c>
      <c r="BH250" t="s">
        <v>68</v>
      </c>
      <c r="BI250" t="s">
        <v>68</v>
      </c>
      <c r="BJ250" t="s">
        <v>68</v>
      </c>
      <c r="BK250" t="s">
        <v>68</v>
      </c>
      <c r="BL250" t="s">
        <v>68</v>
      </c>
      <c r="BM250" t="s">
        <v>68</v>
      </c>
      <c r="BN250" t="s">
        <v>68</v>
      </c>
      <c r="BO250" t="s">
        <v>96</v>
      </c>
      <c r="BP250">
        <v>0</v>
      </c>
      <c r="BQ250" t="s">
        <v>68</v>
      </c>
      <c r="BR250" t="s">
        <v>68</v>
      </c>
      <c r="BS250" t="s">
        <v>68</v>
      </c>
    </row>
    <row r="251" spans="1:71" x14ac:dyDescent="0.35">
      <c r="A251" t="b">
        <f>ISNUMBER(MATCH(ChargentOrders[[#This Row],[Contract__c]],Contract[Id],0))</f>
        <v>1</v>
      </c>
      <c r="B251">
        <f>IFERROR(INDEX(Contract[CB_Subscription__c],MATCH(ChargentOrders[[#This Row],[Contract__c]],Contract[Id],0)),0)</f>
        <v>0</v>
      </c>
      <c r="C251" t="b">
        <f>ISNUMBER(MATCH(ChargentOrders[[#This Row],[Id]],Claude[Id],0))</f>
        <v>1</v>
      </c>
      <c r="D251" t="b">
        <f>AND(ChargentOrders[[#This Row],[_Contract]],ChargentOrders[[#This Row],[CB Subscription]]=0)</f>
        <v>1</v>
      </c>
      <c r="E251" s="38">
        <f>INDEX(Table5[CUENTA],MATCH(ChargentOrders[[#This Row],[Contract__c]],Table5[SM_Contract__c],0))</f>
        <v>46157</v>
      </c>
      <c r="F251" s="38" t="str">
        <f ca="1">INDEX(Table5[ESTADO],MATCH(ChargentOrders[[#This Row],[Contract__c]],Table5[SM_Contract__c],0))</f>
        <v>DEBE 2</v>
      </c>
      <c r="G251" t="s">
        <v>1085</v>
      </c>
      <c r="H251" t="s">
        <v>101</v>
      </c>
      <c r="I251" t="s">
        <v>1086</v>
      </c>
      <c r="J251" s="1">
        <v>46127.936956018515</v>
      </c>
      <c r="K251">
        <v>1</v>
      </c>
      <c r="L251">
        <v>2031</v>
      </c>
      <c r="M251" t="s">
        <v>1492</v>
      </c>
      <c r="N251">
        <v>1</v>
      </c>
      <c r="O251" t="s">
        <v>68</v>
      </c>
      <c r="P251" t="s">
        <v>73</v>
      </c>
      <c r="Q251">
        <v>2031</v>
      </c>
      <c r="R251">
        <v>0</v>
      </c>
      <c r="T251" t="s">
        <v>107</v>
      </c>
      <c r="U251" t="s">
        <v>68</v>
      </c>
      <c r="V251">
        <v>0</v>
      </c>
      <c r="W251" t="s">
        <v>69</v>
      </c>
      <c r="X251" s="5"/>
      <c r="Y251" t="s">
        <v>68</v>
      </c>
      <c r="Z251" t="s">
        <v>68</v>
      </c>
      <c r="AA251">
        <v>0</v>
      </c>
      <c r="AC251" t="s">
        <v>741</v>
      </c>
      <c r="AD251" t="s">
        <v>68</v>
      </c>
      <c r="AE251">
        <v>0</v>
      </c>
      <c r="AF251" s="1"/>
      <c r="AG251" s="1">
        <v>46127.936990740738</v>
      </c>
      <c r="AH251">
        <v>0</v>
      </c>
      <c r="AI251">
        <v>1</v>
      </c>
      <c r="AJ251">
        <v>0</v>
      </c>
      <c r="AK251" t="s">
        <v>717</v>
      </c>
      <c r="AL251" t="s">
        <v>68</v>
      </c>
      <c r="AM251" t="s">
        <v>68</v>
      </c>
      <c r="AN251">
        <v>0</v>
      </c>
      <c r="AO251" s="1"/>
      <c r="AP251">
        <v>1</v>
      </c>
      <c r="AS251" t="s">
        <v>75</v>
      </c>
      <c r="AT251" t="s">
        <v>68</v>
      </c>
      <c r="AU251">
        <v>0</v>
      </c>
      <c r="AV251" t="s">
        <v>68</v>
      </c>
      <c r="AW251">
        <v>1</v>
      </c>
      <c r="AX251" s="1"/>
      <c r="AZ251" t="s">
        <v>68</v>
      </c>
      <c r="BA251" t="s">
        <v>68</v>
      </c>
      <c r="BB251" t="s">
        <v>68</v>
      </c>
      <c r="BC251" t="s">
        <v>68</v>
      </c>
      <c r="BD251">
        <v>0</v>
      </c>
      <c r="BE251" s="1"/>
      <c r="BF251" s="1">
        <v>46127.936990740738</v>
      </c>
      <c r="BG251" t="s">
        <v>68</v>
      </c>
      <c r="BH251" t="s">
        <v>68</v>
      </c>
      <c r="BI251" t="s">
        <v>68</v>
      </c>
      <c r="BJ251" t="s">
        <v>68</v>
      </c>
      <c r="BK251" t="s">
        <v>68</v>
      </c>
      <c r="BL251" t="s">
        <v>68</v>
      </c>
      <c r="BM251" t="s">
        <v>68</v>
      </c>
      <c r="BN251" t="s">
        <v>68</v>
      </c>
      <c r="BO251" t="s">
        <v>96</v>
      </c>
      <c r="BP251">
        <v>0</v>
      </c>
      <c r="BQ251" t="s">
        <v>68</v>
      </c>
      <c r="BR251" t="s">
        <v>68</v>
      </c>
      <c r="BS251" t="s">
        <v>68</v>
      </c>
    </row>
    <row r="252" spans="1:71" x14ac:dyDescent="0.35">
      <c r="A252" t="b">
        <f>ISNUMBER(MATCH(ChargentOrders[[#This Row],[Contract__c]],Contract[Id],0))</f>
        <v>1</v>
      </c>
      <c r="B252">
        <f>IFERROR(INDEX(Contract[CB_Subscription__c],MATCH(ChargentOrders[[#This Row],[Contract__c]],Contract[Id],0)),0)</f>
        <v>0</v>
      </c>
      <c r="C252" t="b">
        <f>ISNUMBER(MATCH(ChargentOrders[[#This Row],[Id]],Claude[Id],0))</f>
        <v>1</v>
      </c>
      <c r="D252" t="b">
        <f>AND(ChargentOrders[[#This Row],[_Contract]],ChargentOrders[[#This Row],[CB Subscription]]=0)</f>
        <v>1</v>
      </c>
      <c r="E252" s="38">
        <f>INDEX(Table5[CUENTA],MATCH(ChargentOrders[[#This Row],[Contract__c]],Table5[SM_Contract__c],0))</f>
        <v>46157</v>
      </c>
      <c r="F252" s="38" t="str">
        <f ca="1">INDEX(Table5[ESTADO],MATCH(ChargentOrders[[#This Row],[Contract__c]],Table5[SM_Contract__c],0))</f>
        <v>DEBE 2</v>
      </c>
      <c r="G252" t="s">
        <v>1327</v>
      </c>
      <c r="H252" t="s">
        <v>101</v>
      </c>
      <c r="I252" t="s">
        <v>1328</v>
      </c>
      <c r="J252" s="1">
        <v>46196.929756944446</v>
      </c>
      <c r="K252">
        <v>6</v>
      </c>
      <c r="L252">
        <v>2030</v>
      </c>
      <c r="M252" t="s">
        <v>1409</v>
      </c>
      <c r="N252">
        <v>6</v>
      </c>
      <c r="O252" t="s">
        <v>68</v>
      </c>
      <c r="P252" t="s">
        <v>73</v>
      </c>
      <c r="Q252">
        <v>2030</v>
      </c>
      <c r="R252">
        <v>0</v>
      </c>
      <c r="T252" t="s">
        <v>107</v>
      </c>
      <c r="U252" t="s">
        <v>68</v>
      </c>
      <c r="V252">
        <v>0</v>
      </c>
      <c r="W252" t="s">
        <v>69</v>
      </c>
      <c r="X252" s="5"/>
      <c r="Y252" t="s">
        <v>68</v>
      </c>
      <c r="Z252" t="s">
        <v>68</v>
      </c>
      <c r="AA252">
        <v>0</v>
      </c>
      <c r="AC252" t="s">
        <v>1002</v>
      </c>
      <c r="AD252" t="s">
        <v>68</v>
      </c>
      <c r="AE252">
        <v>0</v>
      </c>
      <c r="AF252" s="1"/>
      <c r="AG252" s="1">
        <v>46196.929826388892</v>
      </c>
      <c r="AH252">
        <v>0</v>
      </c>
      <c r="AI252">
        <v>1</v>
      </c>
      <c r="AJ252">
        <v>0</v>
      </c>
      <c r="AK252" t="s">
        <v>717</v>
      </c>
      <c r="AL252" t="s">
        <v>68</v>
      </c>
      <c r="AM252" t="s">
        <v>68</v>
      </c>
      <c r="AN252">
        <v>0</v>
      </c>
      <c r="AO252" s="1"/>
      <c r="AP252">
        <v>1</v>
      </c>
      <c r="AS252" t="s">
        <v>75</v>
      </c>
      <c r="AT252" t="s">
        <v>68</v>
      </c>
      <c r="AU252">
        <v>0</v>
      </c>
      <c r="AV252" t="s">
        <v>68</v>
      </c>
      <c r="AW252">
        <v>1</v>
      </c>
      <c r="AX252" s="1"/>
      <c r="AZ252" t="s">
        <v>68</v>
      </c>
      <c r="BA252" t="s">
        <v>68</v>
      </c>
      <c r="BB252" t="s">
        <v>68</v>
      </c>
      <c r="BC252" t="s">
        <v>68</v>
      </c>
      <c r="BD252">
        <v>0</v>
      </c>
      <c r="BE252" s="1"/>
      <c r="BF252" s="1">
        <v>46196.929826388892</v>
      </c>
      <c r="BG252" t="s">
        <v>68</v>
      </c>
      <c r="BH252" t="s">
        <v>68</v>
      </c>
      <c r="BI252" t="s">
        <v>68</v>
      </c>
      <c r="BJ252" t="s">
        <v>68</v>
      </c>
      <c r="BK252" t="s">
        <v>68</v>
      </c>
      <c r="BL252" t="s">
        <v>68</v>
      </c>
      <c r="BM252" t="s">
        <v>68</v>
      </c>
      <c r="BN252" t="s">
        <v>68</v>
      </c>
      <c r="BO252" t="s">
        <v>96</v>
      </c>
      <c r="BP252">
        <v>0</v>
      </c>
      <c r="BQ252" t="s">
        <v>68</v>
      </c>
      <c r="BR252" t="s">
        <v>68</v>
      </c>
      <c r="BS252" t="s">
        <v>68</v>
      </c>
    </row>
    <row r="253" spans="1:71" x14ac:dyDescent="0.35">
      <c r="A253" t="b">
        <f>ISNUMBER(MATCH(ChargentOrders[[#This Row],[Contract__c]],Contract[Id],0))</f>
        <v>1</v>
      </c>
      <c r="B253">
        <f>IFERROR(INDEX(Contract[CB_Subscription__c],MATCH(ChargentOrders[[#This Row],[Contract__c]],Contract[Id],0)),0)</f>
        <v>0</v>
      </c>
      <c r="C253" t="b">
        <f>ISNUMBER(MATCH(ChargentOrders[[#This Row],[Id]],Claude[Id],0))</f>
        <v>1</v>
      </c>
      <c r="D253" t="b">
        <f>AND(ChargentOrders[[#This Row],[_Contract]],ChargentOrders[[#This Row],[CB Subscription]]=0)</f>
        <v>1</v>
      </c>
      <c r="E253" s="38">
        <f>INDEX(Table5[CUENTA],MATCH(ChargentOrders[[#This Row],[Contract__c]],Table5[SM_Contract__c],0))</f>
        <v>46169</v>
      </c>
      <c r="F253" s="38" t="str">
        <f ca="1">INDEX(Table5[ESTADO],MATCH(ChargentOrders[[#This Row],[Contract__c]],Table5[SM_Contract__c],0))</f>
        <v>DEBE 2</v>
      </c>
      <c r="G253" t="s">
        <v>642</v>
      </c>
      <c r="H253" t="s">
        <v>531</v>
      </c>
      <c r="I253" t="s">
        <v>643</v>
      </c>
      <c r="J253" s="1">
        <v>46009.620300925926</v>
      </c>
      <c r="K253">
        <v>1</v>
      </c>
      <c r="L253">
        <v>2029</v>
      </c>
      <c r="M253" t="s">
        <v>1484</v>
      </c>
      <c r="N253">
        <v>1</v>
      </c>
      <c r="O253" t="s">
        <v>1485</v>
      </c>
      <c r="P253" t="s">
        <v>66</v>
      </c>
      <c r="Q253">
        <v>2029</v>
      </c>
      <c r="R253">
        <v>0</v>
      </c>
      <c r="T253" t="s">
        <v>98</v>
      </c>
      <c r="U253" t="s">
        <v>68</v>
      </c>
      <c r="V253">
        <v>0</v>
      </c>
      <c r="W253" t="s">
        <v>69</v>
      </c>
      <c r="X253" s="5"/>
      <c r="Y253" t="s">
        <v>68</v>
      </c>
      <c r="Z253" t="s">
        <v>68</v>
      </c>
      <c r="AA253">
        <v>0</v>
      </c>
      <c r="AC253" t="s">
        <v>644</v>
      </c>
      <c r="AD253" t="s">
        <v>68</v>
      </c>
      <c r="AE253">
        <v>0</v>
      </c>
      <c r="AF253" s="1"/>
      <c r="AG253" s="1">
        <v>46009.620324074072</v>
      </c>
      <c r="AH253">
        <v>0</v>
      </c>
      <c r="AI253">
        <v>1</v>
      </c>
      <c r="AJ253">
        <v>0</v>
      </c>
      <c r="AK253" t="s">
        <v>645</v>
      </c>
      <c r="AL253" t="s">
        <v>68</v>
      </c>
      <c r="AM253" t="s">
        <v>68</v>
      </c>
      <c r="AN253">
        <v>0</v>
      </c>
      <c r="AO253" s="1"/>
      <c r="AP253">
        <v>1</v>
      </c>
      <c r="AS253" t="s">
        <v>75</v>
      </c>
      <c r="AT253" t="s">
        <v>68</v>
      </c>
      <c r="AU253">
        <v>0</v>
      </c>
      <c r="AV253" t="s">
        <v>68</v>
      </c>
      <c r="AW253">
        <v>1</v>
      </c>
      <c r="AX253" s="1"/>
      <c r="AZ253" t="s">
        <v>68</v>
      </c>
      <c r="BA253" t="s">
        <v>68</v>
      </c>
      <c r="BB253" t="s">
        <v>68</v>
      </c>
      <c r="BC253" t="s">
        <v>68</v>
      </c>
      <c r="BD253">
        <v>0</v>
      </c>
      <c r="BE253" s="1"/>
      <c r="BF253" s="1">
        <v>46009.620324074072</v>
      </c>
      <c r="BG253" t="s">
        <v>68</v>
      </c>
      <c r="BH253" t="s">
        <v>68</v>
      </c>
      <c r="BI253" t="s">
        <v>68</v>
      </c>
      <c r="BJ253" t="s">
        <v>68</v>
      </c>
      <c r="BK253" t="s">
        <v>68</v>
      </c>
      <c r="BL253" t="s">
        <v>68</v>
      </c>
      <c r="BM253" t="s">
        <v>68</v>
      </c>
      <c r="BN253" t="s">
        <v>68</v>
      </c>
      <c r="BO253" t="s">
        <v>96</v>
      </c>
      <c r="BP253">
        <v>0</v>
      </c>
      <c r="BQ253" t="s">
        <v>68</v>
      </c>
      <c r="BR253" t="s">
        <v>68</v>
      </c>
      <c r="BS253" t="s">
        <v>68</v>
      </c>
    </row>
    <row r="254" spans="1:71" x14ac:dyDescent="0.35">
      <c r="A254" t="b">
        <f>ISNUMBER(MATCH(ChargentOrders[[#This Row],[Contract__c]],Contract[Id],0))</f>
        <v>1</v>
      </c>
      <c r="B254">
        <f>IFERROR(INDEX(Contract[CB_Subscription__c],MATCH(ChargentOrders[[#This Row],[Contract__c]],Contract[Id],0)),0)</f>
        <v>0</v>
      </c>
      <c r="C254" t="b">
        <f>ISNUMBER(MATCH(ChargentOrders[[#This Row],[Id]],Claude[Id],0))</f>
        <v>1</v>
      </c>
      <c r="D254" t="b">
        <f>AND(ChargentOrders[[#This Row],[_Contract]],ChargentOrders[[#This Row],[CB Subscription]]=0)</f>
        <v>1</v>
      </c>
      <c r="E254" s="38">
        <f>INDEX(Table5[CUENTA],MATCH(ChargentOrders[[#This Row],[Contract__c]],Table5[SM_Contract__c],0))</f>
        <v>46169</v>
      </c>
      <c r="F254" s="38" t="str">
        <f ca="1">INDEX(Table5[ESTADO],MATCH(ChargentOrders[[#This Row],[Contract__c]],Table5[SM_Contract__c],0))</f>
        <v>DEBE 2</v>
      </c>
      <c r="G254" t="s">
        <v>646</v>
      </c>
      <c r="H254" t="s">
        <v>531</v>
      </c>
      <c r="I254" t="s">
        <v>647</v>
      </c>
      <c r="J254" s="1">
        <v>46009.624386574076</v>
      </c>
      <c r="K254">
        <v>1</v>
      </c>
      <c r="L254">
        <v>2029</v>
      </c>
      <c r="M254" t="s">
        <v>1484</v>
      </c>
      <c r="N254">
        <v>1</v>
      </c>
      <c r="O254" t="s">
        <v>1485</v>
      </c>
      <c r="P254" t="s">
        <v>66</v>
      </c>
      <c r="Q254">
        <v>2029</v>
      </c>
      <c r="R254">
        <v>11900</v>
      </c>
      <c r="T254" t="s">
        <v>98</v>
      </c>
      <c r="U254" t="s">
        <v>68</v>
      </c>
      <c r="V254">
        <v>0</v>
      </c>
      <c r="W254" t="s">
        <v>69</v>
      </c>
      <c r="X254" s="5">
        <v>46052</v>
      </c>
      <c r="Y254" t="s">
        <v>74</v>
      </c>
      <c r="Z254" t="s">
        <v>68</v>
      </c>
      <c r="AA254">
        <v>11900</v>
      </c>
      <c r="AB254">
        <v>0</v>
      </c>
      <c r="AC254" t="s">
        <v>644</v>
      </c>
      <c r="AD254" t="s">
        <v>68</v>
      </c>
      <c r="AE254">
        <v>0</v>
      </c>
      <c r="AF254" s="1">
        <v>46052.434930555559</v>
      </c>
      <c r="AG254" s="1">
        <v>46052.435069444444</v>
      </c>
      <c r="AH254">
        <v>1</v>
      </c>
      <c r="AI254">
        <v>1</v>
      </c>
      <c r="AJ254">
        <v>1190</v>
      </c>
      <c r="AK254" t="s">
        <v>645</v>
      </c>
      <c r="AL254" t="s">
        <v>77</v>
      </c>
      <c r="AM254" t="s">
        <v>68</v>
      </c>
      <c r="AN254">
        <v>0</v>
      </c>
      <c r="AO254" s="1"/>
      <c r="AP254">
        <v>1</v>
      </c>
      <c r="AQ254">
        <v>0</v>
      </c>
      <c r="AR254">
        <v>0</v>
      </c>
      <c r="AS254" t="s">
        <v>75</v>
      </c>
      <c r="AT254" t="s">
        <v>68</v>
      </c>
      <c r="AU254">
        <v>0</v>
      </c>
      <c r="AV254" t="s">
        <v>68</v>
      </c>
      <c r="AW254">
        <v>0</v>
      </c>
      <c r="AX254" s="1"/>
      <c r="AZ254" t="s">
        <v>68</v>
      </c>
      <c r="BA254" t="s">
        <v>68</v>
      </c>
      <c r="BB254" t="s">
        <v>68</v>
      </c>
      <c r="BC254" t="s">
        <v>68</v>
      </c>
      <c r="BD254">
        <v>0</v>
      </c>
      <c r="BE254" s="1"/>
      <c r="BF254" s="1">
        <v>46052.434930555559</v>
      </c>
      <c r="BG254" t="s">
        <v>68</v>
      </c>
      <c r="BH254" t="s">
        <v>68</v>
      </c>
      <c r="BI254" t="s">
        <v>68</v>
      </c>
      <c r="BJ254" t="s">
        <v>68</v>
      </c>
      <c r="BK254" t="s">
        <v>68</v>
      </c>
      <c r="BL254" t="s">
        <v>68</v>
      </c>
      <c r="BM254" t="s">
        <v>68</v>
      </c>
      <c r="BN254" t="s">
        <v>68</v>
      </c>
      <c r="BO254" t="s">
        <v>96</v>
      </c>
      <c r="BP254">
        <v>0</v>
      </c>
      <c r="BQ254" t="s">
        <v>68</v>
      </c>
      <c r="BR254" t="s">
        <v>68</v>
      </c>
      <c r="BS254" t="s">
        <v>68</v>
      </c>
    </row>
    <row r="255" spans="1:71" x14ac:dyDescent="0.35">
      <c r="A255" t="b">
        <f>ISNUMBER(MATCH(ChargentOrders[[#This Row],[Contract__c]],Contract[Id],0))</f>
        <v>1</v>
      </c>
      <c r="B255">
        <f>IFERROR(INDEX(Contract[CB_Subscription__c],MATCH(ChargentOrders[[#This Row],[Contract__c]],Contract[Id],0)),0)</f>
        <v>0</v>
      </c>
      <c r="C255" t="b">
        <f>ISNUMBER(MATCH(ChargentOrders[[#This Row],[Id]],Claude[Id],0))</f>
        <v>1</v>
      </c>
      <c r="D255" t="b">
        <f>AND(ChargentOrders[[#This Row],[_Contract]],ChargentOrders[[#This Row],[CB Subscription]]=0)</f>
        <v>1</v>
      </c>
      <c r="E255" s="38">
        <f>INDEX(Table5[CUENTA],MATCH(ChargentOrders[[#This Row],[Contract__c]],Table5[SM_Contract__c],0))</f>
        <v>46169</v>
      </c>
      <c r="F255" s="38" t="str">
        <f ca="1">INDEX(Table5[ESTADO],MATCH(ChargentOrders[[#This Row],[Contract__c]],Table5[SM_Contract__c],0))</f>
        <v>DEBE 2</v>
      </c>
      <c r="G255" t="s">
        <v>742</v>
      </c>
      <c r="H255" t="s">
        <v>81</v>
      </c>
      <c r="I255" t="s">
        <v>743</v>
      </c>
      <c r="J255" s="1">
        <v>46036.78052083333</v>
      </c>
      <c r="K255">
        <v>12</v>
      </c>
      <c r="L255">
        <v>2030</v>
      </c>
      <c r="M255" t="s">
        <v>1460</v>
      </c>
      <c r="N255">
        <v>12</v>
      </c>
      <c r="O255" t="s">
        <v>1495</v>
      </c>
      <c r="P255" t="s">
        <v>73</v>
      </c>
      <c r="Q255">
        <v>2030</v>
      </c>
      <c r="R255">
        <v>0</v>
      </c>
      <c r="T255" t="s">
        <v>67</v>
      </c>
      <c r="U255" t="s">
        <v>68</v>
      </c>
      <c r="V255">
        <v>0</v>
      </c>
      <c r="W255" t="s">
        <v>69</v>
      </c>
      <c r="X255" s="5"/>
      <c r="Y255" t="s">
        <v>68</v>
      </c>
      <c r="Z255" t="s">
        <v>68</v>
      </c>
      <c r="AA255">
        <v>0</v>
      </c>
      <c r="AC255" t="s">
        <v>744</v>
      </c>
      <c r="AD255" t="s">
        <v>68</v>
      </c>
      <c r="AE255">
        <v>0</v>
      </c>
      <c r="AF255" s="1"/>
      <c r="AG255" s="1">
        <v>46036.780543981484</v>
      </c>
      <c r="AH255">
        <v>0</v>
      </c>
      <c r="AI255">
        <v>1</v>
      </c>
      <c r="AJ255">
        <v>0</v>
      </c>
      <c r="AK255" t="s">
        <v>745</v>
      </c>
      <c r="AL255" t="s">
        <v>68</v>
      </c>
      <c r="AM255" t="s">
        <v>68</v>
      </c>
      <c r="AN255">
        <v>0</v>
      </c>
      <c r="AO255" s="1"/>
      <c r="AP255">
        <v>1</v>
      </c>
      <c r="AS255" t="s">
        <v>75</v>
      </c>
      <c r="AT255" t="s">
        <v>68</v>
      </c>
      <c r="AU255">
        <v>0</v>
      </c>
      <c r="AV255" t="s">
        <v>68</v>
      </c>
      <c r="AW255">
        <v>1</v>
      </c>
      <c r="AX255" s="1"/>
      <c r="AZ255" t="s">
        <v>68</v>
      </c>
      <c r="BA255" t="s">
        <v>68</v>
      </c>
      <c r="BB255" t="s">
        <v>68</v>
      </c>
      <c r="BC255" t="s">
        <v>68</v>
      </c>
      <c r="BD255">
        <v>0</v>
      </c>
      <c r="BE255" s="1"/>
      <c r="BF255" s="1">
        <v>46036.780543981484</v>
      </c>
      <c r="BG255" t="s">
        <v>68</v>
      </c>
      <c r="BH255" t="s">
        <v>68</v>
      </c>
      <c r="BI255" t="s">
        <v>68</v>
      </c>
      <c r="BJ255" t="s">
        <v>68</v>
      </c>
      <c r="BK255" t="s">
        <v>68</v>
      </c>
      <c r="BL255" t="s">
        <v>68</v>
      </c>
      <c r="BM255" t="s">
        <v>68</v>
      </c>
      <c r="BN255" t="s">
        <v>68</v>
      </c>
      <c r="BO255" t="s">
        <v>96</v>
      </c>
      <c r="BP255">
        <v>0</v>
      </c>
      <c r="BQ255" t="s">
        <v>68</v>
      </c>
      <c r="BR255" t="s">
        <v>68</v>
      </c>
      <c r="BS255" t="s">
        <v>68</v>
      </c>
    </row>
    <row r="256" spans="1:71" x14ac:dyDescent="0.35">
      <c r="A256" t="b">
        <f>ISNUMBER(MATCH(ChargentOrders[[#This Row],[Contract__c]],Contract[Id],0))</f>
        <v>1</v>
      </c>
      <c r="B256">
        <f>IFERROR(INDEX(Contract[CB_Subscription__c],MATCH(ChargentOrders[[#This Row],[Contract__c]],Contract[Id],0)),0)</f>
        <v>0</v>
      </c>
      <c r="C256" t="b">
        <f>ISNUMBER(MATCH(ChargentOrders[[#This Row],[Id]],Claude[Id],0))</f>
        <v>1</v>
      </c>
      <c r="D256" t="b">
        <f>AND(ChargentOrders[[#This Row],[_Contract]],ChargentOrders[[#This Row],[CB Subscription]]=0)</f>
        <v>1</v>
      </c>
      <c r="E256" s="38">
        <f>INDEX(Table5[CUENTA],MATCH(ChargentOrders[[#This Row],[Contract__c]],Table5[SM_Contract__c],0))</f>
        <v>46169</v>
      </c>
      <c r="F256" s="38" t="str">
        <f ca="1">INDEX(Table5[ESTADO],MATCH(ChargentOrders[[#This Row],[Contract__c]],Table5[SM_Contract__c],0))</f>
        <v>DEBE 2</v>
      </c>
      <c r="G256" t="s">
        <v>746</v>
      </c>
      <c r="H256" t="s">
        <v>81</v>
      </c>
      <c r="I256" t="s">
        <v>747</v>
      </c>
      <c r="J256" s="1">
        <v>46036.781238425923</v>
      </c>
      <c r="K256">
        <v>12</v>
      </c>
      <c r="L256">
        <v>2030</v>
      </c>
      <c r="M256" t="s">
        <v>1460</v>
      </c>
      <c r="N256">
        <v>12</v>
      </c>
      <c r="O256" t="s">
        <v>1495</v>
      </c>
      <c r="P256" t="s">
        <v>73</v>
      </c>
      <c r="Q256">
        <v>2030</v>
      </c>
      <c r="R256">
        <v>495</v>
      </c>
      <c r="T256" t="s">
        <v>67</v>
      </c>
      <c r="U256" t="s">
        <v>68</v>
      </c>
      <c r="V256">
        <v>0</v>
      </c>
      <c r="W256" t="s">
        <v>69</v>
      </c>
      <c r="X256" s="5">
        <v>46036</v>
      </c>
      <c r="Y256" t="s">
        <v>74</v>
      </c>
      <c r="Z256" t="s">
        <v>68</v>
      </c>
      <c r="AA256">
        <v>495</v>
      </c>
      <c r="AB256">
        <v>0</v>
      </c>
      <c r="AC256" t="s">
        <v>744</v>
      </c>
      <c r="AD256" t="s">
        <v>68</v>
      </c>
      <c r="AE256">
        <v>0</v>
      </c>
      <c r="AF256" s="1">
        <v>46036.800173611111</v>
      </c>
      <c r="AG256" s="1">
        <v>46036.800173611111</v>
      </c>
      <c r="AH256">
        <v>1</v>
      </c>
      <c r="AI256">
        <v>1</v>
      </c>
      <c r="AJ256">
        <v>495</v>
      </c>
      <c r="AK256" t="s">
        <v>745</v>
      </c>
      <c r="AL256" t="s">
        <v>77</v>
      </c>
      <c r="AM256" t="s">
        <v>68</v>
      </c>
      <c r="AN256">
        <v>0</v>
      </c>
      <c r="AO256" s="1"/>
      <c r="AP256">
        <v>1</v>
      </c>
      <c r="AQ256">
        <v>0</v>
      </c>
      <c r="AR256">
        <v>0</v>
      </c>
      <c r="AS256" t="s">
        <v>75</v>
      </c>
      <c r="AT256" t="s">
        <v>68</v>
      </c>
      <c r="AU256">
        <v>0</v>
      </c>
      <c r="AV256" t="s">
        <v>68</v>
      </c>
      <c r="AW256">
        <v>0</v>
      </c>
      <c r="AX256" s="1"/>
      <c r="AZ256" t="s">
        <v>68</v>
      </c>
      <c r="BA256" t="s">
        <v>68</v>
      </c>
      <c r="BB256" t="s">
        <v>68</v>
      </c>
      <c r="BC256" t="s">
        <v>68</v>
      </c>
      <c r="BD256">
        <v>0</v>
      </c>
      <c r="BE256" s="1"/>
      <c r="BF256" s="1">
        <v>46036.800173611111</v>
      </c>
      <c r="BG256" t="s">
        <v>68</v>
      </c>
      <c r="BH256" t="s">
        <v>68</v>
      </c>
      <c r="BI256" t="s">
        <v>68</v>
      </c>
      <c r="BJ256" t="s">
        <v>68</v>
      </c>
      <c r="BK256" t="s">
        <v>68</v>
      </c>
      <c r="BL256" t="s">
        <v>68</v>
      </c>
      <c r="BM256" t="s">
        <v>68</v>
      </c>
      <c r="BN256" t="s">
        <v>68</v>
      </c>
      <c r="BO256" t="s">
        <v>96</v>
      </c>
      <c r="BP256">
        <v>0</v>
      </c>
      <c r="BQ256" t="s">
        <v>68</v>
      </c>
      <c r="BR256" t="s">
        <v>68</v>
      </c>
      <c r="BS256" t="s">
        <v>68</v>
      </c>
    </row>
    <row r="257" spans="1:71" x14ac:dyDescent="0.35">
      <c r="A257" t="b">
        <f>ISNUMBER(MATCH(ChargentOrders[[#This Row],[Contract__c]],Contract[Id],0))</f>
        <v>1</v>
      </c>
      <c r="B257">
        <f>IFERROR(INDEX(Contract[CB_Subscription__c],MATCH(ChargentOrders[[#This Row],[Contract__c]],Contract[Id],0)),0)</f>
        <v>0</v>
      </c>
      <c r="C257" t="b">
        <f>ISNUMBER(MATCH(ChargentOrders[[#This Row],[Id]],Claude[Id],0))</f>
        <v>1</v>
      </c>
      <c r="D257" t="b">
        <f>AND(ChargentOrders[[#This Row],[_Contract]],ChargentOrders[[#This Row],[CB Subscription]]=0)</f>
        <v>1</v>
      </c>
      <c r="E257" s="38">
        <f>INDEX(Table5[CUENTA],MATCH(ChargentOrders[[#This Row],[Contract__c]],Table5[SM_Contract__c],0))</f>
        <v>46169</v>
      </c>
      <c r="F257" s="38" t="str">
        <f ca="1">INDEX(Table5[ESTADO],MATCH(ChargentOrders[[#This Row],[Contract__c]],Table5[SM_Contract__c],0))</f>
        <v>DEBE 2</v>
      </c>
      <c r="G257" t="s">
        <v>748</v>
      </c>
      <c r="H257" t="s">
        <v>81</v>
      </c>
      <c r="I257" t="s">
        <v>749</v>
      </c>
      <c r="J257" s="1">
        <v>46036.781238425923</v>
      </c>
      <c r="K257">
        <v>12</v>
      </c>
      <c r="L257">
        <v>2030</v>
      </c>
      <c r="M257" t="s">
        <v>1460</v>
      </c>
      <c r="N257">
        <v>12</v>
      </c>
      <c r="O257" t="s">
        <v>1495</v>
      </c>
      <c r="P257" t="s">
        <v>73</v>
      </c>
      <c r="Q257">
        <v>2030</v>
      </c>
      <c r="R257">
        <v>4950</v>
      </c>
      <c r="T257" t="s">
        <v>67</v>
      </c>
      <c r="U257" t="s">
        <v>68</v>
      </c>
      <c r="V257">
        <v>0</v>
      </c>
      <c r="W257" t="s">
        <v>69</v>
      </c>
      <c r="X257" s="5">
        <v>46045</v>
      </c>
      <c r="Y257" t="s">
        <v>74</v>
      </c>
      <c r="Z257" t="s">
        <v>68</v>
      </c>
      <c r="AA257">
        <v>4950</v>
      </c>
      <c r="AB257">
        <v>0</v>
      </c>
      <c r="AC257" t="s">
        <v>744</v>
      </c>
      <c r="AD257" t="s">
        <v>68</v>
      </c>
      <c r="AE257">
        <v>0</v>
      </c>
      <c r="AF257" s="1">
        <v>46045.429432870369</v>
      </c>
      <c r="AG257" s="1">
        <v>46045.429490740738</v>
      </c>
      <c r="AH257">
        <v>1</v>
      </c>
      <c r="AI257">
        <v>1</v>
      </c>
      <c r="AJ257">
        <v>495</v>
      </c>
      <c r="AK257" t="s">
        <v>745</v>
      </c>
      <c r="AL257" t="s">
        <v>77</v>
      </c>
      <c r="AM257" t="s">
        <v>68</v>
      </c>
      <c r="AN257">
        <v>0</v>
      </c>
      <c r="AO257" s="1"/>
      <c r="AP257">
        <v>1</v>
      </c>
      <c r="AQ257">
        <v>0</v>
      </c>
      <c r="AR257">
        <v>0</v>
      </c>
      <c r="AS257" t="s">
        <v>75</v>
      </c>
      <c r="AT257" t="s">
        <v>68</v>
      </c>
      <c r="AU257">
        <v>0</v>
      </c>
      <c r="AV257" t="s">
        <v>68</v>
      </c>
      <c r="AW257">
        <v>0</v>
      </c>
      <c r="AX257" s="1"/>
      <c r="AZ257" t="s">
        <v>68</v>
      </c>
      <c r="BA257" t="s">
        <v>68</v>
      </c>
      <c r="BB257" t="s">
        <v>68</v>
      </c>
      <c r="BC257" t="s">
        <v>68</v>
      </c>
      <c r="BD257">
        <v>0</v>
      </c>
      <c r="BE257" s="1"/>
      <c r="BF257" s="1">
        <v>46045.429432870369</v>
      </c>
      <c r="BG257" t="s">
        <v>68</v>
      </c>
      <c r="BH257" t="s">
        <v>68</v>
      </c>
      <c r="BI257" t="s">
        <v>68</v>
      </c>
      <c r="BJ257" t="s">
        <v>68</v>
      </c>
      <c r="BK257" t="s">
        <v>68</v>
      </c>
      <c r="BL257" t="s">
        <v>68</v>
      </c>
      <c r="BM257" t="s">
        <v>68</v>
      </c>
      <c r="BN257" t="s">
        <v>68</v>
      </c>
      <c r="BO257" t="s">
        <v>96</v>
      </c>
      <c r="BP257">
        <v>0</v>
      </c>
      <c r="BQ257" t="s">
        <v>68</v>
      </c>
      <c r="BR257" t="s">
        <v>68</v>
      </c>
      <c r="BS257" t="s">
        <v>68</v>
      </c>
    </row>
    <row r="258" spans="1:71" x14ac:dyDescent="0.35">
      <c r="A258" t="b">
        <f>ISNUMBER(MATCH(ChargentOrders[[#This Row],[Contract__c]],Contract[Id],0))</f>
        <v>1</v>
      </c>
      <c r="B258">
        <f>IFERROR(INDEX(Contract[CB_Subscription__c],MATCH(ChargentOrders[[#This Row],[Contract__c]],Contract[Id],0)),0)</f>
        <v>0</v>
      </c>
      <c r="C258" t="b">
        <f>ISNUMBER(MATCH(ChargentOrders[[#This Row],[Id]],Claude[Id],0))</f>
        <v>1</v>
      </c>
      <c r="D258" t="b">
        <f>AND(ChargentOrders[[#This Row],[_Contract]],ChargentOrders[[#This Row],[CB Subscription]]=0)</f>
        <v>1</v>
      </c>
      <c r="E258" s="38">
        <f>INDEX(Table5[CUENTA],MATCH(ChargentOrders[[#This Row],[Contract__c]],Table5[SM_Contract__c],0))</f>
        <v>46169</v>
      </c>
      <c r="F258" s="38" t="str">
        <f ca="1">INDEX(Table5[ESTADO],MATCH(ChargentOrders[[#This Row],[Contract__c]],Table5[SM_Contract__c],0))</f>
        <v>DEBE 2</v>
      </c>
      <c r="G258" t="s">
        <v>809</v>
      </c>
      <c r="H258" t="s">
        <v>531</v>
      </c>
      <c r="I258" t="s">
        <v>810</v>
      </c>
      <c r="J258" s="1">
        <v>46044.575787037036</v>
      </c>
      <c r="K258">
        <v>4</v>
      </c>
      <c r="L258">
        <v>2029</v>
      </c>
      <c r="M258" t="s">
        <v>1419</v>
      </c>
      <c r="N258">
        <v>4</v>
      </c>
      <c r="O258" t="s">
        <v>1505</v>
      </c>
      <c r="P258" t="s">
        <v>73</v>
      </c>
      <c r="Q258">
        <v>2029</v>
      </c>
      <c r="R258">
        <v>0</v>
      </c>
      <c r="T258" t="s">
        <v>67</v>
      </c>
      <c r="U258" t="s">
        <v>68</v>
      </c>
      <c r="V258">
        <v>0</v>
      </c>
      <c r="W258" t="s">
        <v>69</v>
      </c>
      <c r="X258" s="5"/>
      <c r="Y258" t="s">
        <v>68</v>
      </c>
      <c r="Z258" t="s">
        <v>68</v>
      </c>
      <c r="AA258">
        <v>0</v>
      </c>
      <c r="AC258" t="s">
        <v>811</v>
      </c>
      <c r="AD258" t="s">
        <v>68</v>
      </c>
      <c r="AE258">
        <v>0</v>
      </c>
      <c r="AF258" s="1"/>
      <c r="AG258" s="1">
        <v>46044.575856481482</v>
      </c>
      <c r="AH258">
        <v>0</v>
      </c>
      <c r="AI258">
        <v>1</v>
      </c>
      <c r="AJ258">
        <v>0</v>
      </c>
      <c r="AK258" t="s">
        <v>812</v>
      </c>
      <c r="AL258" t="s">
        <v>68</v>
      </c>
      <c r="AM258" t="s">
        <v>68</v>
      </c>
      <c r="AN258">
        <v>0</v>
      </c>
      <c r="AO258" s="1"/>
      <c r="AP258">
        <v>1</v>
      </c>
      <c r="AS258" t="s">
        <v>75</v>
      </c>
      <c r="AT258" t="s">
        <v>68</v>
      </c>
      <c r="AU258">
        <v>0</v>
      </c>
      <c r="AV258" t="s">
        <v>68</v>
      </c>
      <c r="AW258">
        <v>1</v>
      </c>
      <c r="AX258" s="1"/>
      <c r="AZ258" t="s">
        <v>68</v>
      </c>
      <c r="BA258" t="s">
        <v>68</v>
      </c>
      <c r="BB258" t="s">
        <v>68</v>
      </c>
      <c r="BC258" t="s">
        <v>68</v>
      </c>
      <c r="BD258">
        <v>0</v>
      </c>
      <c r="BE258" s="1"/>
      <c r="BF258" s="1">
        <v>46044.575856481482</v>
      </c>
      <c r="BG258" t="s">
        <v>68</v>
      </c>
      <c r="BH258" t="s">
        <v>68</v>
      </c>
      <c r="BI258" t="s">
        <v>68</v>
      </c>
      <c r="BJ258" t="s">
        <v>68</v>
      </c>
      <c r="BK258" t="s">
        <v>68</v>
      </c>
      <c r="BL258" t="s">
        <v>68</v>
      </c>
      <c r="BM258" t="s">
        <v>68</v>
      </c>
      <c r="BN258" t="s">
        <v>68</v>
      </c>
      <c r="BO258" t="s">
        <v>96</v>
      </c>
      <c r="BP258">
        <v>0</v>
      </c>
      <c r="BQ258" t="s">
        <v>68</v>
      </c>
      <c r="BR258" t="s">
        <v>68</v>
      </c>
      <c r="BS258" t="s">
        <v>68</v>
      </c>
    </row>
    <row r="259" spans="1:71" x14ac:dyDescent="0.35">
      <c r="A259" t="b">
        <f>ISNUMBER(MATCH(ChargentOrders[[#This Row],[Contract__c]],Contract[Id],0))</f>
        <v>1</v>
      </c>
      <c r="B259">
        <f>IFERROR(INDEX(Contract[CB_Subscription__c],MATCH(ChargentOrders[[#This Row],[Contract__c]],Contract[Id],0)),0)</f>
        <v>0</v>
      </c>
      <c r="C259" t="b">
        <f>ISNUMBER(MATCH(ChargentOrders[[#This Row],[Id]],Claude[Id],0))</f>
        <v>1</v>
      </c>
      <c r="D259" t="b">
        <f>AND(ChargentOrders[[#This Row],[_Contract]],ChargentOrders[[#This Row],[CB Subscription]]=0)</f>
        <v>1</v>
      </c>
      <c r="E259" s="38">
        <f>INDEX(Table5[CUENTA],MATCH(ChargentOrders[[#This Row],[Contract__c]],Table5[SM_Contract__c],0))</f>
        <v>46169</v>
      </c>
      <c r="F259" s="38" t="str">
        <f ca="1">INDEX(Table5[ESTADO],MATCH(ChargentOrders[[#This Row],[Contract__c]],Table5[SM_Contract__c],0))</f>
        <v>DEBE 2</v>
      </c>
      <c r="G259" t="s">
        <v>813</v>
      </c>
      <c r="H259" t="s">
        <v>531</v>
      </c>
      <c r="I259" t="s">
        <v>814</v>
      </c>
      <c r="J259" s="1">
        <v>46044.578865740739</v>
      </c>
      <c r="K259">
        <v>4</v>
      </c>
      <c r="L259">
        <v>2029</v>
      </c>
      <c r="M259" t="s">
        <v>1419</v>
      </c>
      <c r="N259">
        <v>4</v>
      </c>
      <c r="O259" t="s">
        <v>1505</v>
      </c>
      <c r="P259" t="s">
        <v>73</v>
      </c>
      <c r="Q259">
        <v>2029</v>
      </c>
      <c r="R259">
        <v>9900</v>
      </c>
      <c r="T259" t="s">
        <v>67</v>
      </c>
      <c r="U259" t="s">
        <v>68</v>
      </c>
      <c r="V259">
        <v>0</v>
      </c>
      <c r="W259" t="s">
        <v>69</v>
      </c>
      <c r="X259" s="5">
        <v>46049</v>
      </c>
      <c r="Y259" t="s">
        <v>74</v>
      </c>
      <c r="Z259" t="s">
        <v>68</v>
      </c>
      <c r="AA259">
        <v>9900</v>
      </c>
      <c r="AB259">
        <v>0</v>
      </c>
      <c r="AC259" t="s">
        <v>811</v>
      </c>
      <c r="AD259" t="s">
        <v>68</v>
      </c>
      <c r="AE259">
        <v>0</v>
      </c>
      <c r="AF259" s="1">
        <v>46049.417349537034</v>
      </c>
      <c r="AG259" s="1">
        <v>46049.417361111111</v>
      </c>
      <c r="AH259">
        <v>1</v>
      </c>
      <c r="AI259">
        <v>1</v>
      </c>
      <c r="AJ259">
        <v>990</v>
      </c>
      <c r="AK259" t="s">
        <v>812</v>
      </c>
      <c r="AL259" t="s">
        <v>77</v>
      </c>
      <c r="AM259" t="s">
        <v>68</v>
      </c>
      <c r="AN259">
        <v>0</v>
      </c>
      <c r="AO259" s="1"/>
      <c r="AP259">
        <v>1</v>
      </c>
      <c r="AQ259">
        <v>0</v>
      </c>
      <c r="AR259">
        <v>0</v>
      </c>
      <c r="AS259" t="s">
        <v>75</v>
      </c>
      <c r="AT259" t="s">
        <v>68</v>
      </c>
      <c r="AU259">
        <v>0</v>
      </c>
      <c r="AV259" t="s">
        <v>68</v>
      </c>
      <c r="AW259">
        <v>0</v>
      </c>
      <c r="AX259" s="1"/>
      <c r="AZ259" t="s">
        <v>68</v>
      </c>
      <c r="BA259" t="s">
        <v>68</v>
      </c>
      <c r="BB259" t="s">
        <v>68</v>
      </c>
      <c r="BC259" t="s">
        <v>68</v>
      </c>
      <c r="BD259">
        <v>0</v>
      </c>
      <c r="BE259" s="1"/>
      <c r="BF259" s="1">
        <v>46049.417349537034</v>
      </c>
      <c r="BG259" t="s">
        <v>68</v>
      </c>
      <c r="BH259" t="s">
        <v>68</v>
      </c>
      <c r="BI259" t="s">
        <v>68</v>
      </c>
      <c r="BJ259" t="s">
        <v>68</v>
      </c>
      <c r="BK259" t="s">
        <v>68</v>
      </c>
      <c r="BL259" t="s">
        <v>68</v>
      </c>
      <c r="BM259" t="s">
        <v>68</v>
      </c>
      <c r="BN259" t="s">
        <v>68</v>
      </c>
      <c r="BO259" t="s">
        <v>96</v>
      </c>
      <c r="BP259">
        <v>0</v>
      </c>
      <c r="BQ259" t="s">
        <v>68</v>
      </c>
      <c r="BR259" t="s">
        <v>68</v>
      </c>
      <c r="BS259" t="s">
        <v>68</v>
      </c>
    </row>
    <row r="260" spans="1:71" x14ac:dyDescent="0.35">
      <c r="A260" t="b">
        <f>ISNUMBER(MATCH(ChargentOrders[[#This Row],[Contract__c]],Contract[Id],0))</f>
        <v>1</v>
      </c>
      <c r="B260">
        <f>IFERROR(INDEX(Contract[CB_Subscription__c],MATCH(ChargentOrders[[#This Row],[Contract__c]],Contract[Id],0)),0)</f>
        <v>0</v>
      </c>
      <c r="C260" t="b">
        <f>ISNUMBER(MATCH(ChargentOrders[[#This Row],[Id]],Claude[Id],0))</f>
        <v>1</v>
      </c>
      <c r="D260" t="b">
        <f>AND(ChargentOrders[[#This Row],[_Contract]],ChargentOrders[[#This Row],[CB Subscription]]=0)</f>
        <v>1</v>
      </c>
      <c r="E260" s="38">
        <f>INDEX(Table5[CUENTA],MATCH(ChargentOrders[[#This Row],[Contract__c]],Table5[SM_Contract__c],0))</f>
        <v>46169</v>
      </c>
      <c r="F260" s="38" t="str">
        <f ca="1">INDEX(Table5[ESTADO],MATCH(ChargentOrders[[#This Row],[Contract__c]],Table5[SM_Contract__c],0))</f>
        <v>DEBE 2</v>
      </c>
      <c r="G260" t="s">
        <v>824</v>
      </c>
      <c r="H260" t="s">
        <v>81</v>
      </c>
      <c r="I260" t="s">
        <v>825</v>
      </c>
      <c r="J260" s="1">
        <v>46045.429502314815</v>
      </c>
      <c r="K260">
        <v>12</v>
      </c>
      <c r="L260">
        <v>2030</v>
      </c>
      <c r="M260" t="s">
        <v>1460</v>
      </c>
      <c r="N260">
        <v>12</v>
      </c>
      <c r="O260" t="s">
        <v>1495</v>
      </c>
      <c r="P260" t="s">
        <v>73</v>
      </c>
      <c r="Q260">
        <v>2030</v>
      </c>
      <c r="R260">
        <v>9900</v>
      </c>
      <c r="S260">
        <v>29</v>
      </c>
      <c r="T260" t="s">
        <v>67</v>
      </c>
      <c r="U260" t="s">
        <v>68</v>
      </c>
      <c r="V260">
        <v>0</v>
      </c>
      <c r="W260" t="s">
        <v>69</v>
      </c>
      <c r="X260" s="5">
        <v>46171</v>
      </c>
      <c r="Y260" t="s">
        <v>613</v>
      </c>
      <c r="Z260" t="s">
        <v>68</v>
      </c>
      <c r="AA260">
        <v>9900</v>
      </c>
      <c r="AB260">
        <v>0</v>
      </c>
      <c r="AC260" t="s">
        <v>744</v>
      </c>
      <c r="AD260" t="s">
        <v>68</v>
      </c>
      <c r="AE260">
        <v>0</v>
      </c>
      <c r="AF260" s="1">
        <v>46111.426342592589</v>
      </c>
      <c r="AG260" s="1">
        <v>46111.426423611112</v>
      </c>
      <c r="AH260">
        <v>2</v>
      </c>
      <c r="AI260">
        <v>3</v>
      </c>
      <c r="AJ260">
        <v>1980</v>
      </c>
      <c r="AK260" t="s">
        <v>745</v>
      </c>
      <c r="AL260" t="s">
        <v>76</v>
      </c>
      <c r="AM260" t="s">
        <v>68</v>
      </c>
      <c r="AN260">
        <v>0</v>
      </c>
      <c r="AO260" s="1"/>
      <c r="AP260">
        <v>4</v>
      </c>
      <c r="AQ260">
        <v>0</v>
      </c>
      <c r="AR260">
        <v>0</v>
      </c>
      <c r="AS260" t="s">
        <v>75</v>
      </c>
      <c r="AT260" t="s">
        <v>68</v>
      </c>
      <c r="AU260">
        <v>0</v>
      </c>
      <c r="AV260" t="s">
        <v>68</v>
      </c>
      <c r="AW260">
        <v>0</v>
      </c>
      <c r="AX260" s="1"/>
      <c r="AZ260" t="s">
        <v>68</v>
      </c>
      <c r="BA260" t="s">
        <v>68</v>
      </c>
      <c r="BB260" t="s">
        <v>68</v>
      </c>
      <c r="BC260" t="s">
        <v>68</v>
      </c>
      <c r="BD260">
        <v>0</v>
      </c>
      <c r="BE260" s="1">
        <v>46142.425451388888</v>
      </c>
      <c r="BF260" s="1">
        <v>46142.425451388888</v>
      </c>
      <c r="BG260" t="s">
        <v>68</v>
      </c>
      <c r="BH260" t="s">
        <v>68</v>
      </c>
      <c r="BI260" t="s">
        <v>68</v>
      </c>
      <c r="BJ260" t="s">
        <v>68</v>
      </c>
      <c r="BK260" t="s">
        <v>68</v>
      </c>
      <c r="BL260" t="s">
        <v>68</v>
      </c>
      <c r="BM260" t="s">
        <v>68</v>
      </c>
      <c r="BN260" t="s">
        <v>68</v>
      </c>
      <c r="BO260" t="s">
        <v>96</v>
      </c>
      <c r="BP260">
        <v>0</v>
      </c>
      <c r="BQ260" t="s">
        <v>68</v>
      </c>
      <c r="BR260" t="s">
        <v>68</v>
      </c>
      <c r="BS260" t="s">
        <v>68</v>
      </c>
    </row>
    <row r="261" spans="1:71" x14ac:dyDescent="0.35">
      <c r="A261" t="b">
        <f>ISNUMBER(MATCH(ChargentOrders[[#This Row],[Contract__c]],Contract[Id],0))</f>
        <v>1</v>
      </c>
      <c r="B261">
        <f>IFERROR(INDEX(Contract[CB_Subscription__c],MATCH(ChargentOrders[[#This Row],[Contract__c]],Contract[Id],0)),0)</f>
        <v>0</v>
      </c>
      <c r="C261" t="b">
        <f>ISNUMBER(MATCH(ChargentOrders[[#This Row],[Id]],Claude[Id],0))</f>
        <v>1</v>
      </c>
      <c r="D261" t="b">
        <f>AND(ChargentOrders[[#This Row],[_Contract]],ChargentOrders[[#This Row],[CB Subscription]]=0)</f>
        <v>1</v>
      </c>
      <c r="E261" s="38">
        <f>INDEX(Table5[CUENTA],MATCH(ChargentOrders[[#This Row],[Contract__c]],Table5[SM_Contract__c],0))</f>
        <v>46169</v>
      </c>
      <c r="F261" s="38" t="str">
        <f ca="1">INDEX(Table5[ESTADO],MATCH(ChargentOrders[[#This Row],[Contract__c]],Table5[SM_Contract__c],0))</f>
        <v>DEBE 2</v>
      </c>
      <c r="G261" t="s">
        <v>842</v>
      </c>
      <c r="H261" t="s">
        <v>531</v>
      </c>
      <c r="I261" t="s">
        <v>843</v>
      </c>
      <c r="J261" s="1">
        <v>46049.417384259257</v>
      </c>
      <c r="K261">
        <v>4</v>
      </c>
      <c r="L261">
        <v>2029</v>
      </c>
      <c r="M261" t="s">
        <v>1419</v>
      </c>
      <c r="N261">
        <v>4</v>
      </c>
      <c r="O261" t="s">
        <v>1419</v>
      </c>
      <c r="P261" t="s">
        <v>73</v>
      </c>
      <c r="Q261">
        <v>2029</v>
      </c>
      <c r="R261">
        <v>9900</v>
      </c>
      <c r="S261">
        <v>27</v>
      </c>
      <c r="T261" t="s">
        <v>67</v>
      </c>
      <c r="U261" t="s">
        <v>68</v>
      </c>
      <c r="V261">
        <v>0</v>
      </c>
      <c r="W261" t="s">
        <v>69</v>
      </c>
      <c r="X261" s="5">
        <v>46169</v>
      </c>
      <c r="Y261" t="s">
        <v>613</v>
      </c>
      <c r="Z261" t="s">
        <v>68</v>
      </c>
      <c r="AA261">
        <v>9900</v>
      </c>
      <c r="AB261">
        <v>0</v>
      </c>
      <c r="AC261" t="s">
        <v>811</v>
      </c>
      <c r="AD261" t="s">
        <v>68</v>
      </c>
      <c r="AE261">
        <v>0</v>
      </c>
      <c r="AF261" s="1"/>
      <c r="AG261" s="1"/>
      <c r="AH261">
        <v>0</v>
      </c>
      <c r="AI261">
        <v>3</v>
      </c>
      <c r="AJ261">
        <v>0</v>
      </c>
      <c r="AK261" t="s">
        <v>812</v>
      </c>
      <c r="AL261" t="s">
        <v>76</v>
      </c>
      <c r="AM261" t="s">
        <v>68</v>
      </c>
      <c r="AN261">
        <v>0</v>
      </c>
      <c r="AO261" s="1"/>
      <c r="AP261">
        <v>4</v>
      </c>
      <c r="AQ261">
        <v>0</v>
      </c>
      <c r="AR261">
        <v>0</v>
      </c>
      <c r="AS261" t="s">
        <v>75</v>
      </c>
      <c r="AT261" t="s">
        <v>68</v>
      </c>
      <c r="AU261">
        <v>0</v>
      </c>
      <c r="AV261" t="s">
        <v>68</v>
      </c>
      <c r="AW261">
        <v>0</v>
      </c>
      <c r="AX261" s="1"/>
      <c r="AZ261" t="s">
        <v>68</v>
      </c>
      <c r="BA261" t="s">
        <v>68</v>
      </c>
      <c r="BB261" t="s">
        <v>68</v>
      </c>
      <c r="BC261" t="s">
        <v>68</v>
      </c>
      <c r="BD261">
        <v>0</v>
      </c>
      <c r="BE261" s="1">
        <v>46139.419745370367</v>
      </c>
      <c r="BF261" s="1">
        <v>46139.419745370367</v>
      </c>
      <c r="BG261" t="s">
        <v>68</v>
      </c>
      <c r="BH261" t="s">
        <v>68</v>
      </c>
      <c r="BI261" t="s">
        <v>68</v>
      </c>
      <c r="BJ261" t="s">
        <v>68</v>
      </c>
      <c r="BK261" t="s">
        <v>68</v>
      </c>
      <c r="BL261" t="s">
        <v>68</v>
      </c>
      <c r="BM261" t="s">
        <v>68</v>
      </c>
      <c r="BN261" t="s">
        <v>68</v>
      </c>
      <c r="BO261" t="s">
        <v>96</v>
      </c>
      <c r="BP261">
        <v>0</v>
      </c>
      <c r="BQ261" t="s">
        <v>68</v>
      </c>
      <c r="BR261" t="s">
        <v>68</v>
      </c>
      <c r="BS261" t="s">
        <v>68</v>
      </c>
    </row>
    <row r="262" spans="1:71" x14ac:dyDescent="0.35">
      <c r="A262" t="b">
        <f>ISNUMBER(MATCH(ChargentOrders[[#This Row],[Contract__c]],Contract[Id],0))</f>
        <v>1</v>
      </c>
      <c r="B262">
        <f>IFERROR(INDEX(Contract[CB_Subscription__c],MATCH(ChargentOrders[[#This Row],[Contract__c]],Contract[Id],0)),0)</f>
        <v>0</v>
      </c>
      <c r="C262" t="b">
        <f>ISNUMBER(MATCH(ChargentOrders[[#This Row],[Id]],Claude[Id],0))</f>
        <v>1</v>
      </c>
      <c r="D262" t="b">
        <f>AND(ChargentOrders[[#This Row],[_Contract]],ChargentOrders[[#This Row],[CB Subscription]]=0)</f>
        <v>1</v>
      </c>
      <c r="E262" s="38">
        <f>INDEX(Table5[CUENTA],MATCH(ChargentOrders[[#This Row],[Contract__c]],Table5[SM_Contract__c],0))</f>
        <v>46169</v>
      </c>
      <c r="F262" s="38" t="str">
        <f ca="1">INDEX(Table5[ESTADO],MATCH(ChargentOrders[[#This Row],[Contract__c]],Table5[SM_Contract__c],0))</f>
        <v>DEBE 2</v>
      </c>
      <c r="G262" t="s">
        <v>904</v>
      </c>
      <c r="H262" t="s">
        <v>531</v>
      </c>
      <c r="I262" t="s">
        <v>905</v>
      </c>
      <c r="J262" s="1">
        <v>46052.435081018521</v>
      </c>
      <c r="K262">
        <v>1</v>
      </c>
      <c r="L262">
        <v>2029</v>
      </c>
      <c r="M262" t="s">
        <v>1484</v>
      </c>
      <c r="N262">
        <v>1</v>
      </c>
      <c r="O262" t="s">
        <v>1485</v>
      </c>
      <c r="P262" t="s">
        <v>66</v>
      </c>
      <c r="Q262">
        <v>2029</v>
      </c>
      <c r="R262">
        <v>11900</v>
      </c>
      <c r="S262">
        <v>27</v>
      </c>
      <c r="T262" t="s">
        <v>98</v>
      </c>
      <c r="U262" t="s">
        <v>68</v>
      </c>
      <c r="V262">
        <v>0</v>
      </c>
      <c r="W262" t="s">
        <v>69</v>
      </c>
      <c r="X262" s="5">
        <v>46080</v>
      </c>
      <c r="Y262" t="s">
        <v>613</v>
      </c>
      <c r="Z262" t="s">
        <v>68</v>
      </c>
      <c r="AA262">
        <v>11900</v>
      </c>
      <c r="AB262">
        <v>0</v>
      </c>
      <c r="AC262" t="s">
        <v>644</v>
      </c>
      <c r="AD262" t="s">
        <v>68</v>
      </c>
      <c r="AE262">
        <v>0</v>
      </c>
      <c r="AF262" s="1">
        <v>46139.420335648145</v>
      </c>
      <c r="AG262" s="1">
        <v>46139.420370370368</v>
      </c>
      <c r="AH262">
        <v>3</v>
      </c>
      <c r="AI262">
        <v>3</v>
      </c>
      <c r="AJ262">
        <v>3570</v>
      </c>
      <c r="AK262" t="s">
        <v>645</v>
      </c>
      <c r="AL262" t="s">
        <v>76</v>
      </c>
      <c r="AM262" t="s">
        <v>68</v>
      </c>
      <c r="AN262">
        <v>0</v>
      </c>
      <c r="AO262" s="1"/>
      <c r="AP262">
        <v>4</v>
      </c>
      <c r="AQ262">
        <v>0</v>
      </c>
      <c r="AR262">
        <v>0</v>
      </c>
      <c r="AS262" t="s">
        <v>75</v>
      </c>
      <c r="AT262" t="s">
        <v>68</v>
      </c>
      <c r="AU262">
        <v>0</v>
      </c>
      <c r="AV262" t="s">
        <v>68</v>
      </c>
      <c r="AW262">
        <v>0</v>
      </c>
      <c r="AX262" s="1"/>
      <c r="AZ262" t="s">
        <v>68</v>
      </c>
      <c r="BA262" t="s">
        <v>68</v>
      </c>
      <c r="BB262" t="s">
        <v>68</v>
      </c>
      <c r="BC262" t="s">
        <v>68</v>
      </c>
      <c r="BD262">
        <v>0</v>
      </c>
      <c r="BE262" s="1"/>
      <c r="BF262" s="1">
        <v>46139.420335648145</v>
      </c>
      <c r="BG262" t="s">
        <v>68</v>
      </c>
      <c r="BH262" t="s">
        <v>68</v>
      </c>
      <c r="BI262" t="s">
        <v>68</v>
      </c>
      <c r="BJ262" t="s">
        <v>68</v>
      </c>
      <c r="BK262" t="s">
        <v>68</v>
      </c>
      <c r="BL262" t="s">
        <v>68</v>
      </c>
      <c r="BM262" t="s">
        <v>68</v>
      </c>
      <c r="BN262" t="s">
        <v>68</v>
      </c>
      <c r="BO262" t="s">
        <v>96</v>
      </c>
      <c r="BP262">
        <v>0</v>
      </c>
      <c r="BQ262" t="s">
        <v>68</v>
      </c>
      <c r="BR262" t="s">
        <v>68</v>
      </c>
      <c r="BS262" t="s">
        <v>68</v>
      </c>
    </row>
    <row r="263" spans="1:71" x14ac:dyDescent="0.35">
      <c r="A263" t="b">
        <f>ISNUMBER(MATCH(ChargentOrders[[#This Row],[Contract__c]],Contract[Id],0))</f>
        <v>1</v>
      </c>
      <c r="B263">
        <f>IFERROR(INDEX(Contract[CB_Subscription__c],MATCH(ChargentOrders[[#This Row],[Contract__c]],Contract[Id],0)),0)</f>
        <v>0</v>
      </c>
      <c r="C263" t="b">
        <f>ISNUMBER(MATCH(ChargentOrders[[#This Row],[Id]],Claude[Id],0))</f>
        <v>1</v>
      </c>
      <c r="D263" t="b">
        <f>AND(ChargentOrders[[#This Row],[_Contract]],ChargentOrders[[#This Row],[CB Subscription]]=0)</f>
        <v>1</v>
      </c>
      <c r="E263" s="38">
        <f>INDEX(Table5[CUENTA],MATCH(ChargentOrders[[#This Row],[Contract__c]],Table5[SM_Contract__c],0))</f>
        <v>46169</v>
      </c>
      <c r="F263" s="38" t="str">
        <f ca="1">INDEX(Table5[ESTADO],MATCH(ChargentOrders[[#This Row],[Contract__c]],Table5[SM_Contract__c],0))</f>
        <v>DEBE 2</v>
      </c>
      <c r="G263" t="s">
        <v>982</v>
      </c>
      <c r="H263" t="s">
        <v>531</v>
      </c>
      <c r="I263" t="s">
        <v>983</v>
      </c>
      <c r="J263" s="1">
        <v>46080.427928240744</v>
      </c>
      <c r="K263">
        <v>4</v>
      </c>
      <c r="L263">
        <v>2029</v>
      </c>
      <c r="M263" t="s">
        <v>1419</v>
      </c>
      <c r="N263">
        <v>4</v>
      </c>
      <c r="O263" t="s">
        <v>1419</v>
      </c>
      <c r="P263" t="s">
        <v>73</v>
      </c>
      <c r="Q263">
        <v>2029</v>
      </c>
      <c r="R263">
        <v>12400</v>
      </c>
      <c r="T263" t="s">
        <v>67</v>
      </c>
      <c r="U263" t="s">
        <v>68</v>
      </c>
      <c r="V263">
        <v>0</v>
      </c>
      <c r="W263" t="s">
        <v>69</v>
      </c>
      <c r="X263" s="5">
        <v>46094</v>
      </c>
      <c r="Y263" t="s">
        <v>74</v>
      </c>
      <c r="Z263" t="s">
        <v>68</v>
      </c>
      <c r="AA263">
        <v>12400</v>
      </c>
      <c r="AB263">
        <v>0</v>
      </c>
      <c r="AC263" t="s">
        <v>811</v>
      </c>
      <c r="AD263" t="s">
        <v>68</v>
      </c>
      <c r="AE263">
        <v>0</v>
      </c>
      <c r="AF263" s="1">
        <v>46094.429236111115</v>
      </c>
      <c r="AG263" s="1">
        <v>46094.429270833331</v>
      </c>
      <c r="AH263">
        <v>1</v>
      </c>
      <c r="AI263">
        <v>6</v>
      </c>
      <c r="AJ263">
        <v>1240</v>
      </c>
      <c r="AK263" t="s">
        <v>812</v>
      </c>
      <c r="AL263" t="s">
        <v>71</v>
      </c>
      <c r="AM263" t="s">
        <v>68</v>
      </c>
      <c r="AN263">
        <v>0</v>
      </c>
      <c r="AO263" s="1"/>
      <c r="AP263">
        <v>0</v>
      </c>
      <c r="AQ263">
        <v>0</v>
      </c>
      <c r="AR263">
        <v>0</v>
      </c>
      <c r="AS263" t="s">
        <v>72</v>
      </c>
      <c r="AT263" t="s">
        <v>68</v>
      </c>
      <c r="AU263">
        <v>1</v>
      </c>
      <c r="AV263" t="s">
        <v>984</v>
      </c>
      <c r="AW263">
        <v>0</v>
      </c>
      <c r="AX263" s="1">
        <v>46049.417384259257</v>
      </c>
      <c r="AY263">
        <v>2500</v>
      </c>
      <c r="AZ263" t="s">
        <v>68</v>
      </c>
      <c r="BA263" t="s">
        <v>65</v>
      </c>
      <c r="BB263" t="s">
        <v>68</v>
      </c>
      <c r="BC263" t="s">
        <v>68</v>
      </c>
      <c r="BD263">
        <v>0</v>
      </c>
      <c r="BE263" s="1">
        <v>46093.425798611112</v>
      </c>
      <c r="BF263" s="1">
        <v>46094.429236111115</v>
      </c>
      <c r="BG263" t="s">
        <v>68</v>
      </c>
      <c r="BH263" t="s">
        <v>68</v>
      </c>
      <c r="BI263" t="s">
        <v>68</v>
      </c>
      <c r="BJ263" t="s">
        <v>68</v>
      </c>
      <c r="BK263" t="s">
        <v>68</v>
      </c>
      <c r="BL263" t="s">
        <v>68</v>
      </c>
      <c r="BM263" t="s">
        <v>68</v>
      </c>
      <c r="BN263" t="s">
        <v>68</v>
      </c>
      <c r="BO263" t="s">
        <v>96</v>
      </c>
      <c r="BP263">
        <v>0</v>
      </c>
      <c r="BQ263" t="s">
        <v>68</v>
      </c>
      <c r="BR263" t="s">
        <v>68</v>
      </c>
      <c r="BS263" t="s">
        <v>68</v>
      </c>
    </row>
    <row r="264" spans="1:71" x14ac:dyDescent="0.35">
      <c r="A264" t="b">
        <f>ISNUMBER(MATCH(ChargentOrders[[#This Row],[Contract__c]],Contract[Id],0))</f>
        <v>1</v>
      </c>
      <c r="B264">
        <f>IFERROR(INDEX(Contract[CB_Subscription__c],MATCH(ChargentOrders[[#This Row],[Contract__c]],Contract[Id],0)),0)</f>
        <v>0</v>
      </c>
      <c r="C264" t="b">
        <f>ISNUMBER(MATCH(ChargentOrders[[#This Row],[Id]],Claude[Id],0))</f>
        <v>1</v>
      </c>
      <c r="D264" t="b">
        <f>AND(ChargentOrders[[#This Row],[_Contract]],ChargentOrders[[#This Row],[CB Subscription]]=0)</f>
        <v>1</v>
      </c>
      <c r="E264" s="38">
        <f>INDEX(Table5[CUENTA],MATCH(ChargentOrders[[#This Row],[Contract__c]],Table5[SM_Contract__c],0))</f>
        <v>46169</v>
      </c>
      <c r="F264" s="38" t="str">
        <f ca="1">INDEX(Table5[ESTADO],MATCH(ChargentOrders[[#This Row],[Contract__c]],Table5[SM_Contract__c],0))</f>
        <v>DEBE 2</v>
      </c>
      <c r="G264" t="s">
        <v>1013</v>
      </c>
      <c r="H264" t="s">
        <v>531</v>
      </c>
      <c r="I264" t="s">
        <v>1014</v>
      </c>
      <c r="J264" s="1">
        <v>46108.421701388892</v>
      </c>
      <c r="K264">
        <v>4</v>
      </c>
      <c r="L264">
        <v>2029</v>
      </c>
      <c r="M264" t="s">
        <v>1419</v>
      </c>
      <c r="N264">
        <v>4</v>
      </c>
      <c r="O264" t="s">
        <v>1419</v>
      </c>
      <c r="P264" t="s">
        <v>73</v>
      </c>
      <c r="Q264">
        <v>2029</v>
      </c>
      <c r="R264">
        <v>12400</v>
      </c>
      <c r="T264" t="s">
        <v>67</v>
      </c>
      <c r="U264" t="s">
        <v>68</v>
      </c>
      <c r="V264">
        <v>0</v>
      </c>
      <c r="W264" t="s">
        <v>69</v>
      </c>
      <c r="X264" s="5">
        <v>46125</v>
      </c>
      <c r="Y264" t="s">
        <v>74</v>
      </c>
      <c r="Z264" t="s">
        <v>68</v>
      </c>
      <c r="AA264">
        <v>12400</v>
      </c>
      <c r="AB264">
        <v>0</v>
      </c>
      <c r="AC264" t="s">
        <v>811</v>
      </c>
      <c r="AD264" t="s">
        <v>68</v>
      </c>
      <c r="AE264">
        <v>0</v>
      </c>
      <c r="AF264" s="1">
        <v>46125.425312500003</v>
      </c>
      <c r="AG264" s="1">
        <v>46125.425347222219</v>
      </c>
      <c r="AH264">
        <v>1</v>
      </c>
      <c r="AI264">
        <v>7</v>
      </c>
      <c r="AJ264">
        <v>1240</v>
      </c>
      <c r="AK264" t="s">
        <v>812</v>
      </c>
      <c r="AL264" t="s">
        <v>71</v>
      </c>
      <c r="AM264" t="s">
        <v>68</v>
      </c>
      <c r="AN264">
        <v>0</v>
      </c>
      <c r="AO264" s="1"/>
      <c r="AP264">
        <v>0</v>
      </c>
      <c r="AQ264">
        <v>0</v>
      </c>
      <c r="AR264">
        <v>0</v>
      </c>
      <c r="AS264" t="s">
        <v>72</v>
      </c>
      <c r="AT264" t="s">
        <v>68</v>
      </c>
      <c r="AU264">
        <v>1</v>
      </c>
      <c r="AV264" t="s">
        <v>1015</v>
      </c>
      <c r="AW264">
        <v>0</v>
      </c>
      <c r="AX264" s="1">
        <v>46049.417384259257</v>
      </c>
      <c r="AY264">
        <v>2500</v>
      </c>
      <c r="AZ264" t="s">
        <v>68</v>
      </c>
      <c r="BA264" t="s">
        <v>65</v>
      </c>
      <c r="BB264" t="s">
        <v>68</v>
      </c>
      <c r="BC264" t="s">
        <v>68</v>
      </c>
      <c r="BD264">
        <v>0</v>
      </c>
      <c r="BE264" s="1">
        <v>46122.426377314812</v>
      </c>
      <c r="BF264" s="1">
        <v>46125.425312500003</v>
      </c>
      <c r="BG264" t="s">
        <v>68</v>
      </c>
      <c r="BH264" t="s">
        <v>68</v>
      </c>
      <c r="BI264" t="s">
        <v>68</v>
      </c>
      <c r="BJ264" t="s">
        <v>68</v>
      </c>
      <c r="BK264" t="s">
        <v>68</v>
      </c>
      <c r="BL264" t="s">
        <v>68</v>
      </c>
      <c r="BM264" t="s">
        <v>68</v>
      </c>
      <c r="BN264" t="s">
        <v>68</v>
      </c>
      <c r="BO264" t="s">
        <v>96</v>
      </c>
      <c r="BP264">
        <v>0</v>
      </c>
      <c r="BQ264" t="s">
        <v>68</v>
      </c>
      <c r="BR264" t="s">
        <v>68</v>
      </c>
      <c r="BS264" t="s">
        <v>68</v>
      </c>
    </row>
    <row r="265" spans="1:71" x14ac:dyDescent="0.35">
      <c r="A265" t="b">
        <f>ISNUMBER(MATCH(ChargentOrders[[#This Row],[Contract__c]],Contract[Id],0))</f>
        <v>1</v>
      </c>
      <c r="B265">
        <f>IFERROR(INDEX(Contract[CB_Subscription__c],MATCH(ChargentOrders[[#This Row],[Contract__c]],Contract[Id],0)),0)</f>
        <v>0</v>
      </c>
      <c r="C265" t="b">
        <f>ISNUMBER(MATCH(ChargentOrders[[#This Row],[Id]],Claude[Id],0))</f>
        <v>1</v>
      </c>
      <c r="D265" t="b">
        <f>AND(ChargentOrders[[#This Row],[_Contract]],ChargentOrders[[#This Row],[CB Subscription]]=0)</f>
        <v>1</v>
      </c>
      <c r="E265" s="38">
        <f>INDEX(Table5[CUENTA],MATCH(ChargentOrders[[#This Row],[Contract__c]],Table5[SM_Contract__c],0))</f>
        <v>46169</v>
      </c>
      <c r="F265" s="38" t="str">
        <f ca="1">INDEX(Table5[ESTADO],MATCH(ChargentOrders[[#This Row],[Contract__c]],Table5[SM_Contract__c],0))</f>
        <v>DEBE 2</v>
      </c>
      <c r="G265" t="s">
        <v>1098</v>
      </c>
      <c r="H265" t="s">
        <v>531</v>
      </c>
      <c r="I265" t="s">
        <v>1099</v>
      </c>
      <c r="J265" s="1">
        <v>46139.41983796296</v>
      </c>
      <c r="K265">
        <v>4</v>
      </c>
      <c r="L265">
        <v>2029</v>
      </c>
      <c r="M265" t="s">
        <v>1419</v>
      </c>
      <c r="N265">
        <v>4</v>
      </c>
      <c r="O265" t="s">
        <v>1419</v>
      </c>
      <c r="P265" t="s">
        <v>73</v>
      </c>
      <c r="Q265">
        <v>2029</v>
      </c>
      <c r="R265">
        <v>12400</v>
      </c>
      <c r="T265" t="s">
        <v>67</v>
      </c>
      <c r="U265" t="s">
        <v>68</v>
      </c>
      <c r="V265">
        <v>0</v>
      </c>
      <c r="W265" t="s">
        <v>69</v>
      </c>
      <c r="X265" s="5">
        <v>46150</v>
      </c>
      <c r="Y265" t="s">
        <v>74</v>
      </c>
      <c r="Z265" t="s">
        <v>68</v>
      </c>
      <c r="AA265">
        <v>12400</v>
      </c>
      <c r="AB265">
        <v>0</v>
      </c>
      <c r="AC265" t="s">
        <v>811</v>
      </c>
      <c r="AD265" t="s">
        <v>68</v>
      </c>
      <c r="AE265">
        <v>0</v>
      </c>
      <c r="AF265" s="1">
        <v>46150.429756944446</v>
      </c>
      <c r="AG265" s="1">
        <v>46150.429803240739</v>
      </c>
      <c r="AH265">
        <v>1</v>
      </c>
      <c r="AI265">
        <v>5</v>
      </c>
      <c r="AJ265">
        <v>1240</v>
      </c>
      <c r="AK265" t="s">
        <v>812</v>
      </c>
      <c r="AL265" t="s">
        <v>71</v>
      </c>
      <c r="AM265" t="s">
        <v>68</v>
      </c>
      <c r="AN265">
        <v>0</v>
      </c>
      <c r="AO265" s="1"/>
      <c r="AP265">
        <v>0</v>
      </c>
      <c r="AQ265">
        <v>0</v>
      </c>
      <c r="AR265">
        <v>0</v>
      </c>
      <c r="AS265" t="s">
        <v>72</v>
      </c>
      <c r="AT265" t="s">
        <v>68</v>
      </c>
      <c r="AU265">
        <v>1</v>
      </c>
      <c r="AV265" t="s">
        <v>1100</v>
      </c>
      <c r="AW265">
        <v>0</v>
      </c>
      <c r="AX265" s="1">
        <v>46049.417384259257</v>
      </c>
      <c r="AY265">
        <v>2500</v>
      </c>
      <c r="AZ265" t="s">
        <v>68</v>
      </c>
      <c r="BA265" t="s">
        <v>65</v>
      </c>
      <c r="BB265" t="s">
        <v>68</v>
      </c>
      <c r="BC265" t="s">
        <v>68</v>
      </c>
      <c r="BD265">
        <v>0</v>
      </c>
      <c r="BE265" s="1">
        <v>46149.428587962961</v>
      </c>
      <c r="BF265" s="1">
        <v>46150.429756944446</v>
      </c>
      <c r="BG265" t="s">
        <v>68</v>
      </c>
      <c r="BH265" t="s">
        <v>68</v>
      </c>
      <c r="BI265" t="s">
        <v>68</v>
      </c>
      <c r="BJ265" t="s">
        <v>68</v>
      </c>
      <c r="BK265" t="s">
        <v>68</v>
      </c>
      <c r="BL265" t="s">
        <v>68</v>
      </c>
      <c r="BM265" t="s">
        <v>68</v>
      </c>
      <c r="BN265" t="s">
        <v>68</v>
      </c>
      <c r="BO265" t="s">
        <v>96</v>
      </c>
      <c r="BP265">
        <v>0</v>
      </c>
      <c r="BQ265" t="s">
        <v>68</v>
      </c>
      <c r="BR265" t="s">
        <v>68</v>
      </c>
      <c r="BS265" t="s">
        <v>68</v>
      </c>
    </row>
    <row r="266" spans="1:71" x14ac:dyDescent="0.35">
      <c r="A266" t="b">
        <f>ISNUMBER(MATCH(ChargentOrders[[#This Row],[Contract__c]],Contract[Id],0))</f>
        <v>1</v>
      </c>
      <c r="B266">
        <f>IFERROR(INDEX(Contract[CB_Subscription__c],MATCH(ChargentOrders[[#This Row],[Contract__c]],Contract[Id],0)),0)</f>
        <v>0</v>
      </c>
      <c r="C266" t="b">
        <f>ISNUMBER(MATCH(ChargentOrders[[#This Row],[Id]],Claude[Id],0))</f>
        <v>1</v>
      </c>
      <c r="D266" t="b">
        <f>AND(ChargentOrders[[#This Row],[_Contract]],ChargentOrders[[#This Row],[CB Subscription]]=0)</f>
        <v>1</v>
      </c>
      <c r="E266" s="38">
        <f>INDEX(Table5[CUENTA],MATCH(ChargentOrders[[#This Row],[Contract__c]],Table5[SM_Contract__c],0))</f>
        <v>46169</v>
      </c>
      <c r="F266" s="38" t="str">
        <f ca="1">INDEX(Table5[ESTADO],MATCH(ChargentOrders[[#This Row],[Contract__c]],Table5[SM_Contract__c],0))</f>
        <v>DEBE 2</v>
      </c>
      <c r="G266" t="s">
        <v>1158</v>
      </c>
      <c r="H266" t="s">
        <v>81</v>
      </c>
      <c r="I266" t="s">
        <v>1159</v>
      </c>
      <c r="J266" s="1">
        <v>46142.42559027778</v>
      </c>
      <c r="K266">
        <v>12</v>
      </c>
      <c r="L266">
        <v>2030</v>
      </c>
      <c r="M266" t="s">
        <v>1460</v>
      </c>
      <c r="N266">
        <v>12</v>
      </c>
      <c r="O266" t="s">
        <v>1495</v>
      </c>
      <c r="P266" t="s">
        <v>73</v>
      </c>
      <c r="Q266">
        <v>2030</v>
      </c>
      <c r="R266">
        <v>12400</v>
      </c>
      <c r="T266" t="s">
        <v>67</v>
      </c>
      <c r="U266" t="s">
        <v>68</v>
      </c>
      <c r="V266">
        <v>0</v>
      </c>
      <c r="W266" t="s">
        <v>69</v>
      </c>
      <c r="X266" s="5">
        <v>46150</v>
      </c>
      <c r="Y266" t="s">
        <v>74</v>
      </c>
      <c r="Z266" t="s">
        <v>68</v>
      </c>
      <c r="AA266">
        <v>12400</v>
      </c>
      <c r="AB266">
        <v>0</v>
      </c>
      <c r="AC266" t="s">
        <v>744</v>
      </c>
      <c r="AD266" t="s">
        <v>68</v>
      </c>
      <c r="AE266">
        <v>0</v>
      </c>
      <c r="AF266" s="1">
        <v>46150.431828703702</v>
      </c>
      <c r="AG266" s="1">
        <v>46150.431863425925</v>
      </c>
      <c r="AH266">
        <v>1</v>
      </c>
      <c r="AI266">
        <v>4</v>
      </c>
      <c r="AJ266">
        <v>1240</v>
      </c>
      <c r="AK266" t="s">
        <v>745</v>
      </c>
      <c r="AL266" t="s">
        <v>71</v>
      </c>
      <c r="AM266" t="s">
        <v>68</v>
      </c>
      <c r="AN266">
        <v>0</v>
      </c>
      <c r="AO266" s="1"/>
      <c r="AP266">
        <v>0</v>
      </c>
      <c r="AQ266">
        <v>0</v>
      </c>
      <c r="AR266">
        <v>0</v>
      </c>
      <c r="AS266" t="s">
        <v>72</v>
      </c>
      <c r="AT266" t="s">
        <v>68</v>
      </c>
      <c r="AU266">
        <v>1</v>
      </c>
      <c r="AV266" t="s">
        <v>1160</v>
      </c>
      <c r="AW266">
        <v>0</v>
      </c>
      <c r="AX266" s="1">
        <v>46045.429502314815</v>
      </c>
      <c r="AY266">
        <v>2500</v>
      </c>
      <c r="AZ266" t="s">
        <v>68</v>
      </c>
      <c r="BA266" t="s">
        <v>65</v>
      </c>
      <c r="BB266" t="s">
        <v>68</v>
      </c>
      <c r="BC266" t="s">
        <v>68</v>
      </c>
      <c r="BD266">
        <v>0</v>
      </c>
      <c r="BE266" s="1">
        <v>46149.430555555555</v>
      </c>
      <c r="BF266" s="1">
        <v>46150.431828703702</v>
      </c>
      <c r="BG266" t="s">
        <v>68</v>
      </c>
      <c r="BH266" t="s">
        <v>68</v>
      </c>
      <c r="BI266" t="s">
        <v>68</v>
      </c>
      <c r="BJ266" t="s">
        <v>68</v>
      </c>
      <c r="BK266" t="s">
        <v>68</v>
      </c>
      <c r="BL266" t="s">
        <v>68</v>
      </c>
      <c r="BM266" t="s">
        <v>68</v>
      </c>
      <c r="BN266" t="s">
        <v>68</v>
      </c>
      <c r="BO266" t="s">
        <v>96</v>
      </c>
      <c r="BP266">
        <v>0</v>
      </c>
      <c r="BQ266" t="s">
        <v>68</v>
      </c>
      <c r="BR266" t="s">
        <v>68</v>
      </c>
      <c r="BS266" t="s">
        <v>68</v>
      </c>
    </row>
    <row r="267" spans="1:71" x14ac:dyDescent="0.35">
      <c r="A267" t="b">
        <f>ISNUMBER(MATCH(ChargentOrders[[#This Row],[Contract__c]],Contract[Id],0))</f>
        <v>1</v>
      </c>
      <c r="B267">
        <f>IFERROR(INDEX(Contract[CB_Subscription__c],MATCH(ChargentOrders[[#This Row],[Contract__c]],Contract[Id],0)),0)</f>
        <v>0</v>
      </c>
      <c r="C267" t="b">
        <f>ISNUMBER(MATCH(ChargentOrders[[#This Row],[Id]],Claude[Id],0))</f>
        <v>1</v>
      </c>
      <c r="D267" t="b">
        <f>AND(ChargentOrders[[#This Row],[_Contract]],ChargentOrders[[#This Row],[CB Subscription]]=0)</f>
        <v>1</v>
      </c>
      <c r="E267" s="38">
        <f>INDEX(Table5[CUENTA],MATCH(ChargentOrders[[#This Row],[Contract__c]],Table5[SM_Contract__c],0))</f>
        <v>46170</v>
      </c>
      <c r="F267" s="38" t="str">
        <f ca="1">INDEX(Table5[ESTADO],MATCH(ChargentOrders[[#This Row],[Contract__c]],Table5[SM_Contract__c],0))</f>
        <v>DEBE 2</v>
      </c>
      <c r="G267" t="s">
        <v>708</v>
      </c>
      <c r="H267" t="s">
        <v>531</v>
      </c>
      <c r="I267" t="s">
        <v>709</v>
      </c>
      <c r="J267" s="1">
        <v>46029.907986111109</v>
      </c>
      <c r="K267">
        <v>10</v>
      </c>
      <c r="L267">
        <v>2030</v>
      </c>
      <c r="M267" t="s">
        <v>1490</v>
      </c>
      <c r="N267">
        <v>10</v>
      </c>
      <c r="O267" t="s">
        <v>1491</v>
      </c>
      <c r="P267" t="s">
        <v>73</v>
      </c>
      <c r="Q267">
        <v>2030</v>
      </c>
      <c r="R267">
        <v>0</v>
      </c>
      <c r="T267" t="s">
        <v>67</v>
      </c>
      <c r="U267" t="s">
        <v>68</v>
      </c>
      <c r="V267">
        <v>0</v>
      </c>
      <c r="W267" t="s">
        <v>69</v>
      </c>
      <c r="X267" s="5"/>
      <c r="Y267" t="s">
        <v>68</v>
      </c>
      <c r="Z267" t="s">
        <v>68</v>
      </c>
      <c r="AA267">
        <v>0</v>
      </c>
      <c r="AC267" t="s">
        <v>710</v>
      </c>
      <c r="AD267" t="s">
        <v>68</v>
      </c>
      <c r="AE267">
        <v>0</v>
      </c>
      <c r="AF267" s="1"/>
      <c r="AG267" s="1">
        <v>46029.908020833333</v>
      </c>
      <c r="AH267">
        <v>0</v>
      </c>
      <c r="AI267">
        <v>1</v>
      </c>
      <c r="AJ267">
        <v>0</v>
      </c>
      <c r="AK267" t="s">
        <v>711</v>
      </c>
      <c r="AL267" t="s">
        <v>68</v>
      </c>
      <c r="AM267" t="s">
        <v>68</v>
      </c>
      <c r="AN267">
        <v>0</v>
      </c>
      <c r="AO267" s="1"/>
      <c r="AP267">
        <v>1</v>
      </c>
      <c r="AS267" t="s">
        <v>75</v>
      </c>
      <c r="AT267" t="s">
        <v>68</v>
      </c>
      <c r="AU267">
        <v>0</v>
      </c>
      <c r="AV267" t="s">
        <v>68</v>
      </c>
      <c r="AW267">
        <v>1</v>
      </c>
      <c r="AX267" s="1"/>
      <c r="AZ267" t="s">
        <v>68</v>
      </c>
      <c r="BA267" t="s">
        <v>68</v>
      </c>
      <c r="BB267" t="s">
        <v>68</v>
      </c>
      <c r="BC267" t="s">
        <v>68</v>
      </c>
      <c r="BD267">
        <v>0</v>
      </c>
      <c r="BE267" s="1"/>
      <c r="BF267" s="1">
        <v>46029.908020833333</v>
      </c>
      <c r="BG267" t="s">
        <v>68</v>
      </c>
      <c r="BH267" t="s">
        <v>68</v>
      </c>
      <c r="BI267" t="s">
        <v>68</v>
      </c>
      <c r="BJ267" t="s">
        <v>68</v>
      </c>
      <c r="BK267" t="s">
        <v>68</v>
      </c>
      <c r="BL267" t="s">
        <v>68</v>
      </c>
      <c r="BM267" t="s">
        <v>68</v>
      </c>
      <c r="BN267" t="s">
        <v>68</v>
      </c>
      <c r="BO267" t="s">
        <v>96</v>
      </c>
      <c r="BP267">
        <v>0</v>
      </c>
      <c r="BQ267" t="s">
        <v>68</v>
      </c>
      <c r="BR267" t="s">
        <v>68</v>
      </c>
      <c r="BS267" t="s">
        <v>68</v>
      </c>
    </row>
    <row r="268" spans="1:71" x14ac:dyDescent="0.35">
      <c r="A268" t="b">
        <f>ISNUMBER(MATCH(ChargentOrders[[#This Row],[Contract__c]],Contract[Id],0))</f>
        <v>1</v>
      </c>
      <c r="B268">
        <f>IFERROR(INDEX(Contract[CB_Subscription__c],MATCH(ChargentOrders[[#This Row],[Contract__c]],Contract[Id],0)),0)</f>
        <v>0</v>
      </c>
      <c r="C268" t="b">
        <f>ISNUMBER(MATCH(ChargentOrders[[#This Row],[Id]],Claude[Id],0))</f>
        <v>1</v>
      </c>
      <c r="D268" t="b">
        <f>AND(ChargentOrders[[#This Row],[_Contract]],ChargentOrders[[#This Row],[CB Subscription]]=0)</f>
        <v>1</v>
      </c>
      <c r="E268" s="38">
        <f>INDEX(Table5[CUENTA],MATCH(ChargentOrders[[#This Row],[Contract__c]],Table5[SM_Contract__c],0))</f>
        <v>46170</v>
      </c>
      <c r="F268" s="38" t="str">
        <f ca="1">INDEX(Table5[ESTADO],MATCH(ChargentOrders[[#This Row],[Contract__c]],Table5[SM_Contract__c],0))</f>
        <v>DEBE 2</v>
      </c>
      <c r="G268" t="s">
        <v>712</v>
      </c>
      <c r="H268" t="s">
        <v>531</v>
      </c>
      <c r="I268" t="s">
        <v>713</v>
      </c>
      <c r="J268" s="1">
        <v>46029.911597222221</v>
      </c>
      <c r="K268">
        <v>10</v>
      </c>
      <c r="L268">
        <v>2030</v>
      </c>
      <c r="M268" t="s">
        <v>1490</v>
      </c>
      <c r="N268">
        <v>10</v>
      </c>
      <c r="O268" t="s">
        <v>1491</v>
      </c>
      <c r="P268" t="s">
        <v>73</v>
      </c>
      <c r="Q268">
        <v>2030</v>
      </c>
      <c r="R268">
        <v>9900</v>
      </c>
      <c r="T268" t="s">
        <v>67</v>
      </c>
      <c r="U268" t="s">
        <v>68</v>
      </c>
      <c r="V268">
        <v>0</v>
      </c>
      <c r="W268" t="s">
        <v>69</v>
      </c>
      <c r="X268" s="5">
        <v>46052</v>
      </c>
      <c r="Y268" t="s">
        <v>74</v>
      </c>
      <c r="Z268" t="s">
        <v>68</v>
      </c>
      <c r="AA268">
        <v>9900</v>
      </c>
      <c r="AB268">
        <v>0</v>
      </c>
      <c r="AC268" t="s">
        <v>710</v>
      </c>
      <c r="AD268" t="s">
        <v>68</v>
      </c>
      <c r="AE268">
        <v>0</v>
      </c>
      <c r="AF268" s="1">
        <v>46052.438692129632</v>
      </c>
      <c r="AG268" s="1">
        <v>46052.438726851855</v>
      </c>
      <c r="AH268">
        <v>1</v>
      </c>
      <c r="AI268">
        <v>1</v>
      </c>
      <c r="AJ268">
        <v>990</v>
      </c>
      <c r="AK268" t="s">
        <v>711</v>
      </c>
      <c r="AL268" t="s">
        <v>77</v>
      </c>
      <c r="AM268" t="s">
        <v>68</v>
      </c>
      <c r="AN268">
        <v>0</v>
      </c>
      <c r="AO268" s="1"/>
      <c r="AP268">
        <v>1</v>
      </c>
      <c r="AQ268">
        <v>0</v>
      </c>
      <c r="AR268">
        <v>0</v>
      </c>
      <c r="AS268" t="s">
        <v>75</v>
      </c>
      <c r="AT268" t="s">
        <v>68</v>
      </c>
      <c r="AU268">
        <v>0</v>
      </c>
      <c r="AV268" t="s">
        <v>68</v>
      </c>
      <c r="AW268">
        <v>0</v>
      </c>
      <c r="AX268" s="1"/>
      <c r="AZ268" t="s">
        <v>68</v>
      </c>
      <c r="BA268" t="s">
        <v>68</v>
      </c>
      <c r="BB268" t="s">
        <v>68</v>
      </c>
      <c r="BC268" t="s">
        <v>68</v>
      </c>
      <c r="BD268">
        <v>0</v>
      </c>
      <c r="BE268" s="1"/>
      <c r="BF268" s="1">
        <v>46052.438692129632</v>
      </c>
      <c r="BG268" t="s">
        <v>68</v>
      </c>
      <c r="BH268" t="s">
        <v>68</v>
      </c>
      <c r="BI268" t="s">
        <v>68</v>
      </c>
      <c r="BJ268" t="s">
        <v>68</v>
      </c>
      <c r="BK268" t="s">
        <v>68</v>
      </c>
      <c r="BL268" t="s">
        <v>68</v>
      </c>
      <c r="BM268" t="s">
        <v>68</v>
      </c>
      <c r="BN268" t="s">
        <v>68</v>
      </c>
      <c r="BO268" t="s">
        <v>96</v>
      </c>
      <c r="BP268">
        <v>0</v>
      </c>
      <c r="BQ268" t="s">
        <v>68</v>
      </c>
      <c r="BR268" t="s">
        <v>68</v>
      </c>
      <c r="BS268" t="s">
        <v>68</v>
      </c>
    </row>
    <row r="269" spans="1:71" x14ac:dyDescent="0.35">
      <c r="A269" t="b">
        <f>ISNUMBER(MATCH(ChargentOrders[[#This Row],[Contract__c]],Contract[Id],0))</f>
        <v>1</v>
      </c>
      <c r="B269">
        <f>IFERROR(INDEX(Contract[CB_Subscription__c],MATCH(ChargentOrders[[#This Row],[Contract__c]],Contract[Id],0)),0)</f>
        <v>0</v>
      </c>
      <c r="C269" t="b">
        <f>ISNUMBER(MATCH(ChargentOrders[[#This Row],[Id]],Claude[Id],0))</f>
        <v>1</v>
      </c>
      <c r="D269" t="b">
        <f>AND(ChargentOrders[[#This Row],[_Contract]],ChargentOrders[[#This Row],[CB Subscription]]=0)</f>
        <v>1</v>
      </c>
      <c r="E269" s="38">
        <f>INDEX(Table5[CUENTA],MATCH(ChargentOrders[[#This Row],[Contract__c]],Table5[SM_Contract__c],0))</f>
        <v>46170</v>
      </c>
      <c r="F269" s="38" t="str">
        <f ca="1">INDEX(Table5[ESTADO],MATCH(ChargentOrders[[#This Row],[Contract__c]],Table5[SM_Contract__c],0))</f>
        <v>DEBE 2</v>
      </c>
      <c r="G269" t="s">
        <v>776</v>
      </c>
      <c r="H269" t="s">
        <v>81</v>
      </c>
      <c r="I269" t="s">
        <v>777</v>
      </c>
      <c r="J269" s="1">
        <v>46039.597430555557</v>
      </c>
      <c r="K269">
        <v>11</v>
      </c>
      <c r="L269">
        <v>2029</v>
      </c>
      <c r="M269" t="s">
        <v>1502</v>
      </c>
      <c r="N269">
        <v>11</v>
      </c>
      <c r="O269" t="s">
        <v>1503</v>
      </c>
      <c r="P269" t="s">
        <v>73</v>
      </c>
      <c r="Q269">
        <v>2029</v>
      </c>
      <c r="R269">
        <v>0</v>
      </c>
      <c r="T269" t="s">
        <v>67</v>
      </c>
      <c r="U269" t="s">
        <v>68</v>
      </c>
      <c r="V269">
        <v>0</v>
      </c>
      <c r="W269" t="s">
        <v>69</v>
      </c>
      <c r="X269" s="5"/>
      <c r="Y269" t="s">
        <v>68</v>
      </c>
      <c r="Z269" t="s">
        <v>68</v>
      </c>
      <c r="AA269">
        <v>0</v>
      </c>
      <c r="AC269" t="s">
        <v>778</v>
      </c>
      <c r="AD269" t="s">
        <v>68</v>
      </c>
      <c r="AE269">
        <v>0</v>
      </c>
      <c r="AF269" s="1"/>
      <c r="AG269" s="1">
        <v>46039.597453703704</v>
      </c>
      <c r="AH269">
        <v>0</v>
      </c>
      <c r="AI269">
        <v>1</v>
      </c>
      <c r="AJ269">
        <v>0</v>
      </c>
      <c r="AK269" t="s">
        <v>779</v>
      </c>
      <c r="AL269" t="s">
        <v>68</v>
      </c>
      <c r="AM269" t="s">
        <v>68</v>
      </c>
      <c r="AN269">
        <v>0</v>
      </c>
      <c r="AO269" s="1"/>
      <c r="AP269">
        <v>1</v>
      </c>
      <c r="AS269" t="s">
        <v>75</v>
      </c>
      <c r="AT269" t="s">
        <v>68</v>
      </c>
      <c r="AU269">
        <v>0</v>
      </c>
      <c r="AV269" t="s">
        <v>68</v>
      </c>
      <c r="AW269">
        <v>1</v>
      </c>
      <c r="AX269" s="1"/>
      <c r="AZ269" t="s">
        <v>68</v>
      </c>
      <c r="BA269" t="s">
        <v>68</v>
      </c>
      <c r="BB269" t="s">
        <v>68</v>
      </c>
      <c r="BC269" t="s">
        <v>68</v>
      </c>
      <c r="BD269">
        <v>0</v>
      </c>
      <c r="BE269" s="1"/>
      <c r="BF269" s="1">
        <v>46039.597453703704</v>
      </c>
      <c r="BG269" t="s">
        <v>68</v>
      </c>
      <c r="BH269" t="s">
        <v>68</v>
      </c>
      <c r="BI269" t="s">
        <v>68</v>
      </c>
      <c r="BJ269" t="s">
        <v>68</v>
      </c>
      <c r="BK269" t="s">
        <v>68</v>
      </c>
      <c r="BL269" t="s">
        <v>68</v>
      </c>
      <c r="BM269" t="s">
        <v>68</v>
      </c>
      <c r="BN269" t="s">
        <v>68</v>
      </c>
      <c r="BO269" t="s">
        <v>96</v>
      </c>
      <c r="BP269">
        <v>0</v>
      </c>
      <c r="BQ269" t="s">
        <v>68</v>
      </c>
      <c r="BR269" t="s">
        <v>68</v>
      </c>
      <c r="BS269" t="s">
        <v>68</v>
      </c>
    </row>
    <row r="270" spans="1:71" x14ac:dyDescent="0.35">
      <c r="A270" t="b">
        <f>ISNUMBER(MATCH(ChargentOrders[[#This Row],[Contract__c]],Contract[Id],0))</f>
        <v>1</v>
      </c>
      <c r="B270">
        <f>IFERROR(INDEX(Contract[CB_Subscription__c],MATCH(ChargentOrders[[#This Row],[Contract__c]],Contract[Id],0)),0)</f>
        <v>0</v>
      </c>
      <c r="C270" t="b">
        <f>ISNUMBER(MATCH(ChargentOrders[[#This Row],[Id]],Claude[Id],0))</f>
        <v>1</v>
      </c>
      <c r="D270" t="b">
        <f>AND(ChargentOrders[[#This Row],[_Contract]],ChargentOrders[[#This Row],[CB Subscription]]=0)</f>
        <v>1</v>
      </c>
      <c r="E270" s="38">
        <f>INDEX(Table5[CUENTA],MATCH(ChargentOrders[[#This Row],[Contract__c]],Table5[SM_Contract__c],0))</f>
        <v>46170</v>
      </c>
      <c r="F270" s="38" t="str">
        <f ca="1">INDEX(Table5[ESTADO],MATCH(ChargentOrders[[#This Row],[Contract__c]],Table5[SM_Contract__c],0))</f>
        <v>DEBE 2</v>
      </c>
      <c r="G270" t="s">
        <v>780</v>
      </c>
      <c r="H270" t="s">
        <v>81</v>
      </c>
      <c r="I270" t="s">
        <v>781</v>
      </c>
      <c r="J270" s="1">
        <v>46039.598923611113</v>
      </c>
      <c r="K270">
        <v>11</v>
      </c>
      <c r="L270">
        <v>2029</v>
      </c>
      <c r="M270" t="s">
        <v>1502</v>
      </c>
      <c r="N270">
        <v>11</v>
      </c>
      <c r="O270" t="s">
        <v>1503</v>
      </c>
      <c r="P270" t="s">
        <v>73</v>
      </c>
      <c r="Q270">
        <v>2029</v>
      </c>
      <c r="R270">
        <v>9900</v>
      </c>
      <c r="T270" t="s">
        <v>67</v>
      </c>
      <c r="U270" t="s">
        <v>68</v>
      </c>
      <c r="V270">
        <v>0</v>
      </c>
      <c r="W270" t="s">
        <v>69</v>
      </c>
      <c r="X270" s="5">
        <v>46042</v>
      </c>
      <c r="Y270" t="s">
        <v>74</v>
      </c>
      <c r="Z270" t="s">
        <v>68</v>
      </c>
      <c r="AA270">
        <v>9900</v>
      </c>
      <c r="AB270">
        <v>0</v>
      </c>
      <c r="AC270" t="s">
        <v>778</v>
      </c>
      <c r="AD270" t="s">
        <v>68</v>
      </c>
      <c r="AE270">
        <v>0</v>
      </c>
      <c r="AF270" s="1"/>
      <c r="AG270" s="1"/>
      <c r="AH270">
        <v>0</v>
      </c>
      <c r="AI270">
        <v>1</v>
      </c>
      <c r="AJ270">
        <v>0</v>
      </c>
      <c r="AK270" t="s">
        <v>779</v>
      </c>
      <c r="AL270" t="s">
        <v>77</v>
      </c>
      <c r="AM270" t="s">
        <v>68</v>
      </c>
      <c r="AN270">
        <v>0</v>
      </c>
      <c r="AO270" s="1"/>
      <c r="AP270">
        <v>1</v>
      </c>
      <c r="AQ270">
        <v>0</v>
      </c>
      <c r="AR270">
        <v>0</v>
      </c>
      <c r="AS270" t="s">
        <v>75</v>
      </c>
      <c r="AT270" t="s">
        <v>68</v>
      </c>
      <c r="AU270">
        <v>0</v>
      </c>
      <c r="AV270" t="s">
        <v>68</v>
      </c>
      <c r="AW270">
        <v>0</v>
      </c>
      <c r="AX270" s="1"/>
      <c r="AZ270" t="s">
        <v>68</v>
      </c>
      <c r="BA270" t="s">
        <v>68</v>
      </c>
      <c r="BB270" t="s">
        <v>68</v>
      </c>
      <c r="BC270" t="s">
        <v>68</v>
      </c>
      <c r="BD270">
        <v>0</v>
      </c>
      <c r="BE270" s="1">
        <v>46042.418564814812</v>
      </c>
      <c r="BF270" s="1">
        <v>46042.418564814812</v>
      </c>
      <c r="BG270" t="s">
        <v>68</v>
      </c>
      <c r="BH270" t="s">
        <v>68</v>
      </c>
      <c r="BI270" t="s">
        <v>68</v>
      </c>
      <c r="BJ270" t="s">
        <v>68</v>
      </c>
      <c r="BK270" t="s">
        <v>68</v>
      </c>
      <c r="BL270" t="s">
        <v>68</v>
      </c>
      <c r="BM270" t="s">
        <v>68</v>
      </c>
      <c r="BN270" t="s">
        <v>68</v>
      </c>
      <c r="BO270" t="s">
        <v>96</v>
      </c>
      <c r="BP270">
        <v>0</v>
      </c>
      <c r="BQ270" t="s">
        <v>68</v>
      </c>
      <c r="BR270" t="s">
        <v>68</v>
      </c>
      <c r="BS270" t="s">
        <v>68</v>
      </c>
    </row>
    <row r="271" spans="1:71" x14ac:dyDescent="0.35">
      <c r="A271" t="b">
        <f>ISNUMBER(MATCH(ChargentOrders[[#This Row],[Contract__c]],Contract[Id],0))</f>
        <v>1</v>
      </c>
      <c r="B271">
        <f>IFERROR(INDEX(Contract[CB_Subscription__c],MATCH(ChargentOrders[[#This Row],[Contract__c]],Contract[Id],0)),0)</f>
        <v>0</v>
      </c>
      <c r="C271" t="b">
        <f>ISNUMBER(MATCH(ChargentOrders[[#This Row],[Id]],Claude[Id],0))</f>
        <v>1</v>
      </c>
      <c r="D271" t="b">
        <f>AND(ChargentOrders[[#This Row],[_Contract]],ChargentOrders[[#This Row],[CB Subscription]]=0)</f>
        <v>1</v>
      </c>
      <c r="E271" s="38">
        <f>INDEX(Table5[CUENTA],MATCH(ChargentOrders[[#This Row],[Contract__c]],Table5[SM_Contract__c],0))</f>
        <v>46170</v>
      </c>
      <c r="F271" s="38" t="str">
        <f ca="1">INDEX(Table5[ESTADO],MATCH(ChargentOrders[[#This Row],[Contract__c]],Table5[SM_Contract__c],0))</f>
        <v>DEBE 2</v>
      </c>
      <c r="G271" t="s">
        <v>785</v>
      </c>
      <c r="H271" t="s">
        <v>81</v>
      </c>
      <c r="I271" t="s">
        <v>786</v>
      </c>
      <c r="J271" s="1">
        <v>46042.418587962966</v>
      </c>
      <c r="K271">
        <v>11</v>
      </c>
      <c r="L271">
        <v>2029</v>
      </c>
      <c r="M271" t="s">
        <v>1502</v>
      </c>
      <c r="N271">
        <v>11</v>
      </c>
      <c r="O271" t="s">
        <v>1503</v>
      </c>
      <c r="P271" t="s">
        <v>73</v>
      </c>
      <c r="Q271">
        <v>2029</v>
      </c>
      <c r="R271">
        <v>12400</v>
      </c>
      <c r="T271" t="s">
        <v>67</v>
      </c>
      <c r="U271" t="s">
        <v>68</v>
      </c>
      <c r="V271">
        <v>0</v>
      </c>
      <c r="W271" t="s">
        <v>69</v>
      </c>
      <c r="X271" s="5">
        <v>46051</v>
      </c>
      <c r="Y271" t="s">
        <v>74</v>
      </c>
      <c r="Z271" t="s">
        <v>68</v>
      </c>
      <c r="AA271">
        <v>12400</v>
      </c>
      <c r="AB271">
        <v>0</v>
      </c>
      <c r="AC271" t="s">
        <v>778</v>
      </c>
      <c r="AD271" t="s">
        <v>68</v>
      </c>
      <c r="AE271">
        <v>0</v>
      </c>
      <c r="AF271" s="1">
        <v>46051.427581018521</v>
      </c>
      <c r="AG271" s="1">
        <v>46051.42759259259</v>
      </c>
      <c r="AH271">
        <v>1</v>
      </c>
      <c r="AI271">
        <v>3</v>
      </c>
      <c r="AJ271">
        <v>1240</v>
      </c>
      <c r="AK271" t="s">
        <v>779</v>
      </c>
      <c r="AL271" t="s">
        <v>71</v>
      </c>
      <c r="AM271" t="s">
        <v>68</v>
      </c>
      <c r="AN271">
        <v>0</v>
      </c>
      <c r="AO271" s="1"/>
      <c r="AQ271">
        <v>0</v>
      </c>
      <c r="AR271">
        <v>0</v>
      </c>
      <c r="AS271" t="s">
        <v>72</v>
      </c>
      <c r="AT271" t="s">
        <v>68</v>
      </c>
      <c r="AU271">
        <v>1</v>
      </c>
      <c r="AV271" t="s">
        <v>787</v>
      </c>
      <c r="AW271">
        <v>0</v>
      </c>
      <c r="AX271" s="1">
        <v>46039.598923611113</v>
      </c>
      <c r="AY271">
        <v>2500</v>
      </c>
      <c r="AZ271" t="s">
        <v>68</v>
      </c>
      <c r="BA271" t="s">
        <v>65</v>
      </c>
      <c r="BB271" t="s">
        <v>68</v>
      </c>
      <c r="BC271" t="s">
        <v>68</v>
      </c>
      <c r="BD271">
        <v>0</v>
      </c>
      <c r="BE271" s="1">
        <v>46048.431168981479</v>
      </c>
      <c r="BF271" s="1">
        <v>46051.427581018521</v>
      </c>
      <c r="BG271" t="s">
        <v>68</v>
      </c>
      <c r="BH271" t="s">
        <v>68</v>
      </c>
      <c r="BI271" t="s">
        <v>68</v>
      </c>
      <c r="BJ271" t="s">
        <v>68</v>
      </c>
      <c r="BK271" t="s">
        <v>68</v>
      </c>
      <c r="BL271" t="s">
        <v>68</v>
      </c>
      <c r="BM271" t="s">
        <v>68</v>
      </c>
      <c r="BN271" t="s">
        <v>68</v>
      </c>
      <c r="BO271" t="s">
        <v>96</v>
      </c>
      <c r="BP271">
        <v>0</v>
      </c>
      <c r="BQ271" t="s">
        <v>68</v>
      </c>
      <c r="BR271" t="s">
        <v>68</v>
      </c>
      <c r="BS271" t="s">
        <v>68</v>
      </c>
    </row>
    <row r="272" spans="1:71" x14ac:dyDescent="0.35">
      <c r="A272" t="b">
        <f>ISNUMBER(MATCH(ChargentOrders[[#This Row],[Contract__c]],Contract[Id],0))</f>
        <v>1</v>
      </c>
      <c r="B272">
        <f>IFERROR(INDEX(Contract[CB_Subscription__c],MATCH(ChargentOrders[[#This Row],[Contract__c]],Contract[Id],0)),0)</f>
        <v>0</v>
      </c>
      <c r="C272" t="b">
        <f>ISNUMBER(MATCH(ChargentOrders[[#This Row],[Id]],Claude[Id],0))</f>
        <v>1</v>
      </c>
      <c r="D272" t="b">
        <f>AND(ChargentOrders[[#This Row],[_Contract]],ChargentOrders[[#This Row],[CB Subscription]]=0)</f>
        <v>1</v>
      </c>
      <c r="E272" s="38">
        <f>INDEX(Table5[CUENTA],MATCH(ChargentOrders[[#This Row],[Contract__c]],Table5[SM_Contract__c],0))</f>
        <v>46170</v>
      </c>
      <c r="F272" s="38" t="str">
        <f ca="1">INDEX(Table5[ESTADO],MATCH(ChargentOrders[[#This Row],[Contract__c]],Table5[SM_Contract__c],0))</f>
        <v>DEBE 2</v>
      </c>
      <c r="G272" t="s">
        <v>818</v>
      </c>
      <c r="H272" t="s">
        <v>531</v>
      </c>
      <c r="I272" t="s">
        <v>819</v>
      </c>
      <c r="J272" s="1">
        <v>46044.787905092591</v>
      </c>
      <c r="K272">
        <v>7</v>
      </c>
      <c r="L272">
        <v>2029</v>
      </c>
      <c r="M272" t="s">
        <v>1506</v>
      </c>
      <c r="N272">
        <v>7</v>
      </c>
      <c r="O272" t="s">
        <v>1507</v>
      </c>
      <c r="P272" t="s">
        <v>73</v>
      </c>
      <c r="Q272">
        <v>2029</v>
      </c>
      <c r="R272">
        <v>0</v>
      </c>
      <c r="T272" t="s">
        <v>67</v>
      </c>
      <c r="U272" t="s">
        <v>68</v>
      </c>
      <c r="V272">
        <v>0</v>
      </c>
      <c r="W272" t="s">
        <v>69</v>
      </c>
      <c r="X272" s="5"/>
      <c r="Y272" t="s">
        <v>68</v>
      </c>
      <c r="Z272" t="s">
        <v>68</v>
      </c>
      <c r="AA272">
        <v>0</v>
      </c>
      <c r="AC272" t="s">
        <v>820</v>
      </c>
      <c r="AD272" t="s">
        <v>68</v>
      </c>
      <c r="AE272">
        <v>0</v>
      </c>
      <c r="AF272" s="1"/>
      <c r="AG272" s="1">
        <v>46044.787928240738</v>
      </c>
      <c r="AH272">
        <v>0</v>
      </c>
      <c r="AI272">
        <v>1</v>
      </c>
      <c r="AJ272">
        <v>0</v>
      </c>
      <c r="AK272" t="s">
        <v>821</v>
      </c>
      <c r="AL272" t="s">
        <v>68</v>
      </c>
      <c r="AM272" t="s">
        <v>68</v>
      </c>
      <c r="AN272">
        <v>0</v>
      </c>
      <c r="AO272" s="1"/>
      <c r="AP272">
        <v>1</v>
      </c>
      <c r="AS272" t="s">
        <v>75</v>
      </c>
      <c r="AT272" t="s">
        <v>68</v>
      </c>
      <c r="AU272">
        <v>0</v>
      </c>
      <c r="AV272" t="s">
        <v>68</v>
      </c>
      <c r="AW272">
        <v>1</v>
      </c>
      <c r="AX272" s="1"/>
      <c r="AZ272" t="s">
        <v>68</v>
      </c>
      <c r="BA272" t="s">
        <v>68</v>
      </c>
      <c r="BB272" t="s">
        <v>68</v>
      </c>
      <c r="BC272" t="s">
        <v>68</v>
      </c>
      <c r="BD272">
        <v>0</v>
      </c>
      <c r="BE272" s="1"/>
      <c r="BF272" s="1">
        <v>46044.787928240738</v>
      </c>
      <c r="BG272" t="s">
        <v>68</v>
      </c>
      <c r="BH272" t="s">
        <v>68</v>
      </c>
      <c r="BI272" t="s">
        <v>68</v>
      </c>
      <c r="BJ272" t="s">
        <v>68</v>
      </c>
      <c r="BK272" t="s">
        <v>68</v>
      </c>
      <c r="BL272" t="s">
        <v>68</v>
      </c>
      <c r="BM272" t="s">
        <v>68</v>
      </c>
      <c r="BN272" t="s">
        <v>68</v>
      </c>
      <c r="BO272" t="s">
        <v>96</v>
      </c>
      <c r="BP272">
        <v>0</v>
      </c>
      <c r="BQ272" t="s">
        <v>68</v>
      </c>
      <c r="BR272" t="s">
        <v>68</v>
      </c>
      <c r="BS272" t="s">
        <v>68</v>
      </c>
    </row>
    <row r="273" spans="1:71" x14ac:dyDescent="0.35">
      <c r="A273" t="b">
        <f>ISNUMBER(MATCH(ChargentOrders[[#This Row],[Contract__c]],Contract[Id],0))</f>
        <v>1</v>
      </c>
      <c r="B273">
        <f>IFERROR(INDEX(Contract[CB_Subscription__c],MATCH(ChargentOrders[[#This Row],[Contract__c]],Contract[Id],0)),0)</f>
        <v>0</v>
      </c>
      <c r="C273" t="b">
        <f>ISNUMBER(MATCH(ChargentOrders[[#This Row],[Id]],Claude[Id],0))</f>
        <v>1</v>
      </c>
      <c r="D273" t="b">
        <f>AND(ChargentOrders[[#This Row],[_Contract]],ChargentOrders[[#This Row],[CB Subscription]]=0)</f>
        <v>1</v>
      </c>
      <c r="E273" s="38">
        <f>INDEX(Table5[CUENTA],MATCH(ChargentOrders[[#This Row],[Contract__c]],Table5[SM_Contract__c],0))</f>
        <v>46170</v>
      </c>
      <c r="F273" s="38" t="str">
        <f ca="1">INDEX(Table5[ESTADO],MATCH(ChargentOrders[[#This Row],[Contract__c]],Table5[SM_Contract__c],0))</f>
        <v>DEBE 2</v>
      </c>
      <c r="G273" t="s">
        <v>822</v>
      </c>
      <c r="H273" t="s">
        <v>531</v>
      </c>
      <c r="I273" t="s">
        <v>823</v>
      </c>
      <c r="J273" s="1">
        <v>46044.789641203701</v>
      </c>
      <c r="K273">
        <v>7</v>
      </c>
      <c r="L273">
        <v>2029</v>
      </c>
      <c r="M273" t="s">
        <v>1506</v>
      </c>
      <c r="N273">
        <v>7</v>
      </c>
      <c r="O273" t="s">
        <v>1507</v>
      </c>
      <c r="P273" t="s">
        <v>73</v>
      </c>
      <c r="Q273">
        <v>2029</v>
      </c>
      <c r="R273">
        <v>9900</v>
      </c>
      <c r="T273" t="s">
        <v>67</v>
      </c>
      <c r="U273" t="s">
        <v>68</v>
      </c>
      <c r="V273">
        <v>0</v>
      </c>
      <c r="W273" t="s">
        <v>69</v>
      </c>
      <c r="X273" s="5">
        <v>46052</v>
      </c>
      <c r="Y273" t="s">
        <v>74</v>
      </c>
      <c r="Z273" t="s">
        <v>68</v>
      </c>
      <c r="AA273">
        <v>9900</v>
      </c>
      <c r="AB273">
        <v>0</v>
      </c>
      <c r="AC273" t="s">
        <v>820</v>
      </c>
      <c r="AD273" t="s">
        <v>68</v>
      </c>
      <c r="AE273">
        <v>0</v>
      </c>
      <c r="AF273" s="1">
        <v>46052.441655092596</v>
      </c>
      <c r="AG273" s="1">
        <v>46052.441701388889</v>
      </c>
      <c r="AH273">
        <v>1</v>
      </c>
      <c r="AI273">
        <v>1</v>
      </c>
      <c r="AJ273">
        <v>990</v>
      </c>
      <c r="AK273" t="s">
        <v>821</v>
      </c>
      <c r="AL273" t="s">
        <v>77</v>
      </c>
      <c r="AM273" t="s">
        <v>68</v>
      </c>
      <c r="AN273">
        <v>0</v>
      </c>
      <c r="AO273" s="1"/>
      <c r="AP273">
        <v>1</v>
      </c>
      <c r="AQ273">
        <v>0</v>
      </c>
      <c r="AR273">
        <v>0</v>
      </c>
      <c r="AS273" t="s">
        <v>75</v>
      </c>
      <c r="AT273" t="s">
        <v>68</v>
      </c>
      <c r="AU273">
        <v>0</v>
      </c>
      <c r="AV273" t="s">
        <v>68</v>
      </c>
      <c r="AW273">
        <v>0</v>
      </c>
      <c r="AX273" s="1"/>
      <c r="AZ273" t="s">
        <v>68</v>
      </c>
      <c r="BA273" t="s">
        <v>68</v>
      </c>
      <c r="BB273" t="s">
        <v>68</v>
      </c>
      <c r="BC273" t="s">
        <v>68</v>
      </c>
      <c r="BD273">
        <v>0</v>
      </c>
      <c r="BE273" s="1"/>
      <c r="BF273" s="1">
        <v>46052.441655092596</v>
      </c>
      <c r="BG273" t="s">
        <v>68</v>
      </c>
      <c r="BH273" t="s">
        <v>68</v>
      </c>
      <c r="BI273" t="s">
        <v>68</v>
      </c>
      <c r="BJ273" t="s">
        <v>68</v>
      </c>
      <c r="BK273" t="s">
        <v>68</v>
      </c>
      <c r="BL273" t="s">
        <v>68</v>
      </c>
      <c r="BM273" t="s">
        <v>68</v>
      </c>
      <c r="BN273" t="s">
        <v>68</v>
      </c>
      <c r="BO273" t="s">
        <v>96</v>
      </c>
      <c r="BP273">
        <v>0</v>
      </c>
      <c r="BQ273" t="s">
        <v>68</v>
      </c>
      <c r="BR273" t="s">
        <v>68</v>
      </c>
      <c r="BS273" t="s">
        <v>68</v>
      </c>
    </row>
    <row r="274" spans="1:71" x14ac:dyDescent="0.35">
      <c r="A274" t="b">
        <f>ISNUMBER(MATCH(ChargentOrders[[#This Row],[Contract__c]],Contract[Id],0))</f>
        <v>1</v>
      </c>
      <c r="B274">
        <f>IFERROR(INDEX(Contract[CB_Subscription__c],MATCH(ChargentOrders[[#This Row],[Contract__c]],Contract[Id],0)),0)</f>
        <v>0</v>
      </c>
      <c r="C274" t="b">
        <f>ISNUMBER(MATCH(ChargentOrders[[#This Row],[Id]],Claude[Id],0))</f>
        <v>1</v>
      </c>
      <c r="D274" t="b">
        <f>AND(ChargentOrders[[#This Row],[_Contract]],ChargentOrders[[#This Row],[CB Subscription]]=0)</f>
        <v>1</v>
      </c>
      <c r="E274" s="38">
        <f>INDEX(Table5[CUENTA],MATCH(ChargentOrders[[#This Row],[Contract__c]],Table5[SM_Contract__c],0))</f>
        <v>46170</v>
      </c>
      <c r="F274" s="38" t="str">
        <f ca="1">INDEX(Table5[ESTADO],MATCH(ChargentOrders[[#This Row],[Contract__c]],Table5[SM_Contract__c],0))</f>
        <v>DEBE 2</v>
      </c>
      <c r="G274" t="s">
        <v>862</v>
      </c>
      <c r="H274" t="s">
        <v>81</v>
      </c>
      <c r="I274" t="s">
        <v>863</v>
      </c>
      <c r="J274" s="1">
        <v>46051.427615740744</v>
      </c>
      <c r="K274">
        <v>11</v>
      </c>
      <c r="L274">
        <v>2029</v>
      </c>
      <c r="M274" t="s">
        <v>1502</v>
      </c>
      <c r="N274">
        <v>11</v>
      </c>
      <c r="O274" t="s">
        <v>1502</v>
      </c>
      <c r="P274" t="s">
        <v>73</v>
      </c>
      <c r="Q274">
        <v>2029</v>
      </c>
      <c r="R274">
        <v>9900</v>
      </c>
      <c r="S274">
        <v>29</v>
      </c>
      <c r="T274" t="s">
        <v>67</v>
      </c>
      <c r="U274" t="s">
        <v>68</v>
      </c>
      <c r="V274">
        <v>0</v>
      </c>
      <c r="W274" t="s">
        <v>69</v>
      </c>
      <c r="X274" s="5">
        <v>46171</v>
      </c>
      <c r="Y274" t="s">
        <v>613</v>
      </c>
      <c r="Z274" t="s">
        <v>68</v>
      </c>
      <c r="AA274">
        <v>9900</v>
      </c>
      <c r="AB274">
        <v>0</v>
      </c>
      <c r="AC274" t="s">
        <v>778</v>
      </c>
      <c r="AD274" t="s">
        <v>68</v>
      </c>
      <c r="AE274">
        <v>0</v>
      </c>
      <c r="AF274" s="1"/>
      <c r="AG274" s="1"/>
      <c r="AH274">
        <v>0</v>
      </c>
      <c r="AI274">
        <v>3</v>
      </c>
      <c r="AJ274">
        <v>0</v>
      </c>
      <c r="AK274" t="s">
        <v>779</v>
      </c>
      <c r="AL274" t="s">
        <v>76</v>
      </c>
      <c r="AM274" t="s">
        <v>68</v>
      </c>
      <c r="AN274">
        <v>0</v>
      </c>
      <c r="AO274" s="1"/>
      <c r="AP274">
        <v>4</v>
      </c>
      <c r="AQ274">
        <v>0</v>
      </c>
      <c r="AR274">
        <v>0</v>
      </c>
      <c r="AS274" t="s">
        <v>75</v>
      </c>
      <c r="AT274" t="s">
        <v>68</v>
      </c>
      <c r="AU274">
        <v>0</v>
      </c>
      <c r="AV274" t="s">
        <v>68</v>
      </c>
      <c r="AW274">
        <v>0</v>
      </c>
      <c r="AX274" s="1"/>
      <c r="AZ274" t="s">
        <v>68</v>
      </c>
      <c r="BA274" t="s">
        <v>68</v>
      </c>
      <c r="BB274" t="s">
        <v>68</v>
      </c>
      <c r="BC274" t="s">
        <v>68</v>
      </c>
      <c r="BD274">
        <v>0</v>
      </c>
      <c r="BE274" s="1">
        <v>46142.425879629627</v>
      </c>
      <c r="BF274" s="1">
        <v>46142.425879629627</v>
      </c>
      <c r="BG274" t="s">
        <v>68</v>
      </c>
      <c r="BH274" t="s">
        <v>68</v>
      </c>
      <c r="BI274" t="s">
        <v>68</v>
      </c>
      <c r="BJ274" t="s">
        <v>68</v>
      </c>
      <c r="BK274" t="s">
        <v>68</v>
      </c>
      <c r="BL274" t="s">
        <v>68</v>
      </c>
      <c r="BM274" t="s">
        <v>68</v>
      </c>
      <c r="BN274" t="s">
        <v>68</v>
      </c>
      <c r="BO274" t="s">
        <v>96</v>
      </c>
      <c r="BP274">
        <v>0</v>
      </c>
      <c r="BQ274" t="s">
        <v>68</v>
      </c>
      <c r="BR274" t="s">
        <v>68</v>
      </c>
      <c r="BS274" t="s">
        <v>68</v>
      </c>
    </row>
    <row r="275" spans="1:71" x14ac:dyDescent="0.35">
      <c r="A275" t="b">
        <f>ISNUMBER(MATCH(ChargentOrders[[#This Row],[Contract__c]],Contract[Id],0))</f>
        <v>1</v>
      </c>
      <c r="B275">
        <f>IFERROR(INDEX(Contract[CB_Subscription__c],MATCH(ChargentOrders[[#This Row],[Contract__c]],Contract[Id],0)),0)</f>
        <v>0</v>
      </c>
      <c r="C275" t="b">
        <f>ISNUMBER(MATCH(ChargentOrders[[#This Row],[Id]],Claude[Id],0))</f>
        <v>1</v>
      </c>
      <c r="D275" t="b">
        <f>AND(ChargentOrders[[#This Row],[_Contract]],ChargentOrders[[#This Row],[CB Subscription]]=0)</f>
        <v>1</v>
      </c>
      <c r="E275" s="38">
        <f>INDEX(Table5[CUENTA],MATCH(ChargentOrders[[#This Row],[Contract__c]],Table5[SM_Contract__c],0))</f>
        <v>46170</v>
      </c>
      <c r="F275" s="38" t="str">
        <f ca="1">INDEX(Table5[ESTADO],MATCH(ChargentOrders[[#This Row],[Contract__c]],Table5[SM_Contract__c],0))</f>
        <v>DEBE 2</v>
      </c>
      <c r="G275" t="s">
        <v>897</v>
      </c>
      <c r="H275" t="s">
        <v>531</v>
      </c>
      <c r="I275" t="s">
        <v>898</v>
      </c>
      <c r="J275" s="1">
        <v>46052.441724537035</v>
      </c>
      <c r="K275">
        <v>7</v>
      </c>
      <c r="L275">
        <v>2029</v>
      </c>
      <c r="M275" t="s">
        <v>1506</v>
      </c>
      <c r="N275">
        <v>7</v>
      </c>
      <c r="O275" t="s">
        <v>1507</v>
      </c>
      <c r="P275" t="s">
        <v>73</v>
      </c>
      <c r="Q275">
        <v>2029</v>
      </c>
      <c r="R275">
        <v>9900</v>
      </c>
      <c r="S275">
        <v>28</v>
      </c>
      <c r="T275" t="s">
        <v>67</v>
      </c>
      <c r="U275" t="s">
        <v>68</v>
      </c>
      <c r="V275">
        <v>0</v>
      </c>
      <c r="W275" t="s">
        <v>69</v>
      </c>
      <c r="X275" s="5">
        <v>46140</v>
      </c>
      <c r="Y275" t="s">
        <v>613</v>
      </c>
      <c r="Z275" t="s">
        <v>68</v>
      </c>
      <c r="AA275">
        <v>9900</v>
      </c>
      <c r="AB275">
        <v>0</v>
      </c>
      <c r="AC275" t="s">
        <v>820</v>
      </c>
      <c r="AD275" t="s">
        <v>68</v>
      </c>
      <c r="AE275">
        <v>0</v>
      </c>
      <c r="AF275" s="1">
        <v>46140.417627314811</v>
      </c>
      <c r="AG275" s="1">
        <v>46140.417638888888</v>
      </c>
      <c r="AH275">
        <v>3</v>
      </c>
      <c r="AI275">
        <v>3</v>
      </c>
      <c r="AJ275">
        <v>2970</v>
      </c>
      <c r="AK275" t="s">
        <v>821</v>
      </c>
      <c r="AL275" t="s">
        <v>76</v>
      </c>
      <c r="AM275" t="s">
        <v>68</v>
      </c>
      <c r="AN275">
        <v>0</v>
      </c>
      <c r="AO275" s="1"/>
      <c r="AP275">
        <v>4</v>
      </c>
      <c r="AQ275">
        <v>0</v>
      </c>
      <c r="AR275">
        <v>0</v>
      </c>
      <c r="AS275" t="s">
        <v>75</v>
      </c>
      <c r="AT275" t="s">
        <v>68</v>
      </c>
      <c r="AU275">
        <v>0</v>
      </c>
      <c r="AV275" t="s">
        <v>68</v>
      </c>
      <c r="AW275">
        <v>0</v>
      </c>
      <c r="AX275" s="1"/>
      <c r="AZ275" t="s">
        <v>68</v>
      </c>
      <c r="BA275" t="s">
        <v>68</v>
      </c>
      <c r="BB275" t="s">
        <v>68</v>
      </c>
      <c r="BC275" t="s">
        <v>68</v>
      </c>
      <c r="BD275">
        <v>0</v>
      </c>
      <c r="BE275" s="1"/>
      <c r="BF275" s="1">
        <v>46140.417627314811</v>
      </c>
      <c r="BG275" t="s">
        <v>68</v>
      </c>
      <c r="BH275" t="s">
        <v>68</v>
      </c>
      <c r="BI275" t="s">
        <v>68</v>
      </c>
      <c r="BJ275" t="s">
        <v>68</v>
      </c>
      <c r="BK275" t="s">
        <v>68</v>
      </c>
      <c r="BL275" t="s">
        <v>68</v>
      </c>
      <c r="BM275" t="s">
        <v>68</v>
      </c>
      <c r="BN275" t="s">
        <v>68</v>
      </c>
      <c r="BO275" t="s">
        <v>96</v>
      </c>
      <c r="BP275">
        <v>0</v>
      </c>
      <c r="BQ275" t="s">
        <v>68</v>
      </c>
      <c r="BR275" t="s">
        <v>68</v>
      </c>
      <c r="BS275" t="s">
        <v>68</v>
      </c>
    </row>
    <row r="276" spans="1:71" x14ac:dyDescent="0.35">
      <c r="A276" t="b">
        <f>ISNUMBER(MATCH(ChargentOrders[[#This Row],[Contract__c]],Contract[Id],0))</f>
        <v>1</v>
      </c>
      <c r="B276">
        <f>IFERROR(INDEX(Contract[CB_Subscription__c],MATCH(ChargentOrders[[#This Row],[Contract__c]],Contract[Id],0)),0)</f>
        <v>0</v>
      </c>
      <c r="C276" t="b">
        <f>ISNUMBER(MATCH(ChargentOrders[[#This Row],[Id]],Claude[Id],0))</f>
        <v>1</v>
      </c>
      <c r="D276" t="b">
        <f>AND(ChargentOrders[[#This Row],[_Contract]],ChargentOrders[[#This Row],[CB Subscription]]=0)</f>
        <v>1</v>
      </c>
      <c r="E276" s="38">
        <f>INDEX(Table5[CUENTA],MATCH(ChargentOrders[[#This Row],[Contract__c]],Table5[SM_Contract__c],0))</f>
        <v>46170</v>
      </c>
      <c r="F276" s="38" t="str">
        <f ca="1">INDEX(Table5[ESTADO],MATCH(ChargentOrders[[#This Row],[Contract__c]],Table5[SM_Contract__c],0))</f>
        <v>DEBE 2</v>
      </c>
      <c r="G276" t="s">
        <v>906</v>
      </c>
      <c r="H276" t="s">
        <v>531</v>
      </c>
      <c r="I276" t="s">
        <v>907</v>
      </c>
      <c r="J276" s="1">
        <v>46052.438738425924</v>
      </c>
      <c r="K276">
        <v>10</v>
      </c>
      <c r="L276">
        <v>2030</v>
      </c>
      <c r="M276" t="s">
        <v>1490</v>
      </c>
      <c r="N276">
        <v>10</v>
      </c>
      <c r="O276" t="s">
        <v>1491</v>
      </c>
      <c r="P276" t="s">
        <v>73</v>
      </c>
      <c r="Q276">
        <v>2030</v>
      </c>
      <c r="R276">
        <v>9900</v>
      </c>
      <c r="S276">
        <v>28</v>
      </c>
      <c r="T276" t="s">
        <v>67</v>
      </c>
      <c r="U276" t="s">
        <v>68</v>
      </c>
      <c r="V276">
        <v>0</v>
      </c>
      <c r="W276" t="s">
        <v>69</v>
      </c>
      <c r="X276" s="5">
        <v>46140</v>
      </c>
      <c r="Y276" t="s">
        <v>613</v>
      </c>
      <c r="Z276" t="s">
        <v>68</v>
      </c>
      <c r="AA276">
        <v>9900</v>
      </c>
      <c r="AB276">
        <v>0</v>
      </c>
      <c r="AC276" t="s">
        <v>710</v>
      </c>
      <c r="AD276" t="s">
        <v>68</v>
      </c>
      <c r="AE276">
        <v>0</v>
      </c>
      <c r="AF276" s="1">
        <v>46140.417708333334</v>
      </c>
      <c r="AG276" s="1">
        <v>46140.417708333334</v>
      </c>
      <c r="AH276">
        <v>3</v>
      </c>
      <c r="AI276">
        <v>3</v>
      </c>
      <c r="AJ276">
        <v>2970</v>
      </c>
      <c r="AK276" t="s">
        <v>711</v>
      </c>
      <c r="AL276" t="s">
        <v>76</v>
      </c>
      <c r="AM276" t="s">
        <v>68</v>
      </c>
      <c r="AN276">
        <v>0</v>
      </c>
      <c r="AO276" s="1"/>
      <c r="AP276">
        <v>4</v>
      </c>
      <c r="AQ276">
        <v>0</v>
      </c>
      <c r="AR276">
        <v>0</v>
      </c>
      <c r="AS276" t="s">
        <v>75</v>
      </c>
      <c r="AT276" t="s">
        <v>68</v>
      </c>
      <c r="AU276">
        <v>0</v>
      </c>
      <c r="AV276" t="s">
        <v>68</v>
      </c>
      <c r="AW276">
        <v>0</v>
      </c>
      <c r="AX276" s="1"/>
      <c r="AZ276" t="s">
        <v>68</v>
      </c>
      <c r="BA276" t="s">
        <v>68</v>
      </c>
      <c r="BB276" t="s">
        <v>68</v>
      </c>
      <c r="BC276" t="s">
        <v>68</v>
      </c>
      <c r="BD276">
        <v>0</v>
      </c>
      <c r="BE276" s="1"/>
      <c r="BF276" s="1">
        <v>46140.417708333334</v>
      </c>
      <c r="BG276" t="s">
        <v>68</v>
      </c>
      <c r="BH276" t="s">
        <v>68</v>
      </c>
      <c r="BI276" t="s">
        <v>68</v>
      </c>
      <c r="BJ276" t="s">
        <v>68</v>
      </c>
      <c r="BK276" t="s">
        <v>68</v>
      </c>
      <c r="BL276" t="s">
        <v>68</v>
      </c>
      <c r="BM276" t="s">
        <v>68</v>
      </c>
      <c r="BN276" t="s">
        <v>68</v>
      </c>
      <c r="BO276" t="s">
        <v>96</v>
      </c>
      <c r="BP276">
        <v>0</v>
      </c>
      <c r="BQ276" t="s">
        <v>68</v>
      </c>
      <c r="BR276" t="s">
        <v>68</v>
      </c>
      <c r="BS276" t="s">
        <v>68</v>
      </c>
    </row>
    <row r="277" spans="1:71" x14ac:dyDescent="0.35">
      <c r="A277" t="b">
        <f>ISNUMBER(MATCH(ChargentOrders[[#This Row],[Contract__c]],Contract[Id],0))</f>
        <v>1</v>
      </c>
      <c r="B277">
        <f>IFERROR(INDEX(Contract[CB_Subscription__c],MATCH(ChargentOrders[[#This Row],[Contract__c]],Contract[Id],0)),0)</f>
        <v>0</v>
      </c>
      <c r="C277" t="b">
        <f>ISNUMBER(MATCH(ChargentOrders[[#This Row],[Id]],Claude[Id],0))</f>
        <v>1</v>
      </c>
      <c r="D277" t="b">
        <f>AND(ChargentOrders[[#This Row],[_Contract]],ChargentOrders[[#This Row],[CB Subscription]]=0)</f>
        <v>1</v>
      </c>
      <c r="E277" s="38">
        <f>INDEX(Table5[CUENTA],MATCH(ChargentOrders[[#This Row],[Contract__c]],Table5[SM_Contract__c],0))</f>
        <v>46170</v>
      </c>
      <c r="F277" s="38" t="str">
        <f ca="1">INDEX(Table5[ESTADO],MATCH(ChargentOrders[[#This Row],[Contract__c]],Table5[SM_Contract__c],0))</f>
        <v>DEBE 2</v>
      </c>
      <c r="G277" t="s">
        <v>979</v>
      </c>
      <c r="H277" t="s">
        <v>81</v>
      </c>
      <c r="I277" t="s">
        <v>980</v>
      </c>
      <c r="J277" s="1">
        <v>46080.428078703706</v>
      </c>
      <c r="K277">
        <v>11</v>
      </c>
      <c r="L277">
        <v>2029</v>
      </c>
      <c r="M277" t="s">
        <v>1502</v>
      </c>
      <c r="N277">
        <v>11</v>
      </c>
      <c r="O277" t="s">
        <v>1502</v>
      </c>
      <c r="P277" t="s">
        <v>73</v>
      </c>
      <c r="Q277">
        <v>2029</v>
      </c>
      <c r="R277">
        <v>12400</v>
      </c>
      <c r="T277" t="s">
        <v>67</v>
      </c>
      <c r="U277" t="s">
        <v>68</v>
      </c>
      <c r="V277">
        <v>0</v>
      </c>
      <c r="W277" t="s">
        <v>69</v>
      </c>
      <c r="X277" s="5">
        <v>46086</v>
      </c>
      <c r="Y277" t="s">
        <v>74</v>
      </c>
      <c r="Z277" t="s">
        <v>68</v>
      </c>
      <c r="AA277">
        <v>12400</v>
      </c>
      <c r="AB277">
        <v>0</v>
      </c>
      <c r="AC277" t="s">
        <v>778</v>
      </c>
      <c r="AD277" t="s">
        <v>68</v>
      </c>
      <c r="AE277">
        <v>0</v>
      </c>
      <c r="AF277" s="1">
        <v>46086.42695601852</v>
      </c>
      <c r="AG277" s="1">
        <v>46086.426979166667</v>
      </c>
      <c r="AH277">
        <v>1</v>
      </c>
      <c r="AI277">
        <v>2</v>
      </c>
      <c r="AJ277">
        <v>1240</v>
      </c>
      <c r="AK277" t="s">
        <v>779</v>
      </c>
      <c r="AL277" t="s">
        <v>71</v>
      </c>
      <c r="AM277" t="s">
        <v>68</v>
      </c>
      <c r="AN277">
        <v>0</v>
      </c>
      <c r="AO277" s="1"/>
      <c r="AP277">
        <v>0</v>
      </c>
      <c r="AQ277">
        <v>0</v>
      </c>
      <c r="AR277">
        <v>0</v>
      </c>
      <c r="AS277" t="s">
        <v>72</v>
      </c>
      <c r="AT277" t="s">
        <v>68</v>
      </c>
      <c r="AU277">
        <v>1</v>
      </c>
      <c r="AV277" t="s">
        <v>981</v>
      </c>
      <c r="AW277">
        <v>0</v>
      </c>
      <c r="AX277" s="1">
        <v>46051.427615740744</v>
      </c>
      <c r="AY277">
        <v>2500</v>
      </c>
      <c r="AZ277" t="s">
        <v>68</v>
      </c>
      <c r="BA277" t="s">
        <v>65</v>
      </c>
      <c r="BB277" t="s">
        <v>68</v>
      </c>
      <c r="BC277" t="s">
        <v>68</v>
      </c>
      <c r="BD277">
        <v>0</v>
      </c>
      <c r="BE277" s="1">
        <v>46083.428159722222</v>
      </c>
      <c r="BF277" s="1">
        <v>46086.42695601852</v>
      </c>
      <c r="BG277" t="s">
        <v>68</v>
      </c>
      <c r="BH277" t="s">
        <v>68</v>
      </c>
      <c r="BI277" t="s">
        <v>68</v>
      </c>
      <c r="BJ277" t="s">
        <v>68</v>
      </c>
      <c r="BK277" t="s">
        <v>68</v>
      </c>
      <c r="BL277" t="s">
        <v>68</v>
      </c>
      <c r="BM277" t="s">
        <v>68</v>
      </c>
      <c r="BN277" t="s">
        <v>68</v>
      </c>
      <c r="BO277" t="s">
        <v>96</v>
      </c>
      <c r="BP277">
        <v>0</v>
      </c>
      <c r="BQ277" t="s">
        <v>68</v>
      </c>
      <c r="BR277" t="s">
        <v>68</v>
      </c>
      <c r="BS277" t="s">
        <v>68</v>
      </c>
    </row>
    <row r="278" spans="1:71" x14ac:dyDescent="0.35">
      <c r="A278" t="b">
        <f>ISNUMBER(MATCH(ChargentOrders[[#This Row],[Contract__c]],Contract[Id],0))</f>
        <v>1</v>
      </c>
      <c r="B278">
        <f>IFERROR(INDEX(Contract[CB_Subscription__c],MATCH(ChargentOrders[[#This Row],[Contract__c]],Contract[Id],0)),0)</f>
        <v>0</v>
      </c>
      <c r="C278" t="b">
        <f>ISNUMBER(MATCH(ChargentOrders[[#This Row],[Id]],Claude[Id],0))</f>
        <v>1</v>
      </c>
      <c r="D278" t="b">
        <f>AND(ChargentOrders[[#This Row],[_Contract]],ChargentOrders[[#This Row],[CB Subscription]]=0)</f>
        <v>1</v>
      </c>
      <c r="E278" s="38">
        <f>INDEX(Table5[CUENTA],MATCH(ChargentOrders[[#This Row],[Contract__c]],Table5[SM_Contract__c],0))</f>
        <v>46170</v>
      </c>
      <c r="F278" s="38" t="str">
        <f ca="1">INDEX(Table5[ESTADO],MATCH(ChargentOrders[[#This Row],[Contract__c]],Table5[SM_Contract__c],0))</f>
        <v>DEBE 2</v>
      </c>
      <c r="G278" t="s">
        <v>1061</v>
      </c>
      <c r="H278" t="s">
        <v>81</v>
      </c>
      <c r="I278" t="s">
        <v>1062</v>
      </c>
      <c r="J278" s="1">
        <v>46111.426817129628</v>
      </c>
      <c r="K278">
        <v>11</v>
      </c>
      <c r="L278">
        <v>2029</v>
      </c>
      <c r="M278" t="s">
        <v>1502</v>
      </c>
      <c r="N278">
        <v>11</v>
      </c>
      <c r="O278" t="s">
        <v>1502</v>
      </c>
      <c r="P278" t="s">
        <v>73</v>
      </c>
      <c r="Q278">
        <v>2029</v>
      </c>
      <c r="R278">
        <v>12400</v>
      </c>
      <c r="T278" t="s">
        <v>67</v>
      </c>
      <c r="U278" t="s">
        <v>68</v>
      </c>
      <c r="V278">
        <v>0</v>
      </c>
      <c r="W278" t="s">
        <v>69</v>
      </c>
      <c r="X278" s="5">
        <v>46114</v>
      </c>
      <c r="Y278" t="s">
        <v>74</v>
      </c>
      <c r="Z278" t="s">
        <v>68</v>
      </c>
      <c r="AA278">
        <v>12400</v>
      </c>
      <c r="AB278">
        <v>0</v>
      </c>
      <c r="AC278" t="s">
        <v>778</v>
      </c>
      <c r="AD278" t="s">
        <v>68</v>
      </c>
      <c r="AE278">
        <v>0</v>
      </c>
      <c r="AF278" s="1">
        <v>46114.42796296296</v>
      </c>
      <c r="AG278" s="1">
        <v>46114.428020833337</v>
      </c>
      <c r="AH278">
        <v>1</v>
      </c>
      <c r="AI278">
        <v>1</v>
      </c>
      <c r="AJ278">
        <v>1240</v>
      </c>
      <c r="AK278" t="s">
        <v>779</v>
      </c>
      <c r="AL278" t="s">
        <v>71</v>
      </c>
      <c r="AM278" t="s">
        <v>68</v>
      </c>
      <c r="AN278">
        <v>0</v>
      </c>
      <c r="AO278" s="1"/>
      <c r="AP278">
        <v>0</v>
      </c>
      <c r="AQ278">
        <v>0</v>
      </c>
      <c r="AR278">
        <v>0</v>
      </c>
      <c r="AS278" t="s">
        <v>72</v>
      </c>
      <c r="AT278" t="s">
        <v>68</v>
      </c>
      <c r="AU278">
        <v>1</v>
      </c>
      <c r="AV278" t="s">
        <v>1063</v>
      </c>
      <c r="AW278">
        <v>0</v>
      </c>
      <c r="AX278" s="1">
        <v>46051.427615740744</v>
      </c>
      <c r="AY278">
        <v>2500</v>
      </c>
      <c r="AZ278" t="s">
        <v>68</v>
      </c>
      <c r="BA278" t="s">
        <v>65</v>
      </c>
      <c r="BB278" t="s">
        <v>68</v>
      </c>
      <c r="BC278" t="s">
        <v>68</v>
      </c>
      <c r="BD278">
        <v>0</v>
      </c>
      <c r="BE278" s="1"/>
      <c r="BF278" s="1">
        <v>46114.42796296296</v>
      </c>
      <c r="BG278" t="s">
        <v>68</v>
      </c>
      <c r="BH278" t="s">
        <v>68</v>
      </c>
      <c r="BI278" t="s">
        <v>68</v>
      </c>
      <c r="BJ278" t="s">
        <v>68</v>
      </c>
      <c r="BK278" t="s">
        <v>68</v>
      </c>
      <c r="BL278" t="s">
        <v>68</v>
      </c>
      <c r="BM278" t="s">
        <v>68</v>
      </c>
      <c r="BN278" t="s">
        <v>68</v>
      </c>
      <c r="BO278" t="s">
        <v>96</v>
      </c>
      <c r="BP278">
        <v>0</v>
      </c>
      <c r="BQ278" t="s">
        <v>68</v>
      </c>
      <c r="BR278" t="s">
        <v>68</v>
      </c>
      <c r="BS278" t="s">
        <v>68</v>
      </c>
    </row>
    <row r="279" spans="1:71" x14ac:dyDescent="0.35">
      <c r="A279" t="b">
        <f>ISNUMBER(MATCH(ChargentOrders[[#This Row],[Contract__c]],Contract[Id],0))</f>
        <v>1</v>
      </c>
      <c r="B279">
        <f>IFERROR(INDEX(Contract[CB_Subscription__c],MATCH(ChargentOrders[[#This Row],[Contract__c]],Contract[Id],0)),0)</f>
        <v>0</v>
      </c>
      <c r="C279" t="b">
        <f>ISNUMBER(MATCH(ChargentOrders[[#This Row],[Id]],Claude[Id],0))</f>
        <v>1</v>
      </c>
      <c r="D279" t="b">
        <f>AND(ChargentOrders[[#This Row],[_Contract]],ChargentOrders[[#This Row],[CB Subscription]]=0)</f>
        <v>1</v>
      </c>
      <c r="E279" s="38">
        <f>INDEX(Table5[CUENTA],MATCH(ChargentOrders[[#This Row],[Contract__c]],Table5[SM_Contract__c],0))</f>
        <v>46170</v>
      </c>
      <c r="F279" s="38" t="str">
        <f ca="1">INDEX(Table5[ESTADO],MATCH(ChargentOrders[[#This Row],[Contract__c]],Table5[SM_Contract__c],0))</f>
        <v>DEBE 2</v>
      </c>
      <c r="G279" t="s">
        <v>1161</v>
      </c>
      <c r="H279" t="s">
        <v>81</v>
      </c>
      <c r="I279" t="s">
        <v>1162</v>
      </c>
      <c r="J279" s="1">
        <v>46142.42597222222</v>
      </c>
      <c r="K279">
        <v>11</v>
      </c>
      <c r="L279">
        <v>2029</v>
      </c>
      <c r="M279" t="s">
        <v>1502</v>
      </c>
      <c r="N279">
        <v>11</v>
      </c>
      <c r="O279" t="s">
        <v>1502</v>
      </c>
      <c r="P279" t="s">
        <v>73</v>
      </c>
      <c r="Q279">
        <v>2029</v>
      </c>
      <c r="R279">
        <v>12400</v>
      </c>
      <c r="T279" t="s">
        <v>67</v>
      </c>
      <c r="U279" t="s">
        <v>68</v>
      </c>
      <c r="V279">
        <v>0</v>
      </c>
      <c r="W279" t="s">
        <v>69</v>
      </c>
      <c r="X279" s="5">
        <v>46143</v>
      </c>
      <c r="Y279" t="s">
        <v>74</v>
      </c>
      <c r="Z279" t="s">
        <v>68</v>
      </c>
      <c r="AA279">
        <v>12400</v>
      </c>
      <c r="AB279">
        <v>0</v>
      </c>
      <c r="AC279" t="s">
        <v>778</v>
      </c>
      <c r="AD279" t="s">
        <v>68</v>
      </c>
      <c r="AE279">
        <v>0</v>
      </c>
      <c r="AF279" s="1">
        <v>46143.433703703704</v>
      </c>
      <c r="AG279" s="1">
        <v>46143.43372685185</v>
      </c>
      <c r="AH279">
        <v>1</v>
      </c>
      <c r="AI279">
        <v>1</v>
      </c>
      <c r="AJ279">
        <v>1240</v>
      </c>
      <c r="AK279" t="s">
        <v>779</v>
      </c>
      <c r="AL279" t="s">
        <v>71</v>
      </c>
      <c r="AM279" t="s">
        <v>68</v>
      </c>
      <c r="AN279">
        <v>0</v>
      </c>
      <c r="AO279" s="1"/>
      <c r="AP279">
        <v>0</v>
      </c>
      <c r="AQ279">
        <v>0</v>
      </c>
      <c r="AR279">
        <v>0</v>
      </c>
      <c r="AS279" t="s">
        <v>72</v>
      </c>
      <c r="AT279" t="s">
        <v>68</v>
      </c>
      <c r="AU279">
        <v>1</v>
      </c>
      <c r="AV279" t="s">
        <v>1163</v>
      </c>
      <c r="AW279">
        <v>0</v>
      </c>
      <c r="AX279" s="1">
        <v>46051.427615740744</v>
      </c>
      <c r="AY279">
        <v>2500</v>
      </c>
      <c r="AZ279" t="s">
        <v>68</v>
      </c>
      <c r="BA279" t="s">
        <v>65</v>
      </c>
      <c r="BB279" t="s">
        <v>68</v>
      </c>
      <c r="BC279" t="s">
        <v>68</v>
      </c>
      <c r="BD279">
        <v>0</v>
      </c>
      <c r="BE279" s="1"/>
      <c r="BF279" s="1">
        <v>46143.433703703704</v>
      </c>
      <c r="BG279" t="s">
        <v>68</v>
      </c>
      <c r="BH279" t="s">
        <v>68</v>
      </c>
      <c r="BI279" t="s">
        <v>68</v>
      </c>
      <c r="BJ279" t="s">
        <v>68</v>
      </c>
      <c r="BK279" t="s">
        <v>68</v>
      </c>
      <c r="BL279" t="s">
        <v>68</v>
      </c>
      <c r="BM279" t="s">
        <v>68</v>
      </c>
      <c r="BN279" t="s">
        <v>68</v>
      </c>
      <c r="BO279" t="s">
        <v>96</v>
      </c>
      <c r="BP279">
        <v>0</v>
      </c>
      <c r="BQ279" t="s">
        <v>68</v>
      </c>
      <c r="BR279" t="s">
        <v>68</v>
      </c>
      <c r="BS279" t="s">
        <v>68</v>
      </c>
    </row>
    <row r="280" spans="1:71" x14ac:dyDescent="0.35">
      <c r="A280" t="b">
        <f>ISNUMBER(MATCH(ChargentOrders[[#This Row],[Contract__c]],Contract[Id],0))</f>
        <v>1</v>
      </c>
      <c r="B280">
        <f>IFERROR(INDEX(Contract[CB_Subscription__c],MATCH(ChargentOrders[[#This Row],[Contract__c]],Contract[Id],0)),0)</f>
        <v>0</v>
      </c>
      <c r="C280" t="b">
        <f>ISNUMBER(MATCH(ChargentOrders[[#This Row],[Id]],Claude[Id],0))</f>
        <v>1</v>
      </c>
      <c r="D280" t="b">
        <f>AND(ChargentOrders[[#This Row],[_Contract]],ChargentOrders[[#This Row],[CB Subscription]]=0)</f>
        <v>1</v>
      </c>
      <c r="E280" s="38">
        <f>INDEX(Table5[CUENTA],MATCH(ChargentOrders[[#This Row],[Contract__c]],Table5[SM_Contract__c],0))</f>
        <v>46172</v>
      </c>
      <c r="F280" s="38" t="str">
        <f ca="1">INDEX(Table5[ESTADO],MATCH(ChargentOrders[[#This Row],[Contract__c]],Table5[SM_Contract__c],0))</f>
        <v>DEBE 2</v>
      </c>
      <c r="G280" t="s">
        <v>110</v>
      </c>
      <c r="H280" t="s">
        <v>81</v>
      </c>
      <c r="I280" t="s">
        <v>111</v>
      </c>
      <c r="J280" s="1">
        <v>45160.90861111111</v>
      </c>
      <c r="K280">
        <v>10</v>
      </c>
      <c r="L280">
        <v>2026</v>
      </c>
      <c r="M280" t="s">
        <v>1414</v>
      </c>
      <c r="N280">
        <v>10</v>
      </c>
      <c r="O280" t="s">
        <v>1415</v>
      </c>
      <c r="P280" t="s">
        <v>73</v>
      </c>
      <c r="Q280">
        <v>2026</v>
      </c>
      <c r="R280">
        <v>0</v>
      </c>
      <c r="T280" t="s">
        <v>67</v>
      </c>
      <c r="U280" t="s">
        <v>68</v>
      </c>
      <c r="V280">
        <v>0</v>
      </c>
      <c r="W280" t="s">
        <v>69</v>
      </c>
      <c r="X280" s="5"/>
      <c r="Y280" t="s">
        <v>68</v>
      </c>
      <c r="Z280" t="s">
        <v>68</v>
      </c>
      <c r="AA280">
        <v>0</v>
      </c>
      <c r="AC280" t="s">
        <v>68</v>
      </c>
      <c r="AD280" t="s">
        <v>68</v>
      </c>
      <c r="AE280">
        <v>0</v>
      </c>
      <c r="AF280" s="1"/>
      <c r="AG280" s="1"/>
      <c r="AH280">
        <v>0</v>
      </c>
      <c r="AI280">
        <v>1</v>
      </c>
      <c r="AJ280">
        <v>0</v>
      </c>
      <c r="AK280" t="s">
        <v>112</v>
      </c>
      <c r="AL280" t="s">
        <v>68</v>
      </c>
      <c r="AM280" t="s">
        <v>68</v>
      </c>
      <c r="AN280">
        <v>0</v>
      </c>
      <c r="AO280" s="1"/>
      <c r="AP280">
        <v>1</v>
      </c>
      <c r="AS280" t="s">
        <v>75</v>
      </c>
      <c r="AT280" t="s">
        <v>68</v>
      </c>
      <c r="AU280">
        <v>0</v>
      </c>
      <c r="AV280" t="s">
        <v>68</v>
      </c>
      <c r="AW280">
        <v>0</v>
      </c>
      <c r="AX280" s="1"/>
      <c r="AZ280" t="s">
        <v>68</v>
      </c>
      <c r="BA280" t="s">
        <v>68</v>
      </c>
      <c r="BB280" t="s">
        <v>68</v>
      </c>
      <c r="BC280" t="s">
        <v>68</v>
      </c>
      <c r="BD280">
        <v>0</v>
      </c>
      <c r="BE280" s="1">
        <v>45160.908622685187</v>
      </c>
      <c r="BF280" s="1">
        <v>45160.908622685187</v>
      </c>
      <c r="BG280" t="s">
        <v>68</v>
      </c>
      <c r="BH280" t="s">
        <v>68</v>
      </c>
      <c r="BI280" t="s">
        <v>68</v>
      </c>
      <c r="BJ280" t="s">
        <v>68</v>
      </c>
      <c r="BK280" t="s">
        <v>68</v>
      </c>
      <c r="BL280" t="s">
        <v>68</v>
      </c>
      <c r="BM280" t="s">
        <v>68</v>
      </c>
      <c r="BN280" t="s">
        <v>68</v>
      </c>
      <c r="BO280" t="s">
        <v>96</v>
      </c>
      <c r="BP280">
        <v>0</v>
      </c>
      <c r="BQ280" t="s">
        <v>68</v>
      </c>
      <c r="BR280" t="s">
        <v>68</v>
      </c>
      <c r="BS280" t="s">
        <v>68</v>
      </c>
    </row>
    <row r="281" spans="1:71" x14ac:dyDescent="0.35">
      <c r="A281" t="b">
        <f>ISNUMBER(MATCH(ChargentOrders[[#This Row],[Contract__c]],Contract[Id],0))</f>
        <v>1</v>
      </c>
      <c r="B281">
        <f>IFERROR(INDEX(Contract[CB_Subscription__c],MATCH(ChargentOrders[[#This Row],[Contract__c]],Contract[Id],0)),0)</f>
        <v>0</v>
      </c>
      <c r="C281" t="b">
        <f>ISNUMBER(MATCH(ChargentOrders[[#This Row],[Id]],Claude[Id],0))</f>
        <v>1</v>
      </c>
      <c r="D281" t="b">
        <f>AND(ChargentOrders[[#This Row],[_Contract]],ChargentOrders[[#This Row],[CB Subscription]]=0)</f>
        <v>1</v>
      </c>
      <c r="E281" s="38">
        <f>INDEX(Table5[CUENTA],MATCH(ChargentOrders[[#This Row],[Contract__c]],Table5[SM_Contract__c],0))</f>
        <v>46172</v>
      </c>
      <c r="F281" s="38" t="str">
        <f ca="1">INDEX(Table5[ESTADO],MATCH(ChargentOrders[[#This Row],[Contract__c]],Table5[SM_Contract__c],0))</f>
        <v>DEBE 2</v>
      </c>
      <c r="G281" t="s">
        <v>113</v>
      </c>
      <c r="H281" t="s">
        <v>81</v>
      </c>
      <c r="I281" t="s">
        <v>114</v>
      </c>
      <c r="J281" s="1">
        <v>45160.909224537034</v>
      </c>
      <c r="K281">
        <v>10</v>
      </c>
      <c r="L281">
        <v>2026</v>
      </c>
      <c r="M281" t="s">
        <v>1414</v>
      </c>
      <c r="N281">
        <v>10</v>
      </c>
      <c r="O281" t="s">
        <v>1415</v>
      </c>
      <c r="P281" t="s">
        <v>73</v>
      </c>
      <c r="Q281">
        <v>2026</v>
      </c>
      <c r="R281">
        <v>0</v>
      </c>
      <c r="T281" t="s">
        <v>67</v>
      </c>
      <c r="U281" t="s">
        <v>68</v>
      </c>
      <c r="V281">
        <v>0</v>
      </c>
      <c r="W281" t="s">
        <v>69</v>
      </c>
      <c r="X281" s="5"/>
      <c r="Y281" t="s">
        <v>68</v>
      </c>
      <c r="Z281" t="s">
        <v>68</v>
      </c>
      <c r="AA281">
        <v>0</v>
      </c>
      <c r="AC281" t="s">
        <v>115</v>
      </c>
      <c r="AD281" t="s">
        <v>68</v>
      </c>
      <c r="AE281">
        <v>0</v>
      </c>
      <c r="AF281" s="1"/>
      <c r="AG281" s="1">
        <v>45160.909247685187</v>
      </c>
      <c r="AH281">
        <v>0</v>
      </c>
      <c r="AI281">
        <v>1</v>
      </c>
      <c r="AJ281">
        <v>0</v>
      </c>
      <c r="AK281" t="s">
        <v>112</v>
      </c>
      <c r="AL281" t="s">
        <v>68</v>
      </c>
      <c r="AM281" t="s">
        <v>68</v>
      </c>
      <c r="AN281">
        <v>0</v>
      </c>
      <c r="AO281" s="1"/>
      <c r="AP281">
        <v>1</v>
      </c>
      <c r="AS281" t="s">
        <v>75</v>
      </c>
      <c r="AT281" t="s">
        <v>68</v>
      </c>
      <c r="AU281">
        <v>0</v>
      </c>
      <c r="AV281" t="s">
        <v>68</v>
      </c>
      <c r="AW281">
        <v>1</v>
      </c>
      <c r="AX281" s="1"/>
      <c r="AZ281" t="s">
        <v>68</v>
      </c>
      <c r="BA281" t="s">
        <v>68</v>
      </c>
      <c r="BB281" t="s">
        <v>68</v>
      </c>
      <c r="BC281" t="s">
        <v>68</v>
      </c>
      <c r="BD281">
        <v>0</v>
      </c>
      <c r="BE281" s="1"/>
      <c r="BF281" s="1">
        <v>45160.909247685187</v>
      </c>
      <c r="BG281" t="s">
        <v>68</v>
      </c>
      <c r="BH281" t="s">
        <v>68</v>
      </c>
      <c r="BI281" t="s">
        <v>68</v>
      </c>
      <c r="BJ281" t="s">
        <v>68</v>
      </c>
      <c r="BK281" t="s">
        <v>68</v>
      </c>
      <c r="BL281" t="s">
        <v>68</v>
      </c>
      <c r="BM281" t="s">
        <v>68</v>
      </c>
      <c r="BN281" t="s">
        <v>68</v>
      </c>
      <c r="BO281" t="s">
        <v>96</v>
      </c>
      <c r="BP281">
        <v>0</v>
      </c>
      <c r="BQ281" t="s">
        <v>68</v>
      </c>
      <c r="BR281" t="s">
        <v>68</v>
      </c>
      <c r="BS281" t="s">
        <v>68</v>
      </c>
    </row>
    <row r="282" spans="1:71" x14ac:dyDescent="0.35">
      <c r="A282" t="b">
        <f>ISNUMBER(MATCH(ChargentOrders[[#This Row],[Contract__c]],Contract[Id],0))</f>
        <v>1</v>
      </c>
      <c r="B282">
        <f>IFERROR(INDEX(Contract[CB_Subscription__c],MATCH(ChargentOrders[[#This Row],[Contract__c]],Contract[Id],0)),0)</f>
        <v>0</v>
      </c>
      <c r="C282" t="b">
        <f>ISNUMBER(MATCH(ChargentOrders[[#This Row],[Id]],Claude[Id],0))</f>
        <v>1</v>
      </c>
      <c r="D282" t="b">
        <f>AND(ChargentOrders[[#This Row],[_Contract]],ChargentOrders[[#This Row],[CB Subscription]]=0)</f>
        <v>1</v>
      </c>
      <c r="E282" s="38">
        <f>INDEX(Table5[CUENTA],MATCH(ChargentOrders[[#This Row],[Contract__c]],Table5[SM_Contract__c],0))</f>
        <v>46172</v>
      </c>
      <c r="F282" s="38" t="str">
        <f ca="1">INDEX(Table5[ESTADO],MATCH(ChargentOrders[[#This Row],[Contract__c]],Table5[SM_Contract__c],0))</f>
        <v>DEBE 2</v>
      </c>
      <c r="G282" t="s">
        <v>116</v>
      </c>
      <c r="H282" t="s">
        <v>81</v>
      </c>
      <c r="I282" t="s">
        <v>117</v>
      </c>
      <c r="J282" s="1">
        <v>45160.909895833334</v>
      </c>
      <c r="K282">
        <v>10</v>
      </c>
      <c r="L282">
        <v>2026</v>
      </c>
      <c r="M282" t="s">
        <v>1414</v>
      </c>
      <c r="N282">
        <v>10</v>
      </c>
      <c r="O282" t="s">
        <v>1415</v>
      </c>
      <c r="P282" t="s">
        <v>73</v>
      </c>
      <c r="Q282">
        <v>2026</v>
      </c>
      <c r="R282">
        <v>5519</v>
      </c>
      <c r="T282" t="s">
        <v>67</v>
      </c>
      <c r="U282" t="s">
        <v>68</v>
      </c>
      <c r="V282">
        <v>0</v>
      </c>
      <c r="W282" t="s">
        <v>69</v>
      </c>
      <c r="X282" s="5">
        <v>45163</v>
      </c>
      <c r="Y282" t="s">
        <v>74</v>
      </c>
      <c r="Z282" t="s">
        <v>68</v>
      </c>
      <c r="AA282">
        <v>495</v>
      </c>
      <c r="AB282">
        <v>5692</v>
      </c>
      <c r="AC282" t="s">
        <v>118</v>
      </c>
      <c r="AD282" t="s">
        <v>68</v>
      </c>
      <c r="AE282">
        <v>0</v>
      </c>
      <c r="AF282" s="1">
        <v>45162.689317129632</v>
      </c>
      <c r="AG282" s="1">
        <v>45162.689317129632</v>
      </c>
      <c r="AH282">
        <v>1</v>
      </c>
      <c r="AI282">
        <v>1</v>
      </c>
      <c r="AJ282">
        <v>5519</v>
      </c>
      <c r="AK282" t="s">
        <v>112</v>
      </c>
      <c r="AL282" t="s">
        <v>77</v>
      </c>
      <c r="AM282" t="s">
        <v>68</v>
      </c>
      <c r="AN282">
        <v>0</v>
      </c>
      <c r="AO282" s="1"/>
      <c r="AP282">
        <v>1</v>
      </c>
      <c r="AQ282">
        <v>100</v>
      </c>
      <c r="AR282">
        <v>1050</v>
      </c>
      <c r="AS282" t="s">
        <v>75</v>
      </c>
      <c r="AT282" t="s">
        <v>68</v>
      </c>
      <c r="AU282">
        <v>0</v>
      </c>
      <c r="AV282" t="s">
        <v>68</v>
      </c>
      <c r="AW282">
        <v>0</v>
      </c>
      <c r="AX282" s="1"/>
      <c r="AZ282" t="s">
        <v>68</v>
      </c>
      <c r="BA282" t="s">
        <v>68</v>
      </c>
      <c r="BB282" t="s">
        <v>68</v>
      </c>
      <c r="BC282" t="s">
        <v>68</v>
      </c>
      <c r="BD282">
        <v>0</v>
      </c>
      <c r="BE282" s="1"/>
      <c r="BF282" s="1">
        <v>45162.689317129632</v>
      </c>
      <c r="BG282" t="s">
        <v>68</v>
      </c>
      <c r="BH282" t="s">
        <v>68</v>
      </c>
      <c r="BI282" t="s">
        <v>68</v>
      </c>
      <c r="BJ282" t="s">
        <v>68</v>
      </c>
      <c r="BK282" t="s">
        <v>68</v>
      </c>
      <c r="BL282" t="s">
        <v>68</v>
      </c>
      <c r="BM282" t="s">
        <v>68</v>
      </c>
      <c r="BN282" t="s">
        <v>68</v>
      </c>
      <c r="BO282" t="s">
        <v>96</v>
      </c>
      <c r="BP282">
        <v>0</v>
      </c>
      <c r="BQ282" t="s">
        <v>68</v>
      </c>
      <c r="BR282" t="s">
        <v>68</v>
      </c>
      <c r="BS282" t="s">
        <v>68</v>
      </c>
    </row>
    <row r="283" spans="1:71" x14ac:dyDescent="0.35">
      <c r="A283" t="b">
        <f>ISNUMBER(MATCH(ChargentOrders[[#This Row],[Contract__c]],Contract[Id],0))</f>
        <v>1</v>
      </c>
      <c r="B283">
        <f>IFERROR(INDEX(Contract[CB_Subscription__c],MATCH(ChargentOrders[[#This Row],[Contract__c]],Contract[Id],0)),0)</f>
        <v>0</v>
      </c>
      <c r="C283" t="b">
        <f>ISNUMBER(MATCH(ChargentOrders[[#This Row],[Id]],Claude[Id],0))</f>
        <v>1</v>
      </c>
      <c r="D283" t="b">
        <f>AND(ChargentOrders[[#This Row],[_Contract]],ChargentOrders[[#This Row],[CB Subscription]]=0)</f>
        <v>1</v>
      </c>
      <c r="E283" s="38">
        <f>INDEX(Table5[CUENTA],MATCH(ChargentOrders[[#This Row],[Contract__c]],Table5[SM_Contract__c],0))</f>
        <v>46172</v>
      </c>
      <c r="F283" s="38" t="str">
        <f ca="1">INDEX(Table5[ESTADO],MATCH(ChargentOrders[[#This Row],[Contract__c]],Table5[SM_Contract__c],0))</f>
        <v>DEBE 2</v>
      </c>
      <c r="G283" t="s">
        <v>119</v>
      </c>
      <c r="H283" t="s">
        <v>81</v>
      </c>
      <c r="I283" t="s">
        <v>120</v>
      </c>
      <c r="J283" s="1">
        <v>45160.909895833334</v>
      </c>
      <c r="K283">
        <v>10</v>
      </c>
      <c r="L283">
        <v>2026</v>
      </c>
      <c r="M283" t="s">
        <v>1414</v>
      </c>
      <c r="N283">
        <v>10</v>
      </c>
      <c r="O283" t="s">
        <v>1415</v>
      </c>
      <c r="P283" t="s">
        <v>73</v>
      </c>
      <c r="Q283">
        <v>2026</v>
      </c>
      <c r="R283">
        <v>5519</v>
      </c>
      <c r="T283" t="s">
        <v>67</v>
      </c>
      <c r="U283" t="s">
        <v>68</v>
      </c>
      <c r="V283">
        <v>0</v>
      </c>
      <c r="W283" t="s">
        <v>69</v>
      </c>
      <c r="X283" s="5">
        <v>45170</v>
      </c>
      <c r="Y283" t="s">
        <v>74</v>
      </c>
      <c r="Z283" t="s">
        <v>68</v>
      </c>
      <c r="AA283">
        <v>4950</v>
      </c>
      <c r="AB283">
        <v>5692</v>
      </c>
      <c r="AC283" t="s">
        <v>115</v>
      </c>
      <c r="AD283" t="s">
        <v>68</v>
      </c>
      <c r="AE283">
        <v>0</v>
      </c>
      <c r="AF283" s="1"/>
      <c r="AG283" s="1"/>
      <c r="AH283">
        <v>0</v>
      </c>
      <c r="AI283">
        <v>1</v>
      </c>
      <c r="AJ283">
        <v>0</v>
      </c>
      <c r="AK283" t="s">
        <v>112</v>
      </c>
      <c r="AL283" t="s">
        <v>77</v>
      </c>
      <c r="AM283" t="s">
        <v>68</v>
      </c>
      <c r="AN283">
        <v>0</v>
      </c>
      <c r="AO283" s="1"/>
      <c r="AP283">
        <v>1</v>
      </c>
      <c r="AQ283">
        <v>100</v>
      </c>
      <c r="AR283">
        <v>1050</v>
      </c>
      <c r="AS283" t="s">
        <v>75</v>
      </c>
      <c r="AT283" t="s">
        <v>68</v>
      </c>
      <c r="AU283">
        <v>0</v>
      </c>
      <c r="AV283" t="s">
        <v>68</v>
      </c>
      <c r="AW283">
        <v>0</v>
      </c>
      <c r="AX283" s="1"/>
      <c r="AZ283" t="s">
        <v>68</v>
      </c>
      <c r="BA283" t="s">
        <v>68</v>
      </c>
      <c r="BB283" t="s">
        <v>68</v>
      </c>
      <c r="BC283" t="s">
        <v>68</v>
      </c>
      <c r="BD283">
        <v>0</v>
      </c>
      <c r="BE283" s="1">
        <v>45170.425416666665</v>
      </c>
      <c r="BF283" s="1">
        <v>45170.425416666665</v>
      </c>
      <c r="BG283" t="s">
        <v>68</v>
      </c>
      <c r="BH283" t="s">
        <v>68</v>
      </c>
      <c r="BI283" t="s">
        <v>68</v>
      </c>
      <c r="BJ283" t="s">
        <v>68</v>
      </c>
      <c r="BK283" t="s">
        <v>68</v>
      </c>
      <c r="BL283" t="s">
        <v>68</v>
      </c>
      <c r="BM283" t="s">
        <v>68</v>
      </c>
      <c r="BN283" t="s">
        <v>68</v>
      </c>
      <c r="BO283" t="s">
        <v>96</v>
      </c>
      <c r="BP283">
        <v>0</v>
      </c>
      <c r="BQ283" t="s">
        <v>68</v>
      </c>
      <c r="BR283" t="s">
        <v>68</v>
      </c>
      <c r="BS283" t="s">
        <v>68</v>
      </c>
    </row>
    <row r="284" spans="1:71" x14ac:dyDescent="0.35">
      <c r="A284" t="b">
        <f>ISNUMBER(MATCH(ChargentOrders[[#This Row],[Contract__c]],Contract[Id],0))</f>
        <v>1</v>
      </c>
      <c r="B284">
        <f>IFERROR(INDEX(Contract[CB_Subscription__c],MATCH(ChargentOrders[[#This Row],[Contract__c]],Contract[Id],0)),0)</f>
        <v>0</v>
      </c>
      <c r="C284" t="b">
        <f>ISNUMBER(MATCH(ChargentOrders[[#This Row],[Id]],Claude[Id],0))</f>
        <v>1</v>
      </c>
      <c r="D284" t="b">
        <f>AND(ChargentOrders[[#This Row],[_Contract]],ChargentOrders[[#This Row],[CB Subscription]]=0)</f>
        <v>1</v>
      </c>
      <c r="E284" s="38">
        <f>INDEX(Table5[CUENTA],MATCH(ChargentOrders[[#This Row],[Contract__c]],Table5[SM_Contract__c],0))</f>
        <v>46172</v>
      </c>
      <c r="F284" s="38" t="str">
        <f ca="1">INDEX(Table5[ESTADO],MATCH(ChargentOrders[[#This Row],[Contract__c]],Table5[SM_Contract__c],0))</f>
        <v>DEBE 2</v>
      </c>
      <c r="G284" t="s">
        <v>121</v>
      </c>
      <c r="H284" t="s">
        <v>81</v>
      </c>
      <c r="I284" t="s">
        <v>122</v>
      </c>
      <c r="J284" s="1">
        <v>45160.908854166664</v>
      </c>
      <c r="K284">
        <v>10</v>
      </c>
      <c r="L284">
        <v>2026</v>
      </c>
      <c r="M284" t="s">
        <v>1414</v>
      </c>
      <c r="N284">
        <v>10</v>
      </c>
      <c r="O284" t="s">
        <v>1415</v>
      </c>
      <c r="P284" t="s">
        <v>73</v>
      </c>
      <c r="Q284">
        <v>2026</v>
      </c>
      <c r="R284">
        <v>0</v>
      </c>
      <c r="T284" t="s">
        <v>67</v>
      </c>
      <c r="U284" t="s">
        <v>68</v>
      </c>
      <c r="V284">
        <v>0</v>
      </c>
      <c r="W284" t="s">
        <v>69</v>
      </c>
      <c r="X284" s="5"/>
      <c r="Y284" t="s">
        <v>68</v>
      </c>
      <c r="Z284" t="s">
        <v>68</v>
      </c>
      <c r="AA284">
        <v>0</v>
      </c>
      <c r="AC284" t="s">
        <v>68</v>
      </c>
      <c r="AD284" t="s">
        <v>68</v>
      </c>
      <c r="AE284">
        <v>0</v>
      </c>
      <c r="AF284" s="1"/>
      <c r="AG284" s="1"/>
      <c r="AH284">
        <v>0</v>
      </c>
      <c r="AI284">
        <v>1</v>
      </c>
      <c r="AJ284">
        <v>0</v>
      </c>
      <c r="AK284" t="s">
        <v>112</v>
      </c>
      <c r="AL284" t="s">
        <v>68</v>
      </c>
      <c r="AM284" t="s">
        <v>68</v>
      </c>
      <c r="AN284">
        <v>0</v>
      </c>
      <c r="AO284" s="1"/>
      <c r="AP284">
        <v>1</v>
      </c>
      <c r="AS284" t="s">
        <v>75</v>
      </c>
      <c r="AT284" t="s">
        <v>68</v>
      </c>
      <c r="AU284">
        <v>0</v>
      </c>
      <c r="AV284" t="s">
        <v>68</v>
      </c>
      <c r="AW284">
        <v>0</v>
      </c>
      <c r="AX284" s="1"/>
      <c r="AZ284" t="s">
        <v>68</v>
      </c>
      <c r="BA284" t="s">
        <v>68</v>
      </c>
      <c r="BB284" t="s">
        <v>68</v>
      </c>
      <c r="BC284" t="s">
        <v>68</v>
      </c>
      <c r="BD284">
        <v>0</v>
      </c>
      <c r="BE284" s="1">
        <v>45160.908865740741</v>
      </c>
      <c r="BF284" s="1">
        <v>45160.908865740741</v>
      </c>
      <c r="BG284" t="s">
        <v>68</v>
      </c>
      <c r="BH284" t="s">
        <v>68</v>
      </c>
      <c r="BI284" t="s">
        <v>68</v>
      </c>
      <c r="BJ284" t="s">
        <v>68</v>
      </c>
      <c r="BK284" t="s">
        <v>68</v>
      </c>
      <c r="BL284" t="s">
        <v>68</v>
      </c>
      <c r="BM284" t="s">
        <v>68</v>
      </c>
      <c r="BN284" t="s">
        <v>68</v>
      </c>
      <c r="BO284" t="s">
        <v>96</v>
      </c>
      <c r="BP284">
        <v>0</v>
      </c>
      <c r="BQ284" t="s">
        <v>68</v>
      </c>
      <c r="BR284" t="s">
        <v>68</v>
      </c>
      <c r="BS284" t="s">
        <v>68</v>
      </c>
    </row>
    <row r="285" spans="1:71" x14ac:dyDescent="0.35">
      <c r="A285" t="b">
        <f>ISNUMBER(MATCH(ChargentOrders[[#This Row],[Contract__c]],Contract[Id],0))</f>
        <v>1</v>
      </c>
      <c r="B285">
        <f>IFERROR(INDEX(Contract[CB_Subscription__c],MATCH(ChargentOrders[[#This Row],[Contract__c]],Contract[Id],0)),0)</f>
        <v>0</v>
      </c>
      <c r="C285" t="b">
        <f>ISNUMBER(MATCH(ChargentOrders[[#This Row],[Id]],Claude[Id],0))</f>
        <v>1</v>
      </c>
      <c r="D285" t="b">
        <f>AND(ChargentOrders[[#This Row],[_Contract]],ChargentOrders[[#This Row],[CB Subscription]]=0)</f>
        <v>1</v>
      </c>
      <c r="E285" s="38">
        <f>INDEX(Table5[CUENTA],MATCH(ChargentOrders[[#This Row],[Contract__c]],Table5[SM_Contract__c],0))</f>
        <v>46172</v>
      </c>
      <c r="F285" s="38" t="str">
        <f ca="1">INDEX(Table5[ESTADO],MATCH(ChargentOrders[[#This Row],[Contract__c]],Table5[SM_Contract__c],0))</f>
        <v>DEBE 2</v>
      </c>
      <c r="G285" t="s">
        <v>123</v>
      </c>
      <c r="H285" t="s">
        <v>81</v>
      </c>
      <c r="I285" t="s">
        <v>124</v>
      </c>
      <c r="J285" s="1">
        <v>45170.425474537034</v>
      </c>
      <c r="K285">
        <v>6</v>
      </c>
      <c r="L285">
        <v>2027</v>
      </c>
      <c r="M285" t="s">
        <v>1417</v>
      </c>
      <c r="N285">
        <v>6</v>
      </c>
      <c r="O285" t="s">
        <v>68</v>
      </c>
      <c r="P285" t="s">
        <v>73</v>
      </c>
      <c r="Q285">
        <v>2027</v>
      </c>
      <c r="R285">
        <v>552</v>
      </c>
      <c r="T285" t="s">
        <v>67</v>
      </c>
      <c r="U285" t="s">
        <v>68</v>
      </c>
      <c r="V285">
        <v>0</v>
      </c>
      <c r="W285" t="s">
        <v>69</v>
      </c>
      <c r="X285" s="5">
        <v>45173</v>
      </c>
      <c r="Y285" t="s">
        <v>74</v>
      </c>
      <c r="Z285" t="s">
        <v>68</v>
      </c>
      <c r="AA285">
        <v>4950</v>
      </c>
      <c r="AB285">
        <v>57</v>
      </c>
      <c r="AC285" t="s">
        <v>125</v>
      </c>
      <c r="AD285" t="s">
        <v>68</v>
      </c>
      <c r="AE285">
        <v>0</v>
      </c>
      <c r="AF285" s="1">
        <v>45170.864583333336</v>
      </c>
      <c r="AG285" s="1">
        <v>45170.864583333336</v>
      </c>
      <c r="AH285">
        <v>1</v>
      </c>
      <c r="AI285">
        <v>1</v>
      </c>
      <c r="AJ285">
        <v>552</v>
      </c>
      <c r="AK285" t="s">
        <v>112</v>
      </c>
      <c r="AL285" t="s">
        <v>71</v>
      </c>
      <c r="AM285" t="s">
        <v>68</v>
      </c>
      <c r="AN285">
        <v>0</v>
      </c>
      <c r="AO285" s="1"/>
      <c r="AQ285">
        <v>100</v>
      </c>
      <c r="AR285">
        <v>1050</v>
      </c>
      <c r="AS285" t="s">
        <v>72</v>
      </c>
      <c r="AT285" t="s">
        <v>68</v>
      </c>
      <c r="AU285">
        <v>0</v>
      </c>
      <c r="AV285" t="s">
        <v>126</v>
      </c>
      <c r="AW285">
        <v>0</v>
      </c>
      <c r="AX285" s="1">
        <v>45170.864074074074</v>
      </c>
      <c r="AY285">
        <v>0</v>
      </c>
      <c r="AZ285" t="s">
        <v>68</v>
      </c>
      <c r="BA285" t="s">
        <v>65</v>
      </c>
      <c r="BB285" t="s">
        <v>68</v>
      </c>
      <c r="BC285" t="s">
        <v>82</v>
      </c>
      <c r="BD285">
        <v>0</v>
      </c>
      <c r="BE285" s="1"/>
      <c r="BF285" s="1">
        <v>45170.864583333336</v>
      </c>
      <c r="BG285" t="s">
        <v>68</v>
      </c>
      <c r="BH285" t="s">
        <v>68</v>
      </c>
      <c r="BI285" t="s">
        <v>68</v>
      </c>
      <c r="BJ285" t="s">
        <v>68</v>
      </c>
      <c r="BK285" t="s">
        <v>68</v>
      </c>
      <c r="BL285" t="s">
        <v>68</v>
      </c>
      <c r="BM285" t="s">
        <v>68</v>
      </c>
      <c r="BN285" t="s">
        <v>68</v>
      </c>
      <c r="BO285" t="s">
        <v>96</v>
      </c>
      <c r="BP285">
        <v>0</v>
      </c>
      <c r="BQ285" t="s">
        <v>68</v>
      </c>
      <c r="BR285" t="s">
        <v>68</v>
      </c>
      <c r="BS285" t="s">
        <v>68</v>
      </c>
    </row>
    <row r="286" spans="1:71" x14ac:dyDescent="0.35">
      <c r="A286" t="b">
        <f>ISNUMBER(MATCH(ChargentOrders[[#This Row],[Contract__c]],Contract[Id],0))</f>
        <v>1</v>
      </c>
      <c r="B286">
        <f>IFERROR(INDEX(Contract[CB_Subscription__c],MATCH(ChargentOrders[[#This Row],[Contract__c]],Contract[Id],0)),0)</f>
        <v>0</v>
      </c>
      <c r="C286" t="b">
        <f>ISNUMBER(MATCH(ChargentOrders[[#This Row],[Id]],Claude[Id],0))</f>
        <v>1</v>
      </c>
      <c r="D286" t="b">
        <f>AND(ChargentOrders[[#This Row],[_Contract]],ChargentOrders[[#This Row],[CB Subscription]]=0)</f>
        <v>1</v>
      </c>
      <c r="E286" s="38">
        <f>INDEX(Table5[CUENTA],MATCH(ChargentOrders[[#This Row],[Contract__c]],Table5[SM_Contract__c],0))</f>
        <v>46172</v>
      </c>
      <c r="F286" s="38" t="str">
        <f ca="1">INDEX(Table5[ESTADO],MATCH(ChargentOrders[[#This Row],[Contract__c]],Table5[SM_Contract__c],0))</f>
        <v>DEBE 2</v>
      </c>
      <c r="G286" t="s">
        <v>127</v>
      </c>
      <c r="H286" t="s">
        <v>102</v>
      </c>
      <c r="I286" t="s">
        <v>128</v>
      </c>
      <c r="J286" s="1">
        <v>45170.563993055555</v>
      </c>
      <c r="K286">
        <v>6</v>
      </c>
      <c r="L286">
        <v>2027</v>
      </c>
      <c r="M286" t="s">
        <v>1417</v>
      </c>
      <c r="N286">
        <v>6</v>
      </c>
      <c r="O286" t="s">
        <v>1418</v>
      </c>
      <c r="P286" t="s">
        <v>73</v>
      </c>
      <c r="Q286">
        <v>2027</v>
      </c>
      <c r="R286">
        <v>0</v>
      </c>
      <c r="T286" t="s">
        <v>67</v>
      </c>
      <c r="U286" t="s">
        <v>68</v>
      </c>
      <c r="V286">
        <v>0</v>
      </c>
      <c r="W286" t="s">
        <v>69</v>
      </c>
      <c r="X286" s="5"/>
      <c r="Y286" t="s">
        <v>68</v>
      </c>
      <c r="Z286" t="s">
        <v>68</v>
      </c>
      <c r="AA286">
        <v>0</v>
      </c>
      <c r="AC286" t="s">
        <v>68</v>
      </c>
      <c r="AD286" t="s">
        <v>68</v>
      </c>
      <c r="AE286">
        <v>0</v>
      </c>
      <c r="AF286" s="1"/>
      <c r="AG286" s="1"/>
      <c r="AH286">
        <v>0</v>
      </c>
      <c r="AI286">
        <v>1</v>
      </c>
      <c r="AJ286">
        <v>0</v>
      </c>
      <c r="AK286" t="s">
        <v>112</v>
      </c>
      <c r="AL286" t="s">
        <v>68</v>
      </c>
      <c r="AM286" t="s">
        <v>68</v>
      </c>
      <c r="AN286">
        <v>0</v>
      </c>
      <c r="AO286" s="1"/>
      <c r="AP286">
        <v>1</v>
      </c>
      <c r="AS286" t="s">
        <v>75</v>
      </c>
      <c r="AT286" t="s">
        <v>68</v>
      </c>
      <c r="AU286">
        <v>0</v>
      </c>
      <c r="AV286" t="s">
        <v>68</v>
      </c>
      <c r="AW286">
        <v>0</v>
      </c>
      <c r="AX286" s="1"/>
      <c r="AZ286" t="s">
        <v>68</v>
      </c>
      <c r="BA286" t="s">
        <v>68</v>
      </c>
      <c r="BB286" t="s">
        <v>68</v>
      </c>
      <c r="BC286" t="s">
        <v>68</v>
      </c>
      <c r="BD286">
        <v>0</v>
      </c>
      <c r="BE286" s="1">
        <v>45170.564004629632</v>
      </c>
      <c r="BF286" s="1">
        <v>45170.564004629632</v>
      </c>
      <c r="BG286" t="s">
        <v>68</v>
      </c>
      <c r="BH286" t="s">
        <v>68</v>
      </c>
      <c r="BI286" t="s">
        <v>68</v>
      </c>
      <c r="BJ286" t="s">
        <v>68</v>
      </c>
      <c r="BK286" t="s">
        <v>68</v>
      </c>
      <c r="BL286" t="s">
        <v>68</v>
      </c>
      <c r="BM286" t="s">
        <v>68</v>
      </c>
      <c r="BN286" t="s">
        <v>68</v>
      </c>
      <c r="BO286" t="s">
        <v>96</v>
      </c>
      <c r="BP286">
        <v>0</v>
      </c>
      <c r="BQ286" t="s">
        <v>68</v>
      </c>
      <c r="BR286" t="s">
        <v>68</v>
      </c>
      <c r="BS286" t="s">
        <v>68</v>
      </c>
    </row>
    <row r="287" spans="1:71" x14ac:dyDescent="0.35">
      <c r="A287" t="b">
        <f>ISNUMBER(MATCH(ChargentOrders[[#This Row],[Contract__c]],Contract[Id],0))</f>
        <v>1</v>
      </c>
      <c r="B287">
        <f>IFERROR(INDEX(Contract[CB_Subscription__c],MATCH(ChargentOrders[[#This Row],[Contract__c]],Contract[Id],0)),0)</f>
        <v>0</v>
      </c>
      <c r="C287" t="b">
        <f>ISNUMBER(MATCH(ChargentOrders[[#This Row],[Id]],Claude[Id],0))</f>
        <v>1</v>
      </c>
      <c r="D287" t="b">
        <f>AND(ChargentOrders[[#This Row],[_Contract]],ChargentOrders[[#This Row],[CB Subscription]]=0)</f>
        <v>1</v>
      </c>
      <c r="E287" s="38">
        <f>INDEX(Table5[CUENTA],MATCH(ChargentOrders[[#This Row],[Contract__c]],Table5[SM_Contract__c],0))</f>
        <v>46172</v>
      </c>
      <c r="F287" s="38" t="str">
        <f ca="1">INDEX(Table5[ESTADO],MATCH(ChargentOrders[[#This Row],[Contract__c]],Table5[SM_Contract__c],0))</f>
        <v>DEBE 2</v>
      </c>
      <c r="G287" t="s">
        <v>129</v>
      </c>
      <c r="H287" t="s">
        <v>102</v>
      </c>
      <c r="I287" t="s">
        <v>130</v>
      </c>
      <c r="J287" s="1">
        <v>45170.564386574071</v>
      </c>
      <c r="K287">
        <v>6</v>
      </c>
      <c r="L287">
        <v>2027</v>
      </c>
      <c r="M287" t="s">
        <v>1417</v>
      </c>
      <c r="N287">
        <v>6</v>
      </c>
      <c r="O287" t="s">
        <v>1418</v>
      </c>
      <c r="P287" t="s">
        <v>73</v>
      </c>
      <c r="Q287">
        <v>2027</v>
      </c>
      <c r="R287">
        <v>0</v>
      </c>
      <c r="T287" t="s">
        <v>67</v>
      </c>
      <c r="U287" t="s">
        <v>68</v>
      </c>
      <c r="V287">
        <v>0</v>
      </c>
      <c r="W287" t="s">
        <v>69</v>
      </c>
      <c r="X287" s="5"/>
      <c r="Y287" t="s">
        <v>68</v>
      </c>
      <c r="Z287" t="s">
        <v>68</v>
      </c>
      <c r="AA287">
        <v>0</v>
      </c>
      <c r="AC287" t="s">
        <v>68</v>
      </c>
      <c r="AD287" t="s">
        <v>68</v>
      </c>
      <c r="AE287">
        <v>0</v>
      </c>
      <c r="AF287" s="1"/>
      <c r="AG287" s="1"/>
      <c r="AH287">
        <v>0</v>
      </c>
      <c r="AI287">
        <v>1</v>
      </c>
      <c r="AJ287">
        <v>0</v>
      </c>
      <c r="AK287" t="s">
        <v>112</v>
      </c>
      <c r="AL287" t="s">
        <v>68</v>
      </c>
      <c r="AM287" t="s">
        <v>68</v>
      </c>
      <c r="AN287">
        <v>0</v>
      </c>
      <c r="AO287" s="1"/>
      <c r="AP287">
        <v>1</v>
      </c>
      <c r="AS287" t="s">
        <v>75</v>
      </c>
      <c r="AT287" t="s">
        <v>68</v>
      </c>
      <c r="AU287">
        <v>0</v>
      </c>
      <c r="AV287" t="s">
        <v>68</v>
      </c>
      <c r="AW287">
        <v>0</v>
      </c>
      <c r="AX287" s="1"/>
      <c r="AZ287" t="s">
        <v>68</v>
      </c>
      <c r="BA287" t="s">
        <v>68</v>
      </c>
      <c r="BB287" t="s">
        <v>68</v>
      </c>
      <c r="BC287" t="s">
        <v>68</v>
      </c>
      <c r="BD287">
        <v>0</v>
      </c>
      <c r="BE287" s="1">
        <v>45170.564398148148</v>
      </c>
      <c r="BF287" s="1">
        <v>45170.564398148148</v>
      </c>
      <c r="BG287" t="s">
        <v>68</v>
      </c>
      <c r="BH287" t="s">
        <v>68</v>
      </c>
      <c r="BI287" t="s">
        <v>68</v>
      </c>
      <c r="BJ287" t="s">
        <v>68</v>
      </c>
      <c r="BK287" t="s">
        <v>68</v>
      </c>
      <c r="BL287" t="s">
        <v>68</v>
      </c>
      <c r="BM287" t="s">
        <v>68</v>
      </c>
      <c r="BN287" t="s">
        <v>68</v>
      </c>
      <c r="BO287" t="s">
        <v>96</v>
      </c>
      <c r="BP287">
        <v>0</v>
      </c>
      <c r="BQ287" t="s">
        <v>68</v>
      </c>
      <c r="BR287" t="s">
        <v>68</v>
      </c>
      <c r="BS287" t="s">
        <v>68</v>
      </c>
    </row>
    <row r="288" spans="1:71" x14ac:dyDescent="0.35">
      <c r="A288" t="b">
        <f>ISNUMBER(MATCH(ChargentOrders[[#This Row],[Contract__c]],Contract[Id],0))</f>
        <v>1</v>
      </c>
      <c r="B288">
        <f>IFERROR(INDEX(Contract[CB_Subscription__c],MATCH(ChargentOrders[[#This Row],[Contract__c]],Contract[Id],0)),0)</f>
        <v>0</v>
      </c>
      <c r="C288" t="b">
        <f>ISNUMBER(MATCH(ChargentOrders[[#This Row],[Id]],Claude[Id],0))</f>
        <v>1</v>
      </c>
      <c r="D288" t="b">
        <f>AND(ChargentOrders[[#This Row],[_Contract]],ChargentOrders[[#This Row],[CB Subscription]]=0)</f>
        <v>1</v>
      </c>
      <c r="E288" s="38">
        <f>INDEX(Table5[CUENTA],MATCH(ChargentOrders[[#This Row],[Contract__c]],Table5[SM_Contract__c],0))</f>
        <v>46172</v>
      </c>
      <c r="F288" s="38" t="str">
        <f ca="1">INDEX(Table5[ESTADO],MATCH(ChargentOrders[[#This Row],[Contract__c]],Table5[SM_Contract__c],0))</f>
        <v>DEBE 2</v>
      </c>
      <c r="G288" t="s">
        <v>131</v>
      </c>
      <c r="H288" t="s">
        <v>102</v>
      </c>
      <c r="I288" t="s">
        <v>132</v>
      </c>
      <c r="J288" s="1">
        <v>45170.774097222224</v>
      </c>
      <c r="K288">
        <v>6</v>
      </c>
      <c r="L288">
        <v>2027</v>
      </c>
      <c r="M288" t="s">
        <v>1417</v>
      </c>
      <c r="N288">
        <v>6</v>
      </c>
      <c r="O288" t="s">
        <v>1418</v>
      </c>
      <c r="P288" t="s">
        <v>73</v>
      </c>
      <c r="Q288">
        <v>2027</v>
      </c>
      <c r="R288">
        <v>0</v>
      </c>
      <c r="T288" t="s">
        <v>67</v>
      </c>
      <c r="U288" t="s">
        <v>68</v>
      </c>
      <c r="V288">
        <v>0</v>
      </c>
      <c r="W288" t="s">
        <v>69</v>
      </c>
      <c r="X288" s="5"/>
      <c r="Y288" t="s">
        <v>68</v>
      </c>
      <c r="Z288" t="s">
        <v>68</v>
      </c>
      <c r="AA288">
        <v>0</v>
      </c>
      <c r="AC288" t="s">
        <v>68</v>
      </c>
      <c r="AD288" t="s">
        <v>68</v>
      </c>
      <c r="AE288">
        <v>0</v>
      </c>
      <c r="AF288" s="1"/>
      <c r="AG288" s="1"/>
      <c r="AH288">
        <v>0</v>
      </c>
      <c r="AI288">
        <v>1</v>
      </c>
      <c r="AJ288">
        <v>0</v>
      </c>
      <c r="AK288" t="s">
        <v>112</v>
      </c>
      <c r="AL288" t="s">
        <v>68</v>
      </c>
      <c r="AM288" t="s">
        <v>68</v>
      </c>
      <c r="AN288">
        <v>0</v>
      </c>
      <c r="AO288" s="1"/>
      <c r="AP288">
        <v>1</v>
      </c>
      <c r="AS288" t="s">
        <v>75</v>
      </c>
      <c r="AT288" t="s">
        <v>68</v>
      </c>
      <c r="AU288">
        <v>0</v>
      </c>
      <c r="AV288" t="s">
        <v>68</v>
      </c>
      <c r="AW288">
        <v>0</v>
      </c>
      <c r="AX288" s="1"/>
      <c r="AZ288" t="s">
        <v>68</v>
      </c>
      <c r="BA288" t="s">
        <v>68</v>
      </c>
      <c r="BB288" t="s">
        <v>68</v>
      </c>
      <c r="BC288" t="s">
        <v>68</v>
      </c>
      <c r="BD288">
        <v>0</v>
      </c>
      <c r="BE288" s="1">
        <v>45170.77412037037</v>
      </c>
      <c r="BF288" s="1">
        <v>45170.77412037037</v>
      </c>
      <c r="BG288" t="s">
        <v>68</v>
      </c>
      <c r="BH288" t="s">
        <v>68</v>
      </c>
      <c r="BI288" t="s">
        <v>68</v>
      </c>
      <c r="BJ288" t="s">
        <v>68</v>
      </c>
      <c r="BK288" t="s">
        <v>68</v>
      </c>
      <c r="BL288" t="s">
        <v>68</v>
      </c>
      <c r="BM288" t="s">
        <v>68</v>
      </c>
      <c r="BN288" t="s">
        <v>68</v>
      </c>
      <c r="BO288" t="s">
        <v>96</v>
      </c>
      <c r="BP288">
        <v>0</v>
      </c>
      <c r="BQ288" t="s">
        <v>68</v>
      </c>
      <c r="BR288" t="s">
        <v>68</v>
      </c>
      <c r="BS288" t="s">
        <v>68</v>
      </c>
    </row>
    <row r="289" spans="1:71" x14ac:dyDescent="0.35">
      <c r="A289" t="b">
        <f>ISNUMBER(MATCH(ChargentOrders[[#This Row],[Contract__c]],Contract[Id],0))</f>
        <v>1</v>
      </c>
      <c r="B289">
        <f>IFERROR(INDEX(Contract[CB_Subscription__c],MATCH(ChargentOrders[[#This Row],[Contract__c]],Contract[Id],0)),0)</f>
        <v>0</v>
      </c>
      <c r="C289" t="b">
        <f>ISNUMBER(MATCH(ChargentOrders[[#This Row],[Id]],Claude[Id],0))</f>
        <v>1</v>
      </c>
      <c r="D289" t="b">
        <f>AND(ChargentOrders[[#This Row],[_Contract]],ChargentOrders[[#This Row],[CB Subscription]]=0)</f>
        <v>1</v>
      </c>
      <c r="E289" s="38">
        <f>INDEX(Table5[CUENTA],MATCH(ChargentOrders[[#This Row],[Contract__c]],Table5[SM_Contract__c],0))</f>
        <v>46172</v>
      </c>
      <c r="F289" s="38" t="str">
        <f ca="1">INDEX(Table5[ESTADO],MATCH(ChargentOrders[[#This Row],[Contract__c]],Table5[SM_Contract__c],0))</f>
        <v>DEBE 2</v>
      </c>
      <c r="G289" t="s">
        <v>133</v>
      </c>
      <c r="H289" t="s">
        <v>102</v>
      </c>
      <c r="I289" t="s">
        <v>134</v>
      </c>
      <c r="J289" s="1">
        <v>45170.77449074074</v>
      </c>
      <c r="K289">
        <v>6</v>
      </c>
      <c r="L289">
        <v>2027</v>
      </c>
      <c r="M289" t="s">
        <v>1417</v>
      </c>
      <c r="N289">
        <v>6</v>
      </c>
      <c r="O289" t="s">
        <v>1418</v>
      </c>
      <c r="P289" t="s">
        <v>73</v>
      </c>
      <c r="Q289">
        <v>2027</v>
      </c>
      <c r="R289">
        <v>0</v>
      </c>
      <c r="T289" t="s">
        <v>67</v>
      </c>
      <c r="U289" t="s">
        <v>68</v>
      </c>
      <c r="V289">
        <v>0</v>
      </c>
      <c r="W289" t="s">
        <v>69</v>
      </c>
      <c r="X289" s="5"/>
      <c r="Y289" t="s">
        <v>68</v>
      </c>
      <c r="Z289" t="s">
        <v>68</v>
      </c>
      <c r="AA289">
        <v>0</v>
      </c>
      <c r="AC289" t="s">
        <v>68</v>
      </c>
      <c r="AD289" t="s">
        <v>68</v>
      </c>
      <c r="AE289">
        <v>0</v>
      </c>
      <c r="AF289" s="1"/>
      <c r="AG289" s="1"/>
      <c r="AH289">
        <v>0</v>
      </c>
      <c r="AI289">
        <v>1</v>
      </c>
      <c r="AJ289">
        <v>0</v>
      </c>
      <c r="AK289" t="s">
        <v>112</v>
      </c>
      <c r="AL289" t="s">
        <v>68</v>
      </c>
      <c r="AM289" t="s">
        <v>68</v>
      </c>
      <c r="AN289">
        <v>0</v>
      </c>
      <c r="AO289" s="1"/>
      <c r="AP289">
        <v>1</v>
      </c>
      <c r="AS289" t="s">
        <v>75</v>
      </c>
      <c r="AT289" t="s">
        <v>68</v>
      </c>
      <c r="AU289">
        <v>0</v>
      </c>
      <c r="AV289" t="s">
        <v>68</v>
      </c>
      <c r="AW289">
        <v>0</v>
      </c>
      <c r="AX289" s="1"/>
      <c r="AZ289" t="s">
        <v>68</v>
      </c>
      <c r="BA289" t="s">
        <v>68</v>
      </c>
      <c r="BB289" t="s">
        <v>68</v>
      </c>
      <c r="BC289" t="s">
        <v>68</v>
      </c>
      <c r="BD289">
        <v>0</v>
      </c>
      <c r="BE289" s="1">
        <v>45170.774502314816</v>
      </c>
      <c r="BF289" s="1">
        <v>45170.774502314816</v>
      </c>
      <c r="BG289" t="s">
        <v>68</v>
      </c>
      <c r="BH289" t="s">
        <v>68</v>
      </c>
      <c r="BI289" t="s">
        <v>68</v>
      </c>
      <c r="BJ289" t="s">
        <v>68</v>
      </c>
      <c r="BK289" t="s">
        <v>68</v>
      </c>
      <c r="BL289" t="s">
        <v>68</v>
      </c>
      <c r="BM289" t="s">
        <v>68</v>
      </c>
      <c r="BN289" t="s">
        <v>68</v>
      </c>
      <c r="BO289" t="s">
        <v>96</v>
      </c>
      <c r="BP289">
        <v>0</v>
      </c>
      <c r="BQ289" t="s">
        <v>68</v>
      </c>
      <c r="BR289" t="s">
        <v>68</v>
      </c>
      <c r="BS289" t="s">
        <v>68</v>
      </c>
    </row>
    <row r="290" spans="1:71" x14ac:dyDescent="0.35">
      <c r="A290" t="b">
        <f>ISNUMBER(MATCH(ChargentOrders[[#This Row],[Contract__c]],Contract[Id],0))</f>
        <v>1</v>
      </c>
      <c r="B290">
        <f>IFERROR(INDEX(Contract[CB_Subscription__c],MATCH(ChargentOrders[[#This Row],[Contract__c]],Contract[Id],0)),0)</f>
        <v>0</v>
      </c>
      <c r="C290" t="b">
        <f>ISNUMBER(MATCH(ChargentOrders[[#This Row],[Id]],Claude[Id],0))</f>
        <v>1</v>
      </c>
      <c r="D290" t="b">
        <f>AND(ChargentOrders[[#This Row],[_Contract]],ChargentOrders[[#This Row],[CB Subscription]]=0)</f>
        <v>1</v>
      </c>
      <c r="E290" s="38">
        <f>INDEX(Table5[CUENTA],MATCH(ChargentOrders[[#This Row],[Contract__c]],Table5[SM_Contract__c],0))</f>
        <v>46172</v>
      </c>
      <c r="F290" s="38" t="str">
        <f ca="1">INDEX(Table5[ESTADO],MATCH(ChargentOrders[[#This Row],[Contract__c]],Table5[SM_Contract__c],0))</f>
        <v>DEBE 2</v>
      </c>
      <c r="G290" t="s">
        <v>135</v>
      </c>
      <c r="H290" t="s">
        <v>102</v>
      </c>
      <c r="I290" t="s">
        <v>136</v>
      </c>
      <c r="J290" s="1">
        <v>45170.785381944443</v>
      </c>
      <c r="K290">
        <v>6</v>
      </c>
      <c r="L290">
        <v>2027</v>
      </c>
      <c r="M290" t="s">
        <v>1417</v>
      </c>
      <c r="N290">
        <v>6</v>
      </c>
      <c r="O290" t="s">
        <v>1418</v>
      </c>
      <c r="P290" t="s">
        <v>73</v>
      </c>
      <c r="Q290">
        <v>2027</v>
      </c>
      <c r="R290">
        <v>0</v>
      </c>
      <c r="T290" t="s">
        <v>67</v>
      </c>
      <c r="U290" t="s">
        <v>68</v>
      </c>
      <c r="V290">
        <v>0</v>
      </c>
      <c r="W290" t="s">
        <v>69</v>
      </c>
      <c r="X290" s="5"/>
      <c r="Y290" t="s">
        <v>68</v>
      </c>
      <c r="Z290" t="s">
        <v>68</v>
      </c>
      <c r="AA290">
        <v>0</v>
      </c>
      <c r="AC290" t="s">
        <v>68</v>
      </c>
      <c r="AD290" t="s">
        <v>68</v>
      </c>
      <c r="AE290">
        <v>0</v>
      </c>
      <c r="AF290" s="1"/>
      <c r="AG290" s="1"/>
      <c r="AH290">
        <v>0</v>
      </c>
      <c r="AI290">
        <v>1</v>
      </c>
      <c r="AJ290">
        <v>0</v>
      </c>
      <c r="AK290" t="s">
        <v>112</v>
      </c>
      <c r="AL290" t="s">
        <v>68</v>
      </c>
      <c r="AM290" t="s">
        <v>68</v>
      </c>
      <c r="AN290">
        <v>0</v>
      </c>
      <c r="AO290" s="1"/>
      <c r="AP290">
        <v>1</v>
      </c>
      <c r="AS290" t="s">
        <v>75</v>
      </c>
      <c r="AT290" t="s">
        <v>68</v>
      </c>
      <c r="AU290">
        <v>0</v>
      </c>
      <c r="AV290" t="s">
        <v>68</v>
      </c>
      <c r="AW290">
        <v>0</v>
      </c>
      <c r="AX290" s="1"/>
      <c r="AZ290" t="s">
        <v>68</v>
      </c>
      <c r="BA290" t="s">
        <v>68</v>
      </c>
      <c r="BB290" t="s">
        <v>68</v>
      </c>
      <c r="BC290" t="s">
        <v>68</v>
      </c>
      <c r="BD290">
        <v>0</v>
      </c>
      <c r="BE290" s="1">
        <v>45170.785393518519</v>
      </c>
      <c r="BF290" s="1">
        <v>45170.785393518519</v>
      </c>
      <c r="BG290" t="s">
        <v>68</v>
      </c>
      <c r="BH290" t="s">
        <v>68</v>
      </c>
      <c r="BI290" t="s">
        <v>68</v>
      </c>
      <c r="BJ290" t="s">
        <v>68</v>
      </c>
      <c r="BK290" t="s">
        <v>68</v>
      </c>
      <c r="BL290" t="s">
        <v>68</v>
      </c>
      <c r="BM290" t="s">
        <v>68</v>
      </c>
      <c r="BN290" t="s">
        <v>68</v>
      </c>
      <c r="BO290" t="s">
        <v>96</v>
      </c>
      <c r="BP290">
        <v>0</v>
      </c>
      <c r="BQ290" t="s">
        <v>68</v>
      </c>
      <c r="BR290" t="s">
        <v>68</v>
      </c>
      <c r="BS290" t="s">
        <v>68</v>
      </c>
    </row>
    <row r="291" spans="1:71" x14ac:dyDescent="0.35">
      <c r="A291" t="b">
        <f>ISNUMBER(MATCH(ChargentOrders[[#This Row],[Contract__c]],Contract[Id],0))</f>
        <v>1</v>
      </c>
      <c r="B291">
        <f>IFERROR(INDEX(Contract[CB_Subscription__c],MATCH(ChargentOrders[[#This Row],[Contract__c]],Contract[Id],0)),0)</f>
        <v>0</v>
      </c>
      <c r="C291" t="b">
        <f>ISNUMBER(MATCH(ChargentOrders[[#This Row],[Id]],Claude[Id],0))</f>
        <v>1</v>
      </c>
      <c r="D291" t="b">
        <f>AND(ChargentOrders[[#This Row],[_Contract]],ChargentOrders[[#This Row],[CB Subscription]]=0)</f>
        <v>1</v>
      </c>
      <c r="E291" s="38">
        <f>INDEX(Table5[CUENTA],MATCH(ChargentOrders[[#This Row],[Contract__c]],Table5[SM_Contract__c],0))</f>
        <v>46172</v>
      </c>
      <c r="F291" s="38" t="str">
        <f ca="1">INDEX(Table5[ESTADO],MATCH(ChargentOrders[[#This Row],[Contract__c]],Table5[SM_Contract__c],0))</f>
        <v>DEBE 2</v>
      </c>
      <c r="G291" t="s">
        <v>137</v>
      </c>
      <c r="H291" t="s">
        <v>102</v>
      </c>
      <c r="I291" t="s">
        <v>138</v>
      </c>
      <c r="J291" s="1">
        <v>45170.78597222222</v>
      </c>
      <c r="K291">
        <v>6</v>
      </c>
      <c r="L291">
        <v>2027</v>
      </c>
      <c r="M291" t="s">
        <v>1417</v>
      </c>
      <c r="N291">
        <v>6</v>
      </c>
      <c r="O291" t="s">
        <v>1418</v>
      </c>
      <c r="P291" t="s">
        <v>73</v>
      </c>
      <c r="Q291">
        <v>2027</v>
      </c>
      <c r="R291">
        <v>0</v>
      </c>
      <c r="T291" t="s">
        <v>67</v>
      </c>
      <c r="U291" t="s">
        <v>68</v>
      </c>
      <c r="V291">
        <v>0</v>
      </c>
      <c r="W291" t="s">
        <v>69</v>
      </c>
      <c r="X291" s="5"/>
      <c r="Y291" t="s">
        <v>68</v>
      </c>
      <c r="Z291" t="s">
        <v>68</v>
      </c>
      <c r="AA291">
        <v>0</v>
      </c>
      <c r="AC291" t="s">
        <v>68</v>
      </c>
      <c r="AD291" t="s">
        <v>68</v>
      </c>
      <c r="AE291">
        <v>0</v>
      </c>
      <c r="AF291" s="1"/>
      <c r="AG291" s="1"/>
      <c r="AH291">
        <v>0</v>
      </c>
      <c r="AI291">
        <v>1</v>
      </c>
      <c r="AJ291">
        <v>0</v>
      </c>
      <c r="AK291" t="s">
        <v>112</v>
      </c>
      <c r="AL291" t="s">
        <v>68</v>
      </c>
      <c r="AM291" t="s">
        <v>68</v>
      </c>
      <c r="AN291">
        <v>0</v>
      </c>
      <c r="AO291" s="1"/>
      <c r="AP291">
        <v>1</v>
      </c>
      <c r="AS291" t="s">
        <v>75</v>
      </c>
      <c r="AT291" t="s">
        <v>68</v>
      </c>
      <c r="AU291">
        <v>0</v>
      </c>
      <c r="AV291" t="s">
        <v>68</v>
      </c>
      <c r="AW291">
        <v>0</v>
      </c>
      <c r="AX291" s="1"/>
      <c r="AZ291" t="s">
        <v>68</v>
      </c>
      <c r="BA291" t="s">
        <v>68</v>
      </c>
      <c r="BB291" t="s">
        <v>68</v>
      </c>
      <c r="BC291" t="s">
        <v>68</v>
      </c>
      <c r="BD291">
        <v>0</v>
      </c>
      <c r="BE291" s="1">
        <v>45170.785983796297</v>
      </c>
      <c r="BF291" s="1">
        <v>45170.785983796297</v>
      </c>
      <c r="BG291" t="s">
        <v>68</v>
      </c>
      <c r="BH291" t="s">
        <v>68</v>
      </c>
      <c r="BI291" t="s">
        <v>68</v>
      </c>
      <c r="BJ291" t="s">
        <v>68</v>
      </c>
      <c r="BK291" t="s">
        <v>68</v>
      </c>
      <c r="BL291" t="s">
        <v>68</v>
      </c>
      <c r="BM291" t="s">
        <v>68</v>
      </c>
      <c r="BN291" t="s">
        <v>68</v>
      </c>
      <c r="BO291" t="s">
        <v>96</v>
      </c>
      <c r="BP291">
        <v>0</v>
      </c>
      <c r="BQ291" t="s">
        <v>68</v>
      </c>
      <c r="BR291" t="s">
        <v>68</v>
      </c>
      <c r="BS291" t="s">
        <v>68</v>
      </c>
    </row>
    <row r="292" spans="1:71" x14ac:dyDescent="0.35">
      <c r="A292" t="b">
        <f>ISNUMBER(MATCH(ChargentOrders[[#This Row],[Contract__c]],Contract[Id],0))</f>
        <v>1</v>
      </c>
      <c r="B292">
        <f>IFERROR(INDEX(Contract[CB_Subscription__c],MATCH(ChargentOrders[[#This Row],[Contract__c]],Contract[Id],0)),0)</f>
        <v>0</v>
      </c>
      <c r="C292" t="b">
        <f>ISNUMBER(MATCH(ChargentOrders[[#This Row],[Id]],Claude[Id],0))</f>
        <v>1</v>
      </c>
      <c r="D292" t="b">
        <f>AND(ChargentOrders[[#This Row],[_Contract]],ChargentOrders[[#This Row],[CB Subscription]]=0)</f>
        <v>1</v>
      </c>
      <c r="E292" s="38">
        <f>INDEX(Table5[CUENTA],MATCH(ChargentOrders[[#This Row],[Contract__c]],Table5[SM_Contract__c],0))</f>
        <v>46172</v>
      </c>
      <c r="F292" s="38" t="str">
        <f ca="1">INDEX(Table5[ESTADO],MATCH(ChargentOrders[[#This Row],[Contract__c]],Table5[SM_Contract__c],0))</f>
        <v>DEBE 2</v>
      </c>
      <c r="G292" t="s">
        <v>139</v>
      </c>
      <c r="H292" t="s">
        <v>102</v>
      </c>
      <c r="I292" t="s">
        <v>140</v>
      </c>
      <c r="J292" s="1">
        <v>45170.792696759258</v>
      </c>
      <c r="K292">
        <v>6</v>
      </c>
      <c r="L292">
        <v>2027</v>
      </c>
      <c r="M292" t="s">
        <v>1417</v>
      </c>
      <c r="N292">
        <v>6</v>
      </c>
      <c r="O292" t="s">
        <v>1418</v>
      </c>
      <c r="P292" t="s">
        <v>73</v>
      </c>
      <c r="Q292">
        <v>2027</v>
      </c>
      <c r="R292">
        <v>0</v>
      </c>
      <c r="T292" t="s">
        <v>67</v>
      </c>
      <c r="U292" t="s">
        <v>68</v>
      </c>
      <c r="V292">
        <v>0</v>
      </c>
      <c r="W292" t="s">
        <v>69</v>
      </c>
      <c r="X292" s="5"/>
      <c r="Y292" t="s">
        <v>68</v>
      </c>
      <c r="Z292" t="s">
        <v>68</v>
      </c>
      <c r="AA292">
        <v>0</v>
      </c>
      <c r="AC292" t="s">
        <v>68</v>
      </c>
      <c r="AD292" t="s">
        <v>68</v>
      </c>
      <c r="AE292">
        <v>0</v>
      </c>
      <c r="AF292" s="1"/>
      <c r="AG292" s="1"/>
      <c r="AH292">
        <v>0</v>
      </c>
      <c r="AI292">
        <v>1</v>
      </c>
      <c r="AJ292">
        <v>0</v>
      </c>
      <c r="AK292" t="s">
        <v>112</v>
      </c>
      <c r="AL292" t="s">
        <v>68</v>
      </c>
      <c r="AM292" t="s">
        <v>68</v>
      </c>
      <c r="AN292">
        <v>0</v>
      </c>
      <c r="AO292" s="1"/>
      <c r="AP292">
        <v>1</v>
      </c>
      <c r="AS292" t="s">
        <v>75</v>
      </c>
      <c r="AT292" t="s">
        <v>68</v>
      </c>
      <c r="AU292">
        <v>0</v>
      </c>
      <c r="AV292" t="s">
        <v>68</v>
      </c>
      <c r="AW292">
        <v>0</v>
      </c>
      <c r="AX292" s="1"/>
      <c r="AZ292" t="s">
        <v>68</v>
      </c>
      <c r="BA292" t="s">
        <v>68</v>
      </c>
      <c r="BB292" t="s">
        <v>68</v>
      </c>
      <c r="BC292" t="s">
        <v>68</v>
      </c>
      <c r="BD292">
        <v>0</v>
      </c>
      <c r="BE292" s="1">
        <v>45170.792708333334</v>
      </c>
      <c r="BF292" s="1">
        <v>45170.792708333334</v>
      </c>
      <c r="BG292" t="s">
        <v>68</v>
      </c>
      <c r="BH292" t="s">
        <v>68</v>
      </c>
      <c r="BI292" t="s">
        <v>68</v>
      </c>
      <c r="BJ292" t="s">
        <v>68</v>
      </c>
      <c r="BK292" t="s">
        <v>68</v>
      </c>
      <c r="BL292" t="s">
        <v>68</v>
      </c>
      <c r="BM292" t="s">
        <v>68</v>
      </c>
      <c r="BN292" t="s">
        <v>68</v>
      </c>
      <c r="BO292" t="s">
        <v>96</v>
      </c>
      <c r="BP292">
        <v>0</v>
      </c>
      <c r="BQ292" t="s">
        <v>68</v>
      </c>
      <c r="BR292" t="s">
        <v>68</v>
      </c>
      <c r="BS292" t="s">
        <v>68</v>
      </c>
    </row>
    <row r="293" spans="1:71" x14ac:dyDescent="0.35">
      <c r="A293" t="b">
        <f>ISNUMBER(MATCH(ChargentOrders[[#This Row],[Contract__c]],Contract[Id],0))</f>
        <v>1</v>
      </c>
      <c r="B293">
        <f>IFERROR(INDEX(Contract[CB_Subscription__c],MATCH(ChargentOrders[[#This Row],[Contract__c]],Contract[Id],0)),0)</f>
        <v>0</v>
      </c>
      <c r="C293" t="b">
        <f>ISNUMBER(MATCH(ChargentOrders[[#This Row],[Id]],Claude[Id],0))</f>
        <v>1</v>
      </c>
      <c r="D293" t="b">
        <f>AND(ChargentOrders[[#This Row],[_Contract]],ChargentOrders[[#This Row],[CB Subscription]]=0)</f>
        <v>1</v>
      </c>
      <c r="E293" s="38">
        <f>INDEX(Table5[CUENTA],MATCH(ChargentOrders[[#This Row],[Contract__c]],Table5[SM_Contract__c],0))</f>
        <v>46172</v>
      </c>
      <c r="F293" s="38" t="str">
        <f ca="1">INDEX(Table5[ESTADO],MATCH(ChargentOrders[[#This Row],[Contract__c]],Table5[SM_Contract__c],0))</f>
        <v>DEBE 2</v>
      </c>
      <c r="G293" t="s">
        <v>141</v>
      </c>
      <c r="H293" t="s">
        <v>102</v>
      </c>
      <c r="I293" t="s">
        <v>142</v>
      </c>
      <c r="J293" s="1">
        <v>45170.859363425923</v>
      </c>
      <c r="K293">
        <v>6</v>
      </c>
      <c r="L293">
        <v>2027</v>
      </c>
      <c r="M293" t="s">
        <v>1417</v>
      </c>
      <c r="N293">
        <v>6</v>
      </c>
      <c r="O293" t="s">
        <v>1418</v>
      </c>
      <c r="P293" t="s">
        <v>73</v>
      </c>
      <c r="Q293">
        <v>2027</v>
      </c>
      <c r="R293">
        <v>0</v>
      </c>
      <c r="T293" t="s">
        <v>67</v>
      </c>
      <c r="U293" t="s">
        <v>68</v>
      </c>
      <c r="V293">
        <v>0</v>
      </c>
      <c r="W293" t="s">
        <v>69</v>
      </c>
      <c r="X293" s="5"/>
      <c r="Y293" t="s">
        <v>68</v>
      </c>
      <c r="Z293" t="s">
        <v>68</v>
      </c>
      <c r="AA293">
        <v>0</v>
      </c>
      <c r="AC293" t="s">
        <v>68</v>
      </c>
      <c r="AD293" t="s">
        <v>68</v>
      </c>
      <c r="AE293">
        <v>0</v>
      </c>
      <c r="AF293" s="1"/>
      <c r="AG293" s="1"/>
      <c r="AH293">
        <v>0</v>
      </c>
      <c r="AI293">
        <v>1</v>
      </c>
      <c r="AJ293">
        <v>0</v>
      </c>
      <c r="AK293" t="s">
        <v>112</v>
      </c>
      <c r="AL293" t="s">
        <v>68</v>
      </c>
      <c r="AM293" t="s">
        <v>68</v>
      </c>
      <c r="AN293">
        <v>0</v>
      </c>
      <c r="AO293" s="1"/>
      <c r="AP293">
        <v>1</v>
      </c>
      <c r="AS293" t="s">
        <v>75</v>
      </c>
      <c r="AT293" t="s">
        <v>68</v>
      </c>
      <c r="AU293">
        <v>0</v>
      </c>
      <c r="AV293" t="s">
        <v>68</v>
      </c>
      <c r="AW293">
        <v>0</v>
      </c>
      <c r="AX293" s="1"/>
      <c r="AZ293" t="s">
        <v>68</v>
      </c>
      <c r="BA293" t="s">
        <v>68</v>
      </c>
      <c r="BB293" t="s">
        <v>68</v>
      </c>
      <c r="BC293" t="s">
        <v>68</v>
      </c>
      <c r="BD293">
        <v>0</v>
      </c>
      <c r="BE293" s="1">
        <v>45170.859386574077</v>
      </c>
      <c r="BF293" s="1">
        <v>45170.859386574077</v>
      </c>
      <c r="BG293" t="s">
        <v>68</v>
      </c>
      <c r="BH293" t="s">
        <v>68</v>
      </c>
      <c r="BI293" t="s">
        <v>68</v>
      </c>
      <c r="BJ293" t="s">
        <v>68</v>
      </c>
      <c r="BK293" t="s">
        <v>68</v>
      </c>
      <c r="BL293" t="s">
        <v>68</v>
      </c>
      <c r="BM293" t="s">
        <v>68</v>
      </c>
      <c r="BN293" t="s">
        <v>68</v>
      </c>
      <c r="BO293" t="s">
        <v>96</v>
      </c>
      <c r="BP293">
        <v>0</v>
      </c>
      <c r="BQ293" t="s">
        <v>68</v>
      </c>
      <c r="BR293" t="s">
        <v>68</v>
      </c>
      <c r="BS293" t="s">
        <v>68</v>
      </c>
    </row>
    <row r="294" spans="1:71" x14ac:dyDescent="0.35">
      <c r="A294" t="b">
        <f>ISNUMBER(MATCH(ChargentOrders[[#This Row],[Contract__c]],Contract[Id],0))</f>
        <v>1</v>
      </c>
      <c r="B294">
        <f>IFERROR(INDEX(Contract[CB_Subscription__c],MATCH(ChargentOrders[[#This Row],[Contract__c]],Contract[Id],0)),0)</f>
        <v>0</v>
      </c>
      <c r="C294" t="b">
        <f>ISNUMBER(MATCH(ChargentOrders[[#This Row],[Id]],Claude[Id],0))</f>
        <v>1</v>
      </c>
      <c r="D294" t="b">
        <f>AND(ChargentOrders[[#This Row],[_Contract]],ChargentOrders[[#This Row],[CB Subscription]]=0)</f>
        <v>1</v>
      </c>
      <c r="E294" s="38">
        <f>INDEX(Table5[CUENTA],MATCH(ChargentOrders[[#This Row],[Contract__c]],Table5[SM_Contract__c],0))</f>
        <v>46172</v>
      </c>
      <c r="F294" s="38" t="str">
        <f ca="1">INDEX(Table5[ESTADO],MATCH(ChargentOrders[[#This Row],[Contract__c]],Table5[SM_Contract__c],0))</f>
        <v>DEBE 2</v>
      </c>
      <c r="G294" t="s">
        <v>143</v>
      </c>
      <c r="H294" t="s">
        <v>102</v>
      </c>
      <c r="I294" t="s">
        <v>144</v>
      </c>
      <c r="J294" s="1">
        <v>45170.860185185185</v>
      </c>
      <c r="K294">
        <v>6</v>
      </c>
      <c r="L294">
        <v>2027</v>
      </c>
      <c r="M294" t="s">
        <v>1417</v>
      </c>
      <c r="N294">
        <v>6</v>
      </c>
      <c r="O294" t="s">
        <v>1418</v>
      </c>
      <c r="P294" t="s">
        <v>73</v>
      </c>
      <c r="Q294">
        <v>2027</v>
      </c>
      <c r="R294">
        <v>0</v>
      </c>
      <c r="T294" t="s">
        <v>67</v>
      </c>
      <c r="U294" t="s">
        <v>68</v>
      </c>
      <c r="V294">
        <v>0</v>
      </c>
      <c r="W294" t="s">
        <v>69</v>
      </c>
      <c r="X294" s="5"/>
      <c r="Y294" t="s">
        <v>68</v>
      </c>
      <c r="Z294" t="s">
        <v>68</v>
      </c>
      <c r="AA294">
        <v>0</v>
      </c>
      <c r="AC294" t="s">
        <v>125</v>
      </c>
      <c r="AD294" t="s">
        <v>68</v>
      </c>
      <c r="AE294">
        <v>0</v>
      </c>
      <c r="AF294" s="1"/>
      <c r="AG294" s="1">
        <v>45170.860208333332</v>
      </c>
      <c r="AH294">
        <v>0</v>
      </c>
      <c r="AI294">
        <v>1</v>
      </c>
      <c r="AJ294">
        <v>0</v>
      </c>
      <c r="AK294" t="s">
        <v>112</v>
      </c>
      <c r="AL294" t="s">
        <v>68</v>
      </c>
      <c r="AM294" t="s">
        <v>68</v>
      </c>
      <c r="AN294">
        <v>0</v>
      </c>
      <c r="AO294" s="1"/>
      <c r="AP294">
        <v>1</v>
      </c>
      <c r="AS294" t="s">
        <v>75</v>
      </c>
      <c r="AT294" t="s">
        <v>68</v>
      </c>
      <c r="AU294">
        <v>0</v>
      </c>
      <c r="AV294" t="s">
        <v>68</v>
      </c>
      <c r="AW294">
        <v>1</v>
      </c>
      <c r="AX294" s="1"/>
      <c r="AZ294" t="s">
        <v>68</v>
      </c>
      <c r="BA294" t="s">
        <v>68</v>
      </c>
      <c r="BB294" t="s">
        <v>68</v>
      </c>
      <c r="BC294" t="s">
        <v>68</v>
      </c>
      <c r="BD294">
        <v>0</v>
      </c>
      <c r="BE294" s="1"/>
      <c r="BF294" s="1">
        <v>45170.860208333332</v>
      </c>
      <c r="BG294" t="s">
        <v>68</v>
      </c>
      <c r="BH294" t="s">
        <v>68</v>
      </c>
      <c r="BI294" t="s">
        <v>68</v>
      </c>
      <c r="BJ294" t="s">
        <v>68</v>
      </c>
      <c r="BK294" t="s">
        <v>68</v>
      </c>
      <c r="BL294" t="s">
        <v>68</v>
      </c>
      <c r="BM294" t="s">
        <v>68</v>
      </c>
      <c r="BN294" t="s">
        <v>68</v>
      </c>
      <c r="BO294" t="s">
        <v>96</v>
      </c>
      <c r="BP294">
        <v>0</v>
      </c>
      <c r="BQ294" t="s">
        <v>68</v>
      </c>
      <c r="BR294" t="s">
        <v>68</v>
      </c>
      <c r="BS294" t="s">
        <v>68</v>
      </c>
    </row>
    <row r="295" spans="1:71" x14ac:dyDescent="0.35">
      <c r="A295" t="b">
        <f>ISNUMBER(MATCH(ChargentOrders[[#This Row],[Contract__c]],Contract[Id],0))</f>
        <v>1</v>
      </c>
      <c r="B295">
        <f>IFERROR(INDEX(Contract[CB_Subscription__c],MATCH(ChargentOrders[[#This Row],[Contract__c]],Contract[Id],0)),0)</f>
        <v>0</v>
      </c>
      <c r="C295" t="b">
        <f>ISNUMBER(MATCH(ChargentOrders[[#This Row],[Id]],Claude[Id],0))</f>
        <v>1</v>
      </c>
      <c r="D295" t="b">
        <f>AND(ChargentOrders[[#This Row],[_Contract]],ChargentOrders[[#This Row],[CB Subscription]]=0)</f>
        <v>1</v>
      </c>
      <c r="E295" s="38">
        <f>INDEX(Table5[CUENTA],MATCH(ChargentOrders[[#This Row],[Contract__c]],Table5[SM_Contract__c],0))</f>
        <v>46172</v>
      </c>
      <c r="F295" s="38" t="str">
        <f ca="1">INDEX(Table5[ESTADO],MATCH(ChargentOrders[[#This Row],[Contract__c]],Table5[SM_Contract__c],0))</f>
        <v>DEBE 2</v>
      </c>
      <c r="G295" t="s">
        <v>145</v>
      </c>
      <c r="H295" t="s">
        <v>102</v>
      </c>
      <c r="I295" t="s">
        <v>146</v>
      </c>
      <c r="J295" s="1">
        <v>45170.864606481482</v>
      </c>
      <c r="K295">
        <v>6</v>
      </c>
      <c r="L295">
        <v>2030</v>
      </c>
      <c r="M295" t="s">
        <v>1414</v>
      </c>
      <c r="N295">
        <v>6</v>
      </c>
      <c r="O295" t="s">
        <v>1414</v>
      </c>
      <c r="P295" t="s">
        <v>73</v>
      </c>
      <c r="Q295">
        <v>2030</v>
      </c>
      <c r="R295">
        <v>7500</v>
      </c>
      <c r="S295">
        <v>30</v>
      </c>
      <c r="T295" t="s">
        <v>67</v>
      </c>
      <c r="U295" t="s">
        <v>68</v>
      </c>
      <c r="V295">
        <v>0</v>
      </c>
      <c r="W295" t="s">
        <v>69</v>
      </c>
      <c r="X295" s="5">
        <v>46233</v>
      </c>
      <c r="Y295" t="s">
        <v>84</v>
      </c>
      <c r="Z295" t="s">
        <v>68</v>
      </c>
      <c r="AA295">
        <v>7500</v>
      </c>
      <c r="AB295">
        <v>0</v>
      </c>
      <c r="AC295" t="s">
        <v>147</v>
      </c>
      <c r="AD295" t="s">
        <v>68</v>
      </c>
      <c r="AE295">
        <v>0</v>
      </c>
      <c r="AF295" s="1">
        <v>46171.41673611111</v>
      </c>
      <c r="AG295" s="1">
        <v>46171.41679398148</v>
      </c>
      <c r="AH295">
        <v>19</v>
      </c>
      <c r="AI295">
        <v>31</v>
      </c>
      <c r="AJ295">
        <v>1554385</v>
      </c>
      <c r="AK295" t="s">
        <v>112</v>
      </c>
      <c r="AL295" t="s">
        <v>76</v>
      </c>
      <c r="AM295" t="s">
        <v>68</v>
      </c>
      <c r="AN295">
        <v>0</v>
      </c>
      <c r="AO295" s="1"/>
      <c r="AP295">
        <v>32</v>
      </c>
      <c r="AQ295">
        <v>0</v>
      </c>
      <c r="AR295">
        <v>0</v>
      </c>
      <c r="AS295" t="s">
        <v>75</v>
      </c>
      <c r="AT295" t="s">
        <v>68</v>
      </c>
      <c r="AU295">
        <v>0</v>
      </c>
      <c r="AV295" t="s">
        <v>68</v>
      </c>
      <c r="AW295">
        <v>0</v>
      </c>
      <c r="AX295" s="1"/>
      <c r="AZ295" t="s">
        <v>68</v>
      </c>
      <c r="BA295" t="s">
        <v>68</v>
      </c>
      <c r="BB295" t="s">
        <v>68</v>
      </c>
      <c r="BC295" t="s">
        <v>68</v>
      </c>
      <c r="BD295">
        <v>0</v>
      </c>
      <c r="BE295" s="1">
        <v>46203.416759259257</v>
      </c>
      <c r="BF295" s="1">
        <v>46203.416759259257</v>
      </c>
      <c r="BG295" t="s">
        <v>68</v>
      </c>
      <c r="BH295" t="s">
        <v>68</v>
      </c>
      <c r="BI295" t="s">
        <v>68</v>
      </c>
      <c r="BJ295" t="s">
        <v>68</v>
      </c>
      <c r="BK295" t="s">
        <v>68</v>
      </c>
      <c r="BL295" t="s">
        <v>68</v>
      </c>
      <c r="BM295" t="s">
        <v>68</v>
      </c>
      <c r="BN295" t="s">
        <v>68</v>
      </c>
      <c r="BO295" t="s">
        <v>96</v>
      </c>
      <c r="BP295">
        <v>0</v>
      </c>
      <c r="BQ295" t="s">
        <v>68</v>
      </c>
      <c r="BR295" t="s">
        <v>68</v>
      </c>
      <c r="BS295" t="s">
        <v>68</v>
      </c>
    </row>
    <row r="296" spans="1:71" x14ac:dyDescent="0.35">
      <c r="A296" t="b">
        <f>ISNUMBER(MATCH(ChargentOrders[[#This Row],[Contract__c]],Contract[Id],0))</f>
        <v>1</v>
      </c>
      <c r="B296">
        <f>IFERROR(INDEX(Contract[CB_Subscription__c],MATCH(ChargentOrders[[#This Row],[Contract__c]],Contract[Id],0)),0)</f>
        <v>0</v>
      </c>
      <c r="C296" t="b">
        <f>ISNUMBER(MATCH(ChargentOrders[[#This Row],[Id]],Claude[Id],0))</f>
        <v>1</v>
      </c>
      <c r="D296" t="b">
        <f>AND(ChargentOrders[[#This Row],[_Contract]],ChargentOrders[[#This Row],[CB Subscription]]=0)</f>
        <v>1</v>
      </c>
      <c r="E296" s="38">
        <f>INDEX(Table5[CUENTA],MATCH(ChargentOrders[[#This Row],[Contract__c]],Table5[SM_Contract__c],0))</f>
        <v>46172</v>
      </c>
      <c r="F296" s="38" t="str">
        <f ca="1">INDEX(Table5[ESTADO],MATCH(ChargentOrders[[#This Row],[Contract__c]],Table5[SM_Contract__c],0))</f>
        <v>DEBE 2</v>
      </c>
      <c r="G296" t="s">
        <v>151</v>
      </c>
      <c r="H296" t="s">
        <v>102</v>
      </c>
      <c r="I296" t="s">
        <v>152</v>
      </c>
      <c r="J296" s="1">
        <v>45218.936585648145</v>
      </c>
      <c r="K296">
        <v>10</v>
      </c>
      <c r="L296">
        <v>2026</v>
      </c>
      <c r="M296" t="s">
        <v>1414</v>
      </c>
      <c r="N296">
        <v>10</v>
      </c>
      <c r="O296" t="s">
        <v>68</v>
      </c>
      <c r="P296" t="s">
        <v>73</v>
      </c>
      <c r="Q296">
        <v>2026</v>
      </c>
      <c r="R296">
        <v>8363</v>
      </c>
      <c r="T296" t="s">
        <v>67</v>
      </c>
      <c r="U296" t="s">
        <v>68</v>
      </c>
      <c r="V296">
        <v>0</v>
      </c>
      <c r="W296" t="s">
        <v>69</v>
      </c>
      <c r="X296" s="5">
        <v>45222</v>
      </c>
      <c r="Y296" t="s">
        <v>74</v>
      </c>
      <c r="Z296" t="s">
        <v>68</v>
      </c>
      <c r="AA296">
        <v>750</v>
      </c>
      <c r="AB296">
        <v>863</v>
      </c>
      <c r="AC296" t="s">
        <v>118</v>
      </c>
      <c r="AD296" t="s">
        <v>68</v>
      </c>
      <c r="AE296">
        <v>0</v>
      </c>
      <c r="AF296" s="1">
        <v>45219.672650462962</v>
      </c>
      <c r="AG296" s="1">
        <v>45219.672650462962</v>
      </c>
      <c r="AH296">
        <v>1</v>
      </c>
      <c r="AI296">
        <v>2</v>
      </c>
      <c r="AJ296">
        <v>8363</v>
      </c>
      <c r="AK296" t="s">
        <v>112</v>
      </c>
      <c r="AL296" t="s">
        <v>71</v>
      </c>
      <c r="AM296" t="s">
        <v>68</v>
      </c>
      <c r="AN296">
        <v>0</v>
      </c>
      <c r="AO296" s="1"/>
      <c r="AP296">
        <v>2</v>
      </c>
      <c r="AQ296">
        <v>100</v>
      </c>
      <c r="AR296">
        <v>1050</v>
      </c>
      <c r="AS296" t="s">
        <v>72</v>
      </c>
      <c r="AT296" t="s">
        <v>68</v>
      </c>
      <c r="AU296">
        <v>0</v>
      </c>
      <c r="AV296" t="s">
        <v>153</v>
      </c>
      <c r="AW296">
        <v>0</v>
      </c>
      <c r="AX296" s="1">
        <v>45218.943287037036</v>
      </c>
      <c r="AY296">
        <v>0</v>
      </c>
      <c r="AZ296" t="s">
        <v>68</v>
      </c>
      <c r="BA296" t="s">
        <v>80</v>
      </c>
      <c r="BB296" t="s">
        <v>68</v>
      </c>
      <c r="BC296" t="s">
        <v>82</v>
      </c>
      <c r="BD296">
        <v>0</v>
      </c>
      <c r="BE296" s="1">
        <v>45218.944120370368</v>
      </c>
      <c r="BF296" s="1">
        <v>45219.672650462962</v>
      </c>
      <c r="BG296" t="s">
        <v>68</v>
      </c>
      <c r="BH296" t="s">
        <v>68</v>
      </c>
      <c r="BI296" t="s">
        <v>68</v>
      </c>
      <c r="BJ296" t="s">
        <v>68</v>
      </c>
      <c r="BK296" t="s">
        <v>68</v>
      </c>
      <c r="BL296" t="s">
        <v>68</v>
      </c>
      <c r="BM296" t="s">
        <v>68</v>
      </c>
      <c r="BN296" t="s">
        <v>68</v>
      </c>
      <c r="BO296" t="s">
        <v>96</v>
      </c>
      <c r="BP296">
        <v>0</v>
      </c>
      <c r="BQ296" t="s">
        <v>68</v>
      </c>
      <c r="BR296" t="s">
        <v>68</v>
      </c>
      <c r="BS296" t="s">
        <v>68</v>
      </c>
    </row>
    <row r="297" spans="1:71" x14ac:dyDescent="0.35">
      <c r="A297" t="b">
        <f>ISNUMBER(MATCH(ChargentOrders[[#This Row],[Contract__c]],Contract[Id],0))</f>
        <v>1</v>
      </c>
      <c r="B297">
        <f>IFERROR(INDEX(Contract[CB_Subscription__c],MATCH(ChargentOrders[[#This Row],[Contract__c]],Contract[Id],0)),0)</f>
        <v>0</v>
      </c>
      <c r="C297" t="b">
        <f>ISNUMBER(MATCH(ChargentOrders[[#This Row],[Id]],Claude[Id],0))</f>
        <v>1</v>
      </c>
      <c r="D297" t="b">
        <f>AND(ChargentOrders[[#This Row],[_Contract]],ChargentOrders[[#This Row],[CB Subscription]]=0)</f>
        <v>1</v>
      </c>
      <c r="E297" s="38">
        <f>INDEX(Table5[CUENTA],MATCH(ChargentOrders[[#This Row],[Contract__c]],Table5[SM_Contract__c],0))</f>
        <v>46172</v>
      </c>
      <c r="F297" s="38" t="str">
        <f ca="1">INDEX(Table5[ESTADO],MATCH(ChargentOrders[[#This Row],[Contract__c]],Table5[SM_Contract__c],0))</f>
        <v>DEBE 2</v>
      </c>
      <c r="G297" t="s">
        <v>173</v>
      </c>
      <c r="H297" t="s">
        <v>78</v>
      </c>
      <c r="I297" t="s">
        <v>174</v>
      </c>
      <c r="J297" s="1">
        <v>45533.689050925925</v>
      </c>
      <c r="K297">
        <v>10</v>
      </c>
      <c r="L297">
        <v>2026</v>
      </c>
      <c r="M297" t="s">
        <v>1414</v>
      </c>
      <c r="N297">
        <v>10</v>
      </c>
      <c r="O297" t="s">
        <v>1414</v>
      </c>
      <c r="P297" t="s">
        <v>73</v>
      </c>
      <c r="Q297">
        <v>2026</v>
      </c>
      <c r="R297">
        <v>11151</v>
      </c>
      <c r="T297" t="s">
        <v>67</v>
      </c>
      <c r="U297" t="s">
        <v>68</v>
      </c>
      <c r="V297">
        <v>0</v>
      </c>
      <c r="W297" t="s">
        <v>69</v>
      </c>
      <c r="X297" s="5">
        <v>45733</v>
      </c>
      <c r="Y297" t="s">
        <v>74</v>
      </c>
      <c r="Z297" t="s">
        <v>68</v>
      </c>
      <c r="AA297">
        <v>10001</v>
      </c>
      <c r="AB297">
        <v>115</v>
      </c>
      <c r="AC297" t="s">
        <v>175</v>
      </c>
      <c r="AD297" t="s">
        <v>68</v>
      </c>
      <c r="AE297">
        <v>0</v>
      </c>
      <c r="AF297" s="1">
        <v>45730.696851851855</v>
      </c>
      <c r="AG297" s="1">
        <v>45730.696851851855</v>
      </c>
      <c r="AH297">
        <v>1</v>
      </c>
      <c r="AI297">
        <v>82</v>
      </c>
      <c r="AJ297">
        <v>11151</v>
      </c>
      <c r="AK297" t="s">
        <v>112</v>
      </c>
      <c r="AL297" t="s">
        <v>71</v>
      </c>
      <c r="AM297" t="s">
        <v>172</v>
      </c>
      <c r="AN297">
        <v>0</v>
      </c>
      <c r="AO297" s="1">
        <v>45533.688807870371</v>
      </c>
      <c r="AP297">
        <v>10</v>
      </c>
      <c r="AQ297">
        <v>10</v>
      </c>
      <c r="AR297">
        <v>105</v>
      </c>
      <c r="AS297" t="s">
        <v>75</v>
      </c>
      <c r="AT297" t="s">
        <v>68</v>
      </c>
      <c r="AU297">
        <v>1</v>
      </c>
      <c r="AV297" t="s">
        <v>68</v>
      </c>
      <c r="AW297">
        <v>0</v>
      </c>
      <c r="AX297" s="1"/>
      <c r="AY297">
        <v>250</v>
      </c>
      <c r="AZ297" t="s">
        <v>68</v>
      </c>
      <c r="BA297" t="s">
        <v>68</v>
      </c>
      <c r="BB297" t="s">
        <v>68</v>
      </c>
      <c r="BC297" t="s">
        <v>68</v>
      </c>
      <c r="BD297">
        <v>0</v>
      </c>
      <c r="BE297" s="1">
        <v>45730.422083333331</v>
      </c>
      <c r="BF297" s="1">
        <v>45730.696851851855</v>
      </c>
      <c r="BG297" t="s">
        <v>68</v>
      </c>
      <c r="BH297" t="s">
        <v>68</v>
      </c>
      <c r="BI297" t="s">
        <v>68</v>
      </c>
      <c r="BJ297" t="s">
        <v>68</v>
      </c>
      <c r="BK297" t="s">
        <v>68</v>
      </c>
      <c r="BL297" t="s">
        <v>68</v>
      </c>
      <c r="BM297" t="s">
        <v>68</v>
      </c>
      <c r="BN297" t="s">
        <v>68</v>
      </c>
      <c r="BO297" t="s">
        <v>96</v>
      </c>
      <c r="BP297">
        <v>0</v>
      </c>
      <c r="BQ297" t="s">
        <v>68</v>
      </c>
      <c r="BR297" t="s">
        <v>68</v>
      </c>
      <c r="BS297" t="s">
        <v>68</v>
      </c>
    </row>
    <row r="298" spans="1:71" x14ac:dyDescent="0.35">
      <c r="A298" t="b">
        <f>ISNUMBER(MATCH(ChargentOrders[[#This Row],[Contract__c]],Contract[Id],0))</f>
        <v>1</v>
      </c>
      <c r="B298">
        <f>IFERROR(INDEX(Contract[CB_Subscription__c],MATCH(ChargentOrders[[#This Row],[Contract__c]],Contract[Id],0)),0)</f>
        <v>0</v>
      </c>
      <c r="C298" t="b">
        <f>ISNUMBER(MATCH(ChargentOrders[[#This Row],[Id]],Claude[Id],0))</f>
        <v>1</v>
      </c>
      <c r="D298" t="b">
        <f>AND(ChargentOrders[[#This Row],[_Contract]],ChargentOrders[[#This Row],[CB Subscription]]=0)</f>
        <v>1</v>
      </c>
      <c r="E298" s="38">
        <f>INDEX(Table5[CUENTA],MATCH(ChargentOrders[[#This Row],[Contract__c]],Table5[SM_Contract__c],0))</f>
        <v>46172</v>
      </c>
      <c r="F298" s="38" t="str">
        <f ca="1">INDEX(Table5[ESTADO],MATCH(ChargentOrders[[#This Row],[Contract__c]],Table5[SM_Contract__c],0))</f>
        <v>DEBE 2</v>
      </c>
      <c r="G298" t="s">
        <v>184</v>
      </c>
      <c r="H298" t="s">
        <v>101</v>
      </c>
      <c r="I298" t="s">
        <v>185</v>
      </c>
      <c r="J298" s="1">
        <v>45561.835555555554</v>
      </c>
      <c r="K298">
        <v>10</v>
      </c>
      <c r="L298">
        <v>2026</v>
      </c>
      <c r="M298" t="s">
        <v>1414</v>
      </c>
      <c r="N298">
        <v>10</v>
      </c>
      <c r="O298" t="s">
        <v>1415</v>
      </c>
      <c r="P298" t="s">
        <v>73</v>
      </c>
      <c r="Q298">
        <v>2026</v>
      </c>
      <c r="R298">
        <v>0</v>
      </c>
      <c r="T298" t="s">
        <v>67</v>
      </c>
      <c r="U298" t="s">
        <v>68</v>
      </c>
      <c r="V298">
        <v>0</v>
      </c>
      <c r="W298" t="s">
        <v>69</v>
      </c>
      <c r="X298" s="5"/>
      <c r="Y298" t="s">
        <v>68</v>
      </c>
      <c r="Z298" t="s">
        <v>68</v>
      </c>
      <c r="AA298">
        <v>0</v>
      </c>
      <c r="AC298" t="s">
        <v>68</v>
      </c>
      <c r="AD298" t="s">
        <v>68</v>
      </c>
      <c r="AE298">
        <v>0</v>
      </c>
      <c r="AF298" s="1"/>
      <c r="AG298" s="1"/>
      <c r="AH298">
        <v>0</v>
      </c>
      <c r="AI298">
        <v>1</v>
      </c>
      <c r="AJ298">
        <v>0</v>
      </c>
      <c r="AK298" t="s">
        <v>112</v>
      </c>
      <c r="AL298" t="s">
        <v>68</v>
      </c>
      <c r="AM298" t="s">
        <v>68</v>
      </c>
      <c r="AN298">
        <v>0</v>
      </c>
      <c r="AO298" s="1"/>
      <c r="AP298">
        <v>1</v>
      </c>
      <c r="AS298" t="s">
        <v>75</v>
      </c>
      <c r="AT298" t="s">
        <v>68</v>
      </c>
      <c r="AU298">
        <v>0</v>
      </c>
      <c r="AV298" t="s">
        <v>68</v>
      </c>
      <c r="AW298">
        <v>1</v>
      </c>
      <c r="AX298" s="1"/>
      <c r="AZ298" t="s">
        <v>68</v>
      </c>
      <c r="BA298" t="s">
        <v>68</v>
      </c>
      <c r="BB298" t="s">
        <v>68</v>
      </c>
      <c r="BC298" t="s">
        <v>68</v>
      </c>
      <c r="BD298">
        <v>0</v>
      </c>
      <c r="BE298" s="1">
        <v>45561.835578703707</v>
      </c>
      <c r="BF298" s="1">
        <v>45561.835578703707</v>
      </c>
      <c r="BG298" t="s">
        <v>68</v>
      </c>
      <c r="BH298" t="s">
        <v>68</v>
      </c>
      <c r="BI298" t="s">
        <v>68</v>
      </c>
      <c r="BJ298" t="s">
        <v>68</v>
      </c>
      <c r="BK298" t="s">
        <v>68</v>
      </c>
      <c r="BL298" t="s">
        <v>68</v>
      </c>
      <c r="BM298" t="s">
        <v>68</v>
      </c>
      <c r="BN298" t="s">
        <v>68</v>
      </c>
      <c r="BO298" t="s">
        <v>96</v>
      </c>
      <c r="BP298">
        <v>0</v>
      </c>
      <c r="BQ298" t="s">
        <v>68</v>
      </c>
      <c r="BR298" t="s">
        <v>68</v>
      </c>
      <c r="BS298" t="s">
        <v>68</v>
      </c>
    </row>
    <row r="299" spans="1:71" x14ac:dyDescent="0.35">
      <c r="A299" t="b">
        <f>ISNUMBER(MATCH(ChargentOrders[[#This Row],[Contract__c]],Contract[Id],0))</f>
        <v>1</v>
      </c>
      <c r="B299">
        <f>IFERROR(INDEX(Contract[CB_Subscription__c],MATCH(ChargentOrders[[#This Row],[Contract__c]],Contract[Id],0)),0)</f>
        <v>0</v>
      </c>
      <c r="C299" t="b">
        <f>ISNUMBER(MATCH(ChargentOrders[[#This Row],[Id]],Claude[Id],0))</f>
        <v>1</v>
      </c>
      <c r="D299" t="b">
        <f>AND(ChargentOrders[[#This Row],[_Contract]],ChargentOrders[[#This Row],[CB Subscription]]=0)</f>
        <v>1</v>
      </c>
      <c r="E299" s="38">
        <f>INDEX(Table5[CUENTA],MATCH(ChargentOrders[[#This Row],[Contract__c]],Table5[SM_Contract__c],0))</f>
        <v>46172</v>
      </c>
      <c r="F299" s="38" t="str">
        <f ca="1">INDEX(Table5[ESTADO],MATCH(ChargentOrders[[#This Row],[Contract__c]],Table5[SM_Contract__c],0))</f>
        <v>DEBE 2</v>
      </c>
      <c r="G299" t="s">
        <v>186</v>
      </c>
      <c r="H299" t="s">
        <v>101</v>
      </c>
      <c r="I299" t="s">
        <v>187</v>
      </c>
      <c r="J299" s="1">
        <v>45561.838599537034</v>
      </c>
      <c r="K299">
        <v>10</v>
      </c>
      <c r="L299">
        <v>2026</v>
      </c>
      <c r="M299" t="s">
        <v>1414</v>
      </c>
      <c r="N299">
        <v>10</v>
      </c>
      <c r="O299" t="s">
        <v>1415</v>
      </c>
      <c r="P299" t="s">
        <v>73</v>
      </c>
      <c r="Q299">
        <v>2026</v>
      </c>
      <c r="R299">
        <v>0</v>
      </c>
      <c r="T299" t="s">
        <v>67</v>
      </c>
      <c r="U299" t="s">
        <v>68</v>
      </c>
      <c r="V299">
        <v>0</v>
      </c>
      <c r="W299" t="s">
        <v>69</v>
      </c>
      <c r="X299" s="5"/>
      <c r="Y299" t="s">
        <v>68</v>
      </c>
      <c r="Z299" t="s">
        <v>68</v>
      </c>
      <c r="AA299">
        <v>0</v>
      </c>
      <c r="AC299" t="s">
        <v>188</v>
      </c>
      <c r="AD299" t="s">
        <v>68</v>
      </c>
      <c r="AE299">
        <v>0</v>
      </c>
      <c r="AF299" s="1"/>
      <c r="AG299" s="1">
        <v>45561.838634259257</v>
      </c>
      <c r="AH299">
        <v>0</v>
      </c>
      <c r="AI299">
        <v>1</v>
      </c>
      <c r="AJ299">
        <v>0</v>
      </c>
      <c r="AK299" t="s">
        <v>112</v>
      </c>
      <c r="AL299" t="s">
        <v>68</v>
      </c>
      <c r="AM299" t="s">
        <v>68</v>
      </c>
      <c r="AN299">
        <v>0</v>
      </c>
      <c r="AO299" s="1"/>
      <c r="AP299">
        <v>1</v>
      </c>
      <c r="AS299" t="s">
        <v>75</v>
      </c>
      <c r="AT299" t="s">
        <v>68</v>
      </c>
      <c r="AU299">
        <v>0</v>
      </c>
      <c r="AV299" t="s">
        <v>68</v>
      </c>
      <c r="AW299">
        <v>1</v>
      </c>
      <c r="AX299" s="1"/>
      <c r="AZ299" t="s">
        <v>68</v>
      </c>
      <c r="BA299" t="s">
        <v>68</v>
      </c>
      <c r="BB299" t="s">
        <v>68</v>
      </c>
      <c r="BC299" t="s">
        <v>68</v>
      </c>
      <c r="BD299">
        <v>0</v>
      </c>
      <c r="BE299" s="1"/>
      <c r="BF299" s="1">
        <v>45561.838634259257</v>
      </c>
      <c r="BG299" t="s">
        <v>68</v>
      </c>
      <c r="BH299" t="s">
        <v>68</v>
      </c>
      <c r="BI299" t="s">
        <v>68</v>
      </c>
      <c r="BJ299" t="s">
        <v>68</v>
      </c>
      <c r="BK299" t="s">
        <v>68</v>
      </c>
      <c r="BL299" t="s">
        <v>68</v>
      </c>
      <c r="BM299" t="s">
        <v>68</v>
      </c>
      <c r="BN299" t="s">
        <v>68</v>
      </c>
      <c r="BO299" t="s">
        <v>96</v>
      </c>
      <c r="BP299">
        <v>0</v>
      </c>
      <c r="BQ299" t="s">
        <v>68</v>
      </c>
      <c r="BR299" t="s">
        <v>68</v>
      </c>
      <c r="BS299" t="s">
        <v>68</v>
      </c>
    </row>
    <row r="300" spans="1:71" x14ac:dyDescent="0.35">
      <c r="A300" t="b">
        <f>ISNUMBER(MATCH(ChargentOrders[[#This Row],[Contract__c]],Contract[Id],0))</f>
        <v>1</v>
      </c>
      <c r="B300">
        <f>IFERROR(INDEX(Contract[CB_Subscription__c],MATCH(ChargentOrders[[#This Row],[Contract__c]],Contract[Id],0)),0)</f>
        <v>0</v>
      </c>
      <c r="C300" t="b">
        <f>ISNUMBER(MATCH(ChargentOrders[[#This Row],[Id]],Claude[Id],0))</f>
        <v>1</v>
      </c>
      <c r="D300" t="b">
        <f>AND(ChargentOrders[[#This Row],[_Contract]],ChargentOrders[[#This Row],[CB Subscription]]=0)</f>
        <v>1</v>
      </c>
      <c r="E300" s="38">
        <f>INDEX(Table5[CUENTA],MATCH(ChargentOrders[[#This Row],[Contract__c]],Table5[SM_Contract__c],0))</f>
        <v>46172</v>
      </c>
      <c r="F300" s="38" t="str">
        <f ca="1">INDEX(Table5[ESTADO],MATCH(ChargentOrders[[#This Row],[Contract__c]],Table5[SM_Contract__c],0))</f>
        <v>DEBE 2</v>
      </c>
      <c r="G300" t="s">
        <v>189</v>
      </c>
      <c r="H300" t="s">
        <v>102</v>
      </c>
      <c r="I300" t="s">
        <v>190</v>
      </c>
      <c r="J300" s="1">
        <v>45562.61309027778</v>
      </c>
      <c r="K300">
        <v>10</v>
      </c>
      <c r="L300">
        <v>2026</v>
      </c>
      <c r="M300" t="s">
        <v>1414</v>
      </c>
      <c r="N300">
        <v>10</v>
      </c>
      <c r="O300" t="s">
        <v>68</v>
      </c>
      <c r="P300" t="s">
        <v>73</v>
      </c>
      <c r="Q300">
        <v>2026</v>
      </c>
      <c r="R300">
        <v>11150</v>
      </c>
      <c r="T300" t="s">
        <v>67</v>
      </c>
      <c r="U300" t="s">
        <v>68</v>
      </c>
      <c r="V300">
        <v>0</v>
      </c>
      <c r="W300" t="s">
        <v>69</v>
      </c>
      <c r="X300" s="5">
        <v>45568</v>
      </c>
      <c r="Y300" t="s">
        <v>74</v>
      </c>
      <c r="Z300" t="s">
        <v>68</v>
      </c>
      <c r="AA300">
        <v>10000</v>
      </c>
      <c r="AB300">
        <v>1150</v>
      </c>
      <c r="AC300" t="s">
        <v>188</v>
      </c>
      <c r="AD300" t="s">
        <v>68</v>
      </c>
      <c r="AE300">
        <v>0</v>
      </c>
      <c r="AF300" s="1">
        <v>45568.428530092591</v>
      </c>
      <c r="AG300" s="1">
        <v>45568.428576388891</v>
      </c>
      <c r="AH300">
        <v>1</v>
      </c>
      <c r="AI300">
        <v>2</v>
      </c>
      <c r="AJ300">
        <v>1115</v>
      </c>
      <c r="AK300" t="s">
        <v>112</v>
      </c>
      <c r="AL300" t="s">
        <v>71</v>
      </c>
      <c r="AM300" t="s">
        <v>68</v>
      </c>
      <c r="AN300">
        <v>0</v>
      </c>
      <c r="AO300" s="1"/>
      <c r="AP300">
        <v>0</v>
      </c>
      <c r="AQ300">
        <v>100</v>
      </c>
      <c r="AR300">
        <v>1050</v>
      </c>
      <c r="AS300" t="s">
        <v>72</v>
      </c>
      <c r="AT300" t="s">
        <v>68</v>
      </c>
      <c r="AU300">
        <v>1</v>
      </c>
      <c r="AV300" t="s">
        <v>191</v>
      </c>
      <c r="AW300">
        <v>0</v>
      </c>
      <c r="AX300" s="1">
        <v>45170.864606481482</v>
      </c>
      <c r="AY300">
        <v>2500</v>
      </c>
      <c r="AZ300" t="s">
        <v>68</v>
      </c>
      <c r="BA300" t="s">
        <v>65</v>
      </c>
      <c r="BB300" t="s">
        <v>68</v>
      </c>
      <c r="BC300" t="s">
        <v>68</v>
      </c>
      <c r="BD300">
        <v>0</v>
      </c>
      <c r="BE300" s="1">
        <v>45565.429444444446</v>
      </c>
      <c r="BF300" s="1">
        <v>45568.428530092591</v>
      </c>
      <c r="BG300" t="s">
        <v>68</v>
      </c>
      <c r="BH300" t="s">
        <v>68</v>
      </c>
      <c r="BI300" t="s">
        <v>68</v>
      </c>
      <c r="BJ300" t="s">
        <v>68</v>
      </c>
      <c r="BK300" t="s">
        <v>68</v>
      </c>
      <c r="BL300" t="s">
        <v>68</v>
      </c>
      <c r="BM300" t="s">
        <v>68</v>
      </c>
      <c r="BN300" t="s">
        <v>68</v>
      </c>
      <c r="BO300" t="s">
        <v>96</v>
      </c>
      <c r="BP300">
        <v>0</v>
      </c>
      <c r="BQ300" t="s">
        <v>68</v>
      </c>
      <c r="BR300" t="s">
        <v>68</v>
      </c>
      <c r="BS300" t="s">
        <v>68</v>
      </c>
    </row>
    <row r="301" spans="1:71" x14ac:dyDescent="0.35">
      <c r="A301" t="b">
        <f>ISNUMBER(MATCH(ChargentOrders[[#This Row],[Contract__c]],Contract[Id],0))</f>
        <v>1</v>
      </c>
      <c r="B301">
        <f>IFERROR(INDEX(Contract[CB_Subscription__c],MATCH(ChargentOrders[[#This Row],[Contract__c]],Contract[Id],0)),0)</f>
        <v>0</v>
      </c>
      <c r="C301" t="b">
        <f>ISNUMBER(MATCH(ChargentOrders[[#This Row],[Id]],Claude[Id],0))</f>
        <v>1</v>
      </c>
      <c r="D301" t="b">
        <f>AND(ChargentOrders[[#This Row],[_Contract]],ChargentOrders[[#This Row],[CB Subscription]]=0)</f>
        <v>1</v>
      </c>
      <c r="E301" s="38">
        <f>INDEX(Table5[CUENTA],MATCH(ChargentOrders[[#This Row],[Contract__c]],Table5[SM_Contract__c],0))</f>
        <v>46172</v>
      </c>
      <c r="F301" s="38" t="str">
        <f ca="1">INDEX(Table5[ESTADO],MATCH(ChargentOrders[[#This Row],[Contract__c]],Table5[SM_Contract__c],0))</f>
        <v>DEBE 2</v>
      </c>
      <c r="G301" t="s">
        <v>203</v>
      </c>
      <c r="H301" t="s">
        <v>102</v>
      </c>
      <c r="I301" t="s">
        <v>204</v>
      </c>
      <c r="J301" s="1">
        <v>45595.421435185184</v>
      </c>
      <c r="K301">
        <v>10</v>
      </c>
      <c r="L301">
        <v>2026</v>
      </c>
      <c r="M301" t="s">
        <v>1414</v>
      </c>
      <c r="N301">
        <v>10</v>
      </c>
      <c r="O301" t="s">
        <v>68</v>
      </c>
      <c r="P301" t="s">
        <v>73</v>
      </c>
      <c r="Q301">
        <v>2026</v>
      </c>
      <c r="R301">
        <v>1115</v>
      </c>
      <c r="T301" t="s">
        <v>67</v>
      </c>
      <c r="U301" t="s">
        <v>68</v>
      </c>
      <c r="V301">
        <v>0</v>
      </c>
      <c r="W301" t="s">
        <v>69</v>
      </c>
      <c r="X301" s="5">
        <v>45597</v>
      </c>
      <c r="Y301" t="s">
        <v>74</v>
      </c>
      <c r="Z301" t="s">
        <v>68</v>
      </c>
      <c r="AA301">
        <v>10000</v>
      </c>
      <c r="AB301">
        <v>115</v>
      </c>
      <c r="AC301" t="s">
        <v>188</v>
      </c>
      <c r="AD301" t="s">
        <v>68</v>
      </c>
      <c r="AE301">
        <v>0</v>
      </c>
      <c r="AF301" s="1">
        <v>45596.658541666664</v>
      </c>
      <c r="AG301" s="1">
        <v>45596.658541666664</v>
      </c>
      <c r="AH301">
        <v>1</v>
      </c>
      <c r="AI301">
        <v>2</v>
      </c>
      <c r="AJ301">
        <v>1115</v>
      </c>
      <c r="AK301" t="s">
        <v>112</v>
      </c>
      <c r="AL301" t="s">
        <v>71</v>
      </c>
      <c r="AM301" t="s">
        <v>68</v>
      </c>
      <c r="AN301">
        <v>0</v>
      </c>
      <c r="AO301" s="1"/>
      <c r="AP301">
        <v>0</v>
      </c>
      <c r="AQ301">
        <v>100</v>
      </c>
      <c r="AR301">
        <v>1050</v>
      </c>
      <c r="AS301" t="s">
        <v>72</v>
      </c>
      <c r="AT301" t="s">
        <v>68</v>
      </c>
      <c r="AU301">
        <v>1</v>
      </c>
      <c r="AV301" t="s">
        <v>205</v>
      </c>
      <c r="AW301">
        <v>0</v>
      </c>
      <c r="AX301" s="1">
        <v>45170.864606481482</v>
      </c>
      <c r="AY301">
        <v>2500</v>
      </c>
      <c r="AZ301" t="s">
        <v>68</v>
      </c>
      <c r="BA301" t="s">
        <v>65</v>
      </c>
      <c r="BB301" t="s">
        <v>68</v>
      </c>
      <c r="BC301" t="s">
        <v>68</v>
      </c>
      <c r="BD301">
        <v>0</v>
      </c>
      <c r="BE301" s="1">
        <v>45595.956446759257</v>
      </c>
      <c r="BF301" s="1">
        <v>45596.658541666664</v>
      </c>
      <c r="BG301" t="s">
        <v>68</v>
      </c>
      <c r="BH301" t="s">
        <v>68</v>
      </c>
      <c r="BI301" t="s">
        <v>68</v>
      </c>
      <c r="BJ301" t="s">
        <v>68</v>
      </c>
      <c r="BK301" t="s">
        <v>68</v>
      </c>
      <c r="BL301" t="s">
        <v>68</v>
      </c>
      <c r="BM301" t="s">
        <v>68</v>
      </c>
      <c r="BN301" t="s">
        <v>68</v>
      </c>
      <c r="BO301" t="s">
        <v>96</v>
      </c>
      <c r="BP301">
        <v>0</v>
      </c>
      <c r="BQ301" t="s">
        <v>68</v>
      </c>
      <c r="BR301" t="s">
        <v>68</v>
      </c>
      <c r="BS301" t="s">
        <v>68</v>
      </c>
    </row>
    <row r="302" spans="1:71" x14ac:dyDescent="0.35">
      <c r="A302" t="b">
        <f>ISNUMBER(MATCH(ChargentOrders[[#This Row],[Contract__c]],Contract[Id],0))</f>
        <v>1</v>
      </c>
      <c r="B302">
        <f>IFERROR(INDEX(Contract[CB_Subscription__c],MATCH(ChargentOrders[[#This Row],[Contract__c]],Contract[Id],0)),0)</f>
        <v>0</v>
      </c>
      <c r="C302" t="b">
        <f>ISNUMBER(MATCH(ChargentOrders[[#This Row],[Id]],Claude[Id],0))</f>
        <v>1</v>
      </c>
      <c r="D302" t="b">
        <f>AND(ChargentOrders[[#This Row],[_Contract]],ChargentOrders[[#This Row],[CB Subscription]]=0)</f>
        <v>1</v>
      </c>
      <c r="E302" s="38">
        <f>INDEX(Table5[CUENTA],MATCH(ChargentOrders[[#This Row],[Contract__c]],Table5[SM_Contract__c],0))</f>
        <v>46172</v>
      </c>
      <c r="F302" s="38" t="str">
        <f ca="1">INDEX(Table5[ESTADO],MATCH(ChargentOrders[[#This Row],[Contract__c]],Table5[SM_Contract__c],0))</f>
        <v>DEBE 2</v>
      </c>
      <c r="G302" t="s">
        <v>225</v>
      </c>
      <c r="H302" t="s">
        <v>102</v>
      </c>
      <c r="I302" t="s">
        <v>226</v>
      </c>
      <c r="J302" s="1">
        <v>45687.421261574076</v>
      </c>
      <c r="K302">
        <v>10</v>
      </c>
      <c r="L302">
        <v>2026</v>
      </c>
      <c r="M302" t="s">
        <v>1414</v>
      </c>
      <c r="N302">
        <v>10</v>
      </c>
      <c r="O302" t="s">
        <v>68</v>
      </c>
      <c r="P302" t="s">
        <v>73</v>
      </c>
      <c r="Q302">
        <v>2026</v>
      </c>
      <c r="R302">
        <v>11150</v>
      </c>
      <c r="T302" t="s">
        <v>67</v>
      </c>
      <c r="U302" t="s">
        <v>68</v>
      </c>
      <c r="V302">
        <v>0</v>
      </c>
      <c r="W302" t="s">
        <v>69</v>
      </c>
      <c r="X302" s="5">
        <v>45708</v>
      </c>
      <c r="Y302" t="s">
        <v>74</v>
      </c>
      <c r="Z302" t="s">
        <v>68</v>
      </c>
      <c r="AA302">
        <v>10000</v>
      </c>
      <c r="AB302">
        <v>1150</v>
      </c>
      <c r="AC302" t="s">
        <v>188</v>
      </c>
      <c r="AD302" t="s">
        <v>68</v>
      </c>
      <c r="AE302">
        <v>0</v>
      </c>
      <c r="AF302" s="1">
        <v>45708.426388888889</v>
      </c>
      <c r="AG302" s="1">
        <v>45708.426423611112</v>
      </c>
      <c r="AH302">
        <v>1</v>
      </c>
      <c r="AI302">
        <v>13</v>
      </c>
      <c r="AJ302">
        <v>1115</v>
      </c>
      <c r="AK302" t="s">
        <v>112</v>
      </c>
      <c r="AL302" t="s">
        <v>71</v>
      </c>
      <c r="AM302" t="s">
        <v>68</v>
      </c>
      <c r="AN302">
        <v>0</v>
      </c>
      <c r="AO302" s="1"/>
      <c r="AP302">
        <v>0</v>
      </c>
      <c r="AQ302">
        <v>100</v>
      </c>
      <c r="AR302">
        <v>1050</v>
      </c>
      <c r="AS302" t="s">
        <v>72</v>
      </c>
      <c r="AT302" t="s">
        <v>68</v>
      </c>
      <c r="AU302">
        <v>1</v>
      </c>
      <c r="AV302" t="s">
        <v>227</v>
      </c>
      <c r="AW302">
        <v>0</v>
      </c>
      <c r="AX302" s="1">
        <v>45170.864606481482</v>
      </c>
      <c r="AY302">
        <v>2500</v>
      </c>
      <c r="AZ302" t="s">
        <v>68</v>
      </c>
      <c r="BA302" t="s">
        <v>65</v>
      </c>
      <c r="BB302" t="s">
        <v>68</v>
      </c>
      <c r="BC302" t="s">
        <v>68</v>
      </c>
      <c r="BD302">
        <v>0</v>
      </c>
      <c r="BE302" s="1">
        <v>45700.948055555556</v>
      </c>
      <c r="BF302" s="1">
        <v>45708.426388888889</v>
      </c>
      <c r="BG302" t="s">
        <v>68</v>
      </c>
      <c r="BH302" t="s">
        <v>68</v>
      </c>
      <c r="BI302" t="s">
        <v>68</v>
      </c>
      <c r="BJ302" t="s">
        <v>68</v>
      </c>
      <c r="BK302" t="s">
        <v>68</v>
      </c>
      <c r="BL302" t="s">
        <v>68</v>
      </c>
      <c r="BM302" t="s">
        <v>68</v>
      </c>
      <c r="BN302" t="s">
        <v>68</v>
      </c>
      <c r="BO302" t="s">
        <v>96</v>
      </c>
      <c r="BP302">
        <v>0</v>
      </c>
      <c r="BQ302" t="s">
        <v>68</v>
      </c>
      <c r="BR302" t="s">
        <v>68</v>
      </c>
      <c r="BS302" t="s">
        <v>68</v>
      </c>
    </row>
    <row r="303" spans="1:71" x14ac:dyDescent="0.35">
      <c r="A303" t="b">
        <f>ISNUMBER(MATCH(ChargentOrders[[#This Row],[Contract__c]],Contract[Id],0))</f>
        <v>1</v>
      </c>
      <c r="B303">
        <f>IFERROR(INDEX(Contract[CB_Subscription__c],MATCH(ChargentOrders[[#This Row],[Contract__c]],Contract[Id],0)),0)</f>
        <v>0</v>
      </c>
      <c r="C303" t="b">
        <f>ISNUMBER(MATCH(ChargentOrders[[#This Row],[Id]],Claude[Id],0))</f>
        <v>1</v>
      </c>
      <c r="D303" t="b">
        <f>AND(ChargentOrders[[#This Row],[_Contract]],ChargentOrders[[#This Row],[CB Subscription]]=0)</f>
        <v>1</v>
      </c>
      <c r="E303" s="38">
        <f>INDEX(Table5[CUENTA],MATCH(ChargentOrders[[#This Row],[Contract__c]],Table5[SM_Contract__c],0))</f>
        <v>46172</v>
      </c>
      <c r="F303" s="38" t="str">
        <f ca="1">INDEX(Table5[ESTADO],MATCH(ChargentOrders[[#This Row],[Contract__c]],Table5[SM_Contract__c],0))</f>
        <v>DEBE 2</v>
      </c>
      <c r="G303" t="s">
        <v>270</v>
      </c>
      <c r="H303" t="s">
        <v>101</v>
      </c>
      <c r="I303" t="s">
        <v>271</v>
      </c>
      <c r="J303" s="1">
        <v>45729.937777777777</v>
      </c>
      <c r="K303">
        <v>10</v>
      </c>
      <c r="L303">
        <v>2026</v>
      </c>
      <c r="M303" t="s">
        <v>1414</v>
      </c>
      <c r="N303">
        <v>10</v>
      </c>
      <c r="O303" t="s">
        <v>1415</v>
      </c>
      <c r="P303" t="s">
        <v>73</v>
      </c>
      <c r="Q303">
        <v>2026</v>
      </c>
      <c r="R303">
        <v>0</v>
      </c>
      <c r="T303" t="s">
        <v>67</v>
      </c>
      <c r="U303" t="s">
        <v>68</v>
      </c>
      <c r="V303">
        <v>0</v>
      </c>
      <c r="W303" t="s">
        <v>69</v>
      </c>
      <c r="X303" s="5"/>
      <c r="Y303" t="s">
        <v>68</v>
      </c>
      <c r="Z303" t="s">
        <v>68</v>
      </c>
      <c r="AA303">
        <v>0</v>
      </c>
      <c r="AC303" t="s">
        <v>68</v>
      </c>
      <c r="AD303" t="s">
        <v>68</v>
      </c>
      <c r="AE303">
        <v>0</v>
      </c>
      <c r="AF303" s="1"/>
      <c r="AG303" s="1"/>
      <c r="AH303">
        <v>0</v>
      </c>
      <c r="AI303">
        <v>1</v>
      </c>
      <c r="AJ303">
        <v>0</v>
      </c>
      <c r="AK303" t="s">
        <v>112</v>
      </c>
      <c r="AL303" t="s">
        <v>68</v>
      </c>
      <c r="AM303" t="s">
        <v>68</v>
      </c>
      <c r="AN303">
        <v>0</v>
      </c>
      <c r="AO303" s="1"/>
      <c r="AP303">
        <v>1</v>
      </c>
      <c r="AS303" t="s">
        <v>75</v>
      </c>
      <c r="AT303" t="s">
        <v>68</v>
      </c>
      <c r="AU303">
        <v>0</v>
      </c>
      <c r="AV303" t="s">
        <v>68</v>
      </c>
      <c r="AW303">
        <v>1</v>
      </c>
      <c r="AX303" s="1"/>
      <c r="AZ303" t="s">
        <v>68</v>
      </c>
      <c r="BA303" t="s">
        <v>68</v>
      </c>
      <c r="BB303" t="s">
        <v>68</v>
      </c>
      <c r="BC303" t="s">
        <v>68</v>
      </c>
      <c r="BD303">
        <v>0</v>
      </c>
      <c r="BE303" s="1">
        <v>45729.937800925924</v>
      </c>
      <c r="BF303" s="1">
        <v>45729.937800925924</v>
      </c>
      <c r="BG303" t="s">
        <v>68</v>
      </c>
      <c r="BH303" t="s">
        <v>68</v>
      </c>
      <c r="BI303" t="s">
        <v>68</v>
      </c>
      <c r="BJ303" t="s">
        <v>68</v>
      </c>
      <c r="BK303" t="s">
        <v>68</v>
      </c>
      <c r="BL303" t="s">
        <v>68</v>
      </c>
      <c r="BM303" t="s">
        <v>68</v>
      </c>
      <c r="BN303" t="s">
        <v>68</v>
      </c>
      <c r="BO303" t="s">
        <v>96</v>
      </c>
      <c r="BP303">
        <v>0</v>
      </c>
      <c r="BQ303" t="s">
        <v>68</v>
      </c>
      <c r="BR303" t="s">
        <v>68</v>
      </c>
      <c r="BS303" t="s">
        <v>68</v>
      </c>
    </row>
    <row r="304" spans="1:71" x14ac:dyDescent="0.35">
      <c r="A304" t="b">
        <f>ISNUMBER(MATCH(ChargentOrders[[#This Row],[Contract__c]],Contract[Id],0))</f>
        <v>1</v>
      </c>
      <c r="B304">
        <f>IFERROR(INDEX(Contract[CB_Subscription__c],MATCH(ChargentOrders[[#This Row],[Contract__c]],Contract[Id],0)),0)</f>
        <v>0</v>
      </c>
      <c r="C304" t="b">
        <f>ISNUMBER(MATCH(ChargentOrders[[#This Row],[Id]],Claude[Id],0))</f>
        <v>1</v>
      </c>
      <c r="D304" t="b">
        <f>AND(ChargentOrders[[#This Row],[_Contract]],ChargentOrders[[#This Row],[CB Subscription]]=0)</f>
        <v>1</v>
      </c>
      <c r="E304" s="38">
        <f>INDEX(Table5[CUENTA],MATCH(ChargentOrders[[#This Row],[Contract__c]],Table5[SM_Contract__c],0))</f>
        <v>46172</v>
      </c>
      <c r="F304" s="38" t="str">
        <f ca="1">INDEX(Table5[ESTADO],MATCH(ChargentOrders[[#This Row],[Contract__c]],Table5[SM_Contract__c],0))</f>
        <v>DEBE 2</v>
      </c>
      <c r="G304" t="s">
        <v>272</v>
      </c>
      <c r="H304" t="s">
        <v>101</v>
      </c>
      <c r="I304" t="s">
        <v>273</v>
      </c>
      <c r="J304" s="1">
        <v>45729.938125000001</v>
      </c>
      <c r="K304">
        <v>10</v>
      </c>
      <c r="L304">
        <v>2026</v>
      </c>
      <c r="M304" t="s">
        <v>1414</v>
      </c>
      <c r="N304">
        <v>10</v>
      </c>
      <c r="O304" t="s">
        <v>1415</v>
      </c>
      <c r="P304" t="s">
        <v>73</v>
      </c>
      <c r="Q304">
        <v>2026</v>
      </c>
      <c r="R304">
        <v>0</v>
      </c>
      <c r="T304" t="s">
        <v>67</v>
      </c>
      <c r="U304" t="s">
        <v>68</v>
      </c>
      <c r="V304">
        <v>0</v>
      </c>
      <c r="W304" t="s">
        <v>69</v>
      </c>
      <c r="X304" s="5"/>
      <c r="Y304" t="s">
        <v>68</v>
      </c>
      <c r="Z304" t="s">
        <v>68</v>
      </c>
      <c r="AA304">
        <v>0</v>
      </c>
      <c r="AC304" t="s">
        <v>68</v>
      </c>
      <c r="AD304" t="s">
        <v>68</v>
      </c>
      <c r="AE304">
        <v>0</v>
      </c>
      <c r="AF304" s="1"/>
      <c r="AG304" s="1"/>
      <c r="AH304">
        <v>0</v>
      </c>
      <c r="AI304">
        <v>1</v>
      </c>
      <c r="AJ304">
        <v>0</v>
      </c>
      <c r="AK304" t="s">
        <v>112</v>
      </c>
      <c r="AL304" t="s">
        <v>68</v>
      </c>
      <c r="AM304" t="s">
        <v>68</v>
      </c>
      <c r="AN304">
        <v>0</v>
      </c>
      <c r="AO304" s="1"/>
      <c r="AP304">
        <v>1</v>
      </c>
      <c r="AS304" t="s">
        <v>75</v>
      </c>
      <c r="AT304" t="s">
        <v>68</v>
      </c>
      <c r="AU304">
        <v>0</v>
      </c>
      <c r="AV304" t="s">
        <v>68</v>
      </c>
      <c r="AW304">
        <v>1</v>
      </c>
      <c r="AX304" s="1"/>
      <c r="AZ304" t="s">
        <v>68</v>
      </c>
      <c r="BA304" t="s">
        <v>68</v>
      </c>
      <c r="BB304" t="s">
        <v>68</v>
      </c>
      <c r="BC304" t="s">
        <v>68</v>
      </c>
      <c r="BD304">
        <v>0</v>
      </c>
      <c r="BE304" s="1">
        <v>45729.938148148147</v>
      </c>
      <c r="BF304" s="1">
        <v>45729.938148148147</v>
      </c>
      <c r="BG304" t="s">
        <v>68</v>
      </c>
      <c r="BH304" t="s">
        <v>68</v>
      </c>
      <c r="BI304" t="s">
        <v>68</v>
      </c>
      <c r="BJ304" t="s">
        <v>68</v>
      </c>
      <c r="BK304" t="s">
        <v>68</v>
      </c>
      <c r="BL304" t="s">
        <v>68</v>
      </c>
      <c r="BM304" t="s">
        <v>68</v>
      </c>
      <c r="BN304" t="s">
        <v>68</v>
      </c>
      <c r="BO304" t="s">
        <v>96</v>
      </c>
      <c r="BP304">
        <v>0</v>
      </c>
      <c r="BQ304" t="s">
        <v>68</v>
      </c>
      <c r="BR304" t="s">
        <v>68</v>
      </c>
      <c r="BS304" t="s">
        <v>68</v>
      </c>
    </row>
    <row r="305" spans="1:71" x14ac:dyDescent="0.35">
      <c r="A305" t="b">
        <f>ISNUMBER(MATCH(ChargentOrders[[#This Row],[Contract__c]],Contract[Id],0))</f>
        <v>1</v>
      </c>
      <c r="B305">
        <f>IFERROR(INDEX(Contract[CB_Subscription__c],MATCH(ChargentOrders[[#This Row],[Contract__c]],Contract[Id],0)),0)</f>
        <v>0</v>
      </c>
      <c r="C305" t="b">
        <f>ISNUMBER(MATCH(ChargentOrders[[#This Row],[Id]],Claude[Id],0))</f>
        <v>1</v>
      </c>
      <c r="D305" t="b">
        <f>AND(ChargentOrders[[#This Row],[_Contract]],ChargentOrders[[#This Row],[CB Subscription]]=0)</f>
        <v>1</v>
      </c>
      <c r="E305" s="38">
        <f>INDEX(Table5[CUENTA],MATCH(ChargentOrders[[#This Row],[Contract__c]],Table5[SM_Contract__c],0))</f>
        <v>46172</v>
      </c>
      <c r="F305" s="38" t="str">
        <f ca="1">INDEX(Table5[ESTADO],MATCH(ChargentOrders[[#This Row],[Contract__c]],Table5[SM_Contract__c],0))</f>
        <v>DEBE 2</v>
      </c>
      <c r="G305" t="s">
        <v>274</v>
      </c>
      <c r="H305" t="s">
        <v>101</v>
      </c>
      <c r="I305" t="s">
        <v>275</v>
      </c>
      <c r="J305" s="1">
        <v>45729.945243055554</v>
      </c>
      <c r="K305">
        <v>10</v>
      </c>
      <c r="L305">
        <v>2026</v>
      </c>
      <c r="M305" t="s">
        <v>1414</v>
      </c>
      <c r="N305">
        <v>10</v>
      </c>
      <c r="O305" t="s">
        <v>1415</v>
      </c>
      <c r="P305" t="s">
        <v>73</v>
      </c>
      <c r="Q305">
        <v>2026</v>
      </c>
      <c r="R305">
        <v>0</v>
      </c>
      <c r="T305" t="s">
        <v>67</v>
      </c>
      <c r="U305" t="s">
        <v>68</v>
      </c>
      <c r="V305">
        <v>0</v>
      </c>
      <c r="W305" t="s">
        <v>69</v>
      </c>
      <c r="X305" s="5"/>
      <c r="Y305" t="s">
        <v>68</v>
      </c>
      <c r="Z305" t="s">
        <v>68</v>
      </c>
      <c r="AA305">
        <v>0</v>
      </c>
      <c r="AC305" t="s">
        <v>175</v>
      </c>
      <c r="AD305" t="s">
        <v>68</v>
      </c>
      <c r="AE305">
        <v>0</v>
      </c>
      <c r="AF305" s="1"/>
      <c r="AG305" s="1">
        <v>45729.9452662037</v>
      </c>
      <c r="AH305">
        <v>0</v>
      </c>
      <c r="AI305">
        <v>1</v>
      </c>
      <c r="AJ305">
        <v>0</v>
      </c>
      <c r="AK305" t="s">
        <v>112</v>
      </c>
      <c r="AL305" t="s">
        <v>68</v>
      </c>
      <c r="AM305" t="s">
        <v>68</v>
      </c>
      <c r="AN305">
        <v>0</v>
      </c>
      <c r="AO305" s="1"/>
      <c r="AP305">
        <v>1</v>
      </c>
      <c r="AS305" t="s">
        <v>75</v>
      </c>
      <c r="AT305" t="s">
        <v>68</v>
      </c>
      <c r="AU305">
        <v>0</v>
      </c>
      <c r="AV305" t="s">
        <v>68</v>
      </c>
      <c r="AW305">
        <v>1</v>
      </c>
      <c r="AX305" s="1"/>
      <c r="AZ305" t="s">
        <v>68</v>
      </c>
      <c r="BA305" t="s">
        <v>68</v>
      </c>
      <c r="BB305" t="s">
        <v>68</v>
      </c>
      <c r="BC305" t="s">
        <v>68</v>
      </c>
      <c r="BD305">
        <v>0</v>
      </c>
      <c r="BE305" s="1"/>
      <c r="BF305" s="1">
        <v>45729.9452662037</v>
      </c>
      <c r="BG305" t="s">
        <v>68</v>
      </c>
      <c r="BH305" t="s">
        <v>68</v>
      </c>
      <c r="BI305" t="s">
        <v>68</v>
      </c>
      <c r="BJ305" t="s">
        <v>68</v>
      </c>
      <c r="BK305" t="s">
        <v>68</v>
      </c>
      <c r="BL305" t="s">
        <v>68</v>
      </c>
      <c r="BM305" t="s">
        <v>68</v>
      </c>
      <c r="BN305" t="s">
        <v>68</v>
      </c>
      <c r="BO305" t="s">
        <v>96</v>
      </c>
      <c r="BP305">
        <v>0</v>
      </c>
      <c r="BQ305" t="s">
        <v>68</v>
      </c>
      <c r="BR305" t="s">
        <v>68</v>
      </c>
      <c r="BS305" t="s">
        <v>68</v>
      </c>
    </row>
    <row r="306" spans="1:71" x14ac:dyDescent="0.35">
      <c r="A306" t="b">
        <f>ISNUMBER(MATCH(ChargentOrders[[#This Row],[Contract__c]],Contract[Id],0))</f>
        <v>1</v>
      </c>
      <c r="B306">
        <f>IFERROR(INDEX(Contract[CB_Subscription__c],MATCH(ChargentOrders[[#This Row],[Contract__c]],Contract[Id],0)),0)</f>
        <v>0</v>
      </c>
      <c r="C306" t="b">
        <f>ISNUMBER(MATCH(ChargentOrders[[#This Row],[Id]],Claude[Id],0))</f>
        <v>1</v>
      </c>
      <c r="D306" t="b">
        <f>AND(ChargentOrders[[#This Row],[_Contract]],ChargentOrders[[#This Row],[CB Subscription]]=0)</f>
        <v>1</v>
      </c>
      <c r="E306" s="38">
        <f>INDEX(Table5[CUENTA],MATCH(ChargentOrders[[#This Row],[Contract__c]],Table5[SM_Contract__c],0))</f>
        <v>46172</v>
      </c>
      <c r="F306" s="38" t="str">
        <f ca="1">INDEX(Table5[ESTADO],MATCH(ChargentOrders[[#This Row],[Contract__c]],Table5[SM_Contract__c],0))</f>
        <v>DEBE 2</v>
      </c>
      <c r="G306" t="s">
        <v>276</v>
      </c>
      <c r="H306" t="s">
        <v>78</v>
      </c>
      <c r="I306" t="s">
        <v>277</v>
      </c>
      <c r="J306" s="1">
        <v>45730.727442129632</v>
      </c>
      <c r="K306">
        <v>10</v>
      </c>
      <c r="L306">
        <v>2026</v>
      </c>
      <c r="M306" t="s">
        <v>1414</v>
      </c>
      <c r="N306">
        <v>10</v>
      </c>
      <c r="O306" t="s">
        <v>1446</v>
      </c>
      <c r="P306" t="s">
        <v>73</v>
      </c>
      <c r="Q306">
        <v>2026</v>
      </c>
      <c r="R306">
        <v>8363</v>
      </c>
      <c r="T306" t="s">
        <v>67</v>
      </c>
      <c r="U306" t="s">
        <v>68</v>
      </c>
      <c r="V306">
        <v>0</v>
      </c>
      <c r="W306" t="s">
        <v>69</v>
      </c>
      <c r="X306" s="5">
        <v>45765</v>
      </c>
      <c r="Y306" t="s">
        <v>74</v>
      </c>
      <c r="Z306" t="s">
        <v>68</v>
      </c>
      <c r="AA306">
        <v>7500</v>
      </c>
      <c r="AB306">
        <v>863</v>
      </c>
      <c r="AC306" t="s">
        <v>175</v>
      </c>
      <c r="AD306" t="s">
        <v>68</v>
      </c>
      <c r="AE306">
        <v>0</v>
      </c>
      <c r="AF306" s="1">
        <v>45764.592245370368</v>
      </c>
      <c r="AG306" s="1">
        <v>45764.592245370368</v>
      </c>
      <c r="AH306">
        <v>1</v>
      </c>
      <c r="AI306">
        <v>7</v>
      </c>
      <c r="AJ306">
        <v>8363</v>
      </c>
      <c r="AK306" t="s">
        <v>112</v>
      </c>
      <c r="AL306" t="s">
        <v>71</v>
      </c>
      <c r="AM306" t="s">
        <v>278</v>
      </c>
      <c r="AN306">
        <v>0</v>
      </c>
      <c r="AO306" s="1">
        <v>45730.727164351854</v>
      </c>
      <c r="AP306">
        <v>10</v>
      </c>
      <c r="AQ306">
        <v>10</v>
      </c>
      <c r="AR306">
        <v>105</v>
      </c>
      <c r="AS306" t="s">
        <v>75</v>
      </c>
      <c r="AT306" t="s">
        <v>68</v>
      </c>
      <c r="AU306">
        <v>0</v>
      </c>
      <c r="AV306" t="s">
        <v>68</v>
      </c>
      <c r="AW306">
        <v>0</v>
      </c>
      <c r="AX306" s="1"/>
      <c r="AZ306" t="s">
        <v>68</v>
      </c>
      <c r="BA306" t="s">
        <v>68</v>
      </c>
      <c r="BB306" t="s">
        <v>68</v>
      </c>
      <c r="BC306" t="s">
        <v>68</v>
      </c>
      <c r="BD306">
        <v>0</v>
      </c>
      <c r="BE306" s="1">
        <v>45763.425312500003</v>
      </c>
      <c r="BF306" s="1">
        <v>45764.592245370368</v>
      </c>
      <c r="BG306" t="s">
        <v>68</v>
      </c>
      <c r="BH306" t="s">
        <v>68</v>
      </c>
      <c r="BI306" t="s">
        <v>68</v>
      </c>
      <c r="BJ306" t="s">
        <v>68</v>
      </c>
      <c r="BK306" t="s">
        <v>68</v>
      </c>
      <c r="BL306" t="s">
        <v>68</v>
      </c>
      <c r="BM306" t="s">
        <v>68</v>
      </c>
      <c r="BN306" t="s">
        <v>68</v>
      </c>
      <c r="BO306" t="s">
        <v>96</v>
      </c>
      <c r="BP306">
        <v>0</v>
      </c>
      <c r="BQ306" t="s">
        <v>68</v>
      </c>
      <c r="BR306" t="s">
        <v>68</v>
      </c>
      <c r="BS306" t="s">
        <v>256</v>
      </c>
    </row>
    <row r="307" spans="1:71" x14ac:dyDescent="0.35">
      <c r="A307" t="b">
        <f>ISNUMBER(MATCH(ChargentOrders[[#This Row],[Contract__c]],Contract[Id],0))</f>
        <v>1</v>
      </c>
      <c r="B307">
        <f>IFERROR(INDEX(Contract[CB_Subscription__c],MATCH(ChargentOrders[[#This Row],[Contract__c]],Contract[Id],0)),0)</f>
        <v>0</v>
      </c>
      <c r="C307" t="b">
        <f>ISNUMBER(MATCH(ChargentOrders[[#This Row],[Id]],Claude[Id],0))</f>
        <v>1</v>
      </c>
      <c r="D307" t="b">
        <f>AND(ChargentOrders[[#This Row],[_Contract]],ChargentOrders[[#This Row],[CB Subscription]]=0)</f>
        <v>1</v>
      </c>
      <c r="E307" s="38">
        <f>INDEX(Table5[CUENTA],MATCH(ChargentOrders[[#This Row],[Contract__c]],Table5[SM_Contract__c],0))</f>
        <v>46172</v>
      </c>
      <c r="F307" s="38" t="str">
        <f ca="1">INDEX(Table5[ESTADO],MATCH(ChargentOrders[[#This Row],[Contract__c]],Table5[SM_Contract__c],0))</f>
        <v>DEBE 2</v>
      </c>
      <c r="G307" t="s">
        <v>337</v>
      </c>
      <c r="H307" t="s">
        <v>102</v>
      </c>
      <c r="I307" t="s">
        <v>338</v>
      </c>
      <c r="J307" s="1">
        <v>45807.42082175926</v>
      </c>
      <c r="K307">
        <v>10</v>
      </c>
      <c r="L307">
        <v>2026</v>
      </c>
      <c r="M307" t="s">
        <v>1414</v>
      </c>
      <c r="N307">
        <v>10</v>
      </c>
      <c r="O307" t="s">
        <v>1414</v>
      </c>
      <c r="P307" t="s">
        <v>73</v>
      </c>
      <c r="Q307">
        <v>2026</v>
      </c>
      <c r="R307">
        <v>11150</v>
      </c>
      <c r="T307" t="s">
        <v>67</v>
      </c>
      <c r="U307" t="s">
        <v>68</v>
      </c>
      <c r="V307">
        <v>0</v>
      </c>
      <c r="W307" t="s">
        <v>69</v>
      </c>
      <c r="X307" s="5">
        <v>45834</v>
      </c>
      <c r="Y307" t="s">
        <v>74</v>
      </c>
      <c r="Z307" t="s">
        <v>68</v>
      </c>
      <c r="AA307">
        <v>10000</v>
      </c>
      <c r="AB307">
        <v>1150</v>
      </c>
      <c r="AC307" t="s">
        <v>175</v>
      </c>
      <c r="AD307" t="s">
        <v>68</v>
      </c>
      <c r="AE307">
        <v>0</v>
      </c>
      <c r="AF307" s="1">
        <v>45834.426215277781</v>
      </c>
      <c r="AG307" s="1">
        <v>45834.426261574074</v>
      </c>
      <c r="AH307">
        <v>1</v>
      </c>
      <c r="AI307">
        <v>19</v>
      </c>
      <c r="AJ307">
        <v>1115</v>
      </c>
      <c r="AK307" t="s">
        <v>112</v>
      </c>
      <c r="AL307" t="s">
        <v>71</v>
      </c>
      <c r="AM307" t="s">
        <v>68</v>
      </c>
      <c r="AN307">
        <v>0</v>
      </c>
      <c r="AO307" s="1"/>
      <c r="AP307">
        <v>0</v>
      </c>
      <c r="AQ307">
        <v>100</v>
      </c>
      <c r="AR307">
        <v>1050</v>
      </c>
      <c r="AS307" t="s">
        <v>72</v>
      </c>
      <c r="AT307" t="s">
        <v>68</v>
      </c>
      <c r="AU307">
        <v>1</v>
      </c>
      <c r="AV307" t="s">
        <v>339</v>
      </c>
      <c r="AW307">
        <v>0</v>
      </c>
      <c r="AX307" s="1">
        <v>45170.864606481482</v>
      </c>
      <c r="AY307">
        <v>2500</v>
      </c>
      <c r="AZ307" t="s">
        <v>68</v>
      </c>
      <c r="BA307" t="s">
        <v>65</v>
      </c>
      <c r="BB307" t="s">
        <v>68</v>
      </c>
      <c r="BC307" t="s">
        <v>68</v>
      </c>
      <c r="BD307">
        <v>0</v>
      </c>
      <c r="BE307" s="1">
        <v>45831.972199074073</v>
      </c>
      <c r="BF307" s="1">
        <v>45834.426215277781</v>
      </c>
      <c r="BG307" t="s">
        <v>68</v>
      </c>
      <c r="BH307" t="s">
        <v>68</v>
      </c>
      <c r="BI307" t="s">
        <v>68</v>
      </c>
      <c r="BJ307" t="s">
        <v>68</v>
      </c>
      <c r="BK307" t="s">
        <v>68</v>
      </c>
      <c r="BL307" t="s">
        <v>68</v>
      </c>
      <c r="BM307" t="s">
        <v>68</v>
      </c>
      <c r="BN307" t="s">
        <v>68</v>
      </c>
      <c r="BO307" t="s">
        <v>96</v>
      </c>
      <c r="BP307">
        <v>0</v>
      </c>
      <c r="BQ307" t="s">
        <v>68</v>
      </c>
      <c r="BR307" t="s">
        <v>68</v>
      </c>
      <c r="BS307" t="s">
        <v>68</v>
      </c>
    </row>
    <row r="308" spans="1:71" x14ac:dyDescent="0.35">
      <c r="A308" t="b">
        <f>ISNUMBER(MATCH(ChargentOrders[[#This Row],[Contract__c]],Contract[Id],0))</f>
        <v>1</v>
      </c>
      <c r="B308">
        <f>IFERROR(INDEX(Contract[CB_Subscription__c],MATCH(ChargentOrders[[#This Row],[Contract__c]],Contract[Id],0)),0)</f>
        <v>0</v>
      </c>
      <c r="C308" t="b">
        <f>ISNUMBER(MATCH(ChargentOrders[[#This Row],[Id]],Claude[Id],0))</f>
        <v>1</v>
      </c>
      <c r="D308" t="b">
        <f>AND(ChargentOrders[[#This Row],[_Contract]],ChargentOrders[[#This Row],[CB Subscription]]=0)</f>
        <v>1</v>
      </c>
      <c r="E308" s="38">
        <f>INDEX(Table5[CUENTA],MATCH(ChargentOrders[[#This Row],[Contract__c]],Table5[SM_Contract__c],0))</f>
        <v>46172</v>
      </c>
      <c r="F308" s="38" t="str">
        <f ca="1">INDEX(Table5[ESTADO],MATCH(ChargentOrders[[#This Row],[Contract__c]],Table5[SM_Contract__c],0))</f>
        <v>DEBE 2</v>
      </c>
      <c r="G308" t="s">
        <v>394</v>
      </c>
      <c r="H308" t="s">
        <v>102</v>
      </c>
      <c r="I308" t="s">
        <v>395</v>
      </c>
      <c r="J308" s="1">
        <v>45868.417604166665</v>
      </c>
      <c r="K308">
        <v>6</v>
      </c>
      <c r="L308">
        <v>2030</v>
      </c>
      <c r="M308" t="s">
        <v>1414</v>
      </c>
      <c r="N308">
        <v>6</v>
      </c>
      <c r="O308" t="s">
        <v>1414</v>
      </c>
      <c r="P308" t="s">
        <v>73</v>
      </c>
      <c r="Q308">
        <v>2030</v>
      </c>
      <c r="R308">
        <v>11150</v>
      </c>
      <c r="T308" t="s">
        <v>67</v>
      </c>
      <c r="U308" t="s">
        <v>68</v>
      </c>
      <c r="V308">
        <v>0</v>
      </c>
      <c r="W308" t="s">
        <v>69</v>
      </c>
      <c r="X308" s="5">
        <v>45918</v>
      </c>
      <c r="Y308" t="s">
        <v>74</v>
      </c>
      <c r="Z308" t="s">
        <v>68</v>
      </c>
      <c r="AA308">
        <v>10000</v>
      </c>
      <c r="AB308">
        <v>1150</v>
      </c>
      <c r="AC308" t="s">
        <v>147</v>
      </c>
      <c r="AD308" t="s">
        <v>68</v>
      </c>
      <c r="AE308">
        <v>0</v>
      </c>
      <c r="AF308" s="1">
        <v>45918.419456018521</v>
      </c>
      <c r="AG308" s="1">
        <v>45918.419490740744</v>
      </c>
      <c r="AH308">
        <v>1</v>
      </c>
      <c r="AI308">
        <v>16</v>
      </c>
      <c r="AJ308">
        <v>1115</v>
      </c>
      <c r="AK308" t="s">
        <v>112</v>
      </c>
      <c r="AL308" t="s">
        <v>71</v>
      </c>
      <c r="AM308" t="s">
        <v>68</v>
      </c>
      <c r="AN308">
        <v>0</v>
      </c>
      <c r="AO308" s="1"/>
      <c r="AP308">
        <v>0</v>
      </c>
      <c r="AQ308">
        <v>100</v>
      </c>
      <c r="AR308">
        <v>1050</v>
      </c>
      <c r="AS308" t="s">
        <v>72</v>
      </c>
      <c r="AT308" t="s">
        <v>68</v>
      </c>
      <c r="AU308">
        <v>1</v>
      </c>
      <c r="AV308" t="s">
        <v>396</v>
      </c>
      <c r="AW308">
        <v>0</v>
      </c>
      <c r="AX308" s="1">
        <v>45868.956562500003</v>
      </c>
      <c r="AY308">
        <v>2500</v>
      </c>
      <c r="AZ308" t="s">
        <v>68</v>
      </c>
      <c r="BA308" t="s">
        <v>65</v>
      </c>
      <c r="BB308" t="s">
        <v>68</v>
      </c>
      <c r="BC308" t="s">
        <v>68</v>
      </c>
      <c r="BD308">
        <v>0</v>
      </c>
      <c r="BE308" s="1">
        <v>45898.429282407407</v>
      </c>
      <c r="BF308" s="1">
        <v>45918.419456018521</v>
      </c>
      <c r="BG308" t="s">
        <v>68</v>
      </c>
      <c r="BH308" t="s">
        <v>68</v>
      </c>
      <c r="BI308" t="s">
        <v>68</v>
      </c>
      <c r="BJ308" t="s">
        <v>68</v>
      </c>
      <c r="BK308" t="s">
        <v>68</v>
      </c>
      <c r="BL308" t="s">
        <v>68</v>
      </c>
      <c r="BM308" t="s">
        <v>68</v>
      </c>
      <c r="BN308" t="s">
        <v>68</v>
      </c>
      <c r="BO308" t="s">
        <v>96</v>
      </c>
      <c r="BP308">
        <v>0</v>
      </c>
      <c r="BQ308" t="s">
        <v>68</v>
      </c>
      <c r="BR308" t="s">
        <v>68</v>
      </c>
      <c r="BS308" t="s">
        <v>154</v>
      </c>
    </row>
    <row r="309" spans="1:71" x14ac:dyDescent="0.35">
      <c r="A309" t="b">
        <f>ISNUMBER(MATCH(ChargentOrders[[#This Row],[Contract__c]],Contract[Id],0))</f>
        <v>1</v>
      </c>
      <c r="B309">
        <f>IFERROR(INDEX(Contract[CB_Subscription__c],MATCH(ChargentOrders[[#This Row],[Contract__c]],Contract[Id],0)),0)</f>
        <v>0</v>
      </c>
      <c r="C309" t="b">
        <f>ISNUMBER(MATCH(ChargentOrders[[#This Row],[Id]],Claude[Id],0))</f>
        <v>1</v>
      </c>
      <c r="D309" t="b">
        <f>AND(ChargentOrders[[#This Row],[_Contract]],ChargentOrders[[#This Row],[CB Subscription]]=0)</f>
        <v>1</v>
      </c>
      <c r="E309" s="38">
        <f>INDEX(Table5[CUENTA],MATCH(ChargentOrders[[#This Row],[Contract__c]],Table5[SM_Contract__c],0))</f>
        <v>46172</v>
      </c>
      <c r="F309" s="38" t="str">
        <f ca="1">INDEX(Table5[ESTADO],MATCH(ChargentOrders[[#This Row],[Contract__c]],Table5[SM_Contract__c],0))</f>
        <v>DEBE 2</v>
      </c>
      <c r="G309" t="s">
        <v>430</v>
      </c>
      <c r="H309" t="s">
        <v>102</v>
      </c>
      <c r="I309" t="s">
        <v>431</v>
      </c>
      <c r="J309" s="1">
        <v>45898.417708333334</v>
      </c>
      <c r="K309">
        <v>6</v>
      </c>
      <c r="L309">
        <v>2030</v>
      </c>
      <c r="M309" t="s">
        <v>1414</v>
      </c>
      <c r="N309">
        <v>6</v>
      </c>
      <c r="O309" t="s">
        <v>1414</v>
      </c>
      <c r="P309" t="s">
        <v>73</v>
      </c>
      <c r="Q309">
        <v>2030</v>
      </c>
      <c r="R309">
        <v>11150</v>
      </c>
      <c r="T309" t="s">
        <v>67</v>
      </c>
      <c r="U309" t="s">
        <v>68</v>
      </c>
      <c r="V309">
        <v>0</v>
      </c>
      <c r="W309" t="s">
        <v>69</v>
      </c>
      <c r="X309" s="5">
        <v>45918</v>
      </c>
      <c r="Y309" t="s">
        <v>74</v>
      </c>
      <c r="Z309" t="s">
        <v>68</v>
      </c>
      <c r="AA309">
        <v>10000</v>
      </c>
      <c r="AB309">
        <v>1150</v>
      </c>
      <c r="AC309" t="s">
        <v>147</v>
      </c>
      <c r="AD309" t="s">
        <v>68</v>
      </c>
      <c r="AE309">
        <v>0</v>
      </c>
      <c r="AF309" s="1">
        <v>45918.4216087963</v>
      </c>
      <c r="AG309" s="1">
        <v>45918.421666666669</v>
      </c>
      <c r="AH309">
        <v>1</v>
      </c>
      <c r="AI309">
        <v>1</v>
      </c>
      <c r="AJ309">
        <v>1115</v>
      </c>
      <c r="AK309" t="s">
        <v>112</v>
      </c>
      <c r="AL309" t="s">
        <v>71</v>
      </c>
      <c r="AM309" t="s">
        <v>68</v>
      </c>
      <c r="AN309">
        <v>0</v>
      </c>
      <c r="AO309" s="1"/>
      <c r="AP309">
        <v>0</v>
      </c>
      <c r="AQ309">
        <v>100</v>
      </c>
      <c r="AR309">
        <v>1050</v>
      </c>
      <c r="AS309" t="s">
        <v>72</v>
      </c>
      <c r="AT309" t="s">
        <v>68</v>
      </c>
      <c r="AU309">
        <v>1</v>
      </c>
      <c r="AV309" t="s">
        <v>432</v>
      </c>
      <c r="AW309">
        <v>0</v>
      </c>
      <c r="AX309" s="1">
        <v>45170.864606481482</v>
      </c>
      <c r="AY309">
        <v>2500</v>
      </c>
      <c r="AZ309" t="s">
        <v>68</v>
      </c>
      <c r="BA309" t="s">
        <v>65</v>
      </c>
      <c r="BB309" t="s">
        <v>68</v>
      </c>
      <c r="BC309" t="s">
        <v>68</v>
      </c>
      <c r="BD309">
        <v>0</v>
      </c>
      <c r="BE309" s="1"/>
      <c r="BF309" s="1">
        <v>45918.4216087963</v>
      </c>
      <c r="BG309" t="s">
        <v>68</v>
      </c>
      <c r="BH309" t="s">
        <v>68</v>
      </c>
      <c r="BI309" t="s">
        <v>68</v>
      </c>
      <c r="BJ309" t="s">
        <v>68</v>
      </c>
      <c r="BK309" t="s">
        <v>68</v>
      </c>
      <c r="BL309" t="s">
        <v>68</v>
      </c>
      <c r="BM309" t="s">
        <v>68</v>
      </c>
      <c r="BN309" t="s">
        <v>68</v>
      </c>
      <c r="BO309" t="s">
        <v>96</v>
      </c>
      <c r="BP309">
        <v>0</v>
      </c>
      <c r="BQ309" t="s">
        <v>68</v>
      </c>
      <c r="BR309" t="s">
        <v>68</v>
      </c>
      <c r="BS309" t="s">
        <v>403</v>
      </c>
    </row>
    <row r="310" spans="1:71" x14ac:dyDescent="0.35">
      <c r="A310" t="b">
        <f>ISNUMBER(MATCH(ChargentOrders[[#This Row],[Contract__c]],Contract[Id],0))</f>
        <v>1</v>
      </c>
      <c r="B310">
        <f>IFERROR(INDEX(Contract[CB_Subscription__c],MATCH(ChargentOrders[[#This Row],[Contract__c]],Contract[Id],0)),0)</f>
        <v>0</v>
      </c>
      <c r="C310" t="b">
        <f>ISNUMBER(MATCH(ChargentOrders[[#This Row],[Id]],Claude[Id],0))</f>
        <v>1</v>
      </c>
      <c r="D310" t="b">
        <f>AND(ChargentOrders[[#This Row],[_Contract]],ChargentOrders[[#This Row],[CB Subscription]]=0)</f>
        <v>1</v>
      </c>
      <c r="E310" s="38">
        <f>INDEX(Table5[CUENTA],MATCH(ChargentOrders[[#This Row],[Contract__c]],Table5[SM_Contract__c],0))</f>
        <v>46172</v>
      </c>
      <c r="F310" s="38" t="str">
        <f ca="1">INDEX(Table5[ESTADO],MATCH(ChargentOrders[[#This Row],[Contract__c]],Table5[SM_Contract__c],0))</f>
        <v>DEBE 2</v>
      </c>
      <c r="G310" t="s">
        <v>447</v>
      </c>
      <c r="H310" t="s">
        <v>101</v>
      </c>
      <c r="I310" t="s">
        <v>448</v>
      </c>
      <c r="J310" s="1">
        <v>45903.645983796298</v>
      </c>
      <c r="K310">
        <v>6</v>
      </c>
      <c r="L310">
        <v>2030</v>
      </c>
      <c r="M310" t="s">
        <v>1414</v>
      </c>
      <c r="N310">
        <v>6</v>
      </c>
      <c r="O310" t="s">
        <v>1415</v>
      </c>
      <c r="P310" t="s">
        <v>73</v>
      </c>
      <c r="Q310">
        <v>2030</v>
      </c>
      <c r="R310">
        <v>0</v>
      </c>
      <c r="T310" t="s">
        <v>67</v>
      </c>
      <c r="U310" t="s">
        <v>68</v>
      </c>
      <c r="V310">
        <v>0</v>
      </c>
      <c r="W310" t="s">
        <v>69</v>
      </c>
      <c r="X310" s="5"/>
      <c r="Y310" t="s">
        <v>68</v>
      </c>
      <c r="Z310" t="s">
        <v>68</v>
      </c>
      <c r="AA310">
        <v>0</v>
      </c>
      <c r="AC310" t="s">
        <v>147</v>
      </c>
      <c r="AD310" t="s">
        <v>68</v>
      </c>
      <c r="AE310">
        <v>0</v>
      </c>
      <c r="AF310" s="1"/>
      <c r="AG310" s="1">
        <v>45903.646006944444</v>
      </c>
      <c r="AH310">
        <v>0</v>
      </c>
      <c r="AI310">
        <v>1</v>
      </c>
      <c r="AJ310">
        <v>0</v>
      </c>
      <c r="AK310" t="s">
        <v>112</v>
      </c>
      <c r="AL310" t="s">
        <v>68</v>
      </c>
      <c r="AM310" t="s">
        <v>68</v>
      </c>
      <c r="AN310">
        <v>0</v>
      </c>
      <c r="AO310" s="1"/>
      <c r="AP310">
        <v>1</v>
      </c>
      <c r="AS310" t="s">
        <v>75</v>
      </c>
      <c r="AT310" t="s">
        <v>68</v>
      </c>
      <c r="AU310">
        <v>0</v>
      </c>
      <c r="AV310" t="s">
        <v>68</v>
      </c>
      <c r="AW310">
        <v>1</v>
      </c>
      <c r="AX310" s="1"/>
      <c r="AZ310" t="s">
        <v>68</v>
      </c>
      <c r="BA310" t="s">
        <v>68</v>
      </c>
      <c r="BB310" t="s">
        <v>68</v>
      </c>
      <c r="BC310" t="s">
        <v>68</v>
      </c>
      <c r="BD310">
        <v>0</v>
      </c>
      <c r="BE310" s="1"/>
      <c r="BF310" s="1">
        <v>45903.646006944444</v>
      </c>
      <c r="BG310" t="s">
        <v>68</v>
      </c>
      <c r="BH310" t="s">
        <v>68</v>
      </c>
      <c r="BI310" t="s">
        <v>68</v>
      </c>
      <c r="BJ310" t="s">
        <v>68</v>
      </c>
      <c r="BK310" t="s">
        <v>68</v>
      </c>
      <c r="BL310" t="s">
        <v>68</v>
      </c>
      <c r="BM310" t="s">
        <v>68</v>
      </c>
      <c r="BN310" t="s">
        <v>68</v>
      </c>
      <c r="BO310" t="s">
        <v>96</v>
      </c>
      <c r="BP310">
        <v>0</v>
      </c>
      <c r="BQ310" t="s">
        <v>68</v>
      </c>
      <c r="BR310" t="s">
        <v>68</v>
      </c>
      <c r="BS310" t="s">
        <v>68</v>
      </c>
    </row>
    <row r="311" spans="1:71" x14ac:dyDescent="0.35">
      <c r="A311" t="b">
        <f>ISNUMBER(MATCH(ChargentOrders[[#This Row],[Contract__c]],Contract[Id],0))</f>
        <v>1</v>
      </c>
      <c r="B311">
        <f>IFERROR(INDEX(Contract[CB_Subscription__c],MATCH(ChargentOrders[[#This Row],[Contract__c]],Contract[Id],0)),0)</f>
        <v>0</v>
      </c>
      <c r="C311" t="b">
        <f>ISNUMBER(MATCH(ChargentOrders[[#This Row],[Id]],Claude[Id],0))</f>
        <v>1</v>
      </c>
      <c r="D311" t="b">
        <f>AND(ChargentOrders[[#This Row],[_Contract]],ChargentOrders[[#This Row],[CB Subscription]]=0)</f>
        <v>1</v>
      </c>
      <c r="E311" s="38">
        <f>INDEX(Table5[CUENTA],MATCH(ChargentOrders[[#This Row],[Contract__c]],Table5[SM_Contract__c],0))</f>
        <v>46172</v>
      </c>
      <c r="F311" s="38" t="str">
        <f ca="1">INDEX(Table5[ESTADO],MATCH(ChargentOrders[[#This Row],[Contract__c]],Table5[SM_Contract__c],0))</f>
        <v>DEBE 2</v>
      </c>
      <c r="G311" t="s">
        <v>451</v>
      </c>
      <c r="H311" t="s">
        <v>102</v>
      </c>
      <c r="I311" t="s">
        <v>452</v>
      </c>
      <c r="J311" s="1">
        <v>45930.41746527778</v>
      </c>
      <c r="K311">
        <v>6</v>
      </c>
      <c r="L311">
        <v>2030</v>
      </c>
      <c r="M311" t="s">
        <v>1414</v>
      </c>
      <c r="N311">
        <v>6</v>
      </c>
      <c r="O311" t="s">
        <v>1414</v>
      </c>
      <c r="P311" t="s">
        <v>73</v>
      </c>
      <c r="Q311">
        <v>2030</v>
      </c>
      <c r="R311">
        <v>10000</v>
      </c>
      <c r="T311" t="s">
        <v>67</v>
      </c>
      <c r="U311" t="s">
        <v>68</v>
      </c>
      <c r="V311">
        <v>0</v>
      </c>
      <c r="W311" t="s">
        <v>69</v>
      </c>
      <c r="X311" s="5">
        <v>45974</v>
      </c>
      <c r="Y311" t="s">
        <v>74</v>
      </c>
      <c r="Z311" t="s">
        <v>68</v>
      </c>
      <c r="AA311">
        <v>10000</v>
      </c>
      <c r="AB311">
        <v>0</v>
      </c>
      <c r="AC311" t="s">
        <v>147</v>
      </c>
      <c r="AD311" t="s">
        <v>68</v>
      </c>
      <c r="AE311">
        <v>0</v>
      </c>
      <c r="AF311" s="1">
        <v>45974.421226851853</v>
      </c>
      <c r="AG311" s="1">
        <v>45974.421284722222</v>
      </c>
      <c r="AH311">
        <v>1</v>
      </c>
      <c r="AI311">
        <v>21</v>
      </c>
      <c r="AJ311">
        <v>1000</v>
      </c>
      <c r="AK311" t="s">
        <v>112</v>
      </c>
      <c r="AL311" t="s">
        <v>71</v>
      </c>
      <c r="AM311" t="s">
        <v>68</v>
      </c>
      <c r="AN311">
        <v>0</v>
      </c>
      <c r="AO311" s="1"/>
      <c r="AP311">
        <v>0</v>
      </c>
      <c r="AQ311">
        <v>0</v>
      </c>
      <c r="AR311">
        <v>0</v>
      </c>
      <c r="AS311" t="s">
        <v>72</v>
      </c>
      <c r="AT311" t="s">
        <v>68</v>
      </c>
      <c r="AU311">
        <v>1</v>
      </c>
      <c r="AV311" t="s">
        <v>453</v>
      </c>
      <c r="AW311">
        <v>0</v>
      </c>
      <c r="AX311" s="1">
        <v>45170.864606481482</v>
      </c>
      <c r="AY311">
        <v>2500</v>
      </c>
      <c r="AZ311" t="s">
        <v>68</v>
      </c>
      <c r="BA311" t="s">
        <v>65</v>
      </c>
      <c r="BB311" t="s">
        <v>68</v>
      </c>
      <c r="BC311" t="s">
        <v>68</v>
      </c>
      <c r="BD311">
        <v>0</v>
      </c>
      <c r="BE311" s="1">
        <v>45958.954479166663</v>
      </c>
      <c r="BF311" s="1">
        <v>45974.421226851853</v>
      </c>
      <c r="BG311" t="s">
        <v>68</v>
      </c>
      <c r="BH311" t="s">
        <v>68</v>
      </c>
      <c r="BI311" t="s">
        <v>68</v>
      </c>
      <c r="BJ311" t="s">
        <v>68</v>
      </c>
      <c r="BK311" t="s">
        <v>68</v>
      </c>
      <c r="BL311" t="s">
        <v>68</v>
      </c>
      <c r="BM311" t="s">
        <v>68</v>
      </c>
      <c r="BN311" t="s">
        <v>68</v>
      </c>
      <c r="BO311" t="s">
        <v>96</v>
      </c>
      <c r="BP311">
        <v>0</v>
      </c>
      <c r="BQ311" t="s">
        <v>68</v>
      </c>
      <c r="BR311" t="s">
        <v>68</v>
      </c>
      <c r="BS311" t="s">
        <v>68</v>
      </c>
    </row>
    <row r="312" spans="1:71" x14ac:dyDescent="0.35">
      <c r="A312" t="b">
        <f>ISNUMBER(MATCH(ChargentOrders[[#This Row],[Contract__c]],Contract[Id],0))</f>
        <v>1</v>
      </c>
      <c r="B312">
        <f>IFERROR(INDEX(Contract[CB_Subscription__c],MATCH(ChargentOrders[[#This Row],[Contract__c]],Contract[Id],0)),0)</f>
        <v>0</v>
      </c>
      <c r="C312" t="b">
        <f>ISNUMBER(MATCH(ChargentOrders[[#This Row],[Id]],Claude[Id],0))</f>
        <v>1</v>
      </c>
      <c r="D312" t="b">
        <f>AND(ChargentOrders[[#This Row],[_Contract]],ChargentOrders[[#This Row],[CB Subscription]]=0)</f>
        <v>1</v>
      </c>
      <c r="E312" s="38">
        <f>INDEX(Table5[CUENTA],MATCH(ChargentOrders[[#This Row],[Contract__c]],Table5[SM_Contract__c],0))</f>
        <v>46172</v>
      </c>
      <c r="F312" s="38" t="str">
        <f ca="1">INDEX(Table5[ESTADO],MATCH(ChargentOrders[[#This Row],[Contract__c]],Table5[SM_Contract__c],0))</f>
        <v>DEBE 2</v>
      </c>
      <c r="G312" t="s">
        <v>579</v>
      </c>
      <c r="H312" t="s">
        <v>81</v>
      </c>
      <c r="I312" t="s">
        <v>580</v>
      </c>
      <c r="J312" s="1">
        <v>45992.951527777775</v>
      </c>
      <c r="K312">
        <v>2</v>
      </c>
      <c r="L312">
        <v>2030</v>
      </c>
      <c r="M312" t="s">
        <v>1429</v>
      </c>
      <c r="N312">
        <v>2</v>
      </c>
      <c r="O312" t="s">
        <v>1470</v>
      </c>
      <c r="P312" t="s">
        <v>73</v>
      </c>
      <c r="Q312">
        <v>2030</v>
      </c>
      <c r="R312">
        <v>0</v>
      </c>
      <c r="T312" t="s">
        <v>67</v>
      </c>
      <c r="U312" t="s">
        <v>68</v>
      </c>
      <c r="V312">
        <v>0</v>
      </c>
      <c r="W312" t="s">
        <v>69</v>
      </c>
      <c r="X312" s="5"/>
      <c r="Y312" t="s">
        <v>68</v>
      </c>
      <c r="Z312" t="s">
        <v>68</v>
      </c>
      <c r="AA312">
        <v>0</v>
      </c>
      <c r="AC312" t="s">
        <v>581</v>
      </c>
      <c r="AD312" t="s">
        <v>68</v>
      </c>
      <c r="AE312">
        <v>0</v>
      </c>
      <c r="AF312" s="1"/>
      <c r="AG312" s="1">
        <v>45992.951562499999</v>
      </c>
      <c r="AH312">
        <v>0</v>
      </c>
      <c r="AI312">
        <v>1</v>
      </c>
      <c r="AJ312">
        <v>0</v>
      </c>
      <c r="AK312" t="s">
        <v>582</v>
      </c>
      <c r="AL312" t="s">
        <v>68</v>
      </c>
      <c r="AM312" t="s">
        <v>68</v>
      </c>
      <c r="AN312">
        <v>0</v>
      </c>
      <c r="AO312" s="1"/>
      <c r="AP312">
        <v>1</v>
      </c>
      <c r="AS312" t="s">
        <v>75</v>
      </c>
      <c r="AT312" t="s">
        <v>68</v>
      </c>
      <c r="AU312">
        <v>0</v>
      </c>
      <c r="AV312" t="s">
        <v>68</v>
      </c>
      <c r="AW312">
        <v>1</v>
      </c>
      <c r="AX312" s="1"/>
      <c r="AZ312" t="s">
        <v>68</v>
      </c>
      <c r="BA312" t="s">
        <v>68</v>
      </c>
      <c r="BB312" t="s">
        <v>68</v>
      </c>
      <c r="BC312" t="s">
        <v>68</v>
      </c>
      <c r="BD312">
        <v>0</v>
      </c>
      <c r="BE312" s="1"/>
      <c r="BF312" s="1">
        <v>45992.951562499999</v>
      </c>
      <c r="BG312" t="s">
        <v>68</v>
      </c>
      <c r="BH312" t="s">
        <v>68</v>
      </c>
      <c r="BI312" t="s">
        <v>68</v>
      </c>
      <c r="BJ312" t="s">
        <v>68</v>
      </c>
      <c r="BK312" t="s">
        <v>68</v>
      </c>
      <c r="BL312" t="s">
        <v>68</v>
      </c>
      <c r="BM312" t="s">
        <v>68</v>
      </c>
      <c r="BN312" t="s">
        <v>68</v>
      </c>
      <c r="BO312" t="s">
        <v>96</v>
      </c>
      <c r="BP312">
        <v>0</v>
      </c>
      <c r="BQ312" t="s">
        <v>68</v>
      </c>
      <c r="BR312" t="s">
        <v>68</v>
      </c>
      <c r="BS312" t="s">
        <v>68</v>
      </c>
    </row>
    <row r="313" spans="1:71" x14ac:dyDescent="0.35">
      <c r="A313" t="b">
        <f>ISNUMBER(MATCH(ChargentOrders[[#This Row],[Contract__c]],Contract[Id],0))</f>
        <v>1</v>
      </c>
      <c r="B313">
        <f>IFERROR(INDEX(Contract[CB_Subscription__c],MATCH(ChargentOrders[[#This Row],[Contract__c]],Contract[Id],0)),0)</f>
        <v>0</v>
      </c>
      <c r="C313" t="b">
        <f>ISNUMBER(MATCH(ChargentOrders[[#This Row],[Id]],Claude[Id],0))</f>
        <v>1</v>
      </c>
      <c r="D313" t="b">
        <f>AND(ChargentOrders[[#This Row],[_Contract]],ChargentOrders[[#This Row],[CB Subscription]]=0)</f>
        <v>1</v>
      </c>
      <c r="E313" s="38">
        <f>INDEX(Table5[CUENTA],MATCH(ChargentOrders[[#This Row],[Contract__c]],Table5[SM_Contract__c],0))</f>
        <v>46172</v>
      </c>
      <c r="F313" s="38" t="str">
        <f ca="1">INDEX(Table5[ESTADO],MATCH(ChargentOrders[[#This Row],[Contract__c]],Table5[SM_Contract__c],0))</f>
        <v>DEBE 2</v>
      </c>
      <c r="G313" t="s">
        <v>583</v>
      </c>
      <c r="H313" t="s">
        <v>81</v>
      </c>
      <c r="I313" t="s">
        <v>584</v>
      </c>
      <c r="J313" s="1">
        <v>45992.952453703707</v>
      </c>
      <c r="K313">
        <v>2</v>
      </c>
      <c r="L313">
        <v>2030</v>
      </c>
      <c r="M313" t="s">
        <v>1429</v>
      </c>
      <c r="N313">
        <v>2</v>
      </c>
      <c r="O313" t="s">
        <v>1470</v>
      </c>
      <c r="P313" t="s">
        <v>73</v>
      </c>
      <c r="Q313">
        <v>2030</v>
      </c>
      <c r="R313">
        <v>690</v>
      </c>
      <c r="S313">
        <v>29</v>
      </c>
      <c r="T313" t="s">
        <v>67</v>
      </c>
      <c r="U313" t="s">
        <v>68</v>
      </c>
      <c r="V313">
        <v>0</v>
      </c>
      <c r="W313" t="s">
        <v>69</v>
      </c>
      <c r="X313" s="5">
        <v>46263</v>
      </c>
      <c r="Y313" t="s">
        <v>84</v>
      </c>
      <c r="Z313" t="s">
        <v>68</v>
      </c>
      <c r="AA313">
        <v>6900</v>
      </c>
      <c r="AB313">
        <v>0</v>
      </c>
      <c r="AC313" t="s">
        <v>581</v>
      </c>
      <c r="AD313" t="s">
        <v>68</v>
      </c>
      <c r="AE313">
        <v>0</v>
      </c>
      <c r="AF313" s="1">
        <v>46216.958425925928</v>
      </c>
      <c r="AG313" s="1">
        <v>46216.958425925928</v>
      </c>
      <c r="AH313">
        <v>6</v>
      </c>
      <c r="AI313">
        <v>6</v>
      </c>
      <c r="AJ313">
        <v>4140</v>
      </c>
      <c r="AK313" t="s">
        <v>582</v>
      </c>
      <c r="AL313" t="s">
        <v>76</v>
      </c>
      <c r="AM313" t="s">
        <v>68</v>
      </c>
      <c r="AN313">
        <v>0</v>
      </c>
      <c r="AO313" s="1"/>
      <c r="AP313">
        <v>6</v>
      </c>
      <c r="AQ313">
        <v>0</v>
      </c>
      <c r="AR313">
        <v>0</v>
      </c>
      <c r="AS313" t="s">
        <v>75</v>
      </c>
      <c r="AT313" t="s">
        <v>68</v>
      </c>
      <c r="AU313">
        <v>0</v>
      </c>
      <c r="AV313" t="s">
        <v>68</v>
      </c>
      <c r="AW313">
        <v>0</v>
      </c>
      <c r="AX313" s="1"/>
      <c r="AZ313" t="s">
        <v>68</v>
      </c>
      <c r="BA313" t="s">
        <v>68</v>
      </c>
      <c r="BB313" t="s">
        <v>68</v>
      </c>
      <c r="BC313" t="s">
        <v>68</v>
      </c>
      <c r="BD313">
        <v>0</v>
      </c>
      <c r="BE313" s="1"/>
      <c r="BF313" s="1">
        <v>46216.958425925928</v>
      </c>
      <c r="BG313" t="s">
        <v>68</v>
      </c>
      <c r="BH313" t="s">
        <v>68</v>
      </c>
      <c r="BI313" t="s">
        <v>68</v>
      </c>
      <c r="BJ313" t="s">
        <v>68</v>
      </c>
      <c r="BK313" t="s">
        <v>68</v>
      </c>
      <c r="BL313" t="s">
        <v>68</v>
      </c>
      <c r="BM313" t="s">
        <v>68</v>
      </c>
      <c r="BN313" t="s">
        <v>68</v>
      </c>
      <c r="BO313" t="s">
        <v>96</v>
      </c>
      <c r="BP313">
        <v>0</v>
      </c>
      <c r="BQ313" t="s">
        <v>68</v>
      </c>
      <c r="BR313" t="s">
        <v>68</v>
      </c>
      <c r="BS313" t="s">
        <v>68</v>
      </c>
    </row>
    <row r="314" spans="1:71" x14ac:dyDescent="0.35">
      <c r="A314" t="b">
        <f>ISNUMBER(MATCH(ChargentOrders[[#This Row],[Contract__c]],Contract[Id],0))</f>
        <v>1</v>
      </c>
      <c r="B314">
        <f>IFERROR(INDEX(Contract[CB_Subscription__c],MATCH(ChargentOrders[[#This Row],[Contract__c]],Contract[Id],0)),0)</f>
        <v>0</v>
      </c>
      <c r="C314" t="b">
        <f>ISNUMBER(MATCH(ChargentOrders[[#This Row],[Id]],Claude[Id],0))</f>
        <v>1</v>
      </c>
      <c r="D314" t="b">
        <f>AND(ChargentOrders[[#This Row],[_Contract]],ChargentOrders[[#This Row],[CB Subscription]]=0)</f>
        <v>1</v>
      </c>
      <c r="E314" s="38">
        <f>INDEX(Table5[CUENTA],MATCH(ChargentOrders[[#This Row],[Contract__c]],Table5[SM_Contract__c],0))</f>
        <v>46172</v>
      </c>
      <c r="F314" s="38" t="str">
        <f ca="1">INDEX(Table5[ESTADO],MATCH(ChargentOrders[[#This Row],[Contract__c]],Table5[SM_Contract__c],0))</f>
        <v>DEBE 2</v>
      </c>
      <c r="G314" t="s">
        <v>585</v>
      </c>
      <c r="H314" t="s">
        <v>79</v>
      </c>
      <c r="I314" t="s">
        <v>586</v>
      </c>
      <c r="J314" s="1">
        <v>45996.767546296294</v>
      </c>
      <c r="K314">
        <v>6</v>
      </c>
      <c r="L314">
        <v>2027</v>
      </c>
      <c r="M314" t="s">
        <v>1473</v>
      </c>
      <c r="N314">
        <v>6</v>
      </c>
      <c r="O314" t="s">
        <v>1474</v>
      </c>
      <c r="P314" t="s">
        <v>73</v>
      </c>
      <c r="Q314">
        <v>2027</v>
      </c>
      <c r="R314">
        <v>0</v>
      </c>
      <c r="T314" t="s">
        <v>67</v>
      </c>
      <c r="U314" t="s">
        <v>68</v>
      </c>
      <c r="V314">
        <v>0</v>
      </c>
      <c r="W314" t="s">
        <v>69</v>
      </c>
      <c r="X314" s="5"/>
      <c r="Y314" t="s">
        <v>68</v>
      </c>
      <c r="Z314" t="s">
        <v>68</v>
      </c>
      <c r="AA314">
        <v>0</v>
      </c>
      <c r="AC314" t="s">
        <v>587</v>
      </c>
      <c r="AD314" t="s">
        <v>68</v>
      </c>
      <c r="AE314">
        <v>0</v>
      </c>
      <c r="AF314" s="1"/>
      <c r="AG314" s="1">
        <v>45996.767569444448</v>
      </c>
      <c r="AH314">
        <v>0</v>
      </c>
      <c r="AI314">
        <v>1</v>
      </c>
      <c r="AJ314">
        <v>0</v>
      </c>
      <c r="AK314" t="s">
        <v>588</v>
      </c>
      <c r="AL314" t="s">
        <v>68</v>
      </c>
      <c r="AM314" t="s">
        <v>68</v>
      </c>
      <c r="AN314">
        <v>0</v>
      </c>
      <c r="AO314" s="1"/>
      <c r="AP314">
        <v>1</v>
      </c>
      <c r="AS314" t="s">
        <v>75</v>
      </c>
      <c r="AT314" t="s">
        <v>68</v>
      </c>
      <c r="AU314">
        <v>0</v>
      </c>
      <c r="AV314" t="s">
        <v>68</v>
      </c>
      <c r="AW314">
        <v>1</v>
      </c>
      <c r="AX314" s="1"/>
      <c r="AZ314" t="s">
        <v>68</v>
      </c>
      <c r="BA314" t="s">
        <v>68</v>
      </c>
      <c r="BB314" t="s">
        <v>68</v>
      </c>
      <c r="BC314" t="s">
        <v>68</v>
      </c>
      <c r="BD314">
        <v>0</v>
      </c>
      <c r="BE314" s="1"/>
      <c r="BF314" s="1">
        <v>45996.767569444448</v>
      </c>
      <c r="BG314" t="s">
        <v>68</v>
      </c>
      <c r="BH314" t="s">
        <v>68</v>
      </c>
      <c r="BI314" t="s">
        <v>68</v>
      </c>
      <c r="BJ314" t="s">
        <v>68</v>
      </c>
      <c r="BK314" t="s">
        <v>68</v>
      </c>
      <c r="BL314" t="s">
        <v>68</v>
      </c>
      <c r="BM314" t="s">
        <v>68</v>
      </c>
      <c r="BN314" t="s">
        <v>68</v>
      </c>
      <c r="BO314" t="s">
        <v>96</v>
      </c>
      <c r="BP314">
        <v>0</v>
      </c>
      <c r="BQ314" t="s">
        <v>68</v>
      </c>
      <c r="BR314" t="s">
        <v>68</v>
      </c>
      <c r="BS314" t="s">
        <v>68</v>
      </c>
    </row>
    <row r="315" spans="1:71" x14ac:dyDescent="0.35">
      <c r="A315" t="b">
        <f>ISNUMBER(MATCH(ChargentOrders[[#This Row],[Contract__c]],Contract[Id],0))</f>
        <v>1</v>
      </c>
      <c r="B315">
        <f>IFERROR(INDEX(Contract[CB_Subscription__c],MATCH(ChargentOrders[[#This Row],[Contract__c]],Contract[Id],0)),0)</f>
        <v>0</v>
      </c>
      <c r="C315" t="b">
        <f>ISNUMBER(MATCH(ChargentOrders[[#This Row],[Id]],Claude[Id],0))</f>
        <v>1</v>
      </c>
      <c r="D315" t="b">
        <f>AND(ChargentOrders[[#This Row],[_Contract]],ChargentOrders[[#This Row],[CB Subscription]]=0)</f>
        <v>1</v>
      </c>
      <c r="E315" s="38">
        <f>INDEX(Table5[CUENTA],MATCH(ChargentOrders[[#This Row],[Contract__c]],Table5[SM_Contract__c],0))</f>
        <v>46172</v>
      </c>
      <c r="F315" s="38" t="str">
        <f ca="1">INDEX(Table5[ESTADO],MATCH(ChargentOrders[[#This Row],[Contract__c]],Table5[SM_Contract__c],0))</f>
        <v>DEBE 2</v>
      </c>
      <c r="G315" t="s">
        <v>589</v>
      </c>
      <c r="H315" t="s">
        <v>79</v>
      </c>
      <c r="I315" t="s">
        <v>590</v>
      </c>
      <c r="J315" s="1">
        <v>45996.768148148149</v>
      </c>
      <c r="K315">
        <v>6</v>
      </c>
      <c r="L315">
        <v>2027</v>
      </c>
      <c r="M315" t="s">
        <v>1473</v>
      </c>
      <c r="N315">
        <v>6</v>
      </c>
      <c r="O315" t="s">
        <v>1474</v>
      </c>
      <c r="P315" t="s">
        <v>73</v>
      </c>
      <c r="Q315">
        <v>2027</v>
      </c>
      <c r="R315">
        <v>14900</v>
      </c>
      <c r="T315" t="s">
        <v>67</v>
      </c>
      <c r="U315" t="s">
        <v>68</v>
      </c>
      <c r="V315">
        <v>0</v>
      </c>
      <c r="W315" t="s">
        <v>69</v>
      </c>
      <c r="X315" s="5">
        <v>46006</v>
      </c>
      <c r="Y315" t="s">
        <v>74</v>
      </c>
      <c r="Z315" t="s">
        <v>68</v>
      </c>
      <c r="AA315">
        <v>14900</v>
      </c>
      <c r="AB315">
        <v>0</v>
      </c>
      <c r="AC315" t="s">
        <v>587</v>
      </c>
      <c r="AD315" t="s">
        <v>68</v>
      </c>
      <c r="AE315">
        <v>0</v>
      </c>
      <c r="AF315" s="1">
        <v>46006.432002314818</v>
      </c>
      <c r="AG315" s="1">
        <v>46006.432013888887</v>
      </c>
      <c r="AH315">
        <v>1</v>
      </c>
      <c r="AI315">
        <v>1</v>
      </c>
      <c r="AJ315">
        <v>1490</v>
      </c>
      <c r="AK315" t="s">
        <v>588</v>
      </c>
      <c r="AL315" t="s">
        <v>77</v>
      </c>
      <c r="AM315" t="s">
        <v>68</v>
      </c>
      <c r="AN315">
        <v>0</v>
      </c>
      <c r="AO315" s="1"/>
      <c r="AP315">
        <v>1</v>
      </c>
      <c r="AQ315">
        <v>0</v>
      </c>
      <c r="AR315">
        <v>0</v>
      </c>
      <c r="AS315" t="s">
        <v>75</v>
      </c>
      <c r="AT315" t="s">
        <v>68</v>
      </c>
      <c r="AU315">
        <v>0</v>
      </c>
      <c r="AV315" t="s">
        <v>68</v>
      </c>
      <c r="AW315">
        <v>0</v>
      </c>
      <c r="AX315" s="1"/>
      <c r="AZ315" t="s">
        <v>68</v>
      </c>
      <c r="BA315" t="s">
        <v>68</v>
      </c>
      <c r="BB315" t="s">
        <v>68</v>
      </c>
      <c r="BC315" t="s">
        <v>68</v>
      </c>
      <c r="BD315">
        <v>0</v>
      </c>
      <c r="BE315" s="1"/>
      <c r="BF315" s="1">
        <v>46006.432002314818</v>
      </c>
      <c r="BG315" t="s">
        <v>68</v>
      </c>
      <c r="BH315" t="s">
        <v>68</v>
      </c>
      <c r="BI315" t="s">
        <v>68</v>
      </c>
      <c r="BJ315" t="s">
        <v>68</v>
      </c>
      <c r="BK315" t="s">
        <v>68</v>
      </c>
      <c r="BL315" t="s">
        <v>68</v>
      </c>
      <c r="BM315" t="s">
        <v>68</v>
      </c>
      <c r="BN315" t="s">
        <v>68</v>
      </c>
      <c r="BO315" t="s">
        <v>96</v>
      </c>
      <c r="BP315">
        <v>0</v>
      </c>
      <c r="BQ315" t="s">
        <v>68</v>
      </c>
      <c r="BR315" t="s">
        <v>68</v>
      </c>
      <c r="BS315" t="s">
        <v>68</v>
      </c>
    </row>
    <row r="316" spans="1:71" x14ac:dyDescent="0.35">
      <c r="A316" t="b">
        <f>ISNUMBER(MATCH(ChargentOrders[[#This Row],[Contract__c]],Contract[Id],0))</f>
        <v>1</v>
      </c>
      <c r="B316">
        <f>IFERROR(INDEX(Contract[CB_Subscription__c],MATCH(ChargentOrders[[#This Row],[Contract__c]],Contract[Id],0)),0)</f>
        <v>0</v>
      </c>
      <c r="C316" t="b">
        <f>ISNUMBER(MATCH(ChargentOrders[[#This Row],[Id]],Claude[Id],0))</f>
        <v>1</v>
      </c>
      <c r="D316" t="b">
        <f>AND(ChargentOrders[[#This Row],[_Contract]],ChargentOrders[[#This Row],[CB Subscription]]=0)</f>
        <v>1</v>
      </c>
      <c r="E316" s="38">
        <f>INDEX(Table5[CUENTA],MATCH(ChargentOrders[[#This Row],[Contract__c]],Table5[SM_Contract__c],0))</f>
        <v>46172</v>
      </c>
      <c r="F316" s="38" t="str">
        <f ca="1">INDEX(Table5[ESTADO],MATCH(ChargentOrders[[#This Row],[Contract__c]],Table5[SM_Contract__c],0))</f>
        <v>DEBE 2</v>
      </c>
      <c r="G316" t="s">
        <v>594</v>
      </c>
      <c r="H316" t="s">
        <v>79</v>
      </c>
      <c r="I316" t="s">
        <v>595</v>
      </c>
      <c r="J316" s="1">
        <v>46001.616701388892</v>
      </c>
      <c r="K316">
        <v>9</v>
      </c>
      <c r="L316">
        <v>2027</v>
      </c>
      <c r="M316" t="s">
        <v>1403</v>
      </c>
      <c r="N316">
        <v>9</v>
      </c>
      <c r="O316" t="s">
        <v>1475</v>
      </c>
      <c r="P316" t="s">
        <v>73</v>
      </c>
      <c r="Q316">
        <v>2027</v>
      </c>
      <c r="R316">
        <v>0</v>
      </c>
      <c r="T316" t="s">
        <v>67</v>
      </c>
      <c r="U316" t="s">
        <v>68</v>
      </c>
      <c r="V316">
        <v>0</v>
      </c>
      <c r="W316" t="s">
        <v>69</v>
      </c>
      <c r="X316" s="5"/>
      <c r="Y316" t="s">
        <v>218</v>
      </c>
      <c r="Z316" t="s">
        <v>68</v>
      </c>
      <c r="AA316">
        <v>0</v>
      </c>
      <c r="AC316" t="s">
        <v>596</v>
      </c>
      <c r="AD316" t="s">
        <v>68</v>
      </c>
      <c r="AE316">
        <v>0</v>
      </c>
      <c r="AF316" s="1"/>
      <c r="AG316" s="1">
        <v>46001.616724537038</v>
      </c>
      <c r="AH316">
        <v>0</v>
      </c>
      <c r="AI316">
        <v>1</v>
      </c>
      <c r="AJ316">
        <v>0</v>
      </c>
      <c r="AK316" t="s">
        <v>597</v>
      </c>
      <c r="AL316" t="s">
        <v>68</v>
      </c>
      <c r="AM316" t="s">
        <v>68</v>
      </c>
      <c r="AN316">
        <v>0</v>
      </c>
      <c r="AO316" s="1"/>
      <c r="AP316">
        <v>1</v>
      </c>
      <c r="AS316" t="s">
        <v>75</v>
      </c>
      <c r="AT316" t="s">
        <v>68</v>
      </c>
      <c r="AU316">
        <v>0</v>
      </c>
      <c r="AV316" t="s">
        <v>68</v>
      </c>
      <c r="AW316">
        <v>1</v>
      </c>
      <c r="AX316" s="1"/>
      <c r="AZ316" t="s">
        <v>68</v>
      </c>
      <c r="BA316" t="s">
        <v>68</v>
      </c>
      <c r="BB316" t="s">
        <v>68</v>
      </c>
      <c r="BC316" t="s">
        <v>68</v>
      </c>
      <c r="BD316">
        <v>0</v>
      </c>
      <c r="BE316" s="1"/>
      <c r="BF316" s="1">
        <v>46001.616724537038</v>
      </c>
      <c r="BG316" t="s">
        <v>68</v>
      </c>
      <c r="BH316" t="s">
        <v>68</v>
      </c>
      <c r="BI316" t="s">
        <v>68</v>
      </c>
      <c r="BJ316" t="s">
        <v>68</v>
      </c>
      <c r="BK316" t="s">
        <v>68</v>
      </c>
      <c r="BL316" t="s">
        <v>68</v>
      </c>
      <c r="BM316" t="s">
        <v>68</v>
      </c>
      <c r="BN316" t="s">
        <v>68</v>
      </c>
      <c r="BO316" t="s">
        <v>96</v>
      </c>
      <c r="BP316">
        <v>0</v>
      </c>
      <c r="BQ316" t="s">
        <v>68</v>
      </c>
      <c r="BR316" t="s">
        <v>68</v>
      </c>
      <c r="BS316" t="s">
        <v>68</v>
      </c>
    </row>
    <row r="317" spans="1:71" x14ac:dyDescent="0.35">
      <c r="A317" t="b">
        <f>ISNUMBER(MATCH(ChargentOrders[[#This Row],[Contract__c]],Contract[Id],0))</f>
        <v>1</v>
      </c>
      <c r="B317">
        <f>IFERROR(INDEX(Contract[CB_Subscription__c],MATCH(ChargentOrders[[#This Row],[Contract__c]],Contract[Id],0)),0)</f>
        <v>0</v>
      </c>
      <c r="C317" t="b">
        <f>ISNUMBER(MATCH(ChargentOrders[[#This Row],[Id]],Claude[Id],0))</f>
        <v>1</v>
      </c>
      <c r="D317" t="b">
        <f>AND(ChargentOrders[[#This Row],[_Contract]],ChargentOrders[[#This Row],[CB Subscription]]=0)</f>
        <v>1</v>
      </c>
      <c r="E317" s="38">
        <f>INDEX(Table5[CUENTA],MATCH(ChargentOrders[[#This Row],[Contract__c]],Table5[SM_Contract__c],0))</f>
        <v>46172</v>
      </c>
      <c r="F317" s="38" t="str">
        <f ca="1">INDEX(Table5[ESTADO],MATCH(ChargentOrders[[#This Row],[Contract__c]],Table5[SM_Contract__c],0))</f>
        <v>DEBE 2</v>
      </c>
      <c r="G317" t="s">
        <v>598</v>
      </c>
      <c r="H317" t="s">
        <v>79</v>
      </c>
      <c r="I317" t="s">
        <v>599</v>
      </c>
      <c r="J317" s="1">
        <v>46001.617118055554</v>
      </c>
      <c r="K317">
        <v>9</v>
      </c>
      <c r="L317">
        <v>2027</v>
      </c>
      <c r="M317" t="s">
        <v>1403</v>
      </c>
      <c r="N317">
        <v>9</v>
      </c>
      <c r="O317" t="s">
        <v>1475</v>
      </c>
      <c r="P317" t="s">
        <v>73</v>
      </c>
      <c r="Q317">
        <v>2027</v>
      </c>
      <c r="R317">
        <v>1490</v>
      </c>
      <c r="T317" t="s">
        <v>67</v>
      </c>
      <c r="U317" t="s">
        <v>68</v>
      </c>
      <c r="V317">
        <v>0</v>
      </c>
      <c r="W317" t="s">
        <v>69</v>
      </c>
      <c r="X317" s="5">
        <v>46001</v>
      </c>
      <c r="Y317" t="s">
        <v>74</v>
      </c>
      <c r="Z317" t="s">
        <v>68</v>
      </c>
      <c r="AA317">
        <v>14900</v>
      </c>
      <c r="AB317">
        <v>0</v>
      </c>
      <c r="AC317" t="s">
        <v>596</v>
      </c>
      <c r="AD317" t="s">
        <v>68</v>
      </c>
      <c r="AE317">
        <v>0</v>
      </c>
      <c r="AF317" s="1">
        <v>46001.617407407408</v>
      </c>
      <c r="AG317" s="1">
        <v>46001.617407407408</v>
      </c>
      <c r="AH317">
        <v>1</v>
      </c>
      <c r="AI317">
        <v>1</v>
      </c>
      <c r="AJ317">
        <v>1490</v>
      </c>
      <c r="AK317" t="s">
        <v>597</v>
      </c>
      <c r="AL317" t="s">
        <v>77</v>
      </c>
      <c r="AM317" t="s">
        <v>68</v>
      </c>
      <c r="AN317">
        <v>0</v>
      </c>
      <c r="AO317" s="1"/>
      <c r="AP317">
        <v>1</v>
      </c>
      <c r="AQ317">
        <v>0</v>
      </c>
      <c r="AR317">
        <v>0</v>
      </c>
      <c r="AS317" t="s">
        <v>75</v>
      </c>
      <c r="AT317" t="s">
        <v>68</v>
      </c>
      <c r="AU317">
        <v>0</v>
      </c>
      <c r="AV317" t="s">
        <v>68</v>
      </c>
      <c r="AW317">
        <v>0</v>
      </c>
      <c r="AX317" s="1"/>
      <c r="AZ317" t="s">
        <v>68</v>
      </c>
      <c r="BA317" t="s">
        <v>68</v>
      </c>
      <c r="BB317" t="s">
        <v>68</v>
      </c>
      <c r="BC317" t="s">
        <v>68</v>
      </c>
      <c r="BD317">
        <v>0</v>
      </c>
      <c r="BE317" s="1"/>
      <c r="BF317" s="1">
        <v>46001.617407407408</v>
      </c>
      <c r="BG317" t="s">
        <v>68</v>
      </c>
      <c r="BH317" t="s">
        <v>68</v>
      </c>
      <c r="BI317" t="s">
        <v>68</v>
      </c>
      <c r="BJ317" t="s">
        <v>68</v>
      </c>
      <c r="BK317" t="s">
        <v>68</v>
      </c>
      <c r="BL317" t="s">
        <v>68</v>
      </c>
      <c r="BM317" t="s">
        <v>68</v>
      </c>
      <c r="BN317" t="s">
        <v>68</v>
      </c>
      <c r="BO317" t="s">
        <v>96</v>
      </c>
      <c r="BP317">
        <v>0</v>
      </c>
      <c r="BQ317" t="s">
        <v>68</v>
      </c>
      <c r="BR317" t="s">
        <v>68</v>
      </c>
      <c r="BS317" t="s">
        <v>68</v>
      </c>
    </row>
    <row r="318" spans="1:71" x14ac:dyDescent="0.35">
      <c r="A318" t="b">
        <f>ISNUMBER(MATCH(ChargentOrders[[#This Row],[Contract__c]],Contract[Id],0))</f>
        <v>1</v>
      </c>
      <c r="B318">
        <f>IFERROR(INDEX(Contract[CB_Subscription__c],MATCH(ChargentOrders[[#This Row],[Contract__c]],Contract[Id],0)),0)</f>
        <v>0</v>
      </c>
      <c r="C318" t="b">
        <f>ISNUMBER(MATCH(ChargentOrders[[#This Row],[Id]],Claude[Id],0))</f>
        <v>1</v>
      </c>
      <c r="D318" t="b">
        <f>AND(ChargentOrders[[#This Row],[_Contract]],ChargentOrders[[#This Row],[CB Subscription]]=0)</f>
        <v>1</v>
      </c>
      <c r="E318" s="38">
        <f>INDEX(Table5[CUENTA],MATCH(ChargentOrders[[#This Row],[Contract__c]],Table5[SM_Contract__c],0))</f>
        <v>46172</v>
      </c>
      <c r="F318" s="38" t="str">
        <f ca="1">INDEX(Table5[ESTADO],MATCH(ChargentOrders[[#This Row],[Contract__c]],Table5[SM_Contract__c],0))</f>
        <v>DEBE 2</v>
      </c>
      <c r="G318" t="s">
        <v>600</v>
      </c>
      <c r="H318" t="s">
        <v>79</v>
      </c>
      <c r="I318" t="s">
        <v>601</v>
      </c>
      <c r="J318" s="1">
        <v>46001.617430555554</v>
      </c>
      <c r="K318">
        <v>9</v>
      </c>
      <c r="L318">
        <v>2027</v>
      </c>
      <c r="M318" t="s">
        <v>1403</v>
      </c>
      <c r="N318">
        <v>9</v>
      </c>
      <c r="O318" t="s">
        <v>1475</v>
      </c>
      <c r="P318" t="s">
        <v>73</v>
      </c>
      <c r="Q318">
        <v>2027</v>
      </c>
      <c r="R318">
        <v>7900</v>
      </c>
      <c r="S318">
        <v>29</v>
      </c>
      <c r="T318" t="s">
        <v>67</v>
      </c>
      <c r="U318" t="s">
        <v>68</v>
      </c>
      <c r="V318">
        <v>0</v>
      </c>
      <c r="W318" t="s">
        <v>69</v>
      </c>
      <c r="X318" s="5">
        <v>46171</v>
      </c>
      <c r="Y318" t="s">
        <v>84</v>
      </c>
      <c r="Z318" t="s">
        <v>68</v>
      </c>
      <c r="AA318">
        <v>7900</v>
      </c>
      <c r="AB318">
        <v>0</v>
      </c>
      <c r="AC318" t="s">
        <v>596</v>
      </c>
      <c r="AD318" t="s">
        <v>68</v>
      </c>
      <c r="AE318">
        <v>0</v>
      </c>
      <c r="AF318" s="1">
        <v>46142.423009259262</v>
      </c>
      <c r="AG318" s="1">
        <v>46142.423009259262</v>
      </c>
      <c r="AH318">
        <v>4</v>
      </c>
      <c r="AI318">
        <v>4</v>
      </c>
      <c r="AJ318">
        <v>3160</v>
      </c>
      <c r="AK318" t="s">
        <v>597</v>
      </c>
      <c r="AL318" t="s">
        <v>76</v>
      </c>
      <c r="AM318" t="s">
        <v>68</v>
      </c>
      <c r="AN318">
        <v>0</v>
      </c>
      <c r="AO318" s="1"/>
      <c r="AP318">
        <v>5</v>
      </c>
      <c r="AQ318">
        <v>0</v>
      </c>
      <c r="AR318">
        <v>0</v>
      </c>
      <c r="AS318" t="s">
        <v>75</v>
      </c>
      <c r="AT318" t="s">
        <v>68</v>
      </c>
      <c r="AU318">
        <v>0</v>
      </c>
      <c r="AV318" t="s">
        <v>68</v>
      </c>
      <c r="AW318">
        <v>0</v>
      </c>
      <c r="AX318" s="1"/>
      <c r="AZ318" t="s">
        <v>68</v>
      </c>
      <c r="BA318" t="s">
        <v>68</v>
      </c>
      <c r="BB318" t="s">
        <v>68</v>
      </c>
      <c r="BC318" t="s">
        <v>68</v>
      </c>
      <c r="BD318">
        <v>0</v>
      </c>
      <c r="BE318" s="1"/>
      <c r="BF318" s="1">
        <v>46142.423009259262</v>
      </c>
      <c r="BG318" t="s">
        <v>68</v>
      </c>
      <c r="BH318" t="s">
        <v>68</v>
      </c>
      <c r="BI318" t="s">
        <v>68</v>
      </c>
      <c r="BJ318" t="s">
        <v>68</v>
      </c>
      <c r="BK318" t="s">
        <v>68</v>
      </c>
      <c r="BL318" t="s">
        <v>68</v>
      </c>
      <c r="BM318" t="s">
        <v>68</v>
      </c>
      <c r="BN318" t="s">
        <v>68</v>
      </c>
      <c r="BO318" t="s">
        <v>96</v>
      </c>
      <c r="BP318">
        <v>0</v>
      </c>
      <c r="BQ318" t="s">
        <v>68</v>
      </c>
      <c r="BR318" t="s">
        <v>68</v>
      </c>
      <c r="BS318" t="s">
        <v>68</v>
      </c>
    </row>
    <row r="319" spans="1:71" x14ac:dyDescent="0.35">
      <c r="A319" t="b">
        <f>ISNUMBER(MATCH(ChargentOrders[[#This Row],[Contract__c]],Contract[Id],0))</f>
        <v>1</v>
      </c>
      <c r="B319">
        <f>IFERROR(INDEX(Contract[CB_Subscription__c],MATCH(ChargentOrders[[#This Row],[Contract__c]],Contract[Id],0)),0)</f>
        <v>0</v>
      </c>
      <c r="C319" t="b">
        <f>ISNUMBER(MATCH(ChargentOrders[[#This Row],[Id]],Claude[Id],0))</f>
        <v>1</v>
      </c>
      <c r="D319" t="b">
        <f>AND(ChargentOrders[[#This Row],[_Contract]],ChargentOrders[[#This Row],[CB Subscription]]=0)</f>
        <v>1</v>
      </c>
      <c r="E319" s="38">
        <f>INDEX(Table5[CUENTA],MATCH(ChargentOrders[[#This Row],[Contract__c]],Table5[SM_Contract__c],0))</f>
        <v>46172</v>
      </c>
      <c r="F319" s="38" t="str">
        <f ca="1">INDEX(Table5[ESTADO],MATCH(ChargentOrders[[#This Row],[Contract__c]],Table5[SM_Contract__c],0))</f>
        <v>DEBE 2</v>
      </c>
      <c r="G319" t="s">
        <v>611</v>
      </c>
      <c r="H319" t="s">
        <v>79</v>
      </c>
      <c r="I319" t="s">
        <v>612</v>
      </c>
      <c r="J319" s="1">
        <v>46006.432083333333</v>
      </c>
      <c r="K319">
        <v>6</v>
      </c>
      <c r="L319">
        <v>2027</v>
      </c>
      <c r="M319" t="s">
        <v>1473</v>
      </c>
      <c r="N319">
        <v>6</v>
      </c>
      <c r="O319" t="s">
        <v>1474</v>
      </c>
      <c r="P319" t="s">
        <v>73</v>
      </c>
      <c r="Q319">
        <v>2027</v>
      </c>
      <c r="R319">
        <v>7900</v>
      </c>
      <c r="S319">
        <v>29</v>
      </c>
      <c r="T319" t="s">
        <v>67</v>
      </c>
      <c r="U319" t="s">
        <v>68</v>
      </c>
      <c r="V319">
        <v>0</v>
      </c>
      <c r="W319" t="s">
        <v>69</v>
      </c>
      <c r="X319" s="5">
        <v>46171</v>
      </c>
      <c r="Y319" t="s">
        <v>613</v>
      </c>
      <c r="Z319" t="s">
        <v>68</v>
      </c>
      <c r="AA319">
        <v>7900</v>
      </c>
      <c r="AB319">
        <v>0</v>
      </c>
      <c r="AC319" t="s">
        <v>587</v>
      </c>
      <c r="AD319" t="s">
        <v>68</v>
      </c>
      <c r="AE319">
        <v>0</v>
      </c>
      <c r="AF319" s="1">
        <v>46142.423402777778</v>
      </c>
      <c r="AG319" s="1">
        <v>46142.423449074071</v>
      </c>
      <c r="AH319">
        <v>4</v>
      </c>
      <c r="AI319">
        <v>4</v>
      </c>
      <c r="AJ319">
        <v>3160</v>
      </c>
      <c r="AK319" t="s">
        <v>588</v>
      </c>
      <c r="AL319" t="s">
        <v>76</v>
      </c>
      <c r="AM319" t="s">
        <v>68</v>
      </c>
      <c r="AN319">
        <v>0</v>
      </c>
      <c r="AO319" s="1"/>
      <c r="AP319">
        <v>5</v>
      </c>
      <c r="AQ319">
        <v>0</v>
      </c>
      <c r="AR319">
        <v>0</v>
      </c>
      <c r="AS319" t="s">
        <v>75</v>
      </c>
      <c r="AT319" t="s">
        <v>68</v>
      </c>
      <c r="AU319">
        <v>0</v>
      </c>
      <c r="AV319" t="s">
        <v>68</v>
      </c>
      <c r="AW319">
        <v>0</v>
      </c>
      <c r="AX319" s="1"/>
      <c r="AZ319" t="s">
        <v>68</v>
      </c>
      <c r="BA319" t="s">
        <v>68</v>
      </c>
      <c r="BB319" t="s">
        <v>68</v>
      </c>
      <c r="BC319" t="s">
        <v>68</v>
      </c>
      <c r="BD319">
        <v>0</v>
      </c>
      <c r="BE319" s="1"/>
      <c r="BF319" s="1">
        <v>46142.423402777778</v>
      </c>
      <c r="BG319" t="s">
        <v>68</v>
      </c>
      <c r="BH319" t="s">
        <v>68</v>
      </c>
      <c r="BI319" t="s">
        <v>68</v>
      </c>
      <c r="BJ319" t="s">
        <v>68</v>
      </c>
      <c r="BK319" t="s">
        <v>68</v>
      </c>
      <c r="BL319" t="s">
        <v>68</v>
      </c>
      <c r="BM319" t="s">
        <v>68</v>
      </c>
      <c r="BN319" t="s">
        <v>68</v>
      </c>
      <c r="BO319" t="s">
        <v>96</v>
      </c>
      <c r="BP319">
        <v>0</v>
      </c>
      <c r="BQ319" t="s">
        <v>68</v>
      </c>
      <c r="BR319" t="s">
        <v>68</v>
      </c>
      <c r="BS319" t="s">
        <v>68</v>
      </c>
    </row>
    <row r="320" spans="1:71" x14ac:dyDescent="0.35">
      <c r="A320" t="b">
        <f>ISNUMBER(MATCH(ChargentOrders[[#This Row],[Contract__c]],Contract[Id],0))</f>
        <v>1</v>
      </c>
      <c r="B320">
        <f>IFERROR(INDEX(Contract[CB_Subscription__c],MATCH(ChargentOrders[[#This Row],[Contract__c]],Contract[Id],0)),0)</f>
        <v>0</v>
      </c>
      <c r="C320" t="b">
        <f>ISNUMBER(MATCH(ChargentOrders[[#This Row],[Id]],Claude[Id],0))</f>
        <v>1</v>
      </c>
      <c r="D320" t="b">
        <f>AND(ChargentOrders[[#This Row],[_Contract]],ChargentOrders[[#This Row],[CB Subscription]]=0)</f>
        <v>1</v>
      </c>
      <c r="E320" s="38">
        <f>INDEX(Table5[CUENTA],MATCH(ChargentOrders[[#This Row],[Contract__c]],Table5[SM_Contract__c],0))</f>
        <v>46172</v>
      </c>
      <c r="F320" s="38" t="str">
        <f ca="1">INDEX(Table5[ESTADO],MATCH(ChargentOrders[[#This Row],[Contract__c]],Table5[SM_Contract__c],0))</f>
        <v>DEBE 2</v>
      </c>
      <c r="G320" t="s">
        <v>766</v>
      </c>
      <c r="H320" t="s">
        <v>81</v>
      </c>
      <c r="I320" t="s">
        <v>767</v>
      </c>
      <c r="J320" s="1">
        <v>46038.620138888888</v>
      </c>
      <c r="K320">
        <v>1</v>
      </c>
      <c r="L320">
        <v>2031</v>
      </c>
      <c r="M320" t="s">
        <v>1500</v>
      </c>
      <c r="N320">
        <v>1</v>
      </c>
      <c r="O320" t="s">
        <v>1501</v>
      </c>
      <c r="P320" t="s">
        <v>66</v>
      </c>
      <c r="Q320">
        <v>2031</v>
      </c>
      <c r="R320">
        <v>0</v>
      </c>
      <c r="T320" t="s">
        <v>67</v>
      </c>
      <c r="U320" t="s">
        <v>68</v>
      </c>
      <c r="V320">
        <v>0</v>
      </c>
      <c r="W320" t="s">
        <v>69</v>
      </c>
      <c r="X320" s="5"/>
      <c r="Y320" t="s">
        <v>68</v>
      </c>
      <c r="Z320" t="s">
        <v>68</v>
      </c>
      <c r="AA320">
        <v>0</v>
      </c>
      <c r="AC320" t="s">
        <v>768</v>
      </c>
      <c r="AD320" t="s">
        <v>68</v>
      </c>
      <c r="AE320">
        <v>0</v>
      </c>
      <c r="AF320" s="1"/>
      <c r="AG320" s="1">
        <v>46038.620196759257</v>
      </c>
      <c r="AH320">
        <v>0</v>
      </c>
      <c r="AI320">
        <v>1</v>
      </c>
      <c r="AJ320">
        <v>0</v>
      </c>
      <c r="AK320" t="s">
        <v>769</v>
      </c>
      <c r="AL320" t="s">
        <v>68</v>
      </c>
      <c r="AM320" t="s">
        <v>68</v>
      </c>
      <c r="AN320">
        <v>0</v>
      </c>
      <c r="AO320" s="1"/>
      <c r="AP320">
        <v>1</v>
      </c>
      <c r="AS320" t="s">
        <v>75</v>
      </c>
      <c r="AT320" t="s">
        <v>68</v>
      </c>
      <c r="AU320">
        <v>0</v>
      </c>
      <c r="AV320" t="s">
        <v>68</v>
      </c>
      <c r="AW320">
        <v>1</v>
      </c>
      <c r="AX320" s="1"/>
      <c r="AZ320" t="s">
        <v>68</v>
      </c>
      <c r="BA320" t="s">
        <v>68</v>
      </c>
      <c r="BB320" t="s">
        <v>68</v>
      </c>
      <c r="BC320" t="s">
        <v>68</v>
      </c>
      <c r="BD320">
        <v>0</v>
      </c>
      <c r="BE320" s="1"/>
      <c r="BF320" s="1">
        <v>46038.620196759257</v>
      </c>
      <c r="BG320" t="s">
        <v>68</v>
      </c>
      <c r="BH320" t="s">
        <v>68</v>
      </c>
      <c r="BI320" t="s">
        <v>68</v>
      </c>
      <c r="BJ320" t="s">
        <v>68</v>
      </c>
      <c r="BK320" t="s">
        <v>68</v>
      </c>
      <c r="BL320" t="s">
        <v>68</v>
      </c>
      <c r="BM320" t="s">
        <v>68</v>
      </c>
      <c r="BN320" t="s">
        <v>68</v>
      </c>
      <c r="BO320" t="s">
        <v>96</v>
      </c>
      <c r="BP320">
        <v>0</v>
      </c>
      <c r="BQ320" t="s">
        <v>68</v>
      </c>
      <c r="BR320" t="s">
        <v>68</v>
      </c>
      <c r="BS320" t="s">
        <v>68</v>
      </c>
    </row>
    <row r="321" spans="1:71" x14ac:dyDescent="0.35">
      <c r="A321" t="b">
        <f>ISNUMBER(MATCH(ChargentOrders[[#This Row],[Contract__c]],Contract[Id],0))</f>
        <v>1</v>
      </c>
      <c r="B321">
        <f>IFERROR(INDEX(Contract[CB_Subscription__c],MATCH(ChargentOrders[[#This Row],[Contract__c]],Contract[Id],0)),0)</f>
        <v>0</v>
      </c>
      <c r="C321" t="b">
        <f>ISNUMBER(MATCH(ChargentOrders[[#This Row],[Id]],Claude[Id],0))</f>
        <v>1</v>
      </c>
      <c r="D321" t="b">
        <f>AND(ChargentOrders[[#This Row],[_Contract]],ChargentOrders[[#This Row],[CB Subscription]]=0)</f>
        <v>1</v>
      </c>
      <c r="E321" s="38">
        <f>INDEX(Table5[CUENTA],MATCH(ChargentOrders[[#This Row],[Contract__c]],Table5[SM_Contract__c],0))</f>
        <v>46172</v>
      </c>
      <c r="F321" s="38" t="str">
        <f ca="1">INDEX(Table5[ESTADO],MATCH(ChargentOrders[[#This Row],[Contract__c]],Table5[SM_Contract__c],0))</f>
        <v>DEBE 2</v>
      </c>
      <c r="G321" t="s">
        <v>770</v>
      </c>
      <c r="H321" t="s">
        <v>81</v>
      </c>
      <c r="I321" t="s">
        <v>771</v>
      </c>
      <c r="J321" s="1">
        <v>46038.620752314811</v>
      </c>
      <c r="K321">
        <v>1</v>
      </c>
      <c r="L321">
        <v>2031</v>
      </c>
      <c r="M321" t="s">
        <v>1500</v>
      </c>
      <c r="N321">
        <v>1</v>
      </c>
      <c r="O321" t="s">
        <v>1501</v>
      </c>
      <c r="P321" t="s">
        <v>66</v>
      </c>
      <c r="Q321">
        <v>2031</v>
      </c>
      <c r="R321">
        <v>4950</v>
      </c>
      <c r="T321" t="s">
        <v>67</v>
      </c>
      <c r="U321" t="s">
        <v>68</v>
      </c>
      <c r="V321">
        <v>0</v>
      </c>
      <c r="W321" t="s">
        <v>69</v>
      </c>
      <c r="X321" s="5">
        <v>46052</v>
      </c>
      <c r="Y321" t="s">
        <v>74</v>
      </c>
      <c r="Z321" t="s">
        <v>68</v>
      </c>
      <c r="AA321">
        <v>4950</v>
      </c>
      <c r="AB321">
        <v>0</v>
      </c>
      <c r="AC321" t="s">
        <v>768</v>
      </c>
      <c r="AD321" t="s">
        <v>68</v>
      </c>
      <c r="AE321">
        <v>0</v>
      </c>
      <c r="AF321" s="1">
        <v>46052.440844907411</v>
      </c>
      <c r="AG321" s="1">
        <v>46052.44091435185</v>
      </c>
      <c r="AH321">
        <v>1</v>
      </c>
      <c r="AI321">
        <v>1</v>
      </c>
      <c r="AJ321">
        <v>495</v>
      </c>
      <c r="AK321" t="s">
        <v>769</v>
      </c>
      <c r="AL321" t="s">
        <v>77</v>
      </c>
      <c r="AM321" t="s">
        <v>68</v>
      </c>
      <c r="AN321">
        <v>0</v>
      </c>
      <c r="AO321" s="1"/>
      <c r="AP321">
        <v>1</v>
      </c>
      <c r="AQ321">
        <v>0</v>
      </c>
      <c r="AR321">
        <v>0</v>
      </c>
      <c r="AS321" t="s">
        <v>75</v>
      </c>
      <c r="AT321" t="s">
        <v>68</v>
      </c>
      <c r="AU321">
        <v>0</v>
      </c>
      <c r="AV321" t="s">
        <v>68</v>
      </c>
      <c r="AW321">
        <v>0</v>
      </c>
      <c r="AX321" s="1"/>
      <c r="AZ321" t="s">
        <v>68</v>
      </c>
      <c r="BA321" t="s">
        <v>68</v>
      </c>
      <c r="BB321" t="s">
        <v>68</v>
      </c>
      <c r="BC321" t="s">
        <v>68</v>
      </c>
      <c r="BD321">
        <v>0</v>
      </c>
      <c r="BE321" s="1"/>
      <c r="BF321" s="1">
        <v>46052.440844907411</v>
      </c>
      <c r="BG321" t="s">
        <v>68</v>
      </c>
      <c r="BH321" t="s">
        <v>68</v>
      </c>
      <c r="BI321" t="s">
        <v>68</v>
      </c>
      <c r="BJ321" t="s">
        <v>68</v>
      </c>
      <c r="BK321" t="s">
        <v>68</v>
      </c>
      <c r="BL321" t="s">
        <v>68</v>
      </c>
      <c r="BM321" t="s">
        <v>68</v>
      </c>
      <c r="BN321" t="s">
        <v>68</v>
      </c>
      <c r="BO321" t="s">
        <v>96</v>
      </c>
      <c r="BP321">
        <v>0</v>
      </c>
      <c r="BQ321" t="s">
        <v>68</v>
      </c>
      <c r="BR321" t="s">
        <v>68</v>
      </c>
      <c r="BS321" t="s">
        <v>68</v>
      </c>
    </row>
    <row r="322" spans="1:71" x14ac:dyDescent="0.35">
      <c r="A322" t="b">
        <f>ISNUMBER(MATCH(ChargentOrders[[#This Row],[Contract__c]],Contract[Id],0))</f>
        <v>1</v>
      </c>
      <c r="B322">
        <f>IFERROR(INDEX(Contract[CB_Subscription__c],MATCH(ChargentOrders[[#This Row],[Contract__c]],Contract[Id],0)),0)</f>
        <v>0</v>
      </c>
      <c r="C322" t="b">
        <f>ISNUMBER(MATCH(ChargentOrders[[#This Row],[Id]],Claude[Id],0))</f>
        <v>1</v>
      </c>
      <c r="D322" t="b">
        <f>AND(ChargentOrders[[#This Row],[_Contract]],ChargentOrders[[#This Row],[CB Subscription]]=0)</f>
        <v>1</v>
      </c>
      <c r="E322" s="38">
        <f>INDEX(Table5[CUENTA],MATCH(ChargentOrders[[#This Row],[Contract__c]],Table5[SM_Contract__c],0))</f>
        <v>46172</v>
      </c>
      <c r="F322" s="38" t="str">
        <f ca="1">INDEX(Table5[ESTADO],MATCH(ChargentOrders[[#This Row],[Contract__c]],Table5[SM_Contract__c],0))</f>
        <v>DEBE 2</v>
      </c>
      <c r="G322" t="s">
        <v>772</v>
      </c>
      <c r="H322" t="s">
        <v>81</v>
      </c>
      <c r="I322" t="s">
        <v>773</v>
      </c>
      <c r="J322" s="1">
        <v>46038.620752314811</v>
      </c>
      <c r="K322">
        <v>1</v>
      </c>
      <c r="L322">
        <v>2031</v>
      </c>
      <c r="M322" t="s">
        <v>1500</v>
      </c>
      <c r="N322">
        <v>1</v>
      </c>
      <c r="O322" t="s">
        <v>1501</v>
      </c>
      <c r="P322" t="s">
        <v>66</v>
      </c>
      <c r="Q322">
        <v>2031</v>
      </c>
      <c r="R322">
        <v>4950</v>
      </c>
      <c r="T322" t="s">
        <v>67</v>
      </c>
      <c r="U322" t="s">
        <v>68</v>
      </c>
      <c r="V322">
        <v>0</v>
      </c>
      <c r="W322" t="s">
        <v>69</v>
      </c>
      <c r="X322" s="5">
        <v>46066</v>
      </c>
      <c r="Y322" t="s">
        <v>74</v>
      </c>
      <c r="Z322" t="s">
        <v>68</v>
      </c>
      <c r="AA322">
        <v>4950</v>
      </c>
      <c r="AB322">
        <v>0</v>
      </c>
      <c r="AC322" t="s">
        <v>768</v>
      </c>
      <c r="AD322" t="s">
        <v>68</v>
      </c>
      <c r="AE322">
        <v>0</v>
      </c>
      <c r="AF322" s="1">
        <v>46066.425983796296</v>
      </c>
      <c r="AG322" s="1">
        <v>46066.426018518519</v>
      </c>
      <c r="AH322">
        <v>1</v>
      </c>
      <c r="AI322">
        <v>1</v>
      </c>
      <c r="AJ322">
        <v>495</v>
      </c>
      <c r="AK322" t="s">
        <v>769</v>
      </c>
      <c r="AL322" t="s">
        <v>77</v>
      </c>
      <c r="AM322" t="s">
        <v>68</v>
      </c>
      <c r="AN322">
        <v>0</v>
      </c>
      <c r="AO322" s="1"/>
      <c r="AP322">
        <v>1</v>
      </c>
      <c r="AQ322">
        <v>0</v>
      </c>
      <c r="AR322">
        <v>0</v>
      </c>
      <c r="AS322" t="s">
        <v>75</v>
      </c>
      <c r="AT322" t="s">
        <v>68</v>
      </c>
      <c r="AU322">
        <v>0</v>
      </c>
      <c r="AV322" t="s">
        <v>68</v>
      </c>
      <c r="AW322">
        <v>0</v>
      </c>
      <c r="AX322" s="1"/>
      <c r="AZ322" t="s">
        <v>68</v>
      </c>
      <c r="BA322" t="s">
        <v>68</v>
      </c>
      <c r="BB322" t="s">
        <v>68</v>
      </c>
      <c r="BC322" t="s">
        <v>68</v>
      </c>
      <c r="BD322">
        <v>0</v>
      </c>
      <c r="BE322" s="1"/>
      <c r="BF322" s="1">
        <v>46066.425983796296</v>
      </c>
      <c r="BG322" t="s">
        <v>68</v>
      </c>
      <c r="BH322" t="s">
        <v>68</v>
      </c>
      <c r="BI322" t="s">
        <v>68</v>
      </c>
      <c r="BJ322" t="s">
        <v>68</v>
      </c>
      <c r="BK322" t="s">
        <v>68</v>
      </c>
      <c r="BL322" t="s">
        <v>68</v>
      </c>
      <c r="BM322" t="s">
        <v>68</v>
      </c>
      <c r="BN322" t="s">
        <v>68</v>
      </c>
      <c r="BO322" t="s">
        <v>96</v>
      </c>
      <c r="BP322">
        <v>0</v>
      </c>
      <c r="BQ322" t="s">
        <v>68</v>
      </c>
      <c r="BR322" t="s">
        <v>68</v>
      </c>
      <c r="BS322" t="s">
        <v>68</v>
      </c>
    </row>
    <row r="323" spans="1:71" x14ac:dyDescent="0.35">
      <c r="A323" t="b">
        <f>ISNUMBER(MATCH(ChargentOrders[[#This Row],[Contract__c]],Contract[Id],0))</f>
        <v>1</v>
      </c>
      <c r="B323">
        <f>IFERROR(INDEX(Contract[CB_Subscription__c],MATCH(ChargentOrders[[#This Row],[Contract__c]],Contract[Id],0)),0)</f>
        <v>0</v>
      </c>
      <c r="C323" t="b">
        <f>ISNUMBER(MATCH(ChargentOrders[[#This Row],[Id]],Claude[Id],0))</f>
        <v>1</v>
      </c>
      <c r="D323" t="b">
        <f>AND(ChargentOrders[[#This Row],[_Contract]],ChargentOrders[[#This Row],[CB Subscription]]=0)</f>
        <v>1</v>
      </c>
      <c r="E323" s="38">
        <f>INDEX(Table5[CUENTA],MATCH(ChargentOrders[[#This Row],[Contract__c]],Table5[SM_Contract__c],0))</f>
        <v>46172</v>
      </c>
      <c r="F323" s="38" t="str">
        <f ca="1">INDEX(Table5[ESTADO],MATCH(ChargentOrders[[#This Row],[Contract__c]],Table5[SM_Contract__c],0))</f>
        <v>DEBE 2</v>
      </c>
      <c r="G323" t="s">
        <v>826</v>
      </c>
      <c r="H323" t="s">
        <v>102</v>
      </c>
      <c r="I323" t="s">
        <v>827</v>
      </c>
      <c r="J323" s="1">
        <v>46048.417222222219</v>
      </c>
      <c r="K323">
        <v>6</v>
      </c>
      <c r="L323">
        <v>2030</v>
      </c>
      <c r="M323" t="s">
        <v>1414</v>
      </c>
      <c r="N323">
        <v>6</v>
      </c>
      <c r="O323" t="s">
        <v>1414</v>
      </c>
      <c r="P323" t="s">
        <v>73</v>
      </c>
      <c r="Q323">
        <v>2030</v>
      </c>
      <c r="R323">
        <v>750</v>
      </c>
      <c r="T323" t="s">
        <v>67</v>
      </c>
      <c r="U323" t="s">
        <v>68</v>
      </c>
      <c r="V323">
        <v>0</v>
      </c>
      <c r="W323" t="s">
        <v>69</v>
      </c>
      <c r="X323" s="5">
        <v>46059</v>
      </c>
      <c r="Y323" t="s">
        <v>74</v>
      </c>
      <c r="Z323" t="s">
        <v>68</v>
      </c>
      <c r="AA323">
        <v>7500</v>
      </c>
      <c r="AB323">
        <v>0</v>
      </c>
      <c r="AC323" t="s">
        <v>147</v>
      </c>
      <c r="AD323" t="s">
        <v>68</v>
      </c>
      <c r="AE323">
        <v>0</v>
      </c>
      <c r="AF323" s="1">
        <v>46058.924166666664</v>
      </c>
      <c r="AG323" s="1">
        <v>46058.924166666664</v>
      </c>
      <c r="AH323">
        <v>1</v>
      </c>
      <c r="AI323">
        <v>7</v>
      </c>
      <c r="AJ323">
        <v>750</v>
      </c>
      <c r="AK323" t="s">
        <v>112</v>
      </c>
      <c r="AL323" t="s">
        <v>71</v>
      </c>
      <c r="AM323" t="s">
        <v>68</v>
      </c>
      <c r="AN323">
        <v>0</v>
      </c>
      <c r="AO323" s="1"/>
      <c r="AP323">
        <v>0</v>
      </c>
      <c r="AQ323">
        <v>0</v>
      </c>
      <c r="AR323">
        <v>0</v>
      </c>
      <c r="AS323" t="s">
        <v>72</v>
      </c>
      <c r="AT323" t="s">
        <v>68</v>
      </c>
      <c r="AU323">
        <v>0</v>
      </c>
      <c r="AV323" t="s">
        <v>828</v>
      </c>
      <c r="AW323">
        <v>0</v>
      </c>
      <c r="AX323" s="1">
        <v>46058.92392361111</v>
      </c>
      <c r="AY323">
        <v>0</v>
      </c>
      <c r="AZ323" t="s">
        <v>68</v>
      </c>
      <c r="BA323" t="s">
        <v>65</v>
      </c>
      <c r="BB323" t="s">
        <v>68</v>
      </c>
      <c r="BC323" t="s">
        <v>68</v>
      </c>
      <c r="BD323">
        <v>0</v>
      </c>
      <c r="BE323" s="1">
        <v>46058.019328703704</v>
      </c>
      <c r="BF323" s="1">
        <v>46058.924166666664</v>
      </c>
      <c r="BG323" t="s">
        <v>68</v>
      </c>
      <c r="BH323" t="s">
        <v>68</v>
      </c>
      <c r="BI323" t="s">
        <v>68</v>
      </c>
      <c r="BJ323" t="s">
        <v>68</v>
      </c>
      <c r="BK323" t="s">
        <v>68</v>
      </c>
      <c r="BL323" t="s">
        <v>68</v>
      </c>
      <c r="BM323" t="s">
        <v>68</v>
      </c>
      <c r="BN323" t="s">
        <v>68</v>
      </c>
      <c r="BO323" t="s">
        <v>96</v>
      </c>
      <c r="BP323">
        <v>0</v>
      </c>
      <c r="BQ323" t="s">
        <v>68</v>
      </c>
      <c r="BR323" t="s">
        <v>68</v>
      </c>
      <c r="BS323" t="s">
        <v>68</v>
      </c>
    </row>
    <row r="324" spans="1:71" x14ac:dyDescent="0.35">
      <c r="A324" t="b">
        <f>ISNUMBER(MATCH(ChargentOrders[[#This Row],[Contract__c]],Contract[Id],0))</f>
        <v>1</v>
      </c>
      <c r="B324">
        <f>IFERROR(INDEX(Contract[CB_Subscription__c],MATCH(ChargentOrders[[#This Row],[Contract__c]],Contract[Id],0)),0)</f>
        <v>0</v>
      </c>
      <c r="C324" t="b">
        <f>ISNUMBER(MATCH(ChargentOrders[[#This Row],[Id]],Claude[Id],0))</f>
        <v>1</v>
      </c>
      <c r="D324" t="b">
        <f>AND(ChargentOrders[[#This Row],[_Contract]],ChargentOrders[[#This Row],[CB Subscription]]=0)</f>
        <v>1</v>
      </c>
      <c r="E324" s="38">
        <f>INDEX(Table5[CUENTA],MATCH(ChargentOrders[[#This Row],[Contract__c]],Table5[SM_Contract__c],0))</f>
        <v>46172</v>
      </c>
      <c r="F324" s="38" t="str">
        <f ca="1">INDEX(Table5[ESTADO],MATCH(ChargentOrders[[#This Row],[Contract__c]],Table5[SM_Contract__c],0))</f>
        <v>DEBE 2</v>
      </c>
      <c r="G324" t="s">
        <v>854</v>
      </c>
      <c r="H324" t="s">
        <v>81</v>
      </c>
      <c r="I324" t="s">
        <v>855</v>
      </c>
      <c r="J324" s="1">
        <v>46050.771099537036</v>
      </c>
      <c r="K324">
        <v>8</v>
      </c>
      <c r="L324">
        <v>2030</v>
      </c>
      <c r="M324" t="s">
        <v>1512</v>
      </c>
      <c r="N324">
        <v>8</v>
      </c>
      <c r="O324" t="s">
        <v>1513</v>
      </c>
      <c r="P324" t="s">
        <v>73</v>
      </c>
      <c r="Q324">
        <v>2030</v>
      </c>
      <c r="R324">
        <v>0</v>
      </c>
      <c r="T324" t="s">
        <v>67</v>
      </c>
      <c r="U324" t="s">
        <v>68</v>
      </c>
      <c r="V324">
        <v>0</v>
      </c>
      <c r="W324" t="s">
        <v>69</v>
      </c>
      <c r="X324" s="5"/>
      <c r="Y324" t="s">
        <v>68</v>
      </c>
      <c r="Z324" t="s">
        <v>68</v>
      </c>
      <c r="AA324">
        <v>0</v>
      </c>
      <c r="AC324" t="s">
        <v>856</v>
      </c>
      <c r="AD324" t="s">
        <v>68</v>
      </c>
      <c r="AE324">
        <v>0</v>
      </c>
      <c r="AF324" s="1"/>
      <c r="AG324" s="1">
        <v>46050.771122685182</v>
      </c>
      <c r="AH324">
        <v>0</v>
      </c>
      <c r="AI324">
        <v>1</v>
      </c>
      <c r="AJ324">
        <v>0</v>
      </c>
      <c r="AK324" t="s">
        <v>857</v>
      </c>
      <c r="AL324" t="s">
        <v>68</v>
      </c>
      <c r="AM324" t="s">
        <v>68</v>
      </c>
      <c r="AN324">
        <v>0</v>
      </c>
      <c r="AO324" s="1"/>
      <c r="AP324">
        <v>1</v>
      </c>
      <c r="AS324" t="s">
        <v>75</v>
      </c>
      <c r="AT324" t="s">
        <v>68</v>
      </c>
      <c r="AU324">
        <v>0</v>
      </c>
      <c r="AV324" t="s">
        <v>68</v>
      </c>
      <c r="AW324">
        <v>1</v>
      </c>
      <c r="AX324" s="1"/>
      <c r="AZ324" t="s">
        <v>68</v>
      </c>
      <c r="BA324" t="s">
        <v>68</v>
      </c>
      <c r="BB324" t="s">
        <v>68</v>
      </c>
      <c r="BC324" t="s">
        <v>68</v>
      </c>
      <c r="BD324">
        <v>0</v>
      </c>
      <c r="BE324" s="1"/>
      <c r="BF324" s="1">
        <v>46050.771122685182</v>
      </c>
      <c r="BG324" t="s">
        <v>68</v>
      </c>
      <c r="BH324" t="s">
        <v>68</v>
      </c>
      <c r="BI324" t="s">
        <v>68</v>
      </c>
      <c r="BJ324" t="s">
        <v>68</v>
      </c>
      <c r="BK324" t="s">
        <v>68</v>
      </c>
      <c r="BL324" t="s">
        <v>68</v>
      </c>
      <c r="BM324" t="s">
        <v>68</v>
      </c>
      <c r="BN324" t="s">
        <v>68</v>
      </c>
      <c r="BO324" t="s">
        <v>96</v>
      </c>
      <c r="BP324">
        <v>0</v>
      </c>
      <c r="BQ324" t="s">
        <v>68</v>
      </c>
      <c r="BR324" t="s">
        <v>68</v>
      </c>
      <c r="BS324" t="s">
        <v>68</v>
      </c>
    </row>
    <row r="325" spans="1:71" x14ac:dyDescent="0.35">
      <c r="A325" t="b">
        <f>ISNUMBER(MATCH(ChargentOrders[[#This Row],[Contract__c]],Contract[Id],0))</f>
        <v>1</v>
      </c>
      <c r="B325">
        <f>IFERROR(INDEX(Contract[CB_Subscription__c],MATCH(ChargentOrders[[#This Row],[Contract__c]],Contract[Id],0)),0)</f>
        <v>0</v>
      </c>
      <c r="C325" t="b">
        <f>ISNUMBER(MATCH(ChargentOrders[[#This Row],[Id]],Claude[Id],0))</f>
        <v>1</v>
      </c>
      <c r="D325" t="b">
        <f>AND(ChargentOrders[[#This Row],[_Contract]],ChargentOrders[[#This Row],[CB Subscription]]=0)</f>
        <v>1</v>
      </c>
      <c r="E325" s="38">
        <f>INDEX(Table5[CUENTA],MATCH(ChargentOrders[[#This Row],[Contract__c]],Table5[SM_Contract__c],0))</f>
        <v>46172</v>
      </c>
      <c r="F325" s="38" t="str">
        <f ca="1">INDEX(Table5[ESTADO],MATCH(ChargentOrders[[#This Row],[Contract__c]],Table5[SM_Contract__c],0))</f>
        <v>DEBE 2</v>
      </c>
      <c r="G325" t="s">
        <v>858</v>
      </c>
      <c r="H325" t="s">
        <v>81</v>
      </c>
      <c r="I325" t="s">
        <v>859</v>
      </c>
      <c r="J325" s="1">
        <v>46050.800243055557</v>
      </c>
      <c r="K325">
        <v>8</v>
      </c>
      <c r="L325">
        <v>2030</v>
      </c>
      <c r="M325" t="s">
        <v>1512</v>
      </c>
      <c r="N325">
        <v>8</v>
      </c>
      <c r="O325" t="s">
        <v>1513</v>
      </c>
      <c r="P325" t="s">
        <v>73</v>
      </c>
      <c r="Q325">
        <v>2030</v>
      </c>
      <c r="R325">
        <v>495</v>
      </c>
      <c r="T325" t="s">
        <v>67</v>
      </c>
      <c r="U325" t="s">
        <v>68</v>
      </c>
      <c r="V325">
        <v>0</v>
      </c>
      <c r="W325" t="s">
        <v>69</v>
      </c>
      <c r="X325" s="5">
        <v>46050</v>
      </c>
      <c r="Y325" t="s">
        <v>74</v>
      </c>
      <c r="Z325" t="s">
        <v>68</v>
      </c>
      <c r="AA325">
        <v>495</v>
      </c>
      <c r="AB325">
        <v>0</v>
      </c>
      <c r="AC325" t="s">
        <v>856</v>
      </c>
      <c r="AD325" t="s">
        <v>68</v>
      </c>
      <c r="AE325">
        <v>0</v>
      </c>
      <c r="AF325" s="1">
        <v>46050.800532407404</v>
      </c>
      <c r="AG325" s="1">
        <v>46050.800532407404</v>
      </c>
      <c r="AH325">
        <v>1</v>
      </c>
      <c r="AI325">
        <v>1</v>
      </c>
      <c r="AJ325">
        <v>495</v>
      </c>
      <c r="AK325" t="s">
        <v>857</v>
      </c>
      <c r="AL325" t="s">
        <v>77</v>
      </c>
      <c r="AM325" t="s">
        <v>68</v>
      </c>
      <c r="AN325">
        <v>0</v>
      </c>
      <c r="AO325" s="1"/>
      <c r="AP325">
        <v>1</v>
      </c>
      <c r="AQ325">
        <v>0</v>
      </c>
      <c r="AR325">
        <v>0</v>
      </c>
      <c r="AS325" t="s">
        <v>75</v>
      </c>
      <c r="AT325" t="s">
        <v>68</v>
      </c>
      <c r="AU325">
        <v>0</v>
      </c>
      <c r="AV325" t="s">
        <v>68</v>
      </c>
      <c r="AW325">
        <v>0</v>
      </c>
      <c r="AX325" s="1"/>
      <c r="AZ325" t="s">
        <v>68</v>
      </c>
      <c r="BA325" t="s">
        <v>68</v>
      </c>
      <c r="BB325" t="s">
        <v>68</v>
      </c>
      <c r="BC325" t="s">
        <v>68</v>
      </c>
      <c r="BD325">
        <v>0</v>
      </c>
      <c r="BE325" s="1"/>
      <c r="BF325" s="1">
        <v>46050.800532407404</v>
      </c>
      <c r="BG325" t="s">
        <v>68</v>
      </c>
      <c r="BH325" t="s">
        <v>68</v>
      </c>
      <c r="BI325" t="s">
        <v>68</v>
      </c>
      <c r="BJ325" t="s">
        <v>68</v>
      </c>
      <c r="BK325" t="s">
        <v>68</v>
      </c>
      <c r="BL325" t="s">
        <v>68</v>
      </c>
      <c r="BM325" t="s">
        <v>68</v>
      </c>
      <c r="BN325" t="s">
        <v>68</v>
      </c>
      <c r="BO325" t="s">
        <v>96</v>
      </c>
      <c r="BP325">
        <v>0</v>
      </c>
      <c r="BQ325" t="s">
        <v>68</v>
      </c>
      <c r="BR325" t="s">
        <v>68</v>
      </c>
      <c r="BS325" t="s">
        <v>68</v>
      </c>
    </row>
    <row r="326" spans="1:71" x14ac:dyDescent="0.35">
      <c r="A326" t="b">
        <f>ISNUMBER(MATCH(ChargentOrders[[#This Row],[Contract__c]],Contract[Id],0))</f>
        <v>1</v>
      </c>
      <c r="B326">
        <f>IFERROR(INDEX(Contract[CB_Subscription__c],MATCH(ChargentOrders[[#This Row],[Contract__c]],Contract[Id],0)),0)</f>
        <v>0</v>
      </c>
      <c r="C326" t="b">
        <f>ISNUMBER(MATCH(ChargentOrders[[#This Row],[Id]],Claude[Id],0))</f>
        <v>1</v>
      </c>
      <c r="D326" t="b">
        <f>AND(ChargentOrders[[#This Row],[_Contract]],ChargentOrders[[#This Row],[CB Subscription]]=0)</f>
        <v>1</v>
      </c>
      <c r="E326" s="38">
        <f>INDEX(Table5[CUENTA],MATCH(ChargentOrders[[#This Row],[Contract__c]],Table5[SM_Contract__c],0))</f>
        <v>46172</v>
      </c>
      <c r="F326" s="38" t="str">
        <f ca="1">INDEX(Table5[ESTADO],MATCH(ChargentOrders[[#This Row],[Contract__c]],Table5[SM_Contract__c],0))</f>
        <v>DEBE 2</v>
      </c>
      <c r="G326" t="s">
        <v>860</v>
      </c>
      <c r="H326" t="s">
        <v>81</v>
      </c>
      <c r="I326" t="s">
        <v>861</v>
      </c>
      <c r="J326" s="1">
        <v>46050.800243055557</v>
      </c>
      <c r="K326">
        <v>8</v>
      </c>
      <c r="L326">
        <v>2030</v>
      </c>
      <c r="M326" t="s">
        <v>1512</v>
      </c>
      <c r="N326">
        <v>8</v>
      </c>
      <c r="O326" t="s">
        <v>1513</v>
      </c>
      <c r="P326" t="s">
        <v>73</v>
      </c>
      <c r="Q326">
        <v>2030</v>
      </c>
      <c r="R326">
        <v>4950</v>
      </c>
      <c r="T326" t="s">
        <v>67</v>
      </c>
      <c r="U326" t="s">
        <v>68</v>
      </c>
      <c r="V326">
        <v>0</v>
      </c>
      <c r="W326" t="s">
        <v>69</v>
      </c>
      <c r="X326" s="5">
        <v>46080</v>
      </c>
      <c r="Y326" t="s">
        <v>74</v>
      </c>
      <c r="Z326" t="s">
        <v>68</v>
      </c>
      <c r="AA326">
        <v>4950</v>
      </c>
      <c r="AB326">
        <v>0</v>
      </c>
      <c r="AC326" t="s">
        <v>856</v>
      </c>
      <c r="AD326" t="s">
        <v>68</v>
      </c>
      <c r="AE326">
        <v>0</v>
      </c>
      <c r="AF326" s="1">
        <v>46080.427974537037</v>
      </c>
      <c r="AG326" s="1">
        <v>46080.428032407406</v>
      </c>
      <c r="AH326">
        <v>1</v>
      </c>
      <c r="AI326">
        <v>1</v>
      </c>
      <c r="AJ326">
        <v>495</v>
      </c>
      <c r="AK326" t="s">
        <v>857</v>
      </c>
      <c r="AL326" t="s">
        <v>77</v>
      </c>
      <c r="AM326" t="s">
        <v>68</v>
      </c>
      <c r="AN326">
        <v>0</v>
      </c>
      <c r="AO326" s="1"/>
      <c r="AP326">
        <v>1</v>
      </c>
      <c r="AQ326">
        <v>0</v>
      </c>
      <c r="AR326">
        <v>0</v>
      </c>
      <c r="AS326" t="s">
        <v>75</v>
      </c>
      <c r="AT326" t="s">
        <v>68</v>
      </c>
      <c r="AU326">
        <v>0</v>
      </c>
      <c r="AV326" t="s">
        <v>68</v>
      </c>
      <c r="AW326">
        <v>0</v>
      </c>
      <c r="AX326" s="1"/>
      <c r="AZ326" t="s">
        <v>68</v>
      </c>
      <c r="BA326" t="s">
        <v>68</v>
      </c>
      <c r="BB326" t="s">
        <v>68</v>
      </c>
      <c r="BC326" t="s">
        <v>68</v>
      </c>
      <c r="BD326">
        <v>0</v>
      </c>
      <c r="BE326" s="1"/>
      <c r="BF326" s="1">
        <v>46080.427974537037</v>
      </c>
      <c r="BG326" t="s">
        <v>68</v>
      </c>
      <c r="BH326" t="s">
        <v>68</v>
      </c>
      <c r="BI326" t="s">
        <v>68</v>
      </c>
      <c r="BJ326" t="s">
        <v>68</v>
      </c>
      <c r="BK326" t="s">
        <v>68</v>
      </c>
      <c r="BL326" t="s">
        <v>68</v>
      </c>
      <c r="BM326" t="s">
        <v>68</v>
      </c>
      <c r="BN326" t="s">
        <v>68</v>
      </c>
      <c r="BO326" t="s">
        <v>96</v>
      </c>
      <c r="BP326">
        <v>0</v>
      </c>
      <c r="BQ326" t="s">
        <v>68</v>
      </c>
      <c r="BR326" t="s">
        <v>68</v>
      </c>
      <c r="BS326" t="s">
        <v>68</v>
      </c>
    </row>
    <row r="327" spans="1:71" x14ac:dyDescent="0.35">
      <c r="A327" t="b">
        <f>ISNUMBER(MATCH(ChargentOrders[[#This Row],[Contract__c]],Contract[Id],0))</f>
        <v>1</v>
      </c>
      <c r="B327">
        <f>IFERROR(INDEX(Contract[CB_Subscription__c],MATCH(ChargentOrders[[#This Row],[Contract__c]],Contract[Id],0)),0)</f>
        <v>0</v>
      </c>
      <c r="C327" t="b">
        <f>ISNUMBER(MATCH(ChargentOrders[[#This Row],[Id]],Claude[Id],0))</f>
        <v>1</v>
      </c>
      <c r="D327" t="b">
        <f>AND(ChargentOrders[[#This Row],[_Contract]],ChargentOrders[[#This Row],[CB Subscription]]=0)</f>
        <v>1</v>
      </c>
      <c r="E327" s="38">
        <f>INDEX(Table5[CUENTA],MATCH(ChargentOrders[[#This Row],[Contract__c]],Table5[SM_Contract__c],0))</f>
        <v>46172</v>
      </c>
      <c r="F327" s="38" t="str">
        <f ca="1">INDEX(Table5[ESTADO],MATCH(ChargentOrders[[#This Row],[Contract__c]],Table5[SM_Contract__c],0))</f>
        <v>DEBE 2</v>
      </c>
      <c r="G327" t="s">
        <v>916</v>
      </c>
      <c r="H327" t="s">
        <v>79</v>
      </c>
      <c r="I327" t="s">
        <v>917</v>
      </c>
      <c r="J327" s="1">
        <v>46057.589050925926</v>
      </c>
      <c r="K327">
        <v>11</v>
      </c>
      <c r="L327">
        <v>2029</v>
      </c>
      <c r="M327" t="s">
        <v>1514</v>
      </c>
      <c r="N327">
        <v>11</v>
      </c>
      <c r="O327" t="s">
        <v>68</v>
      </c>
      <c r="P327" t="s">
        <v>73</v>
      </c>
      <c r="Q327">
        <v>2029</v>
      </c>
      <c r="R327">
        <v>0</v>
      </c>
      <c r="T327" t="s">
        <v>107</v>
      </c>
      <c r="U327" t="s">
        <v>68</v>
      </c>
      <c r="V327">
        <v>0</v>
      </c>
      <c r="W327" t="s">
        <v>69</v>
      </c>
      <c r="X327" s="5"/>
      <c r="Y327" t="s">
        <v>68</v>
      </c>
      <c r="Z327" t="s">
        <v>68</v>
      </c>
      <c r="AA327">
        <v>0</v>
      </c>
      <c r="AC327" t="s">
        <v>918</v>
      </c>
      <c r="AD327" t="s">
        <v>68</v>
      </c>
      <c r="AE327">
        <v>0</v>
      </c>
      <c r="AF327" s="1"/>
      <c r="AG327" s="1">
        <v>46057.589097222219</v>
      </c>
      <c r="AH327">
        <v>0</v>
      </c>
      <c r="AI327">
        <v>1</v>
      </c>
      <c r="AJ327">
        <v>0</v>
      </c>
      <c r="AK327" t="s">
        <v>919</v>
      </c>
      <c r="AL327" t="s">
        <v>68</v>
      </c>
      <c r="AM327" t="s">
        <v>68</v>
      </c>
      <c r="AN327">
        <v>0</v>
      </c>
      <c r="AO327" s="1"/>
      <c r="AP327">
        <v>1</v>
      </c>
      <c r="AS327" t="s">
        <v>75</v>
      </c>
      <c r="AT327" t="s">
        <v>68</v>
      </c>
      <c r="AU327">
        <v>0</v>
      </c>
      <c r="AV327" t="s">
        <v>68</v>
      </c>
      <c r="AW327">
        <v>1</v>
      </c>
      <c r="AX327" s="1"/>
      <c r="AZ327" t="s">
        <v>68</v>
      </c>
      <c r="BA327" t="s">
        <v>68</v>
      </c>
      <c r="BB327" t="s">
        <v>68</v>
      </c>
      <c r="BC327" t="s">
        <v>68</v>
      </c>
      <c r="BD327">
        <v>0</v>
      </c>
      <c r="BE327" s="1"/>
      <c r="BF327" s="1">
        <v>46057.589085648149</v>
      </c>
      <c r="BG327" t="s">
        <v>68</v>
      </c>
      <c r="BH327" t="s">
        <v>68</v>
      </c>
      <c r="BI327" t="s">
        <v>68</v>
      </c>
      <c r="BJ327" t="s">
        <v>68</v>
      </c>
      <c r="BK327" t="s">
        <v>68</v>
      </c>
      <c r="BL327" t="s">
        <v>68</v>
      </c>
      <c r="BM327" t="s">
        <v>68</v>
      </c>
      <c r="BN327" t="s">
        <v>68</v>
      </c>
      <c r="BO327" t="s">
        <v>96</v>
      </c>
      <c r="BP327">
        <v>0</v>
      </c>
      <c r="BQ327" t="s">
        <v>68</v>
      </c>
      <c r="BR327" t="s">
        <v>68</v>
      </c>
      <c r="BS327" t="s">
        <v>68</v>
      </c>
    </row>
    <row r="328" spans="1:71" x14ac:dyDescent="0.35">
      <c r="A328" t="b">
        <f>ISNUMBER(MATCH(ChargentOrders[[#This Row],[Contract__c]],Contract[Id],0))</f>
        <v>1</v>
      </c>
      <c r="B328">
        <f>IFERROR(INDEX(Contract[CB_Subscription__c],MATCH(ChargentOrders[[#This Row],[Contract__c]],Contract[Id],0)),0)</f>
        <v>0</v>
      </c>
      <c r="C328" t="b">
        <f>ISNUMBER(MATCH(ChargentOrders[[#This Row],[Id]],Claude[Id],0))</f>
        <v>1</v>
      </c>
      <c r="D328" t="b">
        <f>AND(ChargentOrders[[#This Row],[_Contract]],ChargentOrders[[#This Row],[CB Subscription]]=0)</f>
        <v>1</v>
      </c>
      <c r="E328" s="38">
        <f>INDEX(Table5[CUENTA],MATCH(ChargentOrders[[#This Row],[Contract__c]],Table5[SM_Contract__c],0))</f>
        <v>46172</v>
      </c>
      <c r="F328" s="38" t="str">
        <f ca="1">INDEX(Table5[ESTADO],MATCH(ChargentOrders[[#This Row],[Contract__c]],Table5[SM_Contract__c],0))</f>
        <v>DEBE 2</v>
      </c>
      <c r="G328" t="s">
        <v>920</v>
      </c>
      <c r="H328" t="s">
        <v>79</v>
      </c>
      <c r="I328" t="s">
        <v>921</v>
      </c>
      <c r="J328" s="1">
        <v>46057.589502314811</v>
      </c>
      <c r="K328">
        <v>11</v>
      </c>
      <c r="L328">
        <v>2029</v>
      </c>
      <c r="M328" t="s">
        <v>1514</v>
      </c>
      <c r="N328">
        <v>11</v>
      </c>
      <c r="O328" t="s">
        <v>68</v>
      </c>
      <c r="P328" t="s">
        <v>73</v>
      </c>
      <c r="Q328">
        <v>2029</v>
      </c>
      <c r="R328">
        <v>9900</v>
      </c>
      <c r="T328" t="s">
        <v>107</v>
      </c>
      <c r="U328" t="s">
        <v>68</v>
      </c>
      <c r="V328">
        <v>0</v>
      </c>
      <c r="W328" t="s">
        <v>69</v>
      </c>
      <c r="X328" s="5">
        <v>46059</v>
      </c>
      <c r="Y328" t="s">
        <v>74</v>
      </c>
      <c r="Z328" t="s">
        <v>68</v>
      </c>
      <c r="AA328">
        <v>9900</v>
      </c>
      <c r="AB328">
        <v>0</v>
      </c>
      <c r="AC328" t="s">
        <v>918</v>
      </c>
      <c r="AD328" t="s">
        <v>68</v>
      </c>
      <c r="AE328">
        <v>0</v>
      </c>
      <c r="AF328" s="1">
        <v>46059.430717592593</v>
      </c>
      <c r="AG328" s="1">
        <v>46059.430717592593</v>
      </c>
      <c r="AH328">
        <v>1</v>
      </c>
      <c r="AI328">
        <v>1</v>
      </c>
      <c r="AJ328">
        <v>990</v>
      </c>
      <c r="AK328" t="s">
        <v>919</v>
      </c>
      <c r="AL328" t="s">
        <v>77</v>
      </c>
      <c r="AM328" t="s">
        <v>68</v>
      </c>
      <c r="AN328">
        <v>0</v>
      </c>
      <c r="AO328" s="1"/>
      <c r="AP328">
        <v>1</v>
      </c>
      <c r="AQ328">
        <v>0</v>
      </c>
      <c r="AR328">
        <v>0</v>
      </c>
      <c r="AS328" t="s">
        <v>75</v>
      </c>
      <c r="AT328" t="s">
        <v>68</v>
      </c>
      <c r="AU328">
        <v>0</v>
      </c>
      <c r="AV328" t="s">
        <v>68</v>
      </c>
      <c r="AW328">
        <v>0</v>
      </c>
      <c r="AX328" s="1"/>
      <c r="AZ328" t="s">
        <v>68</v>
      </c>
      <c r="BA328" t="s">
        <v>68</v>
      </c>
      <c r="BB328" t="s">
        <v>68</v>
      </c>
      <c r="BC328" t="s">
        <v>68</v>
      </c>
      <c r="BD328">
        <v>0</v>
      </c>
      <c r="BE328" s="1"/>
      <c r="BF328" s="1">
        <v>46059.430717592593</v>
      </c>
      <c r="BG328" t="s">
        <v>68</v>
      </c>
      <c r="BH328" t="s">
        <v>68</v>
      </c>
      <c r="BI328" t="s">
        <v>68</v>
      </c>
      <c r="BJ328" t="s">
        <v>68</v>
      </c>
      <c r="BK328" t="s">
        <v>68</v>
      </c>
      <c r="BL328" t="s">
        <v>68</v>
      </c>
      <c r="BM328" t="s">
        <v>68</v>
      </c>
      <c r="BN328" t="s">
        <v>68</v>
      </c>
      <c r="BO328" t="s">
        <v>96</v>
      </c>
      <c r="BP328">
        <v>0</v>
      </c>
      <c r="BQ328" t="s">
        <v>68</v>
      </c>
      <c r="BR328" t="s">
        <v>68</v>
      </c>
      <c r="BS328" t="s">
        <v>68</v>
      </c>
    </row>
    <row r="329" spans="1:71" x14ac:dyDescent="0.35">
      <c r="A329" t="b">
        <f>ISNUMBER(MATCH(ChargentOrders[[#This Row],[Contract__c]],Contract[Id],0))</f>
        <v>1</v>
      </c>
      <c r="B329">
        <f>IFERROR(INDEX(Contract[CB_Subscription__c],MATCH(ChargentOrders[[#This Row],[Contract__c]],Contract[Id],0)),0)</f>
        <v>0</v>
      </c>
      <c r="C329" t="b">
        <f>ISNUMBER(MATCH(ChargentOrders[[#This Row],[Id]],Claude[Id],0))</f>
        <v>1</v>
      </c>
      <c r="D329" t="b">
        <f>AND(ChargentOrders[[#This Row],[_Contract]],ChargentOrders[[#This Row],[CB Subscription]]=0)</f>
        <v>1</v>
      </c>
      <c r="E329" s="38">
        <f>INDEX(Table5[CUENTA],MATCH(ChargentOrders[[#This Row],[Contract__c]],Table5[SM_Contract__c],0))</f>
        <v>46172</v>
      </c>
      <c r="F329" s="38" t="str">
        <f ca="1">INDEX(Table5[ESTADO],MATCH(ChargentOrders[[#This Row],[Contract__c]],Table5[SM_Contract__c],0))</f>
        <v>DEBE 2</v>
      </c>
      <c r="G329" t="s">
        <v>925</v>
      </c>
      <c r="H329" t="s">
        <v>79</v>
      </c>
      <c r="I329" t="s">
        <v>926</v>
      </c>
      <c r="J329" s="1">
        <v>46059.43074074074</v>
      </c>
      <c r="K329">
        <v>11</v>
      </c>
      <c r="L329">
        <v>2029</v>
      </c>
      <c r="M329" t="s">
        <v>1514</v>
      </c>
      <c r="N329">
        <v>11</v>
      </c>
      <c r="O329" t="s">
        <v>68</v>
      </c>
      <c r="P329" t="s">
        <v>73</v>
      </c>
      <c r="Q329">
        <v>2029</v>
      </c>
      <c r="R329">
        <v>990</v>
      </c>
      <c r="S329">
        <v>30</v>
      </c>
      <c r="T329" t="s">
        <v>107</v>
      </c>
      <c r="U329" t="s">
        <v>68</v>
      </c>
      <c r="V329">
        <v>0</v>
      </c>
      <c r="W329" t="s">
        <v>69</v>
      </c>
      <c r="X329" s="5">
        <v>46233</v>
      </c>
      <c r="Y329" t="s">
        <v>84</v>
      </c>
      <c r="Z329" t="s">
        <v>68</v>
      </c>
      <c r="AA329">
        <v>990</v>
      </c>
      <c r="AB329">
        <v>0</v>
      </c>
      <c r="AC329" t="s">
        <v>918</v>
      </c>
      <c r="AD329" t="s">
        <v>68</v>
      </c>
      <c r="AE329">
        <v>0</v>
      </c>
      <c r="AF329" s="1"/>
      <c r="AG329" s="1"/>
      <c r="AH329">
        <v>0</v>
      </c>
      <c r="AI329">
        <v>2</v>
      </c>
      <c r="AJ329">
        <v>0</v>
      </c>
      <c r="AK329" t="s">
        <v>919</v>
      </c>
      <c r="AL329" t="s">
        <v>76</v>
      </c>
      <c r="AM329" t="s">
        <v>68</v>
      </c>
      <c r="AN329">
        <v>0</v>
      </c>
      <c r="AO329" s="1"/>
      <c r="AP329">
        <v>3</v>
      </c>
      <c r="AQ329">
        <v>0</v>
      </c>
      <c r="AR329">
        <v>0</v>
      </c>
      <c r="AS329" t="s">
        <v>75</v>
      </c>
      <c r="AT329" t="s">
        <v>68</v>
      </c>
      <c r="AU329">
        <v>0</v>
      </c>
      <c r="AV329" t="s">
        <v>68</v>
      </c>
      <c r="AW329">
        <v>0</v>
      </c>
      <c r="AX329" s="1"/>
      <c r="AZ329" t="s">
        <v>68</v>
      </c>
      <c r="BA329" t="s">
        <v>68</v>
      </c>
      <c r="BB329" t="s">
        <v>68</v>
      </c>
      <c r="BC329" t="s">
        <v>68</v>
      </c>
      <c r="BD329">
        <v>0</v>
      </c>
      <c r="BE329" s="1"/>
      <c r="BF329" s="1">
        <v>46189.551446759258</v>
      </c>
      <c r="BG329" t="s">
        <v>68</v>
      </c>
      <c r="BH329" t="s">
        <v>68</v>
      </c>
      <c r="BI329" t="s">
        <v>68</v>
      </c>
      <c r="BJ329" t="s">
        <v>68</v>
      </c>
      <c r="BK329" t="s">
        <v>68</v>
      </c>
      <c r="BL329" t="s">
        <v>68</v>
      </c>
      <c r="BM329" t="s">
        <v>68</v>
      </c>
      <c r="BN329" t="s">
        <v>68</v>
      </c>
      <c r="BO329" t="s">
        <v>96</v>
      </c>
      <c r="BP329">
        <v>0</v>
      </c>
      <c r="BQ329" t="s">
        <v>68</v>
      </c>
      <c r="BR329" t="s">
        <v>68</v>
      </c>
      <c r="BS329" t="s">
        <v>68</v>
      </c>
    </row>
    <row r="330" spans="1:71" x14ac:dyDescent="0.35">
      <c r="A330" t="b">
        <f>ISNUMBER(MATCH(ChargentOrders[[#This Row],[Contract__c]],Contract[Id],0))</f>
        <v>1</v>
      </c>
      <c r="B330">
        <f>IFERROR(INDEX(Contract[CB_Subscription__c],MATCH(ChargentOrders[[#This Row],[Contract__c]],Contract[Id],0)),0)</f>
        <v>0</v>
      </c>
      <c r="C330" t="b">
        <f>ISNUMBER(MATCH(ChargentOrders[[#This Row],[Id]],Claude[Id],0))</f>
        <v>1</v>
      </c>
      <c r="D330" t="b">
        <f>AND(ChargentOrders[[#This Row],[_Contract]],ChargentOrders[[#This Row],[CB Subscription]]=0)</f>
        <v>1</v>
      </c>
      <c r="E330" s="38">
        <f>INDEX(Table5[CUENTA],MATCH(ChargentOrders[[#This Row],[Contract__c]],Table5[SM_Contract__c],0))</f>
        <v>46172</v>
      </c>
      <c r="F330" s="38" t="str">
        <f ca="1">INDEX(Table5[ESTADO],MATCH(ChargentOrders[[#This Row],[Contract__c]],Table5[SM_Contract__c],0))</f>
        <v>DEBE 2</v>
      </c>
      <c r="G330" t="s">
        <v>933</v>
      </c>
      <c r="H330" t="s">
        <v>81</v>
      </c>
      <c r="I330" t="s">
        <v>934</v>
      </c>
      <c r="J330" s="1">
        <v>46066.426041666666</v>
      </c>
      <c r="K330">
        <v>1</v>
      </c>
      <c r="L330">
        <v>2031</v>
      </c>
      <c r="M330" t="s">
        <v>1500</v>
      </c>
      <c r="N330">
        <v>1</v>
      </c>
      <c r="O330" t="s">
        <v>1501</v>
      </c>
      <c r="P330" t="s">
        <v>66</v>
      </c>
      <c r="Q330">
        <v>2031</v>
      </c>
      <c r="R330">
        <v>9900</v>
      </c>
      <c r="S330">
        <v>29</v>
      </c>
      <c r="T330" t="s">
        <v>67</v>
      </c>
      <c r="U330" t="s">
        <v>68</v>
      </c>
      <c r="V330">
        <v>0</v>
      </c>
      <c r="W330" t="s">
        <v>69</v>
      </c>
      <c r="X330" s="5">
        <v>46171</v>
      </c>
      <c r="Y330" t="s">
        <v>613</v>
      </c>
      <c r="Z330" t="s">
        <v>68</v>
      </c>
      <c r="AA330">
        <v>9900</v>
      </c>
      <c r="AB330">
        <v>0</v>
      </c>
      <c r="AC330" t="s">
        <v>768</v>
      </c>
      <c r="AD330" t="s">
        <v>68</v>
      </c>
      <c r="AE330">
        <v>0</v>
      </c>
      <c r="AF330" s="1">
        <v>46142.427407407406</v>
      </c>
      <c r="AG330" s="1">
        <v>46142.427418981482</v>
      </c>
      <c r="AH330">
        <v>1</v>
      </c>
      <c r="AI330">
        <v>2</v>
      </c>
      <c r="AJ330">
        <v>990</v>
      </c>
      <c r="AK330" t="s">
        <v>769</v>
      </c>
      <c r="AL330" t="s">
        <v>76</v>
      </c>
      <c r="AM330" t="s">
        <v>68</v>
      </c>
      <c r="AN330">
        <v>0</v>
      </c>
      <c r="AO330" s="1"/>
      <c r="AP330">
        <v>3</v>
      </c>
      <c r="AQ330">
        <v>0</v>
      </c>
      <c r="AR330">
        <v>0</v>
      </c>
      <c r="AS330" t="s">
        <v>75</v>
      </c>
      <c r="AT330" t="s">
        <v>68</v>
      </c>
      <c r="AU330">
        <v>0</v>
      </c>
      <c r="AV330" t="s">
        <v>68</v>
      </c>
      <c r="AW330">
        <v>0</v>
      </c>
      <c r="AX330" s="1"/>
      <c r="AZ330" t="s">
        <v>68</v>
      </c>
      <c r="BA330" t="s">
        <v>68</v>
      </c>
      <c r="BB330" t="s">
        <v>68</v>
      </c>
      <c r="BC330" t="s">
        <v>68</v>
      </c>
      <c r="BD330">
        <v>0</v>
      </c>
      <c r="BE330" s="1">
        <v>46111.428969907407</v>
      </c>
      <c r="BF330" s="1">
        <v>46142.427407407406</v>
      </c>
      <c r="BG330" t="s">
        <v>68</v>
      </c>
      <c r="BH330" t="s">
        <v>68</v>
      </c>
      <c r="BI330" t="s">
        <v>68</v>
      </c>
      <c r="BJ330" t="s">
        <v>68</v>
      </c>
      <c r="BK330" t="s">
        <v>68</v>
      </c>
      <c r="BL330" t="s">
        <v>68</v>
      </c>
      <c r="BM330" t="s">
        <v>68</v>
      </c>
      <c r="BN330" t="s">
        <v>68</v>
      </c>
      <c r="BO330" t="s">
        <v>96</v>
      </c>
      <c r="BP330">
        <v>0</v>
      </c>
      <c r="BQ330" t="s">
        <v>68</v>
      </c>
      <c r="BR330" t="s">
        <v>68</v>
      </c>
      <c r="BS330" t="s">
        <v>68</v>
      </c>
    </row>
    <row r="331" spans="1:71" x14ac:dyDescent="0.35">
      <c r="A331" t="b">
        <f>ISNUMBER(MATCH(ChargentOrders[[#This Row],[Contract__c]],Contract[Id],0))</f>
        <v>1</v>
      </c>
      <c r="B331">
        <f>IFERROR(INDEX(Contract[CB_Subscription__c],MATCH(ChargentOrders[[#This Row],[Contract__c]],Contract[Id],0)),0)</f>
        <v>0</v>
      </c>
      <c r="C331" t="b">
        <f>ISNUMBER(MATCH(ChargentOrders[[#This Row],[Id]],Claude[Id],0))</f>
        <v>1</v>
      </c>
      <c r="D331" t="b">
        <f>AND(ChargentOrders[[#This Row],[_Contract]],ChargentOrders[[#This Row],[CB Subscription]]=0)</f>
        <v>1</v>
      </c>
      <c r="E331" s="38">
        <f>INDEX(Table5[CUENTA],MATCH(ChargentOrders[[#This Row],[Contract__c]],Table5[SM_Contract__c],0))</f>
        <v>46172</v>
      </c>
      <c r="F331" s="38" t="str">
        <f ca="1">INDEX(Table5[ESTADO],MATCH(ChargentOrders[[#This Row],[Contract__c]],Table5[SM_Contract__c],0))</f>
        <v>DEBE 2</v>
      </c>
      <c r="G331" t="s">
        <v>977</v>
      </c>
      <c r="H331" t="s">
        <v>81</v>
      </c>
      <c r="I331" t="s">
        <v>978</v>
      </c>
      <c r="J331" s="1">
        <v>46080.428043981483</v>
      </c>
      <c r="K331">
        <v>8</v>
      </c>
      <c r="L331">
        <v>2030</v>
      </c>
      <c r="M331" t="s">
        <v>1512</v>
      </c>
      <c r="N331">
        <v>8</v>
      </c>
      <c r="O331" t="s">
        <v>1513</v>
      </c>
      <c r="P331" t="s">
        <v>73</v>
      </c>
      <c r="Q331">
        <v>2030</v>
      </c>
      <c r="R331">
        <v>9900</v>
      </c>
      <c r="S331">
        <v>29</v>
      </c>
      <c r="T331" t="s">
        <v>67</v>
      </c>
      <c r="U331" t="s">
        <v>68</v>
      </c>
      <c r="V331">
        <v>0</v>
      </c>
      <c r="W331" t="s">
        <v>69</v>
      </c>
      <c r="X331" s="5">
        <v>46171</v>
      </c>
      <c r="Y331" t="s">
        <v>613</v>
      </c>
      <c r="Z331" t="s">
        <v>68</v>
      </c>
      <c r="AA331">
        <v>9900</v>
      </c>
      <c r="AB331">
        <v>0</v>
      </c>
      <c r="AC331" t="s">
        <v>856</v>
      </c>
      <c r="AD331" t="s">
        <v>68</v>
      </c>
      <c r="AE331">
        <v>0</v>
      </c>
      <c r="AF331" s="1">
        <v>46142.428912037038</v>
      </c>
      <c r="AG331" s="1">
        <v>46142.428969907407</v>
      </c>
      <c r="AH331">
        <v>2</v>
      </c>
      <c r="AI331">
        <v>2</v>
      </c>
      <c r="AJ331">
        <v>1980</v>
      </c>
      <c r="AK331" t="s">
        <v>857</v>
      </c>
      <c r="AL331" t="s">
        <v>76</v>
      </c>
      <c r="AM331" t="s">
        <v>68</v>
      </c>
      <c r="AN331">
        <v>0</v>
      </c>
      <c r="AO331" s="1"/>
      <c r="AP331">
        <v>3</v>
      </c>
      <c r="AQ331">
        <v>0</v>
      </c>
      <c r="AR331">
        <v>0</v>
      </c>
      <c r="AS331" t="s">
        <v>75</v>
      </c>
      <c r="AT331" t="s">
        <v>68</v>
      </c>
      <c r="AU331">
        <v>0</v>
      </c>
      <c r="AV331" t="s">
        <v>68</v>
      </c>
      <c r="AW331">
        <v>0</v>
      </c>
      <c r="AX331" s="1"/>
      <c r="AZ331" t="s">
        <v>68</v>
      </c>
      <c r="BA331" t="s">
        <v>68</v>
      </c>
      <c r="BB331" t="s">
        <v>68</v>
      </c>
      <c r="BC331" t="s">
        <v>68</v>
      </c>
      <c r="BD331">
        <v>0</v>
      </c>
      <c r="BE331" s="1"/>
      <c r="BF331" s="1">
        <v>46142.428912037038</v>
      </c>
      <c r="BG331" t="s">
        <v>68</v>
      </c>
      <c r="BH331" t="s">
        <v>68</v>
      </c>
      <c r="BI331" t="s">
        <v>68</v>
      </c>
      <c r="BJ331" t="s">
        <v>68</v>
      </c>
      <c r="BK331" t="s">
        <v>68</v>
      </c>
      <c r="BL331" t="s">
        <v>68</v>
      </c>
      <c r="BM331" t="s">
        <v>68</v>
      </c>
      <c r="BN331" t="s">
        <v>68</v>
      </c>
      <c r="BO331" t="s">
        <v>96</v>
      </c>
      <c r="BP331">
        <v>0</v>
      </c>
      <c r="BQ331" t="s">
        <v>68</v>
      </c>
      <c r="BR331" t="s">
        <v>68</v>
      </c>
      <c r="BS331" t="s">
        <v>68</v>
      </c>
    </row>
    <row r="332" spans="1:71" x14ac:dyDescent="0.35">
      <c r="A332" t="b">
        <f>ISNUMBER(MATCH(ChargentOrders[[#This Row],[Contract__c]],Contract[Id],0))</f>
        <v>1</v>
      </c>
      <c r="B332">
        <f>IFERROR(INDEX(Contract[CB_Subscription__c],MATCH(ChargentOrders[[#This Row],[Contract__c]],Contract[Id],0)),0)</f>
        <v>0</v>
      </c>
      <c r="C332" t="b">
        <f>ISNUMBER(MATCH(ChargentOrders[[#This Row],[Id]],Claude[Id],0))</f>
        <v>1</v>
      </c>
      <c r="D332" t="b">
        <f>AND(ChargentOrders[[#This Row],[_Contract]],ChargentOrders[[#This Row],[CB Subscription]]=0)</f>
        <v>1</v>
      </c>
      <c r="E332" s="38">
        <f>INDEX(Table5[CUENTA],MATCH(ChargentOrders[[#This Row],[Contract__c]],Table5[SM_Contract__c],0))</f>
        <v>46172</v>
      </c>
      <c r="F332" s="38" t="str">
        <f ca="1">INDEX(Table5[ESTADO],MATCH(ChargentOrders[[#This Row],[Contract__c]],Table5[SM_Contract__c],0))</f>
        <v>DEBE 2</v>
      </c>
      <c r="G332" t="s">
        <v>1016</v>
      </c>
      <c r="H332" t="s">
        <v>79</v>
      </c>
      <c r="I332" t="s">
        <v>1017</v>
      </c>
      <c r="J332" s="1">
        <v>46108.423171296294</v>
      </c>
      <c r="K332">
        <v>11</v>
      </c>
      <c r="L332">
        <v>2029</v>
      </c>
      <c r="M332" t="s">
        <v>1514</v>
      </c>
      <c r="N332">
        <v>11</v>
      </c>
      <c r="O332" t="s">
        <v>68</v>
      </c>
      <c r="P332" t="s">
        <v>73</v>
      </c>
      <c r="Q332">
        <v>2029</v>
      </c>
      <c r="R332">
        <v>12400</v>
      </c>
      <c r="T332" t="s">
        <v>107</v>
      </c>
      <c r="U332" t="s">
        <v>68</v>
      </c>
      <c r="V332">
        <v>0</v>
      </c>
      <c r="W332" t="s">
        <v>69</v>
      </c>
      <c r="X332" s="5">
        <v>46128</v>
      </c>
      <c r="Y332" t="s">
        <v>74</v>
      </c>
      <c r="Z332" t="s">
        <v>68</v>
      </c>
      <c r="AA332">
        <v>12400</v>
      </c>
      <c r="AB332">
        <v>0</v>
      </c>
      <c r="AC332" t="s">
        <v>918</v>
      </c>
      <c r="AD332" t="s">
        <v>68</v>
      </c>
      <c r="AE332">
        <v>0</v>
      </c>
      <c r="AF332" s="1">
        <v>46128.425416666665</v>
      </c>
      <c r="AG332" s="1">
        <v>46128.425439814811</v>
      </c>
      <c r="AH332">
        <v>1</v>
      </c>
      <c r="AI332">
        <v>8</v>
      </c>
      <c r="AJ332">
        <v>1240</v>
      </c>
      <c r="AK332" t="s">
        <v>919</v>
      </c>
      <c r="AL332" t="s">
        <v>71</v>
      </c>
      <c r="AM332" t="s">
        <v>68</v>
      </c>
      <c r="AN332">
        <v>0</v>
      </c>
      <c r="AO332" s="1"/>
      <c r="AP332">
        <v>0</v>
      </c>
      <c r="AQ332">
        <v>0</v>
      </c>
      <c r="AR332">
        <v>0</v>
      </c>
      <c r="AS332" t="s">
        <v>72</v>
      </c>
      <c r="AT332" t="s">
        <v>68</v>
      </c>
      <c r="AU332">
        <v>1</v>
      </c>
      <c r="AV332" t="s">
        <v>1018</v>
      </c>
      <c r="AW332">
        <v>0</v>
      </c>
      <c r="AX332" s="1">
        <v>46059.43074074074</v>
      </c>
      <c r="AY332">
        <v>2500</v>
      </c>
      <c r="AZ332" t="s">
        <v>68</v>
      </c>
      <c r="BA332" t="s">
        <v>65</v>
      </c>
      <c r="BB332" t="s">
        <v>68</v>
      </c>
      <c r="BC332" t="s">
        <v>68</v>
      </c>
      <c r="BD332">
        <v>0</v>
      </c>
      <c r="BE332" s="1"/>
      <c r="BF332" s="1">
        <v>46128.425416666665</v>
      </c>
      <c r="BG332" t="s">
        <v>68</v>
      </c>
      <c r="BH332" t="s">
        <v>68</v>
      </c>
      <c r="BI332" t="s">
        <v>68</v>
      </c>
      <c r="BJ332" t="s">
        <v>68</v>
      </c>
      <c r="BK332" t="s">
        <v>68</v>
      </c>
      <c r="BL332" t="s">
        <v>68</v>
      </c>
      <c r="BM332" t="s">
        <v>68</v>
      </c>
      <c r="BN332" t="s">
        <v>68</v>
      </c>
      <c r="BO332" t="s">
        <v>96</v>
      </c>
      <c r="BP332">
        <v>0</v>
      </c>
      <c r="BQ332" t="s">
        <v>68</v>
      </c>
      <c r="BR332" t="s">
        <v>68</v>
      </c>
      <c r="BS332" t="s">
        <v>68</v>
      </c>
    </row>
    <row r="333" spans="1:71" x14ac:dyDescent="0.35">
      <c r="A333" t="b">
        <f>ISNUMBER(MATCH(ChargentOrders[[#This Row],[Contract__c]],Contract[Id],0))</f>
        <v>1</v>
      </c>
      <c r="B333">
        <f>IFERROR(INDEX(Contract[CB_Subscription__c],MATCH(ChargentOrders[[#This Row],[Contract__c]],Contract[Id],0)),0)</f>
        <v>0</v>
      </c>
      <c r="C333" t="b">
        <f>ISNUMBER(MATCH(ChargentOrders[[#This Row],[Id]],Claude[Id],0))</f>
        <v>1</v>
      </c>
      <c r="D333" t="b">
        <f>AND(ChargentOrders[[#This Row],[_Contract]],ChargentOrders[[#This Row],[CB Subscription]]=0)</f>
        <v>1</v>
      </c>
      <c r="E333" s="38">
        <f>INDEX(Table5[CUENTA],MATCH(ChargentOrders[[#This Row],[Contract__c]],Table5[SM_Contract__c],0))</f>
        <v>46172</v>
      </c>
      <c r="F333" s="38" t="str">
        <f ca="1">INDEX(Table5[ESTADO],MATCH(ChargentOrders[[#This Row],[Contract__c]],Table5[SM_Contract__c],0))</f>
        <v>DEBE 2</v>
      </c>
      <c r="G333" t="s">
        <v>1019</v>
      </c>
      <c r="H333" t="s">
        <v>102</v>
      </c>
      <c r="I333" t="s">
        <v>1020</v>
      </c>
      <c r="J333" s="1">
        <v>46111.417361111111</v>
      </c>
      <c r="K333">
        <v>6</v>
      </c>
      <c r="L333">
        <v>2030</v>
      </c>
      <c r="M333" t="s">
        <v>1414</v>
      </c>
      <c r="N333">
        <v>6</v>
      </c>
      <c r="O333" t="s">
        <v>1414</v>
      </c>
      <c r="P333" t="s">
        <v>73</v>
      </c>
      <c r="Q333">
        <v>2030</v>
      </c>
      <c r="R333">
        <v>10000</v>
      </c>
      <c r="T333" t="s">
        <v>67</v>
      </c>
      <c r="U333" t="s">
        <v>68</v>
      </c>
      <c r="V333">
        <v>0</v>
      </c>
      <c r="W333" t="s">
        <v>69</v>
      </c>
      <c r="X333" s="5">
        <v>46212</v>
      </c>
      <c r="Y333" t="s">
        <v>84</v>
      </c>
      <c r="Z333" t="s">
        <v>68</v>
      </c>
      <c r="AA333">
        <v>10000</v>
      </c>
      <c r="AB333">
        <v>0</v>
      </c>
      <c r="AC333" t="s">
        <v>147</v>
      </c>
      <c r="AD333" t="s">
        <v>68</v>
      </c>
      <c r="AE333">
        <v>0</v>
      </c>
      <c r="AF333" s="1"/>
      <c r="AG333" s="1"/>
      <c r="AH333">
        <v>0</v>
      </c>
      <c r="AI333">
        <v>22</v>
      </c>
      <c r="AJ333">
        <v>0</v>
      </c>
      <c r="AK333" t="s">
        <v>112</v>
      </c>
      <c r="AL333" t="s">
        <v>71</v>
      </c>
      <c r="AM333" t="s">
        <v>68</v>
      </c>
      <c r="AN333">
        <v>0</v>
      </c>
      <c r="AO333" s="1"/>
      <c r="AQ333">
        <v>0</v>
      </c>
      <c r="AR333">
        <v>0</v>
      </c>
      <c r="AS333" t="s">
        <v>72</v>
      </c>
      <c r="AT333" t="s">
        <v>68</v>
      </c>
      <c r="AU333">
        <v>1</v>
      </c>
      <c r="AV333" t="s">
        <v>1021</v>
      </c>
      <c r="AW333">
        <v>0</v>
      </c>
      <c r="AX333" s="1">
        <v>46111.977523148147</v>
      </c>
      <c r="AY333">
        <v>2500</v>
      </c>
      <c r="AZ333" t="s">
        <v>68</v>
      </c>
      <c r="BA333" t="s">
        <v>65</v>
      </c>
      <c r="BB333" t="s">
        <v>68</v>
      </c>
      <c r="BC333" t="s">
        <v>68</v>
      </c>
      <c r="BD333">
        <v>0</v>
      </c>
      <c r="BE333" s="1">
        <v>46209.419108796297</v>
      </c>
      <c r="BF333" s="1">
        <v>46209.419108796297</v>
      </c>
      <c r="BG333" t="s">
        <v>68</v>
      </c>
      <c r="BH333" t="s">
        <v>68</v>
      </c>
      <c r="BI333" t="s">
        <v>68</v>
      </c>
      <c r="BJ333" t="s">
        <v>68</v>
      </c>
      <c r="BK333" t="s">
        <v>68</v>
      </c>
      <c r="BL333" t="s">
        <v>68</v>
      </c>
      <c r="BM333" t="s">
        <v>68</v>
      </c>
      <c r="BN333" t="s">
        <v>68</v>
      </c>
      <c r="BO333" t="s">
        <v>96</v>
      </c>
      <c r="BP333">
        <v>0</v>
      </c>
      <c r="BQ333" t="s">
        <v>68</v>
      </c>
      <c r="BR333" t="s">
        <v>68</v>
      </c>
      <c r="BS333" t="s">
        <v>68</v>
      </c>
    </row>
    <row r="334" spans="1:71" x14ac:dyDescent="0.35">
      <c r="A334" t="b">
        <f>ISNUMBER(MATCH(ChargentOrders[[#This Row],[Contract__c]],Contract[Id],0))</f>
        <v>1</v>
      </c>
      <c r="B334">
        <f>IFERROR(INDEX(Contract[CB_Subscription__c],MATCH(ChargentOrders[[#This Row],[Contract__c]],Contract[Id],0)),0)</f>
        <v>0</v>
      </c>
      <c r="C334" t="b">
        <f>ISNUMBER(MATCH(ChargentOrders[[#This Row],[Id]],Claude[Id],0))</f>
        <v>1</v>
      </c>
      <c r="D334" t="b">
        <f>AND(ChargentOrders[[#This Row],[_Contract]],ChargentOrders[[#This Row],[CB Subscription]]=0)</f>
        <v>1</v>
      </c>
      <c r="E334" s="38">
        <f>INDEX(Table5[CUENTA],MATCH(ChargentOrders[[#This Row],[Contract__c]],Table5[SM_Contract__c],0))</f>
        <v>46172</v>
      </c>
      <c r="F334" s="38" t="str">
        <f ca="1">INDEX(Table5[ESTADO],MATCH(ChargentOrders[[#This Row],[Contract__c]],Table5[SM_Contract__c],0))</f>
        <v>DEBE 2</v>
      </c>
      <c r="G334" t="s">
        <v>1064</v>
      </c>
      <c r="H334" t="s">
        <v>81</v>
      </c>
      <c r="I334" t="s">
        <v>1065</v>
      </c>
      <c r="J334" s="1">
        <v>46111.429027777776</v>
      </c>
      <c r="K334">
        <v>1</v>
      </c>
      <c r="L334">
        <v>2031</v>
      </c>
      <c r="M334" t="s">
        <v>1500</v>
      </c>
      <c r="N334">
        <v>1</v>
      </c>
      <c r="O334" t="s">
        <v>1501</v>
      </c>
      <c r="P334" t="s">
        <v>66</v>
      </c>
      <c r="Q334">
        <v>2031</v>
      </c>
      <c r="R334">
        <v>12400</v>
      </c>
      <c r="T334" t="s">
        <v>67</v>
      </c>
      <c r="U334" t="s">
        <v>68</v>
      </c>
      <c r="V334">
        <v>0</v>
      </c>
      <c r="W334" t="s">
        <v>69</v>
      </c>
      <c r="X334" s="5">
        <v>46114</v>
      </c>
      <c r="Y334" t="s">
        <v>74</v>
      </c>
      <c r="Z334" t="s">
        <v>68</v>
      </c>
      <c r="AA334">
        <v>12400</v>
      </c>
      <c r="AB334">
        <v>0</v>
      </c>
      <c r="AC334" t="s">
        <v>768</v>
      </c>
      <c r="AD334" t="s">
        <v>68</v>
      </c>
      <c r="AE334">
        <v>0</v>
      </c>
      <c r="AF334" s="1">
        <v>46114.428101851852</v>
      </c>
      <c r="AG334" s="1">
        <v>46114.428124999999</v>
      </c>
      <c r="AH334">
        <v>1</v>
      </c>
      <c r="AI334">
        <v>1</v>
      </c>
      <c r="AJ334">
        <v>1240</v>
      </c>
      <c r="AK334" t="s">
        <v>769</v>
      </c>
      <c r="AL334" t="s">
        <v>71</v>
      </c>
      <c r="AM334" t="s">
        <v>68</v>
      </c>
      <c r="AN334">
        <v>0</v>
      </c>
      <c r="AO334" s="1"/>
      <c r="AP334">
        <v>0</v>
      </c>
      <c r="AQ334">
        <v>0</v>
      </c>
      <c r="AR334">
        <v>0</v>
      </c>
      <c r="AS334" t="s">
        <v>72</v>
      </c>
      <c r="AT334" t="s">
        <v>68</v>
      </c>
      <c r="AU334">
        <v>1</v>
      </c>
      <c r="AV334" t="s">
        <v>1066</v>
      </c>
      <c r="AW334">
        <v>0</v>
      </c>
      <c r="AX334" s="1">
        <v>46066.426041666666</v>
      </c>
      <c r="AY334">
        <v>2500</v>
      </c>
      <c r="AZ334" t="s">
        <v>68</v>
      </c>
      <c r="BA334" t="s">
        <v>65</v>
      </c>
      <c r="BB334" t="s">
        <v>68</v>
      </c>
      <c r="BC334" t="s">
        <v>68</v>
      </c>
      <c r="BD334">
        <v>0</v>
      </c>
      <c r="BE334" s="1"/>
      <c r="BF334" s="1">
        <v>46114.428101851852</v>
      </c>
      <c r="BG334" t="s">
        <v>68</v>
      </c>
      <c r="BH334" t="s">
        <v>68</v>
      </c>
      <c r="BI334" t="s">
        <v>68</v>
      </c>
      <c r="BJ334" t="s">
        <v>68</v>
      </c>
      <c r="BK334" t="s">
        <v>68</v>
      </c>
      <c r="BL334" t="s">
        <v>68</v>
      </c>
      <c r="BM334" t="s">
        <v>68</v>
      </c>
      <c r="BN334" t="s">
        <v>68</v>
      </c>
      <c r="BO334" t="s">
        <v>96</v>
      </c>
      <c r="BP334">
        <v>0</v>
      </c>
      <c r="BQ334" t="s">
        <v>68</v>
      </c>
      <c r="BR334" t="s">
        <v>68</v>
      </c>
      <c r="BS334" t="s">
        <v>68</v>
      </c>
    </row>
    <row r="335" spans="1:71" x14ac:dyDescent="0.35">
      <c r="A335" t="b">
        <f>ISNUMBER(MATCH(ChargentOrders[[#This Row],[Contract__c]],Contract[Id],0))</f>
        <v>1</v>
      </c>
      <c r="B335">
        <f>IFERROR(INDEX(Contract[CB_Subscription__c],MATCH(ChargentOrders[[#This Row],[Contract__c]],Contract[Id],0)),0)</f>
        <v>0</v>
      </c>
      <c r="C335" t="b">
        <f>ISNUMBER(MATCH(ChargentOrders[[#This Row],[Id]],Claude[Id],0))</f>
        <v>1</v>
      </c>
      <c r="D335" t="b">
        <f>AND(ChargentOrders[[#This Row],[_Contract]],ChargentOrders[[#This Row],[CB Subscription]]=0)</f>
        <v>1</v>
      </c>
      <c r="E335" s="38">
        <f>INDEX(Table5[CUENTA],MATCH(ChargentOrders[[#This Row],[Contract__c]],Table5[SM_Contract__c],0))</f>
        <v>46172</v>
      </c>
      <c r="F335" s="38" t="str">
        <f ca="1">INDEX(Table5[ESTADO],MATCH(ChargentOrders[[#This Row],[Contract__c]],Table5[SM_Contract__c],0))</f>
        <v>DEBE 2</v>
      </c>
      <c r="G335" t="s">
        <v>1104</v>
      </c>
      <c r="H335" t="s">
        <v>102</v>
      </c>
      <c r="I335" t="s">
        <v>1105</v>
      </c>
      <c r="J335" s="1">
        <v>46142.417233796295</v>
      </c>
      <c r="K335">
        <v>6</v>
      </c>
      <c r="L335">
        <v>2030</v>
      </c>
      <c r="M335" t="s">
        <v>1414</v>
      </c>
      <c r="N335">
        <v>6</v>
      </c>
      <c r="O335" t="s">
        <v>1414</v>
      </c>
      <c r="P335" t="s">
        <v>73</v>
      </c>
      <c r="Q335">
        <v>2030</v>
      </c>
      <c r="R335">
        <v>10000</v>
      </c>
      <c r="T335" t="s">
        <v>67</v>
      </c>
      <c r="U335" t="s">
        <v>68</v>
      </c>
      <c r="V335">
        <v>0</v>
      </c>
      <c r="W335" t="s">
        <v>69</v>
      </c>
      <c r="X335" s="5">
        <v>46198</v>
      </c>
      <c r="Y335" t="s">
        <v>74</v>
      </c>
      <c r="Z335" t="s">
        <v>68</v>
      </c>
      <c r="AA335">
        <v>10000</v>
      </c>
      <c r="AB335">
        <v>0</v>
      </c>
      <c r="AC335" t="s">
        <v>147</v>
      </c>
      <c r="AD335" t="s">
        <v>68</v>
      </c>
      <c r="AE335">
        <v>0</v>
      </c>
      <c r="AF335" s="1">
        <v>46198.42046296296</v>
      </c>
      <c r="AG335" s="1">
        <v>46198.420486111114</v>
      </c>
      <c r="AH335">
        <v>1</v>
      </c>
      <c r="AI335">
        <v>6</v>
      </c>
      <c r="AJ335">
        <v>1000</v>
      </c>
      <c r="AK335" t="s">
        <v>112</v>
      </c>
      <c r="AL335" t="s">
        <v>71</v>
      </c>
      <c r="AM335" t="s">
        <v>68</v>
      </c>
      <c r="AN335">
        <v>0</v>
      </c>
      <c r="AO335" s="1"/>
      <c r="AP335">
        <v>0</v>
      </c>
      <c r="AQ335">
        <v>0</v>
      </c>
      <c r="AR335">
        <v>0</v>
      </c>
      <c r="AS335" t="s">
        <v>72</v>
      </c>
      <c r="AT335" t="s">
        <v>68</v>
      </c>
      <c r="AU335">
        <v>1</v>
      </c>
      <c r="AV335" t="s">
        <v>1106</v>
      </c>
      <c r="AW335">
        <v>0</v>
      </c>
      <c r="AX335" s="1">
        <v>45170.864606481482</v>
      </c>
      <c r="AY335">
        <v>2500</v>
      </c>
      <c r="AZ335" t="s">
        <v>68</v>
      </c>
      <c r="BA335" t="s">
        <v>65</v>
      </c>
      <c r="BB335" t="s">
        <v>68</v>
      </c>
      <c r="BC335" t="s">
        <v>68</v>
      </c>
      <c r="BD335">
        <v>0</v>
      </c>
      <c r="BE335" s="1">
        <v>46149.92087962963</v>
      </c>
      <c r="BF335" s="1">
        <v>46198.42046296296</v>
      </c>
      <c r="BG335" t="s">
        <v>68</v>
      </c>
      <c r="BH335" t="s">
        <v>68</v>
      </c>
      <c r="BI335" t="s">
        <v>68</v>
      </c>
      <c r="BJ335" t="s">
        <v>68</v>
      </c>
      <c r="BK335" t="s">
        <v>68</v>
      </c>
      <c r="BL335" t="s">
        <v>68</v>
      </c>
      <c r="BM335" t="s">
        <v>68</v>
      </c>
      <c r="BN335" t="s">
        <v>68</v>
      </c>
      <c r="BO335" t="s">
        <v>96</v>
      </c>
      <c r="BP335">
        <v>0</v>
      </c>
      <c r="BQ335" t="s">
        <v>68</v>
      </c>
      <c r="BR335" t="s">
        <v>68</v>
      </c>
      <c r="BS335" t="s">
        <v>68</v>
      </c>
    </row>
    <row r="336" spans="1:71" x14ac:dyDescent="0.35">
      <c r="A336" t="b">
        <f>ISNUMBER(MATCH(ChargentOrders[[#This Row],[Contract__c]],Contract[Id],0))</f>
        <v>1</v>
      </c>
      <c r="B336">
        <f>IFERROR(INDEX(Contract[CB_Subscription__c],MATCH(ChargentOrders[[#This Row],[Contract__c]],Contract[Id],0)),0)</f>
        <v>0</v>
      </c>
      <c r="C336" t="b">
        <f>ISNUMBER(MATCH(ChargentOrders[[#This Row],[Id]],Claude[Id],0))</f>
        <v>1</v>
      </c>
      <c r="D336" t="b">
        <f>AND(ChargentOrders[[#This Row],[_Contract]],ChargentOrders[[#This Row],[CB Subscription]]=0)</f>
        <v>1</v>
      </c>
      <c r="E336" s="38">
        <f>INDEX(Table5[CUENTA],MATCH(ChargentOrders[[#This Row],[Contract__c]],Table5[SM_Contract__c],0))</f>
        <v>46172</v>
      </c>
      <c r="F336" s="38" t="str">
        <f ca="1">INDEX(Table5[ESTADO],MATCH(ChargentOrders[[#This Row],[Contract__c]],Table5[SM_Contract__c],0))</f>
        <v>DEBE 2</v>
      </c>
      <c r="G336" t="s">
        <v>1300</v>
      </c>
      <c r="H336" t="s">
        <v>78</v>
      </c>
      <c r="I336" t="s">
        <v>1301</v>
      </c>
      <c r="J336" s="1">
        <v>46177.720625000002</v>
      </c>
      <c r="K336">
        <v>11</v>
      </c>
      <c r="L336">
        <v>2029</v>
      </c>
      <c r="M336" t="s">
        <v>1514</v>
      </c>
      <c r="N336">
        <v>11</v>
      </c>
      <c r="O336" t="s">
        <v>1531</v>
      </c>
      <c r="P336" t="s">
        <v>73</v>
      </c>
      <c r="Q336">
        <v>2029</v>
      </c>
      <c r="R336">
        <v>9900</v>
      </c>
      <c r="T336" t="s">
        <v>107</v>
      </c>
      <c r="U336" t="s">
        <v>68</v>
      </c>
      <c r="V336">
        <v>0</v>
      </c>
      <c r="W336" t="s">
        <v>69</v>
      </c>
      <c r="X336" s="5">
        <v>46212</v>
      </c>
      <c r="Y336" t="s">
        <v>84</v>
      </c>
      <c r="Z336" t="s">
        <v>68</v>
      </c>
      <c r="AA336">
        <v>9900</v>
      </c>
      <c r="AB336">
        <v>0</v>
      </c>
      <c r="AC336" t="s">
        <v>918</v>
      </c>
      <c r="AD336" t="s">
        <v>68</v>
      </c>
      <c r="AE336">
        <v>0</v>
      </c>
      <c r="AF336" s="1"/>
      <c r="AG336" s="1"/>
      <c r="AH336">
        <v>0</v>
      </c>
      <c r="AI336">
        <v>0</v>
      </c>
      <c r="AJ336">
        <v>0</v>
      </c>
      <c r="AK336" t="s">
        <v>919</v>
      </c>
      <c r="AL336" t="s">
        <v>71</v>
      </c>
      <c r="AM336" t="s">
        <v>1302</v>
      </c>
      <c r="AN336">
        <v>0</v>
      </c>
      <c r="AO336" s="1"/>
      <c r="AP336">
        <v>1</v>
      </c>
      <c r="AQ336">
        <v>0</v>
      </c>
      <c r="AR336">
        <v>0</v>
      </c>
      <c r="AS336" t="s">
        <v>75</v>
      </c>
      <c r="AT336" t="s">
        <v>68</v>
      </c>
      <c r="AU336">
        <v>0</v>
      </c>
      <c r="AV336" t="s">
        <v>68</v>
      </c>
      <c r="AW336">
        <v>0</v>
      </c>
      <c r="AX336" s="1"/>
      <c r="AY336">
        <v>0</v>
      </c>
      <c r="AZ336" t="s">
        <v>68</v>
      </c>
      <c r="BA336" t="s">
        <v>68</v>
      </c>
      <c r="BB336" t="s">
        <v>68</v>
      </c>
      <c r="BC336" t="s">
        <v>68</v>
      </c>
      <c r="BD336">
        <v>0</v>
      </c>
      <c r="BE336" s="1"/>
      <c r="BF336" s="1"/>
      <c r="BG336" t="s">
        <v>68</v>
      </c>
      <c r="BH336" t="s">
        <v>68</v>
      </c>
      <c r="BI336" t="s">
        <v>68</v>
      </c>
      <c r="BJ336" t="s">
        <v>68</v>
      </c>
      <c r="BK336" t="s">
        <v>68</v>
      </c>
      <c r="BL336" t="s">
        <v>68</v>
      </c>
      <c r="BM336" t="s">
        <v>68</v>
      </c>
      <c r="BN336" t="s">
        <v>68</v>
      </c>
      <c r="BO336" t="s">
        <v>96</v>
      </c>
      <c r="BP336">
        <v>0</v>
      </c>
      <c r="BQ336" t="s">
        <v>68</v>
      </c>
      <c r="BR336" t="s">
        <v>68</v>
      </c>
      <c r="BS336" t="s">
        <v>164</v>
      </c>
    </row>
    <row r="337" spans="1:71" x14ac:dyDescent="0.35">
      <c r="A337" t="b">
        <f>ISNUMBER(MATCH(ChargentOrders[[#This Row],[Contract__c]],Contract[Id],0))</f>
        <v>1</v>
      </c>
      <c r="B337">
        <f>IFERROR(INDEX(Contract[CB_Subscription__c],MATCH(ChargentOrders[[#This Row],[Contract__c]],Contract[Id],0)),0)</f>
        <v>0</v>
      </c>
      <c r="C337" t="b">
        <f>ISNUMBER(MATCH(ChargentOrders[[#This Row],[Id]],Claude[Id],0))</f>
        <v>1</v>
      </c>
      <c r="D337" t="b">
        <f>AND(ChargentOrders[[#This Row],[_Contract]],ChargentOrders[[#This Row],[CB Subscription]]=0)</f>
        <v>1</v>
      </c>
      <c r="E337" s="38">
        <f>INDEX(Table5[CUENTA],MATCH(ChargentOrders[[#This Row],[Contract__c]],Table5[SM_Contract__c],0))</f>
        <v>46172</v>
      </c>
      <c r="F337" s="38" t="str">
        <f ca="1">INDEX(Table5[ESTADO],MATCH(ChargentOrders[[#This Row],[Contract__c]],Table5[SM_Contract__c],0))</f>
        <v>DEBE 2</v>
      </c>
      <c r="G337" t="s">
        <v>1303</v>
      </c>
      <c r="H337" t="s">
        <v>78</v>
      </c>
      <c r="I337" t="s">
        <v>1304</v>
      </c>
      <c r="J337" s="1">
        <v>46177.720717592594</v>
      </c>
      <c r="K337">
        <v>11</v>
      </c>
      <c r="L337">
        <v>2029</v>
      </c>
      <c r="M337" t="s">
        <v>1514</v>
      </c>
      <c r="N337">
        <v>11</v>
      </c>
      <c r="O337" t="s">
        <v>1531</v>
      </c>
      <c r="P337" t="s">
        <v>73</v>
      </c>
      <c r="Q337">
        <v>2029</v>
      </c>
      <c r="R337">
        <v>9900</v>
      </c>
      <c r="T337" t="s">
        <v>107</v>
      </c>
      <c r="U337" t="s">
        <v>68</v>
      </c>
      <c r="V337">
        <v>0</v>
      </c>
      <c r="W337" t="s">
        <v>69</v>
      </c>
      <c r="X337" s="5">
        <v>46212</v>
      </c>
      <c r="Y337" t="s">
        <v>84</v>
      </c>
      <c r="Z337" t="s">
        <v>68</v>
      </c>
      <c r="AA337">
        <v>9900</v>
      </c>
      <c r="AB337">
        <v>0</v>
      </c>
      <c r="AC337" t="s">
        <v>918</v>
      </c>
      <c r="AD337" t="s">
        <v>68</v>
      </c>
      <c r="AE337">
        <v>0</v>
      </c>
      <c r="AF337" s="1"/>
      <c r="AG337" s="1"/>
      <c r="AH337">
        <v>0</v>
      </c>
      <c r="AI337">
        <v>0</v>
      </c>
      <c r="AJ337">
        <v>0</v>
      </c>
      <c r="AK337" t="s">
        <v>919</v>
      </c>
      <c r="AL337" t="s">
        <v>71</v>
      </c>
      <c r="AM337" t="s">
        <v>1302</v>
      </c>
      <c r="AN337">
        <v>0</v>
      </c>
      <c r="AO337" s="1"/>
      <c r="AP337">
        <v>1</v>
      </c>
      <c r="AQ337">
        <v>0</v>
      </c>
      <c r="AR337">
        <v>0</v>
      </c>
      <c r="AS337" t="s">
        <v>75</v>
      </c>
      <c r="AT337" t="s">
        <v>68</v>
      </c>
      <c r="AU337">
        <v>0</v>
      </c>
      <c r="AV337" t="s">
        <v>68</v>
      </c>
      <c r="AW337">
        <v>0</v>
      </c>
      <c r="AX337" s="1"/>
      <c r="AY337">
        <v>0</v>
      </c>
      <c r="AZ337" t="s">
        <v>68</v>
      </c>
      <c r="BA337" t="s">
        <v>68</v>
      </c>
      <c r="BB337" t="s">
        <v>68</v>
      </c>
      <c r="BC337" t="s">
        <v>68</v>
      </c>
      <c r="BD337">
        <v>0</v>
      </c>
      <c r="BE337" s="1"/>
      <c r="BF337" s="1"/>
      <c r="BG337" t="s">
        <v>68</v>
      </c>
      <c r="BH337" t="s">
        <v>68</v>
      </c>
      <c r="BI337" t="s">
        <v>68</v>
      </c>
      <c r="BJ337" t="s">
        <v>68</v>
      </c>
      <c r="BK337" t="s">
        <v>68</v>
      </c>
      <c r="BL337" t="s">
        <v>68</v>
      </c>
      <c r="BM337" t="s">
        <v>68</v>
      </c>
      <c r="BN337" t="s">
        <v>68</v>
      </c>
      <c r="BO337" t="s">
        <v>96</v>
      </c>
      <c r="BP337">
        <v>0</v>
      </c>
      <c r="BQ337" t="s">
        <v>68</v>
      </c>
      <c r="BR337" t="s">
        <v>68</v>
      </c>
      <c r="BS337" t="s">
        <v>279</v>
      </c>
    </row>
    <row r="338" spans="1:71" x14ac:dyDescent="0.35">
      <c r="A338" t="b">
        <f>ISNUMBER(MATCH(ChargentOrders[[#This Row],[Contract__c]],Contract[Id],0))</f>
        <v>1</v>
      </c>
      <c r="B338">
        <f>IFERROR(INDEX(Contract[CB_Subscription__c],MATCH(ChargentOrders[[#This Row],[Contract__c]],Contract[Id],0)),0)</f>
        <v>0</v>
      </c>
      <c r="C338" t="b">
        <f>ISNUMBER(MATCH(ChargentOrders[[#This Row],[Id]],Claude[Id],0))</f>
        <v>1</v>
      </c>
      <c r="D338" t="b">
        <f>AND(ChargentOrders[[#This Row],[_Contract]],ChargentOrders[[#This Row],[CB Subscription]]=0)</f>
        <v>1</v>
      </c>
      <c r="E338" s="38">
        <f>INDEX(Table5[CUENTA],MATCH(ChargentOrders[[#This Row],[Contract__c]],Table5[SM_Contract__c],0))</f>
        <v>46172</v>
      </c>
      <c r="F338" s="38" t="str">
        <f ca="1">INDEX(Table5[ESTADO],MATCH(ChargentOrders[[#This Row],[Contract__c]],Table5[SM_Contract__c],0))</f>
        <v>DEBE 2</v>
      </c>
      <c r="G338" t="s">
        <v>1321</v>
      </c>
      <c r="H338" t="s">
        <v>79</v>
      </c>
      <c r="I338" t="s">
        <v>1322</v>
      </c>
      <c r="J338" s="1">
        <v>46189.551493055558</v>
      </c>
      <c r="K338">
        <v>11</v>
      </c>
      <c r="L338">
        <v>2029</v>
      </c>
      <c r="M338" t="s">
        <v>1514</v>
      </c>
      <c r="N338">
        <v>11</v>
      </c>
      <c r="O338" t="s">
        <v>68</v>
      </c>
      <c r="P338" t="s">
        <v>73</v>
      </c>
      <c r="Q338">
        <v>2029</v>
      </c>
      <c r="R338">
        <v>1.24E+20</v>
      </c>
      <c r="T338" t="s">
        <v>107</v>
      </c>
      <c r="U338" t="s">
        <v>68</v>
      </c>
      <c r="V338">
        <v>0</v>
      </c>
      <c r="W338" t="s">
        <v>69</v>
      </c>
      <c r="X338" s="5">
        <v>46198</v>
      </c>
      <c r="Y338" t="s">
        <v>74</v>
      </c>
      <c r="Z338" t="s">
        <v>68</v>
      </c>
      <c r="AA338">
        <v>12400</v>
      </c>
      <c r="AB338">
        <v>0</v>
      </c>
      <c r="AC338" t="s">
        <v>918</v>
      </c>
      <c r="AD338" t="s">
        <v>68</v>
      </c>
      <c r="AE338">
        <v>0</v>
      </c>
      <c r="AF338" s="1">
        <v>46198.422858796293</v>
      </c>
      <c r="AG338" s="1">
        <v>46198.422905092593</v>
      </c>
      <c r="AH338">
        <v>1</v>
      </c>
      <c r="AI338">
        <v>3</v>
      </c>
      <c r="AJ338">
        <v>1240</v>
      </c>
      <c r="AK338" t="s">
        <v>919</v>
      </c>
      <c r="AL338" t="s">
        <v>71</v>
      </c>
      <c r="AM338" t="s">
        <v>68</v>
      </c>
      <c r="AN338">
        <v>0</v>
      </c>
      <c r="AO338" s="1"/>
      <c r="AP338">
        <v>3</v>
      </c>
      <c r="AQ338">
        <v>0</v>
      </c>
      <c r="AR338">
        <v>0</v>
      </c>
      <c r="AS338" t="s">
        <v>72</v>
      </c>
      <c r="AT338" t="s">
        <v>68</v>
      </c>
      <c r="AU338">
        <v>1</v>
      </c>
      <c r="AV338" t="s">
        <v>1323</v>
      </c>
      <c r="AW338">
        <v>0</v>
      </c>
      <c r="AX338" s="1">
        <v>46059.43074074074</v>
      </c>
      <c r="AY338">
        <v>2500</v>
      </c>
      <c r="AZ338" t="s">
        <v>68</v>
      </c>
      <c r="BA338" t="s">
        <v>101</v>
      </c>
      <c r="BB338" t="s">
        <v>68</v>
      </c>
      <c r="BC338" t="s">
        <v>68</v>
      </c>
      <c r="BD338">
        <v>0</v>
      </c>
      <c r="BE338" s="1"/>
      <c r="BF338" s="1">
        <v>46198.422858796293</v>
      </c>
      <c r="BG338" t="s">
        <v>68</v>
      </c>
      <c r="BH338" t="s">
        <v>68</v>
      </c>
      <c r="BI338" t="s">
        <v>68</v>
      </c>
      <c r="BJ338" t="s">
        <v>68</v>
      </c>
      <c r="BK338" t="s">
        <v>68</v>
      </c>
      <c r="BL338" t="s">
        <v>68</v>
      </c>
      <c r="BM338" t="s">
        <v>68</v>
      </c>
      <c r="BN338" t="s">
        <v>68</v>
      </c>
      <c r="BO338" t="s">
        <v>96</v>
      </c>
      <c r="BP338">
        <v>0</v>
      </c>
      <c r="BQ338" t="s">
        <v>68</v>
      </c>
      <c r="BR338" t="s">
        <v>68</v>
      </c>
      <c r="BS338" t="s">
        <v>68</v>
      </c>
    </row>
    <row r="339" spans="1:71" x14ac:dyDescent="0.35">
      <c r="A339" t="b">
        <f>ISNUMBER(MATCH(ChargentOrders[[#This Row],[Contract__c]],Contract[Id],0))</f>
        <v>1</v>
      </c>
      <c r="B339">
        <f>IFERROR(INDEX(Contract[CB_Subscription__c],MATCH(ChargentOrders[[#This Row],[Contract__c]],Contract[Id],0)),0)</f>
        <v>0</v>
      </c>
      <c r="C339" t="b">
        <f>ISNUMBER(MATCH(ChargentOrders[[#This Row],[Id]],Claude[Id],0))</f>
        <v>1</v>
      </c>
      <c r="D339" t="b">
        <f>AND(ChargentOrders[[#This Row],[_Contract]],ChargentOrders[[#This Row],[CB Subscription]]=0)</f>
        <v>1</v>
      </c>
      <c r="E339" s="38">
        <f>INDEX(Table5[CUENTA],MATCH(ChargentOrders[[#This Row],[Contract__c]],Table5[SM_Contract__c],0))</f>
        <v>46172</v>
      </c>
      <c r="F339" s="38" t="str">
        <f ca="1">INDEX(Table5[ESTADO],MATCH(ChargentOrders[[#This Row],[Contract__c]],Table5[SM_Contract__c],0))</f>
        <v>DEBE 2</v>
      </c>
      <c r="G339" t="s">
        <v>1354</v>
      </c>
      <c r="H339" t="s">
        <v>102</v>
      </c>
      <c r="I339" t="s">
        <v>1355</v>
      </c>
      <c r="J339" s="1">
        <v>46203.416944444441</v>
      </c>
      <c r="K339">
        <v>6</v>
      </c>
      <c r="L339">
        <v>2030</v>
      </c>
      <c r="M339" t="s">
        <v>1414</v>
      </c>
      <c r="N339">
        <v>6</v>
      </c>
      <c r="O339" t="s">
        <v>1414</v>
      </c>
      <c r="P339" t="s">
        <v>73</v>
      </c>
      <c r="Q339">
        <v>2030</v>
      </c>
      <c r="R339">
        <v>1000</v>
      </c>
      <c r="T339" t="s">
        <v>67</v>
      </c>
      <c r="U339" t="s">
        <v>68</v>
      </c>
      <c r="V339">
        <v>0</v>
      </c>
      <c r="W339" t="s">
        <v>69</v>
      </c>
      <c r="X339" s="5">
        <v>46213</v>
      </c>
      <c r="Y339" t="s">
        <v>90</v>
      </c>
      <c r="Z339" t="s">
        <v>68</v>
      </c>
      <c r="AA339">
        <v>10000</v>
      </c>
      <c r="AB339">
        <v>0</v>
      </c>
      <c r="AC339" t="s">
        <v>147</v>
      </c>
      <c r="AD339" t="s">
        <v>68</v>
      </c>
      <c r="AE339">
        <v>0</v>
      </c>
      <c r="AF339" s="1"/>
      <c r="AG339" s="1"/>
      <c r="AH339">
        <v>0</v>
      </c>
      <c r="AI339">
        <v>5</v>
      </c>
      <c r="AJ339">
        <v>0</v>
      </c>
      <c r="AK339" t="s">
        <v>112</v>
      </c>
      <c r="AL339" t="s">
        <v>71</v>
      </c>
      <c r="AM339" t="s">
        <v>68</v>
      </c>
      <c r="AN339">
        <v>0</v>
      </c>
      <c r="AO339" s="1"/>
      <c r="AQ339">
        <v>0</v>
      </c>
      <c r="AR339">
        <v>0</v>
      </c>
      <c r="AS339" t="s">
        <v>72</v>
      </c>
      <c r="AT339" t="s">
        <v>68</v>
      </c>
      <c r="AU339">
        <v>1</v>
      </c>
      <c r="AV339" t="s">
        <v>1356</v>
      </c>
      <c r="AW339">
        <v>0</v>
      </c>
      <c r="AX339" s="1">
        <v>45170.864606481482</v>
      </c>
      <c r="AY339">
        <v>2500</v>
      </c>
      <c r="AZ339" t="s">
        <v>68</v>
      </c>
      <c r="BA339" t="s">
        <v>65</v>
      </c>
      <c r="BB339" t="s">
        <v>68</v>
      </c>
      <c r="BC339" t="s">
        <v>68</v>
      </c>
      <c r="BD339">
        <v>0</v>
      </c>
      <c r="BE339" s="1">
        <v>46216.995925925927</v>
      </c>
      <c r="BF339" s="1">
        <v>46216.995925925927</v>
      </c>
      <c r="BG339" t="s">
        <v>68</v>
      </c>
      <c r="BH339" t="s">
        <v>68</v>
      </c>
      <c r="BI339" t="s">
        <v>68</v>
      </c>
      <c r="BJ339" t="s">
        <v>68</v>
      </c>
      <c r="BK339" t="s">
        <v>68</v>
      </c>
      <c r="BL339" t="s">
        <v>68</v>
      </c>
      <c r="BM339" t="s">
        <v>68</v>
      </c>
      <c r="BN339" t="s">
        <v>68</v>
      </c>
      <c r="BO339" t="s">
        <v>96</v>
      </c>
      <c r="BP339">
        <v>0</v>
      </c>
      <c r="BQ339" t="s">
        <v>68</v>
      </c>
      <c r="BR339" t="s">
        <v>68</v>
      </c>
      <c r="BS339" t="s">
        <v>68</v>
      </c>
    </row>
    <row r="340" spans="1:71" x14ac:dyDescent="0.35">
      <c r="A340" t="b">
        <f>ISNUMBER(MATCH(ChargentOrders[[#This Row],[Contract__c]],Contract[Id],0))</f>
        <v>1</v>
      </c>
      <c r="B340">
        <f>IFERROR(INDEX(Contract[CB_Subscription__c],MATCH(ChargentOrders[[#This Row],[Contract__c]],Contract[Id],0)),0)</f>
        <v>0</v>
      </c>
      <c r="C340" t="b">
        <f>ISNUMBER(MATCH(ChargentOrders[[#This Row],[Id]],Claude[Id],0))</f>
        <v>1</v>
      </c>
      <c r="D340" t="b">
        <f>AND(ChargentOrders[[#This Row],[_Contract]],ChargentOrders[[#This Row],[CB Subscription]]=0)</f>
        <v>1</v>
      </c>
      <c r="E340" s="38">
        <f>INDEX(Table5[CUENTA],MATCH(ChargentOrders[[#This Row],[Contract__c]],Table5[SM_Contract__c],0))</f>
        <v>46179</v>
      </c>
      <c r="F340" s="38" t="str">
        <f ca="1">INDEX(Table5[ESTADO],MATCH(ChargentOrders[[#This Row],[Contract__c]],Table5[SM_Contract__c],0))</f>
        <v>DEBE 1</v>
      </c>
      <c r="G340" t="s">
        <v>700</v>
      </c>
      <c r="H340" t="s">
        <v>155</v>
      </c>
      <c r="I340" t="s">
        <v>701</v>
      </c>
      <c r="J340" s="1">
        <v>46024.840138888889</v>
      </c>
      <c r="K340">
        <v>12</v>
      </c>
      <c r="L340">
        <v>2030</v>
      </c>
      <c r="M340" t="s">
        <v>1424</v>
      </c>
      <c r="N340">
        <v>12</v>
      </c>
      <c r="O340" t="s">
        <v>1489</v>
      </c>
      <c r="P340" t="s">
        <v>73</v>
      </c>
      <c r="Q340">
        <v>2030</v>
      </c>
      <c r="R340">
        <v>0</v>
      </c>
      <c r="T340" t="s">
        <v>67</v>
      </c>
      <c r="U340" t="s">
        <v>68</v>
      </c>
      <c r="V340">
        <v>0</v>
      </c>
      <c r="W340" t="s">
        <v>69</v>
      </c>
      <c r="X340" s="5"/>
      <c r="Y340" t="s">
        <v>68</v>
      </c>
      <c r="Z340" t="s">
        <v>68</v>
      </c>
      <c r="AA340">
        <v>0</v>
      </c>
      <c r="AC340" t="s">
        <v>702</v>
      </c>
      <c r="AD340" t="s">
        <v>68</v>
      </c>
      <c r="AE340">
        <v>0</v>
      </c>
      <c r="AF340" s="1"/>
      <c r="AG340" s="1">
        <v>46024.840162037035</v>
      </c>
      <c r="AH340">
        <v>0</v>
      </c>
      <c r="AI340">
        <v>1</v>
      </c>
      <c r="AJ340">
        <v>0</v>
      </c>
      <c r="AK340" t="s">
        <v>703</v>
      </c>
      <c r="AL340" t="s">
        <v>68</v>
      </c>
      <c r="AM340" t="s">
        <v>68</v>
      </c>
      <c r="AN340">
        <v>0</v>
      </c>
      <c r="AO340" s="1"/>
      <c r="AP340">
        <v>1</v>
      </c>
      <c r="AS340" t="s">
        <v>75</v>
      </c>
      <c r="AT340" t="s">
        <v>68</v>
      </c>
      <c r="AU340">
        <v>0</v>
      </c>
      <c r="AV340" t="s">
        <v>68</v>
      </c>
      <c r="AW340">
        <v>1</v>
      </c>
      <c r="AX340" s="1"/>
      <c r="AZ340" t="s">
        <v>68</v>
      </c>
      <c r="BA340" t="s">
        <v>68</v>
      </c>
      <c r="BB340" t="s">
        <v>68</v>
      </c>
      <c r="BC340" t="s">
        <v>68</v>
      </c>
      <c r="BD340">
        <v>0</v>
      </c>
      <c r="BE340" s="1"/>
      <c r="BF340" s="1">
        <v>46024.840162037035</v>
      </c>
      <c r="BG340" t="s">
        <v>68</v>
      </c>
      <c r="BH340" t="s">
        <v>68</v>
      </c>
      <c r="BI340" t="s">
        <v>68</v>
      </c>
      <c r="BJ340" t="s">
        <v>68</v>
      </c>
      <c r="BK340" t="s">
        <v>68</v>
      </c>
      <c r="BL340" t="s">
        <v>68</v>
      </c>
      <c r="BM340" t="s">
        <v>68</v>
      </c>
      <c r="BN340" t="s">
        <v>68</v>
      </c>
      <c r="BO340" t="s">
        <v>96</v>
      </c>
      <c r="BP340">
        <v>0</v>
      </c>
      <c r="BQ340" t="s">
        <v>68</v>
      </c>
      <c r="BR340" t="s">
        <v>68</v>
      </c>
      <c r="BS340" t="s">
        <v>68</v>
      </c>
    </row>
    <row r="341" spans="1:71" x14ac:dyDescent="0.35">
      <c r="A341" t="b">
        <f>ISNUMBER(MATCH(ChargentOrders[[#This Row],[Contract__c]],Contract[Id],0))</f>
        <v>1</v>
      </c>
      <c r="B341">
        <f>IFERROR(INDEX(Contract[CB_Subscription__c],MATCH(ChargentOrders[[#This Row],[Contract__c]],Contract[Id],0)),0)</f>
        <v>0</v>
      </c>
      <c r="C341" t="b">
        <f>ISNUMBER(MATCH(ChargentOrders[[#This Row],[Id]],Claude[Id],0))</f>
        <v>1</v>
      </c>
      <c r="D341" t="b">
        <f>AND(ChargentOrders[[#This Row],[_Contract]],ChargentOrders[[#This Row],[CB Subscription]]=0)</f>
        <v>1</v>
      </c>
      <c r="E341" s="38">
        <f>INDEX(Table5[CUENTA],MATCH(ChargentOrders[[#This Row],[Contract__c]],Table5[SM_Contract__c],0))</f>
        <v>46179</v>
      </c>
      <c r="F341" s="38" t="str">
        <f ca="1">INDEX(Table5[ESTADO],MATCH(ChargentOrders[[#This Row],[Contract__c]],Table5[SM_Contract__c],0))</f>
        <v>DEBE 1</v>
      </c>
      <c r="G341" t="s">
        <v>704</v>
      </c>
      <c r="H341" t="s">
        <v>155</v>
      </c>
      <c r="I341" t="s">
        <v>705</v>
      </c>
      <c r="J341" s="1">
        <v>46024.841134259259</v>
      </c>
      <c r="K341">
        <v>12</v>
      </c>
      <c r="L341">
        <v>2030</v>
      </c>
      <c r="M341" t="s">
        <v>1424</v>
      </c>
      <c r="N341">
        <v>12</v>
      </c>
      <c r="O341" t="s">
        <v>1489</v>
      </c>
      <c r="P341" t="s">
        <v>73</v>
      </c>
      <c r="Q341">
        <v>2030</v>
      </c>
      <c r="R341">
        <v>990</v>
      </c>
      <c r="T341" t="s">
        <v>67</v>
      </c>
      <c r="U341" t="s">
        <v>68</v>
      </c>
      <c r="V341">
        <v>0</v>
      </c>
      <c r="W341" t="s">
        <v>69</v>
      </c>
      <c r="X341" s="5">
        <v>46024</v>
      </c>
      <c r="Y341" t="s">
        <v>74</v>
      </c>
      <c r="Z341" t="s">
        <v>68</v>
      </c>
      <c r="AA341">
        <v>9900</v>
      </c>
      <c r="AB341">
        <v>0</v>
      </c>
      <c r="AC341" t="s">
        <v>702</v>
      </c>
      <c r="AD341" t="s">
        <v>68</v>
      </c>
      <c r="AE341">
        <v>0</v>
      </c>
      <c r="AF341" s="1">
        <v>46024.841493055559</v>
      </c>
      <c r="AG341" s="1">
        <v>46024.841493055559</v>
      </c>
      <c r="AH341">
        <v>1</v>
      </c>
      <c r="AI341">
        <v>1</v>
      </c>
      <c r="AJ341">
        <v>990</v>
      </c>
      <c r="AK341" t="s">
        <v>703</v>
      </c>
      <c r="AL341" t="s">
        <v>77</v>
      </c>
      <c r="AM341" t="s">
        <v>68</v>
      </c>
      <c r="AN341">
        <v>0</v>
      </c>
      <c r="AO341" s="1"/>
      <c r="AP341">
        <v>1</v>
      </c>
      <c r="AQ341">
        <v>0</v>
      </c>
      <c r="AR341">
        <v>0</v>
      </c>
      <c r="AS341" t="s">
        <v>75</v>
      </c>
      <c r="AT341" t="s">
        <v>68</v>
      </c>
      <c r="AU341">
        <v>0</v>
      </c>
      <c r="AV341" t="s">
        <v>68</v>
      </c>
      <c r="AW341">
        <v>0</v>
      </c>
      <c r="AX341" s="1"/>
      <c r="AZ341" t="s">
        <v>68</v>
      </c>
      <c r="BA341" t="s">
        <v>68</v>
      </c>
      <c r="BB341" t="s">
        <v>68</v>
      </c>
      <c r="BC341" t="s">
        <v>68</v>
      </c>
      <c r="BD341">
        <v>0</v>
      </c>
      <c r="BE341" s="1"/>
      <c r="BF341" s="1">
        <v>46024.841493055559</v>
      </c>
      <c r="BG341" t="s">
        <v>68</v>
      </c>
      <c r="BH341" t="s">
        <v>68</v>
      </c>
      <c r="BI341" t="s">
        <v>68</v>
      </c>
      <c r="BJ341" t="s">
        <v>68</v>
      </c>
      <c r="BK341" t="s">
        <v>68</v>
      </c>
      <c r="BL341" t="s">
        <v>68</v>
      </c>
      <c r="BM341" t="s">
        <v>68</v>
      </c>
      <c r="BN341" t="s">
        <v>68</v>
      </c>
      <c r="BO341" t="s">
        <v>96</v>
      </c>
      <c r="BP341">
        <v>0</v>
      </c>
      <c r="BQ341" t="s">
        <v>68</v>
      </c>
      <c r="BR341" t="s">
        <v>68</v>
      </c>
      <c r="BS341" t="s">
        <v>68</v>
      </c>
    </row>
    <row r="342" spans="1:71" x14ac:dyDescent="0.35">
      <c r="A342" t="b">
        <f>ISNUMBER(MATCH(ChargentOrders[[#This Row],[Contract__c]],Contract[Id],0))</f>
        <v>1</v>
      </c>
      <c r="B342">
        <f>IFERROR(INDEX(Contract[CB_Subscription__c],MATCH(ChargentOrders[[#This Row],[Contract__c]],Contract[Id],0)),0)</f>
        <v>0</v>
      </c>
      <c r="C342" t="b">
        <f>ISNUMBER(MATCH(ChargentOrders[[#This Row],[Id]],Claude[Id],0))</f>
        <v>1</v>
      </c>
      <c r="D342" t="b">
        <f>AND(ChargentOrders[[#This Row],[_Contract]],ChargentOrders[[#This Row],[CB Subscription]]=0)</f>
        <v>1</v>
      </c>
      <c r="E342" s="38">
        <f>INDEX(Table5[CUENTA],MATCH(ChargentOrders[[#This Row],[Contract__c]],Table5[SM_Contract__c],0))</f>
        <v>46179</v>
      </c>
      <c r="F342" s="38" t="str">
        <f ca="1">INDEX(Table5[ESTADO],MATCH(ChargentOrders[[#This Row],[Contract__c]],Table5[SM_Contract__c],0))</f>
        <v>DEBE 1</v>
      </c>
      <c r="G342" t="s">
        <v>706</v>
      </c>
      <c r="H342" t="s">
        <v>155</v>
      </c>
      <c r="I342" t="s">
        <v>707</v>
      </c>
      <c r="J342" s="1">
        <v>46024.841527777775</v>
      </c>
      <c r="K342">
        <v>12</v>
      </c>
      <c r="L342">
        <v>2030</v>
      </c>
      <c r="M342" t="s">
        <v>1424</v>
      </c>
      <c r="N342">
        <v>12</v>
      </c>
      <c r="O342" t="s">
        <v>1424</v>
      </c>
      <c r="P342" t="s">
        <v>73</v>
      </c>
      <c r="Q342">
        <v>2030</v>
      </c>
      <c r="R342">
        <v>9900</v>
      </c>
      <c r="S342">
        <v>5</v>
      </c>
      <c r="T342" t="s">
        <v>67</v>
      </c>
      <c r="U342" t="s">
        <v>68</v>
      </c>
      <c r="V342">
        <v>0</v>
      </c>
      <c r="W342" t="s">
        <v>69</v>
      </c>
      <c r="X342" s="5">
        <v>46178</v>
      </c>
      <c r="Y342" t="s">
        <v>613</v>
      </c>
      <c r="Z342" t="s">
        <v>68</v>
      </c>
      <c r="AA342">
        <v>9900</v>
      </c>
      <c r="AB342">
        <v>0</v>
      </c>
      <c r="AC342" t="s">
        <v>702</v>
      </c>
      <c r="AD342" t="s">
        <v>68</v>
      </c>
      <c r="AE342">
        <v>0</v>
      </c>
      <c r="AF342" s="1">
        <v>46148.417118055557</v>
      </c>
      <c r="AG342" s="1">
        <v>46148.417118055557</v>
      </c>
      <c r="AH342">
        <v>3</v>
      </c>
      <c r="AI342">
        <v>4</v>
      </c>
      <c r="AJ342">
        <v>2970</v>
      </c>
      <c r="AK342" t="s">
        <v>703</v>
      </c>
      <c r="AL342" t="s">
        <v>76</v>
      </c>
      <c r="AM342" t="s">
        <v>68</v>
      </c>
      <c r="AN342">
        <v>0</v>
      </c>
      <c r="AO342" s="1"/>
      <c r="AP342">
        <v>5</v>
      </c>
      <c r="AQ342">
        <v>0</v>
      </c>
      <c r="AR342">
        <v>0</v>
      </c>
      <c r="AS342" t="s">
        <v>75</v>
      </c>
      <c r="AT342" t="s">
        <v>68</v>
      </c>
      <c r="AU342">
        <v>0</v>
      </c>
      <c r="AV342" t="s">
        <v>68</v>
      </c>
      <c r="AW342">
        <v>0</v>
      </c>
      <c r="AX342" s="1"/>
      <c r="AZ342" t="s">
        <v>68</v>
      </c>
      <c r="BA342" t="s">
        <v>68</v>
      </c>
      <c r="BB342" t="s">
        <v>68</v>
      </c>
      <c r="BC342" t="s">
        <v>68</v>
      </c>
      <c r="BD342">
        <v>0</v>
      </c>
      <c r="BE342" s="1">
        <v>46059.424664351849</v>
      </c>
      <c r="BF342" s="1">
        <v>46148.417118055557</v>
      </c>
      <c r="BG342" t="s">
        <v>68</v>
      </c>
      <c r="BH342" t="s">
        <v>68</v>
      </c>
      <c r="BI342" t="s">
        <v>68</v>
      </c>
      <c r="BJ342" t="s">
        <v>68</v>
      </c>
      <c r="BK342" t="s">
        <v>68</v>
      </c>
      <c r="BL342" t="s">
        <v>68</v>
      </c>
      <c r="BM342" t="s">
        <v>68</v>
      </c>
      <c r="BN342" t="s">
        <v>68</v>
      </c>
      <c r="BO342" t="s">
        <v>96</v>
      </c>
      <c r="BP342">
        <v>0</v>
      </c>
      <c r="BQ342" t="s">
        <v>68</v>
      </c>
      <c r="BR342" t="s">
        <v>68</v>
      </c>
      <c r="BS342" t="s">
        <v>68</v>
      </c>
    </row>
    <row r="343" spans="1:71" x14ac:dyDescent="0.35">
      <c r="A343" t="b">
        <f>ISNUMBER(MATCH(ChargentOrders[[#This Row],[Contract__c]],Contract[Id],0))</f>
        <v>1</v>
      </c>
      <c r="B343">
        <f>IFERROR(INDEX(Contract[CB_Subscription__c],MATCH(ChargentOrders[[#This Row],[Contract__c]],Contract[Id],0)),0)</f>
        <v>0</v>
      </c>
      <c r="C343" t="b">
        <f>ISNUMBER(MATCH(ChargentOrders[[#This Row],[Id]],Claude[Id],0))</f>
        <v>1</v>
      </c>
      <c r="D343" t="b">
        <f>AND(ChargentOrders[[#This Row],[_Contract]],ChargentOrders[[#This Row],[CB Subscription]]=0)</f>
        <v>1</v>
      </c>
      <c r="E343" s="38">
        <f>INDEX(Table5[CUENTA],MATCH(ChargentOrders[[#This Row],[Contract__c]],Table5[SM_Contract__c],0))</f>
        <v>46179</v>
      </c>
      <c r="F343" s="38" t="str">
        <f ca="1">INDEX(Table5[ESTADO],MATCH(ChargentOrders[[#This Row],[Contract__c]],Table5[SM_Contract__c],0))</f>
        <v>DEBE 1</v>
      </c>
      <c r="G343" t="s">
        <v>922</v>
      </c>
      <c r="H343" t="s">
        <v>155</v>
      </c>
      <c r="I343" t="s">
        <v>923</v>
      </c>
      <c r="J343" s="1">
        <v>46059.424699074072</v>
      </c>
      <c r="K343">
        <v>12</v>
      </c>
      <c r="L343">
        <v>2030</v>
      </c>
      <c r="M343" t="s">
        <v>1424</v>
      </c>
      <c r="N343">
        <v>12</v>
      </c>
      <c r="O343" t="s">
        <v>1489</v>
      </c>
      <c r="P343" t="s">
        <v>73</v>
      </c>
      <c r="Q343">
        <v>2030</v>
      </c>
      <c r="R343">
        <v>12400</v>
      </c>
      <c r="T343" t="s">
        <v>67</v>
      </c>
      <c r="U343" t="s">
        <v>68</v>
      </c>
      <c r="V343">
        <v>0</v>
      </c>
      <c r="W343" t="s">
        <v>69</v>
      </c>
      <c r="X343" s="5">
        <v>46062</v>
      </c>
      <c r="Y343" t="s">
        <v>74</v>
      </c>
      <c r="Z343" t="s">
        <v>68</v>
      </c>
      <c r="AA343">
        <v>12400</v>
      </c>
      <c r="AB343">
        <v>0</v>
      </c>
      <c r="AC343" t="s">
        <v>702</v>
      </c>
      <c r="AD343" t="s">
        <v>68</v>
      </c>
      <c r="AE343">
        <v>0</v>
      </c>
      <c r="AF343" s="1">
        <v>46062.430023148147</v>
      </c>
      <c r="AG343" s="1">
        <v>46062.430069444446</v>
      </c>
      <c r="AH343">
        <v>1</v>
      </c>
      <c r="AI343">
        <v>1</v>
      </c>
      <c r="AJ343">
        <v>1240</v>
      </c>
      <c r="AK343" t="s">
        <v>703</v>
      </c>
      <c r="AL343" t="s">
        <v>71</v>
      </c>
      <c r="AM343" t="s">
        <v>68</v>
      </c>
      <c r="AN343">
        <v>0</v>
      </c>
      <c r="AO343" s="1"/>
      <c r="AP343">
        <v>0</v>
      </c>
      <c r="AQ343">
        <v>0</v>
      </c>
      <c r="AR343">
        <v>0</v>
      </c>
      <c r="AS343" t="s">
        <v>72</v>
      </c>
      <c r="AT343" t="s">
        <v>68</v>
      </c>
      <c r="AU343">
        <v>1</v>
      </c>
      <c r="AV343" t="s">
        <v>924</v>
      </c>
      <c r="AW343">
        <v>0</v>
      </c>
      <c r="AX343" s="1">
        <v>46024.841527777775</v>
      </c>
      <c r="AY343">
        <v>2500</v>
      </c>
      <c r="AZ343" t="s">
        <v>68</v>
      </c>
      <c r="BA343" t="s">
        <v>65</v>
      </c>
      <c r="BB343" t="s">
        <v>68</v>
      </c>
      <c r="BC343" t="s">
        <v>68</v>
      </c>
      <c r="BD343">
        <v>0</v>
      </c>
      <c r="BE343" s="1"/>
      <c r="BF343" s="1">
        <v>46062.430023148147</v>
      </c>
      <c r="BG343" t="s">
        <v>68</v>
      </c>
      <c r="BH343" t="s">
        <v>68</v>
      </c>
      <c r="BI343" t="s">
        <v>68</v>
      </c>
      <c r="BJ343" t="s">
        <v>68</v>
      </c>
      <c r="BK343" t="s">
        <v>68</v>
      </c>
      <c r="BL343" t="s">
        <v>68</v>
      </c>
      <c r="BM343" t="s">
        <v>68</v>
      </c>
      <c r="BN343" t="s">
        <v>68</v>
      </c>
      <c r="BO343" t="s">
        <v>96</v>
      </c>
      <c r="BP343">
        <v>0</v>
      </c>
      <c r="BQ343" t="s">
        <v>68</v>
      </c>
      <c r="BR343" t="s">
        <v>68</v>
      </c>
      <c r="BS343" t="s">
        <v>68</v>
      </c>
    </row>
    <row r="344" spans="1:71" x14ac:dyDescent="0.35">
      <c r="A344" t="b">
        <f>ISNUMBER(MATCH(ChargentOrders[[#This Row],[Contract__c]],Contract[Id],0))</f>
        <v>1</v>
      </c>
      <c r="B344">
        <f>IFERROR(INDEX(Contract[CB_Subscription__c],MATCH(ChargentOrders[[#This Row],[Contract__c]],Contract[Id],0)),0)</f>
        <v>0</v>
      </c>
      <c r="C344" t="b">
        <f>ISNUMBER(MATCH(ChargentOrders[[#This Row],[Id]],Claude[Id],0))</f>
        <v>1</v>
      </c>
      <c r="D344" t="b">
        <f>AND(ChargentOrders[[#This Row],[_Contract]],ChargentOrders[[#This Row],[CB Subscription]]=0)</f>
        <v>1</v>
      </c>
      <c r="E344" s="38">
        <f>INDEX(Table5[CUENTA],MATCH(ChargentOrders[[#This Row],[Contract__c]],Table5[SM_Contract__c],0))</f>
        <v>46182</v>
      </c>
      <c r="F344" s="38" t="str">
        <f ca="1">INDEX(Table5[ESTADO],MATCH(ChargentOrders[[#This Row],[Contract__c]],Table5[SM_Contract__c],0))</f>
        <v>DEBE 1</v>
      </c>
      <c r="G344" t="s">
        <v>692</v>
      </c>
      <c r="H344" t="s">
        <v>155</v>
      </c>
      <c r="I344" t="s">
        <v>693</v>
      </c>
      <c r="J344" s="1">
        <v>46021.722222222219</v>
      </c>
      <c r="K344">
        <v>8</v>
      </c>
      <c r="L344">
        <v>2030</v>
      </c>
      <c r="M344" t="s">
        <v>1487</v>
      </c>
      <c r="N344">
        <v>8</v>
      </c>
      <c r="O344" t="s">
        <v>1488</v>
      </c>
      <c r="P344" t="s">
        <v>73</v>
      </c>
      <c r="Q344">
        <v>2030</v>
      </c>
      <c r="R344">
        <v>0</v>
      </c>
      <c r="T344" t="s">
        <v>67</v>
      </c>
      <c r="U344" t="s">
        <v>68</v>
      </c>
      <c r="V344">
        <v>0</v>
      </c>
      <c r="W344" t="s">
        <v>69</v>
      </c>
      <c r="X344" s="5"/>
      <c r="Y344" t="s">
        <v>68</v>
      </c>
      <c r="Z344" t="s">
        <v>68</v>
      </c>
      <c r="AA344">
        <v>0</v>
      </c>
      <c r="AC344" t="s">
        <v>694</v>
      </c>
      <c r="AD344" t="s">
        <v>68</v>
      </c>
      <c r="AE344">
        <v>0</v>
      </c>
      <c r="AF344" s="1"/>
      <c r="AG344" s="1">
        <v>46021.722245370373</v>
      </c>
      <c r="AH344">
        <v>0</v>
      </c>
      <c r="AI344">
        <v>1</v>
      </c>
      <c r="AJ344">
        <v>0</v>
      </c>
      <c r="AK344" t="s">
        <v>695</v>
      </c>
      <c r="AL344" t="s">
        <v>68</v>
      </c>
      <c r="AM344" t="s">
        <v>68</v>
      </c>
      <c r="AN344">
        <v>0</v>
      </c>
      <c r="AO344" s="1"/>
      <c r="AP344">
        <v>1</v>
      </c>
      <c r="AS344" t="s">
        <v>75</v>
      </c>
      <c r="AT344" t="s">
        <v>68</v>
      </c>
      <c r="AU344">
        <v>0</v>
      </c>
      <c r="AV344" t="s">
        <v>68</v>
      </c>
      <c r="AW344">
        <v>1</v>
      </c>
      <c r="AX344" s="1"/>
      <c r="AZ344" t="s">
        <v>68</v>
      </c>
      <c r="BA344" t="s">
        <v>68</v>
      </c>
      <c r="BB344" t="s">
        <v>68</v>
      </c>
      <c r="BC344" t="s">
        <v>68</v>
      </c>
      <c r="BD344">
        <v>0</v>
      </c>
      <c r="BE344" s="1"/>
      <c r="BF344" s="1">
        <v>46021.722245370373</v>
      </c>
      <c r="BG344" t="s">
        <v>68</v>
      </c>
      <c r="BH344" t="s">
        <v>68</v>
      </c>
      <c r="BI344" t="s">
        <v>68</v>
      </c>
      <c r="BJ344" t="s">
        <v>68</v>
      </c>
      <c r="BK344" t="s">
        <v>68</v>
      </c>
      <c r="BL344" t="s">
        <v>68</v>
      </c>
      <c r="BM344" t="s">
        <v>68</v>
      </c>
      <c r="BN344" t="s">
        <v>68</v>
      </c>
      <c r="BO344" t="s">
        <v>96</v>
      </c>
      <c r="BP344">
        <v>0</v>
      </c>
      <c r="BQ344" t="s">
        <v>68</v>
      </c>
      <c r="BR344" t="s">
        <v>68</v>
      </c>
      <c r="BS344" t="s">
        <v>68</v>
      </c>
    </row>
    <row r="345" spans="1:71" x14ac:dyDescent="0.35">
      <c r="A345" t="b">
        <f>ISNUMBER(MATCH(ChargentOrders[[#This Row],[Contract__c]],Contract[Id],0))</f>
        <v>1</v>
      </c>
      <c r="B345">
        <f>IFERROR(INDEX(Contract[CB_Subscription__c],MATCH(ChargentOrders[[#This Row],[Contract__c]],Contract[Id],0)),0)</f>
        <v>0</v>
      </c>
      <c r="C345" t="b">
        <f>ISNUMBER(MATCH(ChargentOrders[[#This Row],[Id]],Claude[Id],0))</f>
        <v>1</v>
      </c>
      <c r="D345" t="b">
        <f>AND(ChargentOrders[[#This Row],[_Contract]],ChargentOrders[[#This Row],[CB Subscription]]=0)</f>
        <v>1</v>
      </c>
      <c r="E345" s="38">
        <f>INDEX(Table5[CUENTA],MATCH(ChargentOrders[[#This Row],[Contract__c]],Table5[SM_Contract__c],0))</f>
        <v>46182</v>
      </c>
      <c r="F345" s="38" t="str">
        <f ca="1">INDEX(Table5[ESTADO],MATCH(ChargentOrders[[#This Row],[Contract__c]],Table5[SM_Contract__c],0))</f>
        <v>DEBE 1</v>
      </c>
      <c r="G345" t="s">
        <v>696</v>
      </c>
      <c r="H345" t="s">
        <v>155</v>
      </c>
      <c r="I345" t="s">
        <v>697</v>
      </c>
      <c r="J345" s="1">
        <v>46021.723275462966</v>
      </c>
      <c r="K345">
        <v>8</v>
      </c>
      <c r="L345">
        <v>2030</v>
      </c>
      <c r="M345" t="s">
        <v>1487</v>
      </c>
      <c r="N345">
        <v>8</v>
      </c>
      <c r="O345" t="s">
        <v>1488</v>
      </c>
      <c r="P345" t="s">
        <v>73</v>
      </c>
      <c r="Q345">
        <v>2030</v>
      </c>
      <c r="R345">
        <v>250</v>
      </c>
      <c r="T345" t="s">
        <v>67</v>
      </c>
      <c r="U345" t="s">
        <v>68</v>
      </c>
      <c r="V345">
        <v>0</v>
      </c>
      <c r="W345" t="s">
        <v>69</v>
      </c>
      <c r="X345" s="5">
        <v>46021</v>
      </c>
      <c r="Y345" t="s">
        <v>74</v>
      </c>
      <c r="Z345" t="s">
        <v>68</v>
      </c>
      <c r="AA345">
        <v>2500</v>
      </c>
      <c r="AB345">
        <v>0</v>
      </c>
      <c r="AC345" t="s">
        <v>694</v>
      </c>
      <c r="AD345" t="s">
        <v>68</v>
      </c>
      <c r="AE345">
        <v>0</v>
      </c>
      <c r="AF345" s="1">
        <v>46021.723668981482</v>
      </c>
      <c r="AG345" s="1">
        <v>46021.723668981482</v>
      </c>
      <c r="AH345">
        <v>1</v>
      </c>
      <c r="AI345">
        <v>1</v>
      </c>
      <c r="AJ345">
        <v>250</v>
      </c>
      <c r="AK345" t="s">
        <v>695</v>
      </c>
      <c r="AL345" t="s">
        <v>77</v>
      </c>
      <c r="AM345" t="s">
        <v>68</v>
      </c>
      <c r="AN345">
        <v>0</v>
      </c>
      <c r="AO345" s="1"/>
      <c r="AP345">
        <v>1</v>
      </c>
      <c r="AQ345">
        <v>0</v>
      </c>
      <c r="AR345">
        <v>0</v>
      </c>
      <c r="AS345" t="s">
        <v>75</v>
      </c>
      <c r="AT345" t="s">
        <v>68</v>
      </c>
      <c r="AU345">
        <v>0</v>
      </c>
      <c r="AV345" t="s">
        <v>68</v>
      </c>
      <c r="AW345">
        <v>0</v>
      </c>
      <c r="AX345" s="1"/>
      <c r="AZ345" t="s">
        <v>68</v>
      </c>
      <c r="BA345" t="s">
        <v>68</v>
      </c>
      <c r="BB345" t="s">
        <v>68</v>
      </c>
      <c r="BC345" t="s">
        <v>68</v>
      </c>
      <c r="BD345">
        <v>0</v>
      </c>
      <c r="BE345" s="1"/>
      <c r="BF345" s="1">
        <v>46021.723668981482</v>
      </c>
      <c r="BG345" t="s">
        <v>68</v>
      </c>
      <c r="BH345" t="s">
        <v>68</v>
      </c>
      <c r="BI345" t="s">
        <v>68</v>
      </c>
      <c r="BJ345" t="s">
        <v>68</v>
      </c>
      <c r="BK345" t="s">
        <v>68</v>
      </c>
      <c r="BL345" t="s">
        <v>68</v>
      </c>
      <c r="BM345" t="s">
        <v>68</v>
      </c>
      <c r="BN345" t="s">
        <v>68</v>
      </c>
      <c r="BO345" t="s">
        <v>96</v>
      </c>
      <c r="BP345">
        <v>0</v>
      </c>
      <c r="BQ345" t="s">
        <v>68</v>
      </c>
      <c r="BR345" t="s">
        <v>68</v>
      </c>
      <c r="BS345" t="s">
        <v>68</v>
      </c>
    </row>
    <row r="346" spans="1:71" x14ac:dyDescent="0.35">
      <c r="A346" t="b">
        <f>ISNUMBER(MATCH(ChargentOrders[[#This Row],[Contract__c]],Contract[Id],0))</f>
        <v>1</v>
      </c>
      <c r="B346">
        <f>IFERROR(INDEX(Contract[CB_Subscription__c],MATCH(ChargentOrders[[#This Row],[Contract__c]],Contract[Id],0)),0)</f>
        <v>0</v>
      </c>
      <c r="C346" t="b">
        <f>ISNUMBER(MATCH(ChargentOrders[[#This Row],[Id]],Claude[Id],0))</f>
        <v>1</v>
      </c>
      <c r="D346" t="b">
        <f>AND(ChargentOrders[[#This Row],[_Contract]],ChargentOrders[[#This Row],[CB Subscription]]=0)</f>
        <v>1</v>
      </c>
      <c r="E346" s="38">
        <f>INDEX(Table5[CUENTA],MATCH(ChargentOrders[[#This Row],[Contract__c]],Table5[SM_Contract__c],0))</f>
        <v>46182</v>
      </c>
      <c r="F346" s="38" t="str">
        <f ca="1">INDEX(Table5[ESTADO],MATCH(ChargentOrders[[#This Row],[Contract__c]],Table5[SM_Contract__c],0))</f>
        <v>DEBE 1</v>
      </c>
      <c r="G346" t="s">
        <v>698</v>
      </c>
      <c r="H346" t="s">
        <v>155</v>
      </c>
      <c r="I346" t="s">
        <v>699</v>
      </c>
      <c r="J346" s="1">
        <v>46021.723692129628</v>
      </c>
      <c r="K346">
        <v>8</v>
      </c>
      <c r="L346">
        <v>2030</v>
      </c>
      <c r="M346" t="s">
        <v>1487</v>
      </c>
      <c r="N346">
        <v>8</v>
      </c>
      <c r="O346" t="s">
        <v>1487</v>
      </c>
      <c r="P346" t="s">
        <v>73</v>
      </c>
      <c r="Q346">
        <v>2030</v>
      </c>
      <c r="R346">
        <v>9900</v>
      </c>
      <c r="S346">
        <v>9</v>
      </c>
      <c r="T346" t="s">
        <v>67</v>
      </c>
      <c r="U346" t="s">
        <v>68</v>
      </c>
      <c r="V346">
        <v>0</v>
      </c>
      <c r="W346" t="s">
        <v>69</v>
      </c>
      <c r="X346" s="5">
        <v>46182</v>
      </c>
      <c r="Y346" t="s">
        <v>613</v>
      </c>
      <c r="Z346" t="s">
        <v>68</v>
      </c>
      <c r="AA346">
        <v>9900</v>
      </c>
      <c r="AB346">
        <v>0</v>
      </c>
      <c r="AC346" t="s">
        <v>694</v>
      </c>
      <c r="AD346" t="s">
        <v>68</v>
      </c>
      <c r="AE346">
        <v>0</v>
      </c>
      <c r="AF346" s="1">
        <v>46150.41914351852</v>
      </c>
      <c r="AG346" s="1">
        <v>46150.419189814813</v>
      </c>
      <c r="AH346">
        <v>5</v>
      </c>
      <c r="AI346">
        <v>5</v>
      </c>
      <c r="AJ346">
        <v>4950</v>
      </c>
      <c r="AK346" t="s">
        <v>695</v>
      </c>
      <c r="AL346" t="s">
        <v>76</v>
      </c>
      <c r="AM346" t="s">
        <v>68</v>
      </c>
      <c r="AN346">
        <v>0</v>
      </c>
      <c r="AO346" s="1"/>
      <c r="AP346">
        <v>6</v>
      </c>
      <c r="AQ346">
        <v>0</v>
      </c>
      <c r="AR346">
        <v>0</v>
      </c>
      <c r="AS346" t="s">
        <v>75</v>
      </c>
      <c r="AT346" t="s">
        <v>68</v>
      </c>
      <c r="AU346">
        <v>0</v>
      </c>
      <c r="AV346" t="s">
        <v>68</v>
      </c>
      <c r="AW346">
        <v>0</v>
      </c>
      <c r="AX346" s="1"/>
      <c r="AZ346" t="s">
        <v>68</v>
      </c>
      <c r="BA346" t="s">
        <v>68</v>
      </c>
      <c r="BB346" t="s">
        <v>68</v>
      </c>
      <c r="BC346" t="s">
        <v>68</v>
      </c>
      <c r="BD346">
        <v>0</v>
      </c>
      <c r="BE346" s="1"/>
      <c r="BF346" s="1">
        <v>46150.41914351852</v>
      </c>
      <c r="BG346" t="s">
        <v>68</v>
      </c>
      <c r="BH346" t="s">
        <v>68</v>
      </c>
      <c r="BI346" t="s">
        <v>68</v>
      </c>
      <c r="BJ346" t="s">
        <v>68</v>
      </c>
      <c r="BK346" t="s">
        <v>68</v>
      </c>
      <c r="BL346" t="s">
        <v>68</v>
      </c>
      <c r="BM346" t="s">
        <v>68</v>
      </c>
      <c r="BN346" t="s">
        <v>68</v>
      </c>
      <c r="BO346" t="s">
        <v>96</v>
      </c>
      <c r="BP346">
        <v>0</v>
      </c>
      <c r="BQ346" t="s">
        <v>68</v>
      </c>
      <c r="BR346" t="s">
        <v>68</v>
      </c>
      <c r="BS346" t="s">
        <v>68</v>
      </c>
    </row>
    <row r="347" spans="1:71" x14ac:dyDescent="0.35">
      <c r="A347" t="b">
        <f>ISNUMBER(MATCH(ChargentOrders[[#This Row],[Contract__c]],Contract[Id],0))</f>
        <v>1</v>
      </c>
      <c r="B347">
        <f>IFERROR(INDEX(Contract[CB_Subscription__c],MATCH(ChargentOrders[[#This Row],[Contract__c]],Contract[Id],0)),0)</f>
        <v>0</v>
      </c>
      <c r="C347" t="b">
        <f>ISNUMBER(MATCH(ChargentOrders[[#This Row],[Id]],Claude[Id],0))</f>
        <v>1</v>
      </c>
      <c r="D347" t="b">
        <f>AND(ChargentOrders[[#This Row],[_Contract]],ChargentOrders[[#This Row],[CB Subscription]]=0)</f>
        <v>1</v>
      </c>
      <c r="E347" s="38">
        <f>INDEX(Table5[CUENTA],MATCH(ChargentOrders[[#This Row],[Contract__c]],Table5[SM_Contract__c],0))</f>
        <v>46183</v>
      </c>
      <c r="F347" s="38" t="str">
        <f ca="1">INDEX(Table5[ESTADO],MATCH(ChargentOrders[[#This Row],[Contract__c]],Table5[SM_Contract__c],0))</f>
        <v>DEBE 1</v>
      </c>
      <c r="G347" t="s">
        <v>948</v>
      </c>
      <c r="H347" t="s">
        <v>155</v>
      </c>
      <c r="I347" t="s">
        <v>949</v>
      </c>
      <c r="J347" s="1">
        <v>46070.73337962963</v>
      </c>
      <c r="K347">
        <v>11</v>
      </c>
      <c r="L347">
        <v>2030</v>
      </c>
      <c r="M347" t="s">
        <v>1405</v>
      </c>
      <c r="N347">
        <v>11</v>
      </c>
      <c r="O347" t="s">
        <v>1516</v>
      </c>
      <c r="P347" t="s">
        <v>73</v>
      </c>
      <c r="Q347">
        <v>2030</v>
      </c>
      <c r="R347">
        <v>0</v>
      </c>
      <c r="T347" t="s">
        <v>67</v>
      </c>
      <c r="U347" t="s">
        <v>68</v>
      </c>
      <c r="V347">
        <v>0</v>
      </c>
      <c r="W347" t="s">
        <v>69</v>
      </c>
      <c r="X347" s="5"/>
      <c r="Y347" t="s">
        <v>68</v>
      </c>
      <c r="Z347" t="s">
        <v>68</v>
      </c>
      <c r="AA347">
        <v>0</v>
      </c>
      <c r="AC347" t="s">
        <v>950</v>
      </c>
      <c r="AD347" t="s">
        <v>68</v>
      </c>
      <c r="AE347">
        <v>0</v>
      </c>
      <c r="AF347" s="1"/>
      <c r="AG347" s="1">
        <v>46070.733402777776</v>
      </c>
      <c r="AH347">
        <v>0</v>
      </c>
      <c r="AI347">
        <v>1</v>
      </c>
      <c r="AJ347">
        <v>0</v>
      </c>
      <c r="AK347" t="s">
        <v>951</v>
      </c>
      <c r="AL347" t="s">
        <v>68</v>
      </c>
      <c r="AM347" t="s">
        <v>68</v>
      </c>
      <c r="AN347">
        <v>0</v>
      </c>
      <c r="AO347" s="1"/>
      <c r="AP347">
        <v>1</v>
      </c>
      <c r="AS347" t="s">
        <v>75</v>
      </c>
      <c r="AT347" t="s">
        <v>68</v>
      </c>
      <c r="AU347">
        <v>0</v>
      </c>
      <c r="AV347" t="s">
        <v>68</v>
      </c>
      <c r="AW347">
        <v>1</v>
      </c>
      <c r="AX347" s="1"/>
      <c r="AZ347" t="s">
        <v>68</v>
      </c>
      <c r="BA347" t="s">
        <v>68</v>
      </c>
      <c r="BB347" t="s">
        <v>68</v>
      </c>
      <c r="BC347" t="s">
        <v>68</v>
      </c>
      <c r="BD347">
        <v>0</v>
      </c>
      <c r="BE347" s="1"/>
      <c r="BF347" s="1">
        <v>46070.733402777776</v>
      </c>
      <c r="BG347" t="s">
        <v>68</v>
      </c>
      <c r="BH347" t="s">
        <v>68</v>
      </c>
      <c r="BI347" t="s">
        <v>68</v>
      </c>
      <c r="BJ347" t="s">
        <v>68</v>
      </c>
      <c r="BK347" t="s">
        <v>68</v>
      </c>
      <c r="BL347" t="s">
        <v>68</v>
      </c>
      <c r="BM347" t="s">
        <v>68</v>
      </c>
      <c r="BN347" t="s">
        <v>68</v>
      </c>
      <c r="BO347" t="s">
        <v>96</v>
      </c>
      <c r="BP347">
        <v>0</v>
      </c>
      <c r="BQ347" t="s">
        <v>68</v>
      </c>
      <c r="BR347" t="s">
        <v>68</v>
      </c>
      <c r="BS347" t="s">
        <v>68</v>
      </c>
    </row>
    <row r="348" spans="1:71" x14ac:dyDescent="0.35">
      <c r="A348" t="b">
        <f>ISNUMBER(MATCH(ChargentOrders[[#This Row],[Contract__c]],Contract[Id],0))</f>
        <v>1</v>
      </c>
      <c r="B348">
        <f>IFERROR(INDEX(Contract[CB_Subscription__c],MATCH(ChargentOrders[[#This Row],[Contract__c]],Contract[Id],0)),0)</f>
        <v>0</v>
      </c>
      <c r="C348" t="b">
        <f>ISNUMBER(MATCH(ChargentOrders[[#This Row],[Id]],Claude[Id],0))</f>
        <v>1</v>
      </c>
      <c r="D348" t="b">
        <f>AND(ChargentOrders[[#This Row],[_Contract]],ChargentOrders[[#This Row],[CB Subscription]]=0)</f>
        <v>1</v>
      </c>
      <c r="E348" s="38">
        <f>INDEX(Table5[CUENTA],MATCH(ChargentOrders[[#This Row],[Contract__c]],Table5[SM_Contract__c],0))</f>
        <v>46183</v>
      </c>
      <c r="F348" s="38" t="str">
        <f ca="1">INDEX(Table5[ESTADO],MATCH(ChargentOrders[[#This Row],[Contract__c]],Table5[SM_Contract__c],0))</f>
        <v>DEBE 1</v>
      </c>
      <c r="G348" t="s">
        <v>952</v>
      </c>
      <c r="H348" t="s">
        <v>155</v>
      </c>
      <c r="I348" t="s">
        <v>953</v>
      </c>
      <c r="J348" s="1">
        <v>46070.734166666669</v>
      </c>
      <c r="K348">
        <v>11</v>
      </c>
      <c r="L348">
        <v>2030</v>
      </c>
      <c r="M348" t="s">
        <v>1405</v>
      </c>
      <c r="N348">
        <v>11</v>
      </c>
      <c r="O348" t="s">
        <v>1516</v>
      </c>
      <c r="P348" t="s">
        <v>73</v>
      </c>
      <c r="Q348">
        <v>2030</v>
      </c>
      <c r="R348">
        <v>19900</v>
      </c>
      <c r="T348" t="s">
        <v>67</v>
      </c>
      <c r="U348" t="s">
        <v>68</v>
      </c>
      <c r="V348">
        <v>0</v>
      </c>
      <c r="W348" t="s">
        <v>69</v>
      </c>
      <c r="X348" s="5">
        <v>46073</v>
      </c>
      <c r="Y348" t="s">
        <v>74</v>
      </c>
      <c r="Z348" t="s">
        <v>68</v>
      </c>
      <c r="AA348">
        <v>19900</v>
      </c>
      <c r="AB348">
        <v>0</v>
      </c>
      <c r="AC348" t="s">
        <v>950</v>
      </c>
      <c r="AD348" t="s">
        <v>68</v>
      </c>
      <c r="AE348">
        <v>0</v>
      </c>
      <c r="AF348" s="1"/>
      <c r="AG348" s="1"/>
      <c r="AH348">
        <v>0</v>
      </c>
      <c r="AI348">
        <v>1</v>
      </c>
      <c r="AJ348">
        <v>0</v>
      </c>
      <c r="AK348" t="s">
        <v>951</v>
      </c>
      <c r="AL348" t="s">
        <v>77</v>
      </c>
      <c r="AM348" t="s">
        <v>68</v>
      </c>
      <c r="AN348">
        <v>0</v>
      </c>
      <c r="AO348" s="1"/>
      <c r="AP348">
        <v>1</v>
      </c>
      <c r="AQ348">
        <v>0</v>
      </c>
      <c r="AR348">
        <v>0</v>
      </c>
      <c r="AS348" t="s">
        <v>75</v>
      </c>
      <c r="AT348" t="s">
        <v>68</v>
      </c>
      <c r="AU348">
        <v>0</v>
      </c>
      <c r="AV348" t="s">
        <v>68</v>
      </c>
      <c r="AW348">
        <v>0</v>
      </c>
      <c r="AX348" s="1"/>
      <c r="AZ348" t="s">
        <v>68</v>
      </c>
      <c r="BA348" t="s">
        <v>68</v>
      </c>
      <c r="BB348" t="s">
        <v>68</v>
      </c>
      <c r="BC348" t="s">
        <v>68</v>
      </c>
      <c r="BD348">
        <v>0</v>
      </c>
      <c r="BE348" s="1">
        <v>46073.428368055553</v>
      </c>
      <c r="BF348" s="1">
        <v>46073.428368055553</v>
      </c>
      <c r="BG348" t="s">
        <v>68</v>
      </c>
      <c r="BH348" t="s">
        <v>68</v>
      </c>
      <c r="BI348" t="s">
        <v>68</v>
      </c>
      <c r="BJ348" t="s">
        <v>68</v>
      </c>
      <c r="BK348" t="s">
        <v>68</v>
      </c>
      <c r="BL348" t="s">
        <v>68</v>
      </c>
      <c r="BM348" t="s">
        <v>68</v>
      </c>
      <c r="BN348" t="s">
        <v>68</v>
      </c>
      <c r="BO348" t="s">
        <v>96</v>
      </c>
      <c r="BP348">
        <v>0</v>
      </c>
      <c r="BQ348" t="s">
        <v>68</v>
      </c>
      <c r="BR348" t="s">
        <v>68</v>
      </c>
      <c r="BS348" t="s">
        <v>68</v>
      </c>
    </row>
    <row r="349" spans="1:71" x14ac:dyDescent="0.35">
      <c r="A349" t="b">
        <f>ISNUMBER(MATCH(ChargentOrders[[#This Row],[Contract__c]],Contract[Id],0))</f>
        <v>1</v>
      </c>
      <c r="B349">
        <f>IFERROR(INDEX(Contract[CB_Subscription__c],MATCH(ChargentOrders[[#This Row],[Contract__c]],Contract[Id],0)),0)</f>
        <v>0</v>
      </c>
      <c r="C349" t="b">
        <f>ISNUMBER(MATCH(ChargentOrders[[#This Row],[Id]],Claude[Id],0))</f>
        <v>1</v>
      </c>
      <c r="D349" t="b">
        <f>AND(ChargentOrders[[#This Row],[_Contract]],ChargentOrders[[#This Row],[CB Subscription]]=0)</f>
        <v>1</v>
      </c>
      <c r="E349" s="38">
        <f>INDEX(Table5[CUENTA],MATCH(ChargentOrders[[#This Row],[Contract__c]],Table5[SM_Contract__c],0))</f>
        <v>46183</v>
      </c>
      <c r="F349" s="38" t="str">
        <f ca="1">INDEX(Table5[ESTADO],MATCH(ChargentOrders[[#This Row],[Contract__c]],Table5[SM_Contract__c],0))</f>
        <v>DEBE 1</v>
      </c>
      <c r="G349" t="s">
        <v>954</v>
      </c>
      <c r="H349" t="s">
        <v>155</v>
      </c>
      <c r="I349" t="s">
        <v>955</v>
      </c>
      <c r="J349" s="1">
        <v>46073.428449074076</v>
      </c>
      <c r="K349">
        <v>11</v>
      </c>
      <c r="L349">
        <v>2030</v>
      </c>
      <c r="M349" t="s">
        <v>1405</v>
      </c>
      <c r="N349">
        <v>11</v>
      </c>
      <c r="O349" t="s">
        <v>1516</v>
      </c>
      <c r="P349" t="s">
        <v>73</v>
      </c>
      <c r="Q349">
        <v>2030</v>
      </c>
      <c r="R349">
        <v>1990</v>
      </c>
      <c r="T349" t="s">
        <v>67</v>
      </c>
      <c r="U349" t="s">
        <v>68</v>
      </c>
      <c r="V349">
        <v>0</v>
      </c>
      <c r="W349" t="s">
        <v>69</v>
      </c>
      <c r="X349" s="5">
        <v>46076</v>
      </c>
      <c r="Y349" t="s">
        <v>74</v>
      </c>
      <c r="Z349" t="s">
        <v>68</v>
      </c>
      <c r="AA349">
        <v>19900</v>
      </c>
      <c r="AB349">
        <v>0</v>
      </c>
      <c r="AC349" t="s">
        <v>950</v>
      </c>
      <c r="AD349" t="s">
        <v>68</v>
      </c>
      <c r="AE349">
        <v>0</v>
      </c>
      <c r="AF349" s="1">
        <v>46073.853958333333</v>
      </c>
      <c r="AG349" s="1">
        <v>46073.853958333333</v>
      </c>
      <c r="AH349">
        <v>1</v>
      </c>
      <c r="AI349">
        <v>1</v>
      </c>
      <c r="AJ349">
        <v>1990</v>
      </c>
      <c r="AK349" t="s">
        <v>951</v>
      </c>
      <c r="AL349" t="s">
        <v>71</v>
      </c>
      <c r="AM349" t="s">
        <v>68</v>
      </c>
      <c r="AN349">
        <v>0</v>
      </c>
      <c r="AO349" s="1"/>
      <c r="AQ349">
        <v>0</v>
      </c>
      <c r="AR349">
        <v>0</v>
      </c>
      <c r="AS349" t="s">
        <v>72</v>
      </c>
      <c r="AT349" t="s">
        <v>68</v>
      </c>
      <c r="AU349">
        <v>0</v>
      </c>
      <c r="AV349" t="s">
        <v>956</v>
      </c>
      <c r="AW349">
        <v>0</v>
      </c>
      <c r="AX349" s="1">
        <v>46073.831076388888</v>
      </c>
      <c r="AY349">
        <v>0</v>
      </c>
      <c r="AZ349" t="s">
        <v>68</v>
      </c>
      <c r="BA349" t="s">
        <v>65</v>
      </c>
      <c r="BB349" t="s">
        <v>68</v>
      </c>
      <c r="BC349" t="s">
        <v>68</v>
      </c>
      <c r="BD349">
        <v>0</v>
      </c>
      <c r="BE349" s="1"/>
      <c r="BF349" s="1">
        <v>46073.853958333333</v>
      </c>
      <c r="BG349" t="s">
        <v>68</v>
      </c>
      <c r="BH349" t="s">
        <v>68</v>
      </c>
      <c r="BI349" t="s">
        <v>68</v>
      </c>
      <c r="BJ349" t="s">
        <v>68</v>
      </c>
      <c r="BK349" t="s">
        <v>68</v>
      </c>
      <c r="BL349" t="s">
        <v>68</v>
      </c>
      <c r="BM349" t="s">
        <v>68</v>
      </c>
      <c r="BN349" t="s">
        <v>68</v>
      </c>
      <c r="BO349" t="s">
        <v>96</v>
      </c>
      <c r="BP349">
        <v>0</v>
      </c>
      <c r="BQ349" t="s">
        <v>68</v>
      </c>
      <c r="BR349" t="s">
        <v>68</v>
      </c>
      <c r="BS349" t="s">
        <v>68</v>
      </c>
    </row>
    <row r="350" spans="1:71" x14ac:dyDescent="0.35">
      <c r="A350" t="b">
        <f>ISNUMBER(MATCH(ChargentOrders[[#This Row],[Contract__c]],Contract[Id],0))</f>
        <v>1</v>
      </c>
      <c r="B350">
        <f>IFERROR(INDEX(Contract[CB_Subscription__c],MATCH(ChargentOrders[[#This Row],[Contract__c]],Contract[Id],0)),0)</f>
        <v>0</v>
      </c>
      <c r="C350" t="b">
        <f>ISNUMBER(MATCH(ChargentOrders[[#This Row],[Id]],Claude[Id],0))</f>
        <v>1</v>
      </c>
      <c r="D350" t="b">
        <f>AND(ChargentOrders[[#This Row],[_Contract]],ChargentOrders[[#This Row],[CB Subscription]]=0)</f>
        <v>1</v>
      </c>
      <c r="E350" s="38">
        <f>INDEX(Table5[CUENTA],MATCH(ChargentOrders[[#This Row],[Contract__c]],Table5[SM_Contract__c],0))</f>
        <v>46183</v>
      </c>
      <c r="F350" s="38" t="str">
        <f ca="1">INDEX(Table5[ESTADO],MATCH(ChargentOrders[[#This Row],[Contract__c]],Table5[SM_Contract__c],0))</f>
        <v>DEBE 1</v>
      </c>
      <c r="G350" t="s">
        <v>961</v>
      </c>
      <c r="H350" t="s">
        <v>155</v>
      </c>
      <c r="I350" t="s">
        <v>962</v>
      </c>
      <c r="J350" s="1">
        <v>46073.853981481479</v>
      </c>
      <c r="K350">
        <v>11</v>
      </c>
      <c r="L350">
        <v>2030</v>
      </c>
      <c r="M350" t="s">
        <v>1405</v>
      </c>
      <c r="N350">
        <v>11</v>
      </c>
      <c r="O350" t="s">
        <v>1405</v>
      </c>
      <c r="P350" t="s">
        <v>73</v>
      </c>
      <c r="Q350">
        <v>2030</v>
      </c>
      <c r="R350">
        <v>7900</v>
      </c>
      <c r="S350">
        <v>10</v>
      </c>
      <c r="T350" t="s">
        <v>67</v>
      </c>
      <c r="U350" t="s">
        <v>68</v>
      </c>
      <c r="V350">
        <v>0</v>
      </c>
      <c r="W350" t="s">
        <v>69</v>
      </c>
      <c r="X350" s="5">
        <v>46183</v>
      </c>
      <c r="Y350" t="s">
        <v>613</v>
      </c>
      <c r="Z350" t="s">
        <v>68</v>
      </c>
      <c r="AA350">
        <v>7900</v>
      </c>
      <c r="AB350">
        <v>0</v>
      </c>
      <c r="AC350" t="s">
        <v>950</v>
      </c>
      <c r="AD350" t="s">
        <v>68</v>
      </c>
      <c r="AE350">
        <v>0</v>
      </c>
      <c r="AF350" s="1">
        <v>46122.422951388886</v>
      </c>
      <c r="AG350" s="1">
        <v>46122.422974537039</v>
      </c>
      <c r="AH350">
        <v>2</v>
      </c>
      <c r="AI350">
        <v>3</v>
      </c>
      <c r="AJ350">
        <v>1580</v>
      </c>
      <c r="AK350" t="s">
        <v>951</v>
      </c>
      <c r="AL350" t="s">
        <v>76</v>
      </c>
      <c r="AM350" t="s">
        <v>68</v>
      </c>
      <c r="AN350">
        <v>0</v>
      </c>
      <c r="AO350" s="1"/>
      <c r="AP350">
        <v>4</v>
      </c>
      <c r="AQ350">
        <v>0</v>
      </c>
      <c r="AR350">
        <v>0</v>
      </c>
      <c r="AS350" t="s">
        <v>75</v>
      </c>
      <c r="AT350" t="s">
        <v>68</v>
      </c>
      <c r="AU350">
        <v>0</v>
      </c>
      <c r="AV350" t="s">
        <v>68</v>
      </c>
      <c r="AW350">
        <v>0</v>
      </c>
      <c r="AX350" s="1"/>
      <c r="AZ350" t="s">
        <v>68</v>
      </c>
      <c r="BA350" t="s">
        <v>68</v>
      </c>
      <c r="BB350" t="s">
        <v>68</v>
      </c>
      <c r="BC350" t="s">
        <v>68</v>
      </c>
      <c r="BD350">
        <v>0</v>
      </c>
      <c r="BE350" s="1">
        <v>46150.422476851854</v>
      </c>
      <c r="BF350" s="1">
        <v>46150.422476851854</v>
      </c>
      <c r="BG350" t="s">
        <v>68</v>
      </c>
      <c r="BH350" t="s">
        <v>68</v>
      </c>
      <c r="BI350" t="s">
        <v>68</v>
      </c>
      <c r="BJ350" t="s">
        <v>68</v>
      </c>
      <c r="BK350" t="s">
        <v>68</v>
      </c>
      <c r="BL350" t="s">
        <v>68</v>
      </c>
      <c r="BM350" t="s">
        <v>68</v>
      </c>
      <c r="BN350" t="s">
        <v>68</v>
      </c>
      <c r="BO350" t="s">
        <v>96</v>
      </c>
      <c r="BP350">
        <v>0</v>
      </c>
      <c r="BQ350" t="s">
        <v>68</v>
      </c>
      <c r="BR350" t="s">
        <v>68</v>
      </c>
      <c r="BS350" t="s">
        <v>68</v>
      </c>
    </row>
    <row r="351" spans="1:71" x14ac:dyDescent="0.35">
      <c r="A351" t="b">
        <f>ISNUMBER(MATCH(ChargentOrders[[#This Row],[Contract__c]],Contract[Id],0))</f>
        <v>1</v>
      </c>
      <c r="B351">
        <f>IFERROR(INDEX(Contract[CB_Subscription__c],MATCH(ChargentOrders[[#This Row],[Contract__c]],Contract[Id],0)),0)</f>
        <v>0</v>
      </c>
      <c r="C351" t="b">
        <f>ISNUMBER(MATCH(ChargentOrders[[#This Row],[Id]],Claude[Id],0))</f>
        <v>1</v>
      </c>
      <c r="D351" t="b">
        <f>AND(ChargentOrders[[#This Row],[_Contract]],ChargentOrders[[#This Row],[CB Subscription]]=0)</f>
        <v>1</v>
      </c>
      <c r="E351" s="38">
        <f>INDEX(Table5[CUENTA],MATCH(ChargentOrders[[#This Row],[Contract__c]],Table5[SM_Contract__c],0))</f>
        <v>46183</v>
      </c>
      <c r="F351" s="38" t="str">
        <f ca="1">INDEX(Table5[ESTADO],MATCH(ChargentOrders[[#This Row],[Contract__c]],Table5[SM_Contract__c],0))</f>
        <v>DEBE 1</v>
      </c>
      <c r="G351" t="s">
        <v>1168</v>
      </c>
      <c r="H351" t="s">
        <v>155</v>
      </c>
      <c r="I351" t="s">
        <v>1169</v>
      </c>
      <c r="J351" s="1">
        <v>46150.422511574077</v>
      </c>
      <c r="K351">
        <v>11</v>
      </c>
      <c r="L351">
        <v>2030</v>
      </c>
      <c r="M351" t="s">
        <v>1405</v>
      </c>
      <c r="N351">
        <v>11</v>
      </c>
      <c r="O351" t="s">
        <v>1405</v>
      </c>
      <c r="P351" t="s">
        <v>73</v>
      </c>
      <c r="Q351">
        <v>2030</v>
      </c>
      <c r="R351">
        <v>10400</v>
      </c>
      <c r="T351" t="s">
        <v>67</v>
      </c>
      <c r="U351" t="s">
        <v>68</v>
      </c>
      <c r="V351">
        <v>0</v>
      </c>
      <c r="W351" t="s">
        <v>69</v>
      </c>
      <c r="X351" s="5">
        <v>46153</v>
      </c>
      <c r="Y351" t="s">
        <v>74</v>
      </c>
      <c r="Z351" t="s">
        <v>68</v>
      </c>
      <c r="AA351">
        <v>10400</v>
      </c>
      <c r="AB351">
        <v>0</v>
      </c>
      <c r="AC351" t="s">
        <v>950</v>
      </c>
      <c r="AD351" t="s">
        <v>68</v>
      </c>
      <c r="AE351">
        <v>0</v>
      </c>
      <c r="AF351" s="1">
        <v>46153.431354166663</v>
      </c>
      <c r="AG351" s="1">
        <v>46153.431377314817</v>
      </c>
      <c r="AH351">
        <v>1</v>
      </c>
      <c r="AI351">
        <v>1</v>
      </c>
      <c r="AJ351">
        <v>1040</v>
      </c>
      <c r="AK351" t="s">
        <v>951</v>
      </c>
      <c r="AL351" t="s">
        <v>71</v>
      </c>
      <c r="AM351" t="s">
        <v>68</v>
      </c>
      <c r="AN351">
        <v>0</v>
      </c>
      <c r="AO351" s="1"/>
      <c r="AP351">
        <v>0</v>
      </c>
      <c r="AQ351">
        <v>0</v>
      </c>
      <c r="AR351">
        <v>0</v>
      </c>
      <c r="AS351" t="s">
        <v>72</v>
      </c>
      <c r="AT351" t="s">
        <v>68</v>
      </c>
      <c r="AU351">
        <v>1</v>
      </c>
      <c r="AV351" t="s">
        <v>1170</v>
      </c>
      <c r="AW351">
        <v>0</v>
      </c>
      <c r="AX351" s="1">
        <v>46073.853981481479</v>
      </c>
      <c r="AY351">
        <v>2500</v>
      </c>
      <c r="AZ351" t="s">
        <v>68</v>
      </c>
      <c r="BA351" t="s">
        <v>65</v>
      </c>
      <c r="BB351" t="s">
        <v>68</v>
      </c>
      <c r="BC351" t="s">
        <v>68</v>
      </c>
      <c r="BD351">
        <v>0</v>
      </c>
      <c r="BE351" s="1"/>
      <c r="BF351" s="1">
        <v>46153.431354166663</v>
      </c>
      <c r="BG351" t="s">
        <v>68</v>
      </c>
      <c r="BH351" t="s">
        <v>68</v>
      </c>
      <c r="BI351" t="s">
        <v>68</v>
      </c>
      <c r="BJ351" t="s">
        <v>68</v>
      </c>
      <c r="BK351" t="s">
        <v>68</v>
      </c>
      <c r="BL351" t="s">
        <v>68</v>
      </c>
      <c r="BM351" t="s">
        <v>68</v>
      </c>
      <c r="BN351" t="s">
        <v>68</v>
      </c>
      <c r="BO351" t="s">
        <v>96</v>
      </c>
      <c r="BP351">
        <v>0</v>
      </c>
      <c r="BQ351" t="s">
        <v>68</v>
      </c>
      <c r="BR351" t="s">
        <v>68</v>
      </c>
      <c r="BS351" t="s">
        <v>68</v>
      </c>
    </row>
    <row r="352" spans="1:71" x14ac:dyDescent="0.35">
      <c r="A352" t="b">
        <f>ISNUMBER(MATCH(ChargentOrders[[#This Row],[Contract__c]],Contract[Id],0))</f>
        <v>1</v>
      </c>
      <c r="B352">
        <f>IFERROR(INDEX(Contract[CB_Subscription__c],MATCH(ChargentOrders[[#This Row],[Contract__c]],Contract[Id],0)),0)</f>
        <v>0</v>
      </c>
      <c r="C352" t="b">
        <f>ISNUMBER(MATCH(ChargentOrders[[#This Row],[Id]],Claude[Id],0))</f>
        <v>1</v>
      </c>
      <c r="D352" t="b">
        <f>AND(ChargentOrders[[#This Row],[_Contract]],ChargentOrders[[#This Row],[CB Subscription]]=0)</f>
        <v>1</v>
      </c>
      <c r="E352" s="38">
        <f>INDEX(Table5[CUENTA],MATCH(ChargentOrders[[#This Row],[Contract__c]],Table5[SM_Contract__c],0))</f>
        <v>46188</v>
      </c>
      <c r="F352" s="38" t="str">
        <f ca="1">INDEX(Table5[ESTADO],MATCH(ChargentOrders[[#This Row],[Contract__c]],Table5[SM_Contract__c],0))</f>
        <v>DEBE 1</v>
      </c>
      <c r="G352" t="s">
        <v>620</v>
      </c>
      <c r="H352" t="s">
        <v>155</v>
      </c>
      <c r="I352" t="s">
        <v>621</v>
      </c>
      <c r="J352" s="1">
        <v>46007.851550925923</v>
      </c>
      <c r="K352">
        <v>10</v>
      </c>
      <c r="L352">
        <v>2030</v>
      </c>
      <c r="M352" t="s">
        <v>1478</v>
      </c>
      <c r="N352">
        <v>10</v>
      </c>
      <c r="O352" t="s">
        <v>1479</v>
      </c>
      <c r="P352" t="s">
        <v>73</v>
      </c>
      <c r="Q352">
        <v>2030</v>
      </c>
      <c r="R352">
        <v>0</v>
      </c>
      <c r="T352" t="s">
        <v>67</v>
      </c>
      <c r="U352" t="s">
        <v>68</v>
      </c>
      <c r="V352">
        <v>0</v>
      </c>
      <c r="W352" t="s">
        <v>69</v>
      </c>
      <c r="X352" s="5"/>
      <c r="Y352" t="s">
        <v>68</v>
      </c>
      <c r="Z352" t="s">
        <v>68</v>
      </c>
      <c r="AA352">
        <v>0</v>
      </c>
      <c r="AC352" t="s">
        <v>622</v>
      </c>
      <c r="AD352" t="s">
        <v>68</v>
      </c>
      <c r="AE352">
        <v>0</v>
      </c>
      <c r="AF352" s="1"/>
      <c r="AG352" s="1">
        <v>46007.851585648146</v>
      </c>
      <c r="AH352">
        <v>0</v>
      </c>
      <c r="AI352">
        <v>1</v>
      </c>
      <c r="AJ352">
        <v>0</v>
      </c>
      <c r="AK352" t="s">
        <v>623</v>
      </c>
      <c r="AL352" t="s">
        <v>68</v>
      </c>
      <c r="AM352" t="s">
        <v>68</v>
      </c>
      <c r="AN352">
        <v>0</v>
      </c>
      <c r="AO352" s="1"/>
      <c r="AP352">
        <v>1</v>
      </c>
      <c r="AS352" t="s">
        <v>75</v>
      </c>
      <c r="AT352" t="s">
        <v>68</v>
      </c>
      <c r="AU352">
        <v>0</v>
      </c>
      <c r="AV352" t="s">
        <v>68</v>
      </c>
      <c r="AW352">
        <v>1</v>
      </c>
      <c r="AX352" s="1"/>
      <c r="AZ352" t="s">
        <v>68</v>
      </c>
      <c r="BA352" t="s">
        <v>68</v>
      </c>
      <c r="BB352" t="s">
        <v>68</v>
      </c>
      <c r="BC352" t="s">
        <v>68</v>
      </c>
      <c r="BD352">
        <v>0</v>
      </c>
      <c r="BE352" s="1"/>
      <c r="BF352" s="1">
        <v>46007.851585648146</v>
      </c>
      <c r="BG352" t="s">
        <v>68</v>
      </c>
      <c r="BH352" t="s">
        <v>68</v>
      </c>
      <c r="BI352" t="s">
        <v>68</v>
      </c>
      <c r="BJ352" t="s">
        <v>68</v>
      </c>
      <c r="BK352" t="s">
        <v>68</v>
      </c>
      <c r="BL352" t="s">
        <v>68</v>
      </c>
      <c r="BM352" t="s">
        <v>68</v>
      </c>
      <c r="BN352" t="s">
        <v>68</v>
      </c>
      <c r="BO352" t="s">
        <v>96</v>
      </c>
      <c r="BP352">
        <v>0</v>
      </c>
      <c r="BQ352" t="s">
        <v>68</v>
      </c>
      <c r="BR352" t="s">
        <v>68</v>
      </c>
      <c r="BS352" t="s">
        <v>68</v>
      </c>
    </row>
    <row r="353" spans="1:71" x14ac:dyDescent="0.35">
      <c r="A353" t="b">
        <f>ISNUMBER(MATCH(ChargentOrders[[#This Row],[Contract__c]],Contract[Id],0))</f>
        <v>1</v>
      </c>
      <c r="B353">
        <f>IFERROR(INDEX(Contract[CB_Subscription__c],MATCH(ChargentOrders[[#This Row],[Contract__c]],Contract[Id],0)),0)</f>
        <v>0</v>
      </c>
      <c r="C353" t="b">
        <f>ISNUMBER(MATCH(ChargentOrders[[#This Row],[Id]],Claude[Id],0))</f>
        <v>1</v>
      </c>
      <c r="D353" t="b">
        <f>AND(ChargentOrders[[#This Row],[_Contract]],ChargentOrders[[#This Row],[CB Subscription]]=0)</f>
        <v>1</v>
      </c>
      <c r="E353" s="38">
        <f>INDEX(Table5[CUENTA],MATCH(ChargentOrders[[#This Row],[Contract__c]],Table5[SM_Contract__c],0))</f>
        <v>46188</v>
      </c>
      <c r="F353" s="38" t="str">
        <f ca="1">INDEX(Table5[ESTADO],MATCH(ChargentOrders[[#This Row],[Contract__c]],Table5[SM_Contract__c],0))</f>
        <v>DEBE 1</v>
      </c>
      <c r="G353" t="s">
        <v>624</v>
      </c>
      <c r="H353" t="s">
        <v>155</v>
      </c>
      <c r="I353" t="s">
        <v>625</v>
      </c>
      <c r="J353" s="1">
        <v>46007.85297453704</v>
      </c>
      <c r="K353">
        <v>10</v>
      </c>
      <c r="L353">
        <v>2030</v>
      </c>
      <c r="M353" t="s">
        <v>1478</v>
      </c>
      <c r="N353">
        <v>10</v>
      </c>
      <c r="O353" t="s">
        <v>1479</v>
      </c>
      <c r="P353" t="s">
        <v>73</v>
      </c>
      <c r="Q353">
        <v>2030</v>
      </c>
      <c r="R353">
        <v>14900</v>
      </c>
      <c r="T353" t="s">
        <v>67</v>
      </c>
      <c r="U353" t="s">
        <v>68</v>
      </c>
      <c r="V353">
        <v>0</v>
      </c>
      <c r="W353" t="s">
        <v>69</v>
      </c>
      <c r="X353" s="5">
        <v>46008</v>
      </c>
      <c r="Y353" t="s">
        <v>74</v>
      </c>
      <c r="Z353" t="s">
        <v>68</v>
      </c>
      <c r="AA353">
        <v>14900</v>
      </c>
      <c r="AB353">
        <v>0</v>
      </c>
      <c r="AC353" t="s">
        <v>622</v>
      </c>
      <c r="AD353" t="s">
        <v>68</v>
      </c>
      <c r="AE353">
        <v>0</v>
      </c>
      <c r="AF353" s="1">
        <v>46008.41778935185</v>
      </c>
      <c r="AG353" s="1">
        <v>46008.417800925927</v>
      </c>
      <c r="AH353">
        <v>1</v>
      </c>
      <c r="AI353">
        <v>1</v>
      </c>
      <c r="AJ353">
        <v>1490</v>
      </c>
      <c r="AK353" t="s">
        <v>623</v>
      </c>
      <c r="AL353" t="s">
        <v>77</v>
      </c>
      <c r="AM353" t="s">
        <v>68</v>
      </c>
      <c r="AN353">
        <v>0</v>
      </c>
      <c r="AO353" s="1"/>
      <c r="AP353">
        <v>1</v>
      </c>
      <c r="AQ353">
        <v>0</v>
      </c>
      <c r="AR353">
        <v>0</v>
      </c>
      <c r="AS353" t="s">
        <v>75</v>
      </c>
      <c r="AT353" t="s">
        <v>68</v>
      </c>
      <c r="AU353">
        <v>0</v>
      </c>
      <c r="AV353" t="s">
        <v>68</v>
      </c>
      <c r="AW353">
        <v>0</v>
      </c>
      <c r="AX353" s="1"/>
      <c r="AZ353" t="s">
        <v>68</v>
      </c>
      <c r="BA353" t="s">
        <v>68</v>
      </c>
      <c r="BB353" t="s">
        <v>68</v>
      </c>
      <c r="BC353" t="s">
        <v>68</v>
      </c>
      <c r="BD353">
        <v>0</v>
      </c>
      <c r="BE353" s="1"/>
      <c r="BF353" s="1">
        <v>46008.41778935185</v>
      </c>
      <c r="BG353" t="s">
        <v>68</v>
      </c>
      <c r="BH353" t="s">
        <v>68</v>
      </c>
      <c r="BI353" t="s">
        <v>68</v>
      </c>
      <c r="BJ353" t="s">
        <v>68</v>
      </c>
      <c r="BK353" t="s">
        <v>68</v>
      </c>
      <c r="BL353" t="s">
        <v>68</v>
      </c>
      <c r="BM353" t="s">
        <v>68</v>
      </c>
      <c r="BN353" t="s">
        <v>68</v>
      </c>
      <c r="BO353" t="s">
        <v>96</v>
      </c>
      <c r="BP353">
        <v>0</v>
      </c>
      <c r="BQ353" t="s">
        <v>68</v>
      </c>
      <c r="BR353" t="s">
        <v>68</v>
      </c>
      <c r="BS353" t="s">
        <v>68</v>
      </c>
    </row>
    <row r="354" spans="1:71" x14ac:dyDescent="0.35">
      <c r="A354" t="b">
        <f>ISNUMBER(MATCH(ChargentOrders[[#This Row],[Contract__c]],Contract[Id],0))</f>
        <v>1</v>
      </c>
      <c r="B354">
        <f>IFERROR(INDEX(Contract[CB_Subscription__c],MATCH(ChargentOrders[[#This Row],[Contract__c]],Contract[Id],0)),0)</f>
        <v>0</v>
      </c>
      <c r="C354" t="b">
        <f>ISNUMBER(MATCH(ChargentOrders[[#This Row],[Id]],Claude[Id],0))</f>
        <v>1</v>
      </c>
      <c r="D354" t="b">
        <f>AND(ChargentOrders[[#This Row],[_Contract]],ChargentOrders[[#This Row],[CB Subscription]]=0)</f>
        <v>1</v>
      </c>
      <c r="E354" s="38">
        <f>INDEX(Table5[CUENTA],MATCH(ChargentOrders[[#This Row],[Contract__c]],Table5[SM_Contract__c],0))</f>
        <v>46188</v>
      </c>
      <c r="F354" s="38" t="str">
        <f ca="1">INDEX(Table5[ESTADO],MATCH(ChargentOrders[[#This Row],[Contract__c]],Table5[SM_Contract__c],0))</f>
        <v>DEBE 1</v>
      </c>
      <c r="G354" t="s">
        <v>626</v>
      </c>
      <c r="H354" t="s">
        <v>155</v>
      </c>
      <c r="I354" t="s">
        <v>627</v>
      </c>
      <c r="J354" s="1">
        <v>46008.417824074073</v>
      </c>
      <c r="K354">
        <v>10</v>
      </c>
      <c r="L354">
        <v>2030</v>
      </c>
      <c r="M354" t="s">
        <v>1478</v>
      </c>
      <c r="N354">
        <v>10</v>
      </c>
      <c r="O354" t="s">
        <v>1478</v>
      </c>
      <c r="P354" t="s">
        <v>73</v>
      </c>
      <c r="Q354">
        <v>2030</v>
      </c>
      <c r="R354">
        <v>7900</v>
      </c>
      <c r="S354">
        <v>15</v>
      </c>
      <c r="T354" t="s">
        <v>67</v>
      </c>
      <c r="U354" t="s">
        <v>68</v>
      </c>
      <c r="V354">
        <v>0</v>
      </c>
      <c r="W354" t="s">
        <v>69</v>
      </c>
      <c r="X354" s="5">
        <v>46127</v>
      </c>
      <c r="Y354" t="s">
        <v>613</v>
      </c>
      <c r="Z354" t="s">
        <v>68</v>
      </c>
      <c r="AA354">
        <v>7900</v>
      </c>
      <c r="AB354">
        <v>0</v>
      </c>
      <c r="AC354" t="s">
        <v>622</v>
      </c>
      <c r="AD354" t="s">
        <v>68</v>
      </c>
      <c r="AE354">
        <v>0</v>
      </c>
      <c r="AF354" s="1">
        <v>46157.419664351852</v>
      </c>
      <c r="AG354" s="1">
        <v>46157.419664351852</v>
      </c>
      <c r="AH354">
        <v>5</v>
      </c>
      <c r="AI354">
        <v>5</v>
      </c>
      <c r="AJ354">
        <v>3950</v>
      </c>
      <c r="AK354" t="s">
        <v>623</v>
      </c>
      <c r="AL354" t="s">
        <v>76</v>
      </c>
      <c r="AM354" t="s">
        <v>68</v>
      </c>
      <c r="AN354">
        <v>0</v>
      </c>
      <c r="AO354" s="1"/>
      <c r="AP354">
        <v>6</v>
      </c>
      <c r="AQ354">
        <v>0</v>
      </c>
      <c r="AR354">
        <v>0</v>
      </c>
      <c r="AS354" t="s">
        <v>75</v>
      </c>
      <c r="AT354" t="s">
        <v>68</v>
      </c>
      <c r="AU354">
        <v>0</v>
      </c>
      <c r="AV354" t="s">
        <v>68</v>
      </c>
      <c r="AW354">
        <v>0</v>
      </c>
      <c r="AX354" s="1"/>
      <c r="AZ354" t="s">
        <v>68</v>
      </c>
      <c r="BA354" t="s">
        <v>68</v>
      </c>
      <c r="BB354" t="s">
        <v>68</v>
      </c>
      <c r="BC354" t="s">
        <v>68</v>
      </c>
      <c r="BD354">
        <v>0</v>
      </c>
      <c r="BE354" s="1"/>
      <c r="BF354" s="1">
        <v>46157.419664351852</v>
      </c>
      <c r="BG354" t="s">
        <v>68</v>
      </c>
      <c r="BH354" t="s">
        <v>68</v>
      </c>
      <c r="BI354" t="s">
        <v>68</v>
      </c>
      <c r="BJ354" t="s">
        <v>68</v>
      </c>
      <c r="BK354" t="s">
        <v>68</v>
      </c>
      <c r="BL354" t="s">
        <v>68</v>
      </c>
      <c r="BM354" t="s">
        <v>68</v>
      </c>
      <c r="BN354" t="s">
        <v>68</v>
      </c>
      <c r="BO354" t="s">
        <v>96</v>
      </c>
      <c r="BP354">
        <v>0</v>
      </c>
      <c r="BQ354" t="s">
        <v>68</v>
      </c>
      <c r="BR354" t="s">
        <v>68</v>
      </c>
      <c r="BS354" t="s">
        <v>68</v>
      </c>
    </row>
    <row r="355" spans="1:71" x14ac:dyDescent="0.35">
      <c r="A355" t="b">
        <f>ISNUMBER(MATCH(ChargentOrders[[#This Row],[Contract__c]],Contract[Id],0))</f>
        <v>1</v>
      </c>
      <c r="B355">
        <f>IFERROR(INDEX(Contract[CB_Subscription__c],MATCH(ChargentOrders[[#This Row],[Contract__c]],Contract[Id],0)),0)</f>
        <v>0</v>
      </c>
      <c r="C355" t="b">
        <f>ISNUMBER(MATCH(ChargentOrders[[#This Row],[Id]],Claude[Id],0))</f>
        <v>1</v>
      </c>
      <c r="D355" t="b">
        <f>AND(ChargentOrders[[#This Row],[_Contract]],ChargentOrders[[#This Row],[CB Subscription]]=0)</f>
        <v>1</v>
      </c>
      <c r="E355" s="38">
        <f>INDEX(Table5[CUENTA],MATCH(ChargentOrders[[#This Row],[Contract__c]],Table5[SM_Contract__c],0))</f>
        <v>46188</v>
      </c>
      <c r="F355" s="38" t="str">
        <f ca="1">INDEX(Table5[ESTADO],MATCH(ChargentOrders[[#This Row],[Contract__c]],Table5[SM_Contract__c],0))</f>
        <v>DEBE 1</v>
      </c>
      <c r="G355" t="s">
        <v>834</v>
      </c>
      <c r="H355" t="s">
        <v>81</v>
      </c>
      <c r="I355" t="s">
        <v>835</v>
      </c>
      <c r="J355" s="1">
        <v>46048.591319444444</v>
      </c>
      <c r="K355">
        <v>2</v>
      </c>
      <c r="L355">
        <v>2029</v>
      </c>
      <c r="M355" t="s">
        <v>1508</v>
      </c>
      <c r="N355">
        <v>2</v>
      </c>
      <c r="O355" t="s">
        <v>1509</v>
      </c>
      <c r="P355" t="s">
        <v>73</v>
      </c>
      <c r="Q355">
        <v>2029</v>
      </c>
      <c r="R355">
        <v>0</v>
      </c>
      <c r="T355" t="s">
        <v>67</v>
      </c>
      <c r="U355" t="s">
        <v>68</v>
      </c>
      <c r="V355">
        <v>0</v>
      </c>
      <c r="W355" t="s">
        <v>69</v>
      </c>
      <c r="X355" s="5"/>
      <c r="Y355" t="s">
        <v>68</v>
      </c>
      <c r="Z355" t="s">
        <v>68</v>
      </c>
      <c r="AA355">
        <v>0</v>
      </c>
      <c r="AC355" t="s">
        <v>836</v>
      </c>
      <c r="AD355" t="s">
        <v>68</v>
      </c>
      <c r="AE355">
        <v>0</v>
      </c>
      <c r="AF355" s="1"/>
      <c r="AG355" s="1">
        <v>46048.591377314813</v>
      </c>
      <c r="AH355">
        <v>0</v>
      </c>
      <c r="AI355">
        <v>1</v>
      </c>
      <c r="AJ355">
        <v>0</v>
      </c>
      <c r="AK355" t="s">
        <v>837</v>
      </c>
      <c r="AL355" t="s">
        <v>68</v>
      </c>
      <c r="AM355" t="s">
        <v>68</v>
      </c>
      <c r="AN355">
        <v>0</v>
      </c>
      <c r="AO355" s="1"/>
      <c r="AP355">
        <v>1</v>
      </c>
      <c r="AS355" t="s">
        <v>75</v>
      </c>
      <c r="AT355" t="s">
        <v>68</v>
      </c>
      <c r="AU355">
        <v>0</v>
      </c>
      <c r="AV355" t="s">
        <v>68</v>
      </c>
      <c r="AW355">
        <v>1</v>
      </c>
      <c r="AX355" s="1"/>
      <c r="AZ355" t="s">
        <v>68</v>
      </c>
      <c r="BA355" t="s">
        <v>68</v>
      </c>
      <c r="BB355" t="s">
        <v>68</v>
      </c>
      <c r="BC355" t="s">
        <v>68</v>
      </c>
      <c r="BD355">
        <v>0</v>
      </c>
      <c r="BE355" s="1"/>
      <c r="BF355" s="1">
        <v>46048.591377314813</v>
      </c>
      <c r="BG355" t="s">
        <v>68</v>
      </c>
      <c r="BH355" t="s">
        <v>68</v>
      </c>
      <c r="BI355" t="s">
        <v>68</v>
      </c>
      <c r="BJ355" t="s">
        <v>68</v>
      </c>
      <c r="BK355" t="s">
        <v>68</v>
      </c>
      <c r="BL355" t="s">
        <v>68</v>
      </c>
      <c r="BM355" t="s">
        <v>68</v>
      </c>
      <c r="BN355" t="s">
        <v>68</v>
      </c>
      <c r="BO355" t="s">
        <v>96</v>
      </c>
      <c r="BP355">
        <v>0</v>
      </c>
      <c r="BQ355" t="s">
        <v>68</v>
      </c>
      <c r="BR355" t="s">
        <v>68</v>
      </c>
      <c r="BS355" t="s">
        <v>68</v>
      </c>
    </row>
    <row r="356" spans="1:71" x14ac:dyDescent="0.35">
      <c r="A356" t="b">
        <f>ISNUMBER(MATCH(ChargentOrders[[#This Row],[Contract__c]],Contract[Id],0))</f>
        <v>1</v>
      </c>
      <c r="B356">
        <f>IFERROR(INDEX(Contract[CB_Subscription__c],MATCH(ChargentOrders[[#This Row],[Contract__c]],Contract[Id],0)),0)</f>
        <v>0</v>
      </c>
      <c r="C356" t="b">
        <f>ISNUMBER(MATCH(ChargentOrders[[#This Row],[Id]],Claude[Id],0))</f>
        <v>1</v>
      </c>
      <c r="D356" t="b">
        <f>AND(ChargentOrders[[#This Row],[_Contract]],ChargentOrders[[#This Row],[CB Subscription]]=0)</f>
        <v>1</v>
      </c>
      <c r="E356" s="38">
        <f>INDEX(Table5[CUENTA],MATCH(ChargentOrders[[#This Row],[Contract__c]],Table5[SM_Contract__c],0))</f>
        <v>46188</v>
      </c>
      <c r="F356" s="38" t="str">
        <f ca="1">INDEX(Table5[ESTADO],MATCH(ChargentOrders[[#This Row],[Contract__c]],Table5[SM_Contract__c],0))</f>
        <v>DEBE 1</v>
      </c>
      <c r="G356" t="s">
        <v>838</v>
      </c>
      <c r="H356" t="s">
        <v>81</v>
      </c>
      <c r="I356" t="s">
        <v>839</v>
      </c>
      <c r="J356" s="1">
        <v>46048.592546296299</v>
      </c>
      <c r="K356">
        <v>2</v>
      </c>
      <c r="L356">
        <v>2029</v>
      </c>
      <c r="M356" t="s">
        <v>1508</v>
      </c>
      <c r="N356">
        <v>2</v>
      </c>
      <c r="O356" t="s">
        <v>1509</v>
      </c>
      <c r="P356" t="s">
        <v>73</v>
      </c>
      <c r="Q356">
        <v>2029</v>
      </c>
      <c r="R356">
        <v>495</v>
      </c>
      <c r="T356" t="s">
        <v>67</v>
      </c>
      <c r="U356" t="s">
        <v>68</v>
      </c>
      <c r="V356">
        <v>0</v>
      </c>
      <c r="W356" t="s">
        <v>69</v>
      </c>
      <c r="X356" s="5">
        <v>46048</v>
      </c>
      <c r="Y356" t="s">
        <v>74</v>
      </c>
      <c r="Z356" t="s">
        <v>68</v>
      </c>
      <c r="AA356">
        <v>495</v>
      </c>
      <c r="AB356">
        <v>0</v>
      </c>
      <c r="AC356" t="s">
        <v>836</v>
      </c>
      <c r="AD356" t="s">
        <v>68</v>
      </c>
      <c r="AE356">
        <v>0</v>
      </c>
      <c r="AF356" s="1">
        <v>46048.594814814816</v>
      </c>
      <c r="AG356" s="1">
        <v>46048.594814814816</v>
      </c>
      <c r="AH356">
        <v>1</v>
      </c>
      <c r="AI356">
        <v>1</v>
      </c>
      <c r="AJ356">
        <v>495</v>
      </c>
      <c r="AK356" t="s">
        <v>837</v>
      </c>
      <c r="AL356" t="s">
        <v>77</v>
      </c>
      <c r="AM356" t="s">
        <v>68</v>
      </c>
      <c r="AN356">
        <v>0</v>
      </c>
      <c r="AO356" s="1"/>
      <c r="AP356">
        <v>1</v>
      </c>
      <c r="AQ356">
        <v>0</v>
      </c>
      <c r="AR356">
        <v>0</v>
      </c>
      <c r="AS356" t="s">
        <v>75</v>
      </c>
      <c r="AT356" t="s">
        <v>68</v>
      </c>
      <c r="AU356">
        <v>0</v>
      </c>
      <c r="AV356" t="s">
        <v>68</v>
      </c>
      <c r="AW356">
        <v>0</v>
      </c>
      <c r="AX356" s="1"/>
      <c r="AZ356" t="s">
        <v>68</v>
      </c>
      <c r="BA356" t="s">
        <v>68</v>
      </c>
      <c r="BB356" t="s">
        <v>68</v>
      </c>
      <c r="BC356" t="s">
        <v>68</v>
      </c>
      <c r="BD356">
        <v>0</v>
      </c>
      <c r="BE356" s="1"/>
      <c r="BF356" s="1">
        <v>46048.594814814816</v>
      </c>
      <c r="BG356" t="s">
        <v>68</v>
      </c>
      <c r="BH356" t="s">
        <v>68</v>
      </c>
      <c r="BI356" t="s">
        <v>68</v>
      </c>
      <c r="BJ356" t="s">
        <v>68</v>
      </c>
      <c r="BK356" t="s">
        <v>68</v>
      </c>
      <c r="BL356" t="s">
        <v>68</v>
      </c>
      <c r="BM356" t="s">
        <v>68</v>
      </c>
      <c r="BN356" t="s">
        <v>68</v>
      </c>
      <c r="BO356" t="s">
        <v>96</v>
      </c>
      <c r="BP356">
        <v>0</v>
      </c>
      <c r="BQ356" t="s">
        <v>68</v>
      </c>
      <c r="BR356" t="s">
        <v>68</v>
      </c>
      <c r="BS356" t="s">
        <v>68</v>
      </c>
    </row>
    <row r="357" spans="1:71" x14ac:dyDescent="0.35">
      <c r="A357" t="b">
        <f>ISNUMBER(MATCH(ChargentOrders[[#This Row],[Contract__c]],Contract[Id],0))</f>
        <v>1</v>
      </c>
      <c r="B357">
        <f>IFERROR(INDEX(Contract[CB_Subscription__c],MATCH(ChargentOrders[[#This Row],[Contract__c]],Contract[Id],0)),0)</f>
        <v>0</v>
      </c>
      <c r="C357" t="b">
        <f>ISNUMBER(MATCH(ChargentOrders[[#This Row],[Id]],Claude[Id],0))</f>
        <v>1</v>
      </c>
      <c r="D357" t="b">
        <f>AND(ChargentOrders[[#This Row],[_Contract]],ChargentOrders[[#This Row],[CB Subscription]]=0)</f>
        <v>1</v>
      </c>
      <c r="E357" s="38">
        <f>INDEX(Table5[CUENTA],MATCH(ChargentOrders[[#This Row],[Contract__c]],Table5[SM_Contract__c],0))</f>
        <v>46188</v>
      </c>
      <c r="F357" s="38" t="str">
        <f ca="1">INDEX(Table5[ESTADO],MATCH(ChargentOrders[[#This Row],[Contract__c]],Table5[SM_Contract__c],0))</f>
        <v>DEBE 1</v>
      </c>
      <c r="G357" t="s">
        <v>840</v>
      </c>
      <c r="H357" t="s">
        <v>81</v>
      </c>
      <c r="I357" t="s">
        <v>841</v>
      </c>
      <c r="J357" s="1">
        <v>46048.592546296299</v>
      </c>
      <c r="K357">
        <v>2</v>
      </c>
      <c r="L357">
        <v>2029</v>
      </c>
      <c r="M357" t="s">
        <v>1508</v>
      </c>
      <c r="N357">
        <v>2</v>
      </c>
      <c r="O357" t="s">
        <v>1509</v>
      </c>
      <c r="P357" t="s">
        <v>73</v>
      </c>
      <c r="Q357">
        <v>2029</v>
      </c>
      <c r="R357">
        <v>4950</v>
      </c>
      <c r="T357" t="s">
        <v>67</v>
      </c>
      <c r="U357" t="s">
        <v>68</v>
      </c>
      <c r="V357">
        <v>0</v>
      </c>
      <c r="W357" t="s">
        <v>69</v>
      </c>
      <c r="X357" s="5">
        <v>46066</v>
      </c>
      <c r="Y357" t="s">
        <v>74</v>
      </c>
      <c r="Z357" t="s">
        <v>68</v>
      </c>
      <c r="AA357">
        <v>4950</v>
      </c>
      <c r="AB357">
        <v>0</v>
      </c>
      <c r="AC357" t="s">
        <v>836</v>
      </c>
      <c r="AD357" t="s">
        <v>68</v>
      </c>
      <c r="AE357">
        <v>0</v>
      </c>
      <c r="AF357" s="1">
        <v>46066.427106481482</v>
      </c>
      <c r="AG357" s="1">
        <v>46066.427175925928</v>
      </c>
      <c r="AH357">
        <v>1</v>
      </c>
      <c r="AI357">
        <v>1</v>
      </c>
      <c r="AJ357">
        <v>495</v>
      </c>
      <c r="AK357" t="s">
        <v>837</v>
      </c>
      <c r="AL357" t="s">
        <v>77</v>
      </c>
      <c r="AM357" t="s">
        <v>68</v>
      </c>
      <c r="AN357">
        <v>0</v>
      </c>
      <c r="AO357" s="1"/>
      <c r="AP357">
        <v>1</v>
      </c>
      <c r="AQ357">
        <v>0</v>
      </c>
      <c r="AR357">
        <v>0</v>
      </c>
      <c r="AS357" t="s">
        <v>75</v>
      </c>
      <c r="AT357" t="s">
        <v>68</v>
      </c>
      <c r="AU357">
        <v>0</v>
      </c>
      <c r="AV357" t="s">
        <v>68</v>
      </c>
      <c r="AW357">
        <v>0</v>
      </c>
      <c r="AX357" s="1"/>
      <c r="AZ357" t="s">
        <v>68</v>
      </c>
      <c r="BA357" t="s">
        <v>68</v>
      </c>
      <c r="BB357" t="s">
        <v>68</v>
      </c>
      <c r="BC357" t="s">
        <v>68</v>
      </c>
      <c r="BD357">
        <v>0</v>
      </c>
      <c r="BE357" s="1"/>
      <c r="BF357" s="1">
        <v>46066.427106481482</v>
      </c>
      <c r="BG357" t="s">
        <v>68</v>
      </c>
      <c r="BH357" t="s">
        <v>68</v>
      </c>
      <c r="BI357" t="s">
        <v>68</v>
      </c>
      <c r="BJ357" t="s">
        <v>68</v>
      </c>
      <c r="BK357" t="s">
        <v>68</v>
      </c>
      <c r="BL357" t="s">
        <v>68</v>
      </c>
      <c r="BM357" t="s">
        <v>68</v>
      </c>
      <c r="BN357" t="s">
        <v>68</v>
      </c>
      <c r="BO357" t="s">
        <v>96</v>
      </c>
      <c r="BP357">
        <v>0</v>
      </c>
      <c r="BQ357" t="s">
        <v>68</v>
      </c>
      <c r="BR357" t="s">
        <v>68</v>
      </c>
      <c r="BS357" t="s">
        <v>68</v>
      </c>
    </row>
    <row r="358" spans="1:71" x14ac:dyDescent="0.35">
      <c r="A358" t="b">
        <f>ISNUMBER(MATCH(ChargentOrders[[#This Row],[Contract__c]],Contract[Id],0))</f>
        <v>1</v>
      </c>
      <c r="B358">
        <f>IFERROR(INDEX(Contract[CB_Subscription__c],MATCH(ChargentOrders[[#This Row],[Contract__c]],Contract[Id],0)),0)</f>
        <v>0</v>
      </c>
      <c r="C358" t="b">
        <f>ISNUMBER(MATCH(ChargentOrders[[#This Row],[Id]],Claude[Id],0))</f>
        <v>1</v>
      </c>
      <c r="D358" t="b">
        <f>AND(ChargentOrders[[#This Row],[_Contract]],ChargentOrders[[#This Row],[CB Subscription]]=0)</f>
        <v>1</v>
      </c>
      <c r="E358" s="38">
        <f>INDEX(Table5[CUENTA],MATCH(ChargentOrders[[#This Row],[Contract__c]],Table5[SM_Contract__c],0))</f>
        <v>46188</v>
      </c>
      <c r="F358" s="38" t="str">
        <f ca="1">INDEX(Table5[ESTADO],MATCH(ChargentOrders[[#This Row],[Contract__c]],Table5[SM_Contract__c],0))</f>
        <v>DEBE 1</v>
      </c>
      <c r="G358" t="s">
        <v>935</v>
      </c>
      <c r="H358" t="s">
        <v>81</v>
      </c>
      <c r="I358" t="s">
        <v>936</v>
      </c>
      <c r="J358" s="1">
        <v>46066.427199074074</v>
      </c>
      <c r="K358">
        <v>2</v>
      </c>
      <c r="L358">
        <v>2029</v>
      </c>
      <c r="M358" t="s">
        <v>1508</v>
      </c>
      <c r="N358">
        <v>2</v>
      </c>
      <c r="O358" t="s">
        <v>1508</v>
      </c>
      <c r="P358" t="s">
        <v>73</v>
      </c>
      <c r="Q358">
        <v>2029</v>
      </c>
      <c r="R358">
        <v>9900</v>
      </c>
      <c r="S358">
        <v>15</v>
      </c>
      <c r="T358" t="s">
        <v>67</v>
      </c>
      <c r="U358" t="s">
        <v>68</v>
      </c>
      <c r="V358">
        <v>0</v>
      </c>
      <c r="W358" t="s">
        <v>69</v>
      </c>
      <c r="X358" s="5">
        <v>46127</v>
      </c>
      <c r="Y358" t="s">
        <v>613</v>
      </c>
      <c r="Z358" t="s">
        <v>68</v>
      </c>
      <c r="AA358">
        <v>9900</v>
      </c>
      <c r="AB358">
        <v>0</v>
      </c>
      <c r="AC358" t="s">
        <v>836</v>
      </c>
      <c r="AD358" t="s">
        <v>68</v>
      </c>
      <c r="AE358">
        <v>0</v>
      </c>
      <c r="AF358" s="1">
        <v>46157.423784722225</v>
      </c>
      <c r="AG358" s="1">
        <v>46157.423854166664</v>
      </c>
      <c r="AH358">
        <v>3</v>
      </c>
      <c r="AI358">
        <v>3</v>
      </c>
      <c r="AJ358">
        <v>2970</v>
      </c>
      <c r="AK358" t="s">
        <v>837</v>
      </c>
      <c r="AL358" t="s">
        <v>76</v>
      </c>
      <c r="AM358" t="s">
        <v>68</v>
      </c>
      <c r="AN358">
        <v>0</v>
      </c>
      <c r="AO358" s="1"/>
      <c r="AP358">
        <v>4</v>
      </c>
      <c r="AQ358">
        <v>0</v>
      </c>
      <c r="AR358">
        <v>0</v>
      </c>
      <c r="AS358" t="s">
        <v>75</v>
      </c>
      <c r="AT358" t="s">
        <v>68</v>
      </c>
      <c r="AU358">
        <v>0</v>
      </c>
      <c r="AV358" t="s">
        <v>68</v>
      </c>
      <c r="AW358">
        <v>0</v>
      </c>
      <c r="AX358" s="1"/>
      <c r="AZ358" t="s">
        <v>68</v>
      </c>
      <c r="BA358" t="s">
        <v>68</v>
      </c>
      <c r="BB358" t="s">
        <v>68</v>
      </c>
      <c r="BC358" t="s">
        <v>68</v>
      </c>
      <c r="BD358">
        <v>0</v>
      </c>
      <c r="BE358" s="1"/>
      <c r="BF358" s="1">
        <v>46157.423784722225</v>
      </c>
      <c r="BG358" t="s">
        <v>68</v>
      </c>
      <c r="BH358" t="s">
        <v>68</v>
      </c>
      <c r="BI358" t="s">
        <v>68</v>
      </c>
      <c r="BJ358" t="s">
        <v>68</v>
      </c>
      <c r="BK358" t="s">
        <v>68</v>
      </c>
      <c r="BL358" t="s">
        <v>68</v>
      </c>
      <c r="BM358" t="s">
        <v>68</v>
      </c>
      <c r="BN358" t="s">
        <v>68</v>
      </c>
      <c r="BO358" t="s">
        <v>96</v>
      </c>
      <c r="BP358">
        <v>0</v>
      </c>
      <c r="BQ358" t="s">
        <v>68</v>
      </c>
      <c r="BR358" t="s">
        <v>68</v>
      </c>
      <c r="BS358" t="s">
        <v>68</v>
      </c>
    </row>
    <row r="359" spans="1:71" x14ac:dyDescent="0.35">
      <c r="A359" t="b">
        <f>ISNUMBER(MATCH(ChargentOrders[[#This Row],[Contract__c]],Contract[Id],0))</f>
        <v>1</v>
      </c>
      <c r="B359">
        <f>IFERROR(INDEX(Contract[CB_Subscription__c],MATCH(ChargentOrders[[#This Row],[Contract__c]],Contract[Id],0)),0)</f>
        <v>0</v>
      </c>
      <c r="C359" t="b">
        <f>ISNUMBER(MATCH(ChargentOrders[[#This Row],[Id]],Claude[Id],0))</f>
        <v>1</v>
      </c>
      <c r="D359" t="b">
        <f>AND(ChargentOrders[[#This Row],[_Contract]],ChargentOrders[[#This Row],[CB Subscription]]=0)</f>
        <v>1</v>
      </c>
      <c r="E359" s="38">
        <f>INDEX(Table5[CUENTA],MATCH(ChargentOrders[[#This Row],[Contract__c]],Table5[SM_Contract__c],0))</f>
        <v>46201</v>
      </c>
      <c r="F359" s="38" t="str">
        <f ca="1">INDEX(Table5[ESTADO],MATCH(ChargentOrders[[#This Row],[Contract__c]],Table5[SM_Contract__c],0))</f>
        <v>DEBE 1</v>
      </c>
      <c r="G359" t="s">
        <v>758</v>
      </c>
      <c r="H359" t="s">
        <v>81</v>
      </c>
      <c r="I359" t="s">
        <v>759</v>
      </c>
      <c r="J359" s="1">
        <v>46037.805775462963</v>
      </c>
      <c r="K359">
        <v>9</v>
      </c>
      <c r="L359">
        <v>2029</v>
      </c>
      <c r="M359" t="s">
        <v>1498</v>
      </c>
      <c r="N359">
        <v>9</v>
      </c>
      <c r="O359" t="s">
        <v>1499</v>
      </c>
      <c r="P359" t="s">
        <v>66</v>
      </c>
      <c r="Q359">
        <v>2029</v>
      </c>
      <c r="R359">
        <v>0</v>
      </c>
      <c r="T359" t="s">
        <v>67</v>
      </c>
      <c r="U359" t="s">
        <v>68</v>
      </c>
      <c r="V359">
        <v>0</v>
      </c>
      <c r="W359" t="s">
        <v>69</v>
      </c>
      <c r="X359" s="5"/>
      <c r="Y359" t="s">
        <v>68</v>
      </c>
      <c r="Z359" t="s">
        <v>68</v>
      </c>
      <c r="AA359">
        <v>0</v>
      </c>
      <c r="AC359" t="s">
        <v>760</v>
      </c>
      <c r="AD359" t="s">
        <v>68</v>
      </c>
      <c r="AE359">
        <v>0</v>
      </c>
      <c r="AF359" s="1"/>
      <c r="AG359" s="1">
        <v>46037.805821759262</v>
      </c>
      <c r="AH359">
        <v>0</v>
      </c>
      <c r="AI359">
        <v>1</v>
      </c>
      <c r="AJ359">
        <v>0</v>
      </c>
      <c r="AK359" t="s">
        <v>761</v>
      </c>
      <c r="AL359" t="s">
        <v>68</v>
      </c>
      <c r="AM359" t="s">
        <v>68</v>
      </c>
      <c r="AN359">
        <v>0</v>
      </c>
      <c r="AO359" s="1"/>
      <c r="AP359">
        <v>1</v>
      </c>
      <c r="AS359" t="s">
        <v>75</v>
      </c>
      <c r="AT359" t="s">
        <v>68</v>
      </c>
      <c r="AU359">
        <v>0</v>
      </c>
      <c r="AV359" t="s">
        <v>68</v>
      </c>
      <c r="AW359">
        <v>1</v>
      </c>
      <c r="AX359" s="1"/>
      <c r="AZ359" t="s">
        <v>68</v>
      </c>
      <c r="BA359" t="s">
        <v>68</v>
      </c>
      <c r="BB359" t="s">
        <v>68</v>
      </c>
      <c r="BC359" t="s">
        <v>68</v>
      </c>
      <c r="BD359">
        <v>0</v>
      </c>
      <c r="BE359" s="1"/>
      <c r="BF359" s="1">
        <v>46037.805810185186</v>
      </c>
      <c r="BG359" t="s">
        <v>68</v>
      </c>
      <c r="BH359" t="s">
        <v>68</v>
      </c>
      <c r="BI359" t="s">
        <v>68</v>
      </c>
      <c r="BJ359" t="s">
        <v>68</v>
      </c>
      <c r="BK359" t="s">
        <v>68</v>
      </c>
      <c r="BL359" t="s">
        <v>68</v>
      </c>
      <c r="BM359" t="s">
        <v>68</v>
      </c>
      <c r="BN359" t="s">
        <v>68</v>
      </c>
      <c r="BO359" t="s">
        <v>96</v>
      </c>
      <c r="BP359">
        <v>0</v>
      </c>
      <c r="BQ359" t="s">
        <v>68</v>
      </c>
      <c r="BR359" t="s">
        <v>68</v>
      </c>
      <c r="BS359" t="s">
        <v>68</v>
      </c>
    </row>
    <row r="360" spans="1:71" x14ac:dyDescent="0.35">
      <c r="A360" t="b">
        <f>ISNUMBER(MATCH(ChargentOrders[[#This Row],[Contract__c]],Contract[Id],0))</f>
        <v>1</v>
      </c>
      <c r="B360">
        <f>IFERROR(INDEX(Contract[CB_Subscription__c],MATCH(ChargentOrders[[#This Row],[Contract__c]],Contract[Id],0)),0)</f>
        <v>0</v>
      </c>
      <c r="C360" t="b">
        <f>ISNUMBER(MATCH(ChargentOrders[[#This Row],[Id]],Claude[Id],0))</f>
        <v>1</v>
      </c>
      <c r="D360" t="b">
        <f>AND(ChargentOrders[[#This Row],[_Contract]],ChargentOrders[[#This Row],[CB Subscription]]=0)</f>
        <v>1</v>
      </c>
      <c r="E360" s="38">
        <f>INDEX(Table5[CUENTA],MATCH(ChargentOrders[[#This Row],[Contract__c]],Table5[SM_Contract__c],0))</f>
        <v>46201</v>
      </c>
      <c r="F360" s="38" t="str">
        <f ca="1">INDEX(Table5[ESTADO],MATCH(ChargentOrders[[#This Row],[Contract__c]],Table5[SM_Contract__c],0))</f>
        <v>DEBE 1</v>
      </c>
      <c r="G360" t="s">
        <v>762</v>
      </c>
      <c r="H360" t="s">
        <v>81</v>
      </c>
      <c r="I360" t="s">
        <v>763</v>
      </c>
      <c r="J360" s="1">
        <v>46037.806840277779</v>
      </c>
      <c r="K360">
        <v>9</v>
      </c>
      <c r="L360">
        <v>2029</v>
      </c>
      <c r="M360" t="s">
        <v>1498</v>
      </c>
      <c r="N360">
        <v>9</v>
      </c>
      <c r="O360" t="s">
        <v>1499</v>
      </c>
      <c r="P360" t="s">
        <v>66</v>
      </c>
      <c r="Q360">
        <v>2029</v>
      </c>
      <c r="R360">
        <v>495</v>
      </c>
      <c r="T360" t="s">
        <v>67</v>
      </c>
      <c r="U360" t="s">
        <v>68</v>
      </c>
      <c r="V360">
        <v>0</v>
      </c>
      <c r="W360" t="s">
        <v>69</v>
      </c>
      <c r="X360" s="5">
        <v>46037</v>
      </c>
      <c r="Y360" t="s">
        <v>74</v>
      </c>
      <c r="Z360" t="s">
        <v>68</v>
      </c>
      <c r="AA360">
        <v>495</v>
      </c>
      <c r="AB360">
        <v>0</v>
      </c>
      <c r="AC360" t="s">
        <v>760</v>
      </c>
      <c r="AD360" t="s">
        <v>68</v>
      </c>
      <c r="AE360">
        <v>0</v>
      </c>
      <c r="AF360" s="1">
        <v>46037.807395833333</v>
      </c>
      <c r="AG360" s="1">
        <v>46037.807395833333</v>
      </c>
      <c r="AH360">
        <v>1</v>
      </c>
      <c r="AI360">
        <v>1</v>
      </c>
      <c r="AJ360">
        <v>495</v>
      </c>
      <c r="AK360" t="s">
        <v>761</v>
      </c>
      <c r="AL360" t="s">
        <v>77</v>
      </c>
      <c r="AM360" t="s">
        <v>68</v>
      </c>
      <c r="AN360">
        <v>0</v>
      </c>
      <c r="AO360" s="1"/>
      <c r="AP360">
        <v>1</v>
      </c>
      <c r="AQ360">
        <v>0</v>
      </c>
      <c r="AR360">
        <v>0</v>
      </c>
      <c r="AS360" t="s">
        <v>75</v>
      </c>
      <c r="AT360" t="s">
        <v>68</v>
      </c>
      <c r="AU360">
        <v>0</v>
      </c>
      <c r="AV360" t="s">
        <v>68</v>
      </c>
      <c r="AW360">
        <v>0</v>
      </c>
      <c r="AX360" s="1"/>
      <c r="AZ360" t="s">
        <v>68</v>
      </c>
      <c r="BA360" t="s">
        <v>68</v>
      </c>
      <c r="BB360" t="s">
        <v>68</v>
      </c>
      <c r="BC360" t="s">
        <v>68</v>
      </c>
      <c r="BD360">
        <v>0</v>
      </c>
      <c r="BE360" s="1"/>
      <c r="BF360" s="1">
        <v>46037.807395833333</v>
      </c>
      <c r="BG360" t="s">
        <v>68</v>
      </c>
      <c r="BH360" t="s">
        <v>68</v>
      </c>
      <c r="BI360" t="s">
        <v>68</v>
      </c>
      <c r="BJ360" t="s">
        <v>68</v>
      </c>
      <c r="BK360" t="s">
        <v>68</v>
      </c>
      <c r="BL360" t="s">
        <v>68</v>
      </c>
      <c r="BM360" t="s">
        <v>68</v>
      </c>
      <c r="BN360" t="s">
        <v>68</v>
      </c>
      <c r="BO360" t="s">
        <v>96</v>
      </c>
      <c r="BP360">
        <v>0</v>
      </c>
      <c r="BQ360" t="s">
        <v>68</v>
      </c>
      <c r="BR360" t="s">
        <v>68</v>
      </c>
      <c r="BS360" t="s">
        <v>68</v>
      </c>
    </row>
    <row r="361" spans="1:71" x14ac:dyDescent="0.35">
      <c r="A361" t="b">
        <f>ISNUMBER(MATCH(ChargentOrders[[#This Row],[Contract__c]],Contract[Id],0))</f>
        <v>1</v>
      </c>
      <c r="B361">
        <f>IFERROR(INDEX(Contract[CB_Subscription__c],MATCH(ChargentOrders[[#This Row],[Contract__c]],Contract[Id],0)),0)</f>
        <v>0</v>
      </c>
      <c r="C361" t="b">
        <f>ISNUMBER(MATCH(ChargentOrders[[#This Row],[Id]],Claude[Id],0))</f>
        <v>1</v>
      </c>
      <c r="D361" t="b">
        <f>AND(ChargentOrders[[#This Row],[_Contract]],ChargentOrders[[#This Row],[CB Subscription]]=0)</f>
        <v>1</v>
      </c>
      <c r="E361" s="38">
        <f>INDEX(Table5[CUENTA],MATCH(ChargentOrders[[#This Row],[Contract__c]],Table5[SM_Contract__c],0))</f>
        <v>46201</v>
      </c>
      <c r="F361" s="38" t="str">
        <f ca="1">INDEX(Table5[ESTADO],MATCH(ChargentOrders[[#This Row],[Contract__c]],Table5[SM_Contract__c],0))</f>
        <v>DEBE 1</v>
      </c>
      <c r="G361" t="s">
        <v>764</v>
      </c>
      <c r="H361" t="s">
        <v>81</v>
      </c>
      <c r="I361" t="s">
        <v>765</v>
      </c>
      <c r="J361" s="1">
        <v>46037.806840277779</v>
      </c>
      <c r="K361">
        <v>9</v>
      </c>
      <c r="L361">
        <v>2029</v>
      </c>
      <c r="M361" t="s">
        <v>1498</v>
      </c>
      <c r="N361">
        <v>9</v>
      </c>
      <c r="O361" t="s">
        <v>1499</v>
      </c>
      <c r="P361" t="s">
        <v>66</v>
      </c>
      <c r="Q361">
        <v>2029</v>
      </c>
      <c r="R361">
        <v>4950</v>
      </c>
      <c r="T361" t="s">
        <v>67</v>
      </c>
      <c r="U361" t="s">
        <v>68</v>
      </c>
      <c r="V361">
        <v>0</v>
      </c>
      <c r="W361" t="s">
        <v>69</v>
      </c>
      <c r="X361" s="5">
        <v>46048</v>
      </c>
      <c r="Y361" t="s">
        <v>74</v>
      </c>
      <c r="Z361" t="s">
        <v>68</v>
      </c>
      <c r="AA361">
        <v>4950</v>
      </c>
      <c r="AB361">
        <v>0</v>
      </c>
      <c r="AC361" t="s">
        <v>760</v>
      </c>
      <c r="AD361" t="s">
        <v>68</v>
      </c>
      <c r="AE361">
        <v>0</v>
      </c>
      <c r="AF361" s="1">
        <v>46048.430439814816</v>
      </c>
      <c r="AG361" s="1">
        <v>46048.430474537039</v>
      </c>
      <c r="AH361">
        <v>1</v>
      </c>
      <c r="AI361">
        <v>1</v>
      </c>
      <c r="AJ361">
        <v>495</v>
      </c>
      <c r="AK361" t="s">
        <v>761</v>
      </c>
      <c r="AL361" t="s">
        <v>77</v>
      </c>
      <c r="AM361" t="s">
        <v>68</v>
      </c>
      <c r="AN361">
        <v>0</v>
      </c>
      <c r="AO361" s="1"/>
      <c r="AP361">
        <v>1</v>
      </c>
      <c r="AQ361">
        <v>0</v>
      </c>
      <c r="AR361">
        <v>0</v>
      </c>
      <c r="AS361" t="s">
        <v>75</v>
      </c>
      <c r="AT361" t="s">
        <v>68</v>
      </c>
      <c r="AU361">
        <v>0</v>
      </c>
      <c r="AV361" t="s">
        <v>68</v>
      </c>
      <c r="AW361">
        <v>0</v>
      </c>
      <c r="AX361" s="1"/>
      <c r="AZ361" t="s">
        <v>68</v>
      </c>
      <c r="BA361" t="s">
        <v>68</v>
      </c>
      <c r="BB361" t="s">
        <v>68</v>
      </c>
      <c r="BC361" t="s">
        <v>68</v>
      </c>
      <c r="BD361">
        <v>0</v>
      </c>
      <c r="BE361" s="1"/>
      <c r="BF361" s="1">
        <v>46048.430439814816</v>
      </c>
      <c r="BG361" t="s">
        <v>68</v>
      </c>
      <c r="BH361" t="s">
        <v>68</v>
      </c>
      <c r="BI361" t="s">
        <v>68</v>
      </c>
      <c r="BJ361" t="s">
        <v>68</v>
      </c>
      <c r="BK361" t="s">
        <v>68</v>
      </c>
      <c r="BL361" t="s">
        <v>68</v>
      </c>
      <c r="BM361" t="s">
        <v>68</v>
      </c>
      <c r="BN361" t="s">
        <v>68</v>
      </c>
      <c r="BO361" t="s">
        <v>96</v>
      </c>
      <c r="BP361">
        <v>0</v>
      </c>
      <c r="BQ361" t="s">
        <v>68</v>
      </c>
      <c r="BR361" t="s">
        <v>68</v>
      </c>
      <c r="BS361" t="s">
        <v>68</v>
      </c>
    </row>
    <row r="362" spans="1:71" x14ac:dyDescent="0.35">
      <c r="A362" t="b">
        <f>ISNUMBER(MATCH(ChargentOrders[[#This Row],[Contract__c]],Contract[Id],0))</f>
        <v>1</v>
      </c>
      <c r="B362">
        <f>IFERROR(INDEX(Contract[CB_Subscription__c],MATCH(ChargentOrders[[#This Row],[Contract__c]],Contract[Id],0)),0)</f>
        <v>0</v>
      </c>
      <c r="C362" t="b">
        <f>ISNUMBER(MATCH(ChargentOrders[[#This Row],[Id]],Claude[Id],0))</f>
        <v>1</v>
      </c>
      <c r="D362" t="b">
        <f>AND(ChargentOrders[[#This Row],[_Contract]],ChargentOrders[[#This Row],[CB Subscription]]=0)</f>
        <v>1</v>
      </c>
      <c r="E362" s="38">
        <f>INDEX(Table5[CUENTA],MATCH(ChargentOrders[[#This Row],[Contract__c]],Table5[SM_Contract__c],0))</f>
        <v>46201</v>
      </c>
      <c r="F362" s="38" t="str">
        <f ca="1">INDEX(Table5[ESTADO],MATCH(ChargentOrders[[#This Row],[Contract__c]],Table5[SM_Contract__c],0))</f>
        <v>DEBE 1</v>
      </c>
      <c r="G362" t="s">
        <v>832</v>
      </c>
      <c r="H362" t="s">
        <v>81</v>
      </c>
      <c r="I362" t="s">
        <v>833</v>
      </c>
      <c r="J362" s="1">
        <v>46048.430520833332</v>
      </c>
      <c r="K362">
        <v>9</v>
      </c>
      <c r="L362">
        <v>2029</v>
      </c>
      <c r="M362" t="s">
        <v>1498</v>
      </c>
      <c r="N362">
        <v>9</v>
      </c>
      <c r="O362" t="s">
        <v>1499</v>
      </c>
      <c r="P362" t="s">
        <v>66</v>
      </c>
      <c r="Q362">
        <v>2029</v>
      </c>
      <c r="R362">
        <v>9900</v>
      </c>
      <c r="S362">
        <v>30</v>
      </c>
      <c r="T362" t="s">
        <v>67</v>
      </c>
      <c r="U362" t="s">
        <v>68</v>
      </c>
      <c r="V362">
        <v>0</v>
      </c>
      <c r="W362" t="s">
        <v>69</v>
      </c>
      <c r="X362" s="5">
        <v>46203</v>
      </c>
      <c r="Y362" t="s">
        <v>84</v>
      </c>
      <c r="Z362" t="s">
        <v>68</v>
      </c>
      <c r="AA362">
        <v>9900</v>
      </c>
      <c r="AB362">
        <v>0</v>
      </c>
      <c r="AC362" t="s">
        <v>760</v>
      </c>
      <c r="AD362" t="s">
        <v>68</v>
      </c>
      <c r="AE362">
        <v>0</v>
      </c>
      <c r="AF362" s="1">
        <v>46203.417326388888</v>
      </c>
      <c r="AG362" s="1">
        <v>46203.417326388888</v>
      </c>
      <c r="AH362">
        <v>4</v>
      </c>
      <c r="AI362">
        <v>4</v>
      </c>
      <c r="AJ362">
        <v>3960</v>
      </c>
      <c r="AK362" t="s">
        <v>761</v>
      </c>
      <c r="AL362" t="s">
        <v>76</v>
      </c>
      <c r="AM362" t="s">
        <v>68</v>
      </c>
      <c r="AN362">
        <v>0</v>
      </c>
      <c r="AO362" s="1"/>
      <c r="AP362">
        <v>5</v>
      </c>
      <c r="AQ362">
        <v>0</v>
      </c>
      <c r="AR362">
        <v>0</v>
      </c>
      <c r="AS362" t="s">
        <v>75</v>
      </c>
      <c r="AT362" t="s">
        <v>68</v>
      </c>
      <c r="AU362">
        <v>0</v>
      </c>
      <c r="AV362" t="s">
        <v>68</v>
      </c>
      <c r="AW362">
        <v>0</v>
      </c>
      <c r="AX362" s="1"/>
      <c r="AZ362" t="s">
        <v>68</v>
      </c>
      <c r="BA362" t="s">
        <v>68</v>
      </c>
      <c r="BB362" t="s">
        <v>68</v>
      </c>
      <c r="BC362" t="s">
        <v>68</v>
      </c>
      <c r="BD362">
        <v>0</v>
      </c>
      <c r="BE362" s="1"/>
      <c r="BF362" s="1">
        <v>46203.417326388888</v>
      </c>
      <c r="BG362" t="s">
        <v>68</v>
      </c>
      <c r="BH362" t="s">
        <v>68</v>
      </c>
      <c r="BI362" t="s">
        <v>68</v>
      </c>
      <c r="BJ362" t="s">
        <v>68</v>
      </c>
      <c r="BK362" t="s">
        <v>68</v>
      </c>
      <c r="BL362" t="s">
        <v>68</v>
      </c>
      <c r="BM362" t="s">
        <v>68</v>
      </c>
      <c r="BN362" t="s">
        <v>68</v>
      </c>
      <c r="BO362" t="s">
        <v>96</v>
      </c>
      <c r="BP362">
        <v>0</v>
      </c>
      <c r="BQ362" t="s">
        <v>68</v>
      </c>
      <c r="BR362" t="s">
        <v>68</v>
      </c>
      <c r="BS362" t="s">
        <v>68</v>
      </c>
    </row>
    <row r="363" spans="1:71" x14ac:dyDescent="0.35">
      <c r="A363" t="b">
        <f>ISNUMBER(MATCH(ChargentOrders[[#This Row],[Contract__c]],Contract[Id],0))</f>
        <v>1</v>
      </c>
      <c r="B363">
        <f>IFERROR(INDEX(Contract[CB_Subscription__c],MATCH(ChargentOrders[[#This Row],[Contract__c]],Contract[Id],0)),0)</f>
        <v>0</v>
      </c>
      <c r="C363" t="b">
        <f>ISNUMBER(MATCH(ChargentOrders[[#This Row],[Id]],Claude[Id],0))</f>
        <v>1</v>
      </c>
      <c r="D363" t="b">
        <f>AND(ChargentOrders[[#This Row],[_Contract]],ChargentOrders[[#This Row],[CB Subscription]]=0)</f>
        <v>1</v>
      </c>
      <c r="E363" s="38">
        <f>INDEX(Table5[CUENTA],MATCH(ChargentOrders[[#This Row],[Contract__c]],Table5[SM_Contract__c],0))</f>
        <v>46201</v>
      </c>
      <c r="F363" s="38" t="str">
        <f ca="1">INDEX(Table5[ESTADO],MATCH(ChargentOrders[[#This Row],[Contract__c]],Table5[SM_Contract__c],0))</f>
        <v>DEBE 1</v>
      </c>
      <c r="G363" t="s">
        <v>844</v>
      </c>
      <c r="H363" t="s">
        <v>610</v>
      </c>
      <c r="I363" t="s">
        <v>845</v>
      </c>
      <c r="J363" s="1">
        <v>46049.686030092591</v>
      </c>
      <c r="K363">
        <v>9</v>
      </c>
      <c r="L363">
        <v>2029</v>
      </c>
      <c r="M363" t="s">
        <v>1510</v>
      </c>
      <c r="N363">
        <v>9</v>
      </c>
      <c r="O363" t="s">
        <v>1511</v>
      </c>
      <c r="P363" t="s">
        <v>66</v>
      </c>
      <c r="Q363">
        <v>2029</v>
      </c>
      <c r="R363">
        <v>0</v>
      </c>
      <c r="T363" t="s">
        <v>67</v>
      </c>
      <c r="U363" t="s">
        <v>68</v>
      </c>
      <c r="V363">
        <v>0</v>
      </c>
      <c r="W363" t="s">
        <v>69</v>
      </c>
      <c r="X363" s="5"/>
      <c r="Y363" t="s">
        <v>68</v>
      </c>
      <c r="Z363" t="s">
        <v>68</v>
      </c>
      <c r="AA363">
        <v>0</v>
      </c>
      <c r="AC363" t="s">
        <v>68</v>
      </c>
      <c r="AD363" t="s">
        <v>68</v>
      </c>
      <c r="AE363">
        <v>0</v>
      </c>
      <c r="AF363" s="1"/>
      <c r="AG363" s="1"/>
      <c r="AH363">
        <v>0</v>
      </c>
      <c r="AI363">
        <v>1</v>
      </c>
      <c r="AJ363">
        <v>0</v>
      </c>
      <c r="AK363" t="s">
        <v>846</v>
      </c>
      <c r="AL363" t="s">
        <v>68</v>
      </c>
      <c r="AM363" t="s">
        <v>68</v>
      </c>
      <c r="AN363">
        <v>0</v>
      </c>
      <c r="AO363" s="1"/>
      <c r="AP363">
        <v>1</v>
      </c>
      <c r="AS363" t="s">
        <v>75</v>
      </c>
      <c r="AT363" t="s">
        <v>68</v>
      </c>
      <c r="AU363">
        <v>0</v>
      </c>
      <c r="AV363" t="s">
        <v>68</v>
      </c>
      <c r="AW363">
        <v>1</v>
      </c>
      <c r="AX363" s="1"/>
      <c r="AZ363" t="s">
        <v>68</v>
      </c>
      <c r="BA363" t="s">
        <v>68</v>
      </c>
      <c r="BB363" t="s">
        <v>68</v>
      </c>
      <c r="BC363" t="s">
        <v>68</v>
      </c>
      <c r="BD363">
        <v>0</v>
      </c>
      <c r="BE363" s="1">
        <v>46049.686053240737</v>
      </c>
      <c r="BF363" s="1">
        <v>46049.686053240737</v>
      </c>
      <c r="BG363" t="s">
        <v>68</v>
      </c>
      <c r="BH363" t="s">
        <v>68</v>
      </c>
      <c r="BI363" t="s">
        <v>68</v>
      </c>
      <c r="BJ363" t="s">
        <v>68</v>
      </c>
      <c r="BK363" t="s">
        <v>68</v>
      </c>
      <c r="BL363" t="s">
        <v>68</v>
      </c>
      <c r="BM363" t="s">
        <v>68</v>
      </c>
      <c r="BN363" t="s">
        <v>68</v>
      </c>
      <c r="BO363" t="s">
        <v>96</v>
      </c>
      <c r="BP363">
        <v>0</v>
      </c>
      <c r="BQ363" t="s">
        <v>68</v>
      </c>
      <c r="BR363" t="s">
        <v>68</v>
      </c>
      <c r="BS363" t="s">
        <v>68</v>
      </c>
    </row>
    <row r="364" spans="1:71" x14ac:dyDescent="0.35">
      <c r="A364" t="b">
        <f>ISNUMBER(MATCH(ChargentOrders[[#This Row],[Contract__c]],Contract[Id],0))</f>
        <v>1</v>
      </c>
      <c r="B364">
        <f>IFERROR(INDEX(Contract[CB_Subscription__c],MATCH(ChargentOrders[[#This Row],[Contract__c]],Contract[Id],0)),0)</f>
        <v>0</v>
      </c>
      <c r="C364" t="b">
        <f>ISNUMBER(MATCH(ChargentOrders[[#This Row],[Id]],Claude[Id],0))</f>
        <v>1</v>
      </c>
      <c r="D364" t="b">
        <f>AND(ChargentOrders[[#This Row],[_Contract]],ChargentOrders[[#This Row],[CB Subscription]]=0)</f>
        <v>1</v>
      </c>
      <c r="E364" s="38">
        <f>INDEX(Table5[CUENTA],MATCH(ChargentOrders[[#This Row],[Contract__c]],Table5[SM_Contract__c],0))</f>
        <v>46201</v>
      </c>
      <c r="F364" s="38" t="str">
        <f ca="1">INDEX(Table5[ESTADO],MATCH(ChargentOrders[[#This Row],[Contract__c]],Table5[SM_Contract__c],0))</f>
        <v>DEBE 1</v>
      </c>
      <c r="G364" t="s">
        <v>847</v>
      </c>
      <c r="H364" t="s">
        <v>610</v>
      </c>
      <c r="I364" t="s">
        <v>848</v>
      </c>
      <c r="J364" s="1">
        <v>46049.686388888891</v>
      </c>
      <c r="K364">
        <v>9</v>
      </c>
      <c r="L364">
        <v>2029</v>
      </c>
      <c r="M364" t="s">
        <v>1510</v>
      </c>
      <c r="N364">
        <v>9</v>
      </c>
      <c r="O364" t="s">
        <v>1511</v>
      </c>
      <c r="P364" t="s">
        <v>66</v>
      </c>
      <c r="Q364">
        <v>2029</v>
      </c>
      <c r="R364">
        <v>0</v>
      </c>
      <c r="T364" t="s">
        <v>67</v>
      </c>
      <c r="U364" t="s">
        <v>68</v>
      </c>
      <c r="V364">
        <v>0</v>
      </c>
      <c r="W364" t="s">
        <v>69</v>
      </c>
      <c r="X364" s="5"/>
      <c r="Y364" t="s">
        <v>68</v>
      </c>
      <c r="Z364" t="s">
        <v>68</v>
      </c>
      <c r="AA364">
        <v>0</v>
      </c>
      <c r="AC364" t="s">
        <v>849</v>
      </c>
      <c r="AD364" t="s">
        <v>68</v>
      </c>
      <c r="AE364">
        <v>0</v>
      </c>
      <c r="AF364" s="1"/>
      <c r="AG364" s="1">
        <v>46049.686412037037</v>
      </c>
      <c r="AH364">
        <v>0</v>
      </c>
      <c r="AI364">
        <v>1</v>
      </c>
      <c r="AJ364">
        <v>0</v>
      </c>
      <c r="AK364" t="s">
        <v>846</v>
      </c>
      <c r="AL364" t="s">
        <v>68</v>
      </c>
      <c r="AM364" t="s">
        <v>68</v>
      </c>
      <c r="AN364">
        <v>0</v>
      </c>
      <c r="AO364" s="1"/>
      <c r="AP364">
        <v>1</v>
      </c>
      <c r="AS364" t="s">
        <v>75</v>
      </c>
      <c r="AT364" t="s">
        <v>68</v>
      </c>
      <c r="AU364">
        <v>0</v>
      </c>
      <c r="AV364" t="s">
        <v>68</v>
      </c>
      <c r="AW364">
        <v>1</v>
      </c>
      <c r="AX364" s="1"/>
      <c r="AZ364" t="s">
        <v>68</v>
      </c>
      <c r="BA364" t="s">
        <v>68</v>
      </c>
      <c r="BB364" t="s">
        <v>68</v>
      </c>
      <c r="BC364" t="s">
        <v>68</v>
      </c>
      <c r="BD364">
        <v>0</v>
      </c>
      <c r="BE364" s="1"/>
      <c r="BF364" s="1">
        <v>46049.686412037037</v>
      </c>
      <c r="BG364" t="s">
        <v>68</v>
      </c>
      <c r="BH364" t="s">
        <v>68</v>
      </c>
      <c r="BI364" t="s">
        <v>68</v>
      </c>
      <c r="BJ364" t="s">
        <v>68</v>
      </c>
      <c r="BK364" t="s">
        <v>68</v>
      </c>
      <c r="BL364" t="s">
        <v>68</v>
      </c>
      <c r="BM364" t="s">
        <v>68</v>
      </c>
      <c r="BN364" t="s">
        <v>68</v>
      </c>
      <c r="BO364" t="s">
        <v>96</v>
      </c>
      <c r="BP364">
        <v>0</v>
      </c>
      <c r="BQ364" t="s">
        <v>68</v>
      </c>
      <c r="BR364" t="s">
        <v>68</v>
      </c>
      <c r="BS364" t="s">
        <v>68</v>
      </c>
    </row>
    <row r="365" spans="1:71" x14ac:dyDescent="0.35">
      <c r="A365" t="b">
        <f>ISNUMBER(MATCH(ChargentOrders[[#This Row],[Contract__c]],Contract[Id],0))</f>
        <v>1</v>
      </c>
      <c r="B365">
        <f>IFERROR(INDEX(Contract[CB_Subscription__c],MATCH(ChargentOrders[[#This Row],[Contract__c]],Contract[Id],0)),0)</f>
        <v>0</v>
      </c>
      <c r="C365" t="b">
        <f>ISNUMBER(MATCH(ChargentOrders[[#This Row],[Id]],Claude[Id],0))</f>
        <v>1</v>
      </c>
      <c r="D365" t="b">
        <f>AND(ChargentOrders[[#This Row],[_Contract]],ChargentOrders[[#This Row],[CB Subscription]]=0)</f>
        <v>1</v>
      </c>
      <c r="E365" s="38">
        <f>INDEX(Table5[CUENTA],MATCH(ChargentOrders[[#This Row],[Contract__c]],Table5[SM_Contract__c],0))</f>
        <v>46201</v>
      </c>
      <c r="F365" s="38" t="str">
        <f ca="1">INDEX(Table5[ESTADO],MATCH(ChargentOrders[[#This Row],[Contract__c]],Table5[SM_Contract__c],0))</f>
        <v>DEBE 1</v>
      </c>
      <c r="G365" t="s">
        <v>850</v>
      </c>
      <c r="H365" t="s">
        <v>610</v>
      </c>
      <c r="I365" t="s">
        <v>851</v>
      </c>
      <c r="J365" s="1">
        <v>46049.687997685185</v>
      </c>
      <c r="K365">
        <v>9</v>
      </c>
      <c r="L365">
        <v>2029</v>
      </c>
      <c r="M365" t="s">
        <v>1510</v>
      </c>
      <c r="N365">
        <v>9</v>
      </c>
      <c r="O365" t="s">
        <v>1511</v>
      </c>
      <c r="P365" t="s">
        <v>66</v>
      </c>
      <c r="Q365">
        <v>2029</v>
      </c>
      <c r="R365">
        <v>9900</v>
      </c>
      <c r="T365" t="s">
        <v>67</v>
      </c>
      <c r="U365" t="s">
        <v>68</v>
      </c>
      <c r="V365">
        <v>0</v>
      </c>
      <c r="W365" t="s">
        <v>69</v>
      </c>
      <c r="X365" s="5">
        <v>46052</v>
      </c>
      <c r="Y365" t="s">
        <v>74</v>
      </c>
      <c r="Z365" t="s">
        <v>68</v>
      </c>
      <c r="AA365">
        <v>9900</v>
      </c>
      <c r="AB365">
        <v>0</v>
      </c>
      <c r="AC365" t="s">
        <v>849</v>
      </c>
      <c r="AD365" t="s">
        <v>68</v>
      </c>
      <c r="AE365">
        <v>0</v>
      </c>
      <c r="AF365" s="1"/>
      <c r="AG365" s="1"/>
      <c r="AH365">
        <v>0</v>
      </c>
      <c r="AI365">
        <v>1</v>
      </c>
      <c r="AJ365">
        <v>0</v>
      </c>
      <c r="AK365" t="s">
        <v>846</v>
      </c>
      <c r="AL365" t="s">
        <v>77</v>
      </c>
      <c r="AM365" t="s">
        <v>68</v>
      </c>
      <c r="AN365">
        <v>0</v>
      </c>
      <c r="AO365" s="1"/>
      <c r="AP365">
        <v>1</v>
      </c>
      <c r="AQ365">
        <v>0</v>
      </c>
      <c r="AR365">
        <v>0</v>
      </c>
      <c r="AS365" t="s">
        <v>75</v>
      </c>
      <c r="AT365" t="s">
        <v>68</v>
      </c>
      <c r="AU365">
        <v>0</v>
      </c>
      <c r="AV365" t="s">
        <v>68</v>
      </c>
      <c r="AW365">
        <v>0</v>
      </c>
      <c r="AX365" s="1"/>
      <c r="AZ365" t="s">
        <v>68</v>
      </c>
      <c r="BA365" t="s">
        <v>68</v>
      </c>
      <c r="BB365" t="s">
        <v>68</v>
      </c>
      <c r="BC365" t="s">
        <v>68</v>
      </c>
      <c r="BD365">
        <v>0</v>
      </c>
      <c r="BE365" s="1">
        <v>46052.442835648151</v>
      </c>
      <c r="BF365" s="1">
        <v>46052.442835648151</v>
      </c>
      <c r="BG365" t="s">
        <v>68</v>
      </c>
      <c r="BH365" t="s">
        <v>68</v>
      </c>
      <c r="BI365" t="s">
        <v>68</v>
      </c>
      <c r="BJ365" t="s">
        <v>68</v>
      </c>
      <c r="BK365" t="s">
        <v>68</v>
      </c>
      <c r="BL365" t="s">
        <v>68</v>
      </c>
      <c r="BM365" t="s">
        <v>68</v>
      </c>
      <c r="BN365" t="s">
        <v>68</v>
      </c>
      <c r="BO365" t="s">
        <v>96</v>
      </c>
      <c r="BP365">
        <v>0</v>
      </c>
      <c r="BQ365" t="s">
        <v>68</v>
      </c>
      <c r="BR365" t="s">
        <v>68</v>
      </c>
      <c r="BS365" t="s">
        <v>68</v>
      </c>
    </row>
    <row r="366" spans="1:71" x14ac:dyDescent="0.35">
      <c r="A366" t="b">
        <f>ISNUMBER(MATCH(ChargentOrders[[#This Row],[Contract__c]],Contract[Id],0))</f>
        <v>1</v>
      </c>
      <c r="B366">
        <f>IFERROR(INDEX(Contract[CB_Subscription__c],MATCH(ChargentOrders[[#This Row],[Contract__c]],Contract[Id],0)),0)</f>
        <v>0</v>
      </c>
      <c r="C366" t="b">
        <f>ISNUMBER(MATCH(ChargentOrders[[#This Row],[Id]],Claude[Id],0))</f>
        <v>1</v>
      </c>
      <c r="D366" t="b">
        <f>AND(ChargentOrders[[#This Row],[_Contract]],ChargentOrders[[#This Row],[CB Subscription]]=0)</f>
        <v>1</v>
      </c>
      <c r="E366" s="38">
        <f>INDEX(Table5[CUENTA],MATCH(ChargentOrders[[#This Row],[Contract__c]],Table5[SM_Contract__c],0))</f>
        <v>46201</v>
      </c>
      <c r="F366" s="38" t="str">
        <f ca="1">INDEX(Table5[ESTADO],MATCH(ChargentOrders[[#This Row],[Contract__c]],Table5[SM_Contract__c],0))</f>
        <v>DEBE 1</v>
      </c>
      <c r="G366" t="s">
        <v>911</v>
      </c>
      <c r="H366" t="s">
        <v>610</v>
      </c>
      <c r="I366" t="s">
        <v>912</v>
      </c>
      <c r="J366" s="1">
        <v>46052.44290509259</v>
      </c>
      <c r="K366">
        <v>9</v>
      </c>
      <c r="L366">
        <v>2029</v>
      </c>
      <c r="M366" t="s">
        <v>1510</v>
      </c>
      <c r="N366">
        <v>9</v>
      </c>
      <c r="O366" t="s">
        <v>1511</v>
      </c>
      <c r="P366" t="s">
        <v>66</v>
      </c>
      <c r="Q366">
        <v>2029</v>
      </c>
      <c r="R366">
        <v>12400</v>
      </c>
      <c r="T366" t="s">
        <v>67</v>
      </c>
      <c r="U366" t="s">
        <v>68</v>
      </c>
      <c r="V366">
        <v>0</v>
      </c>
      <c r="W366" t="s">
        <v>69</v>
      </c>
      <c r="X366" s="5">
        <v>46069</v>
      </c>
      <c r="Y366" t="s">
        <v>74</v>
      </c>
      <c r="Z366" t="s">
        <v>68</v>
      </c>
      <c r="AA366">
        <v>12400</v>
      </c>
      <c r="AB366">
        <v>0</v>
      </c>
      <c r="AC366" t="s">
        <v>849</v>
      </c>
      <c r="AD366" t="s">
        <v>68</v>
      </c>
      <c r="AE366">
        <v>0</v>
      </c>
      <c r="AF366" s="1">
        <v>46069.42454861111</v>
      </c>
      <c r="AG366" s="1">
        <v>46069.424583333333</v>
      </c>
      <c r="AH366">
        <v>1</v>
      </c>
      <c r="AI366">
        <v>7</v>
      </c>
      <c r="AJ366">
        <v>1240</v>
      </c>
      <c r="AK366" t="s">
        <v>846</v>
      </c>
      <c r="AL366" t="s">
        <v>71</v>
      </c>
      <c r="AM366" t="s">
        <v>68</v>
      </c>
      <c r="AN366">
        <v>0</v>
      </c>
      <c r="AO366" s="1"/>
      <c r="AQ366">
        <v>0</v>
      </c>
      <c r="AR366">
        <v>0</v>
      </c>
      <c r="AS366" t="s">
        <v>72</v>
      </c>
      <c r="AT366" t="s">
        <v>68</v>
      </c>
      <c r="AU366">
        <v>1</v>
      </c>
      <c r="AV366" t="s">
        <v>913</v>
      </c>
      <c r="AW366">
        <v>0</v>
      </c>
      <c r="AX366" s="1">
        <v>46049.687997685185</v>
      </c>
      <c r="AY366">
        <v>2500</v>
      </c>
      <c r="AZ366" t="s">
        <v>68</v>
      </c>
      <c r="BA366" t="s">
        <v>65</v>
      </c>
      <c r="BB366" t="s">
        <v>68</v>
      </c>
      <c r="BC366" t="s">
        <v>68</v>
      </c>
      <c r="BD366">
        <v>0</v>
      </c>
      <c r="BE366" s="1">
        <v>46066.429062499999</v>
      </c>
      <c r="BF366" s="1">
        <v>46069.42454861111</v>
      </c>
      <c r="BG366" t="s">
        <v>68</v>
      </c>
      <c r="BH366" t="s">
        <v>68</v>
      </c>
      <c r="BI366" t="s">
        <v>68</v>
      </c>
      <c r="BJ366" t="s">
        <v>68</v>
      </c>
      <c r="BK366" t="s">
        <v>68</v>
      </c>
      <c r="BL366" t="s">
        <v>68</v>
      </c>
      <c r="BM366" t="s">
        <v>68</v>
      </c>
      <c r="BN366" t="s">
        <v>68</v>
      </c>
      <c r="BO366" t="s">
        <v>96</v>
      </c>
      <c r="BP366">
        <v>0</v>
      </c>
      <c r="BQ366" t="s">
        <v>68</v>
      </c>
      <c r="BR366" t="s">
        <v>68</v>
      </c>
      <c r="BS366" t="s">
        <v>68</v>
      </c>
    </row>
    <row r="367" spans="1:71" x14ac:dyDescent="0.35">
      <c r="A367" t="b">
        <f>ISNUMBER(MATCH(ChargentOrders[[#This Row],[Contract__c]],Contract[Id],0))</f>
        <v>1</v>
      </c>
      <c r="B367">
        <f>IFERROR(INDEX(Contract[CB_Subscription__c],MATCH(ChargentOrders[[#This Row],[Contract__c]],Contract[Id],0)),0)</f>
        <v>0</v>
      </c>
      <c r="C367" t="b">
        <f>ISNUMBER(MATCH(ChargentOrders[[#This Row],[Id]],Claude[Id],0))</f>
        <v>1</v>
      </c>
      <c r="D367" t="b">
        <f>AND(ChargentOrders[[#This Row],[_Contract]],ChargentOrders[[#This Row],[CB Subscription]]=0)</f>
        <v>1</v>
      </c>
      <c r="E367" s="38">
        <f>INDEX(Table5[CUENTA],MATCH(ChargentOrders[[#This Row],[Contract__c]],Table5[SM_Contract__c],0))</f>
        <v>46201</v>
      </c>
      <c r="F367" s="38" t="str">
        <f ca="1">INDEX(Table5[ESTADO],MATCH(ChargentOrders[[#This Row],[Contract__c]],Table5[SM_Contract__c],0))</f>
        <v>DEBE 1</v>
      </c>
      <c r="G367" t="s">
        <v>937</v>
      </c>
      <c r="H367" t="s">
        <v>610</v>
      </c>
      <c r="I367" t="s">
        <v>938</v>
      </c>
      <c r="J367" s="1">
        <v>46069.42460648148</v>
      </c>
      <c r="K367">
        <v>9</v>
      </c>
      <c r="L367">
        <v>2029</v>
      </c>
      <c r="M367" t="s">
        <v>1510</v>
      </c>
      <c r="N367">
        <v>9</v>
      </c>
      <c r="O367" t="s">
        <v>1510</v>
      </c>
      <c r="P367" t="s">
        <v>66</v>
      </c>
      <c r="Q367">
        <v>2029</v>
      </c>
      <c r="R367">
        <v>9900</v>
      </c>
      <c r="S367">
        <v>30</v>
      </c>
      <c r="T367" t="s">
        <v>67</v>
      </c>
      <c r="U367" t="s">
        <v>68</v>
      </c>
      <c r="V367">
        <v>0</v>
      </c>
      <c r="W367" t="s">
        <v>69</v>
      </c>
      <c r="X367" s="5">
        <v>46203</v>
      </c>
      <c r="Y367" t="s">
        <v>84</v>
      </c>
      <c r="Z367" t="s">
        <v>68</v>
      </c>
      <c r="AA367">
        <v>9900</v>
      </c>
      <c r="AB367">
        <v>0</v>
      </c>
      <c r="AC367" t="s">
        <v>849</v>
      </c>
      <c r="AD367" t="s">
        <v>68</v>
      </c>
      <c r="AE367">
        <v>0</v>
      </c>
      <c r="AF367" s="1">
        <v>46203.41746527778</v>
      </c>
      <c r="AG367" s="1">
        <v>46203.417557870373</v>
      </c>
      <c r="AH367">
        <v>1</v>
      </c>
      <c r="AI367">
        <v>4</v>
      </c>
      <c r="AJ367">
        <v>990</v>
      </c>
      <c r="AK367" t="s">
        <v>846</v>
      </c>
      <c r="AL367" t="s">
        <v>76</v>
      </c>
      <c r="AM367" t="s">
        <v>68</v>
      </c>
      <c r="AN367">
        <v>0</v>
      </c>
      <c r="AO367" s="1"/>
      <c r="AP367">
        <v>5</v>
      </c>
      <c r="AQ367">
        <v>0</v>
      </c>
      <c r="AR367">
        <v>0</v>
      </c>
      <c r="AS367" t="s">
        <v>75</v>
      </c>
      <c r="AT367" t="s">
        <v>68</v>
      </c>
      <c r="AU367">
        <v>0</v>
      </c>
      <c r="AV367" t="s">
        <v>68</v>
      </c>
      <c r="AW367">
        <v>0</v>
      </c>
      <c r="AX367" s="1"/>
      <c r="AZ367" t="s">
        <v>68</v>
      </c>
      <c r="BA367" t="s">
        <v>68</v>
      </c>
      <c r="BB367" t="s">
        <v>68</v>
      </c>
      <c r="BC367" t="s">
        <v>68</v>
      </c>
      <c r="BD367">
        <v>0</v>
      </c>
      <c r="BE367" s="1">
        <v>46171.419907407406</v>
      </c>
      <c r="BF367" s="1">
        <v>46203.41746527778</v>
      </c>
      <c r="BG367" t="s">
        <v>68</v>
      </c>
      <c r="BH367" t="s">
        <v>68</v>
      </c>
      <c r="BI367" t="s">
        <v>68</v>
      </c>
      <c r="BJ367" t="s">
        <v>68</v>
      </c>
      <c r="BK367" t="s">
        <v>68</v>
      </c>
      <c r="BL367" t="s">
        <v>68</v>
      </c>
      <c r="BM367" t="s">
        <v>68</v>
      </c>
      <c r="BN367" t="s">
        <v>68</v>
      </c>
      <c r="BO367" t="s">
        <v>96</v>
      </c>
      <c r="BP367">
        <v>0</v>
      </c>
      <c r="BQ367" t="s">
        <v>68</v>
      </c>
      <c r="BR367" t="s">
        <v>68</v>
      </c>
      <c r="BS367" t="s">
        <v>68</v>
      </c>
    </row>
    <row r="368" spans="1:71" x14ac:dyDescent="0.35">
      <c r="A368" t="b">
        <f>ISNUMBER(MATCH(ChargentOrders[[#This Row],[Contract__c]],Contract[Id],0))</f>
        <v>1</v>
      </c>
      <c r="B368">
        <f>IFERROR(INDEX(Contract[CB_Subscription__c],MATCH(ChargentOrders[[#This Row],[Contract__c]],Contract[Id],0)),0)</f>
        <v>0</v>
      </c>
      <c r="C368" t="b">
        <f>ISNUMBER(MATCH(ChargentOrders[[#This Row],[Id]],Claude[Id],0))</f>
        <v>1</v>
      </c>
      <c r="D368" t="b">
        <f>AND(ChargentOrders[[#This Row],[_Contract]],ChargentOrders[[#This Row],[CB Subscription]]=0)</f>
        <v>1</v>
      </c>
      <c r="E368" s="38">
        <f>INDEX(Table5[CUENTA],MATCH(ChargentOrders[[#This Row],[Contract__c]],Table5[SM_Contract__c],0))</f>
        <v>46201</v>
      </c>
      <c r="F368" s="38" t="str">
        <f ca="1">INDEX(Table5[ESTADO],MATCH(ChargentOrders[[#This Row],[Contract__c]],Table5[SM_Contract__c],0))</f>
        <v>DEBE 1</v>
      </c>
      <c r="G368" t="s">
        <v>985</v>
      </c>
      <c r="H368" t="s">
        <v>610</v>
      </c>
      <c r="I368" t="s">
        <v>986</v>
      </c>
      <c r="J368" s="1">
        <v>46080.432025462964</v>
      </c>
      <c r="K368">
        <v>9</v>
      </c>
      <c r="L368">
        <v>2029</v>
      </c>
      <c r="M368" t="s">
        <v>1510</v>
      </c>
      <c r="N368">
        <v>9</v>
      </c>
      <c r="O368" t="s">
        <v>1510</v>
      </c>
      <c r="P368" t="s">
        <v>66</v>
      </c>
      <c r="Q368">
        <v>2029</v>
      </c>
      <c r="R368">
        <v>990</v>
      </c>
      <c r="T368" t="s">
        <v>67</v>
      </c>
      <c r="U368" t="s">
        <v>68</v>
      </c>
      <c r="V368">
        <v>0</v>
      </c>
      <c r="W368" t="s">
        <v>69</v>
      </c>
      <c r="X368" s="5">
        <v>46107</v>
      </c>
      <c r="Y368" t="s">
        <v>74</v>
      </c>
      <c r="Z368" t="s">
        <v>68</v>
      </c>
      <c r="AA368">
        <v>9900</v>
      </c>
      <c r="AB368">
        <v>0</v>
      </c>
      <c r="AC368" t="s">
        <v>849</v>
      </c>
      <c r="AD368" t="s">
        <v>68</v>
      </c>
      <c r="AE368">
        <v>0</v>
      </c>
      <c r="AF368" s="1">
        <v>46107.914918981478</v>
      </c>
      <c r="AG368" s="1">
        <v>46107.914918981478</v>
      </c>
      <c r="AH368">
        <v>1</v>
      </c>
      <c r="AI368">
        <v>13</v>
      </c>
      <c r="AJ368">
        <v>990</v>
      </c>
      <c r="AK368" t="s">
        <v>846</v>
      </c>
      <c r="AL368" t="s">
        <v>71</v>
      </c>
      <c r="AM368" t="s">
        <v>68</v>
      </c>
      <c r="AN368">
        <v>0</v>
      </c>
      <c r="AO368" s="1"/>
      <c r="AP368">
        <v>0</v>
      </c>
      <c r="AQ368">
        <v>0</v>
      </c>
      <c r="AR368">
        <v>0</v>
      </c>
      <c r="AS368" t="s">
        <v>72</v>
      </c>
      <c r="AT368" t="s">
        <v>68</v>
      </c>
      <c r="AU368">
        <v>0</v>
      </c>
      <c r="AV368" t="s">
        <v>987</v>
      </c>
      <c r="AW368">
        <v>0</v>
      </c>
      <c r="AX368" s="1">
        <v>46107.836782407408</v>
      </c>
      <c r="AY368">
        <v>0</v>
      </c>
      <c r="AZ368" t="s">
        <v>68</v>
      </c>
      <c r="BA368" t="s">
        <v>65</v>
      </c>
      <c r="BB368" t="s">
        <v>68</v>
      </c>
      <c r="BC368" t="s">
        <v>68</v>
      </c>
      <c r="BD368">
        <v>0</v>
      </c>
      <c r="BE368" s="1">
        <v>46105.938703703701</v>
      </c>
      <c r="BF368" s="1">
        <v>46107.914918981478</v>
      </c>
      <c r="BG368" t="s">
        <v>68</v>
      </c>
      <c r="BH368" t="s">
        <v>68</v>
      </c>
      <c r="BI368" t="s">
        <v>68</v>
      </c>
      <c r="BJ368" t="s">
        <v>68</v>
      </c>
      <c r="BK368" t="s">
        <v>68</v>
      </c>
      <c r="BL368" t="s">
        <v>68</v>
      </c>
      <c r="BM368" t="s">
        <v>68</v>
      </c>
      <c r="BN368" t="s">
        <v>68</v>
      </c>
      <c r="BO368" t="s">
        <v>96</v>
      </c>
      <c r="BP368">
        <v>0</v>
      </c>
      <c r="BQ368" t="s">
        <v>68</v>
      </c>
      <c r="BR368" t="s">
        <v>68</v>
      </c>
      <c r="BS368" t="s">
        <v>231</v>
      </c>
    </row>
    <row r="369" spans="1:71" x14ac:dyDescent="0.35">
      <c r="A369" t="b">
        <f>ISNUMBER(MATCH(ChargentOrders[[#This Row],[Contract__c]],Contract[Id],0))</f>
        <v>1</v>
      </c>
      <c r="B369">
        <f>IFERROR(INDEX(Contract[CB_Subscription__c],MATCH(ChargentOrders[[#This Row],[Contract__c]],Contract[Id],0)),0)</f>
        <v>0</v>
      </c>
      <c r="C369" t="b">
        <f>ISNUMBER(MATCH(ChargentOrders[[#This Row],[Id]],Claude[Id],0))</f>
        <v>1</v>
      </c>
      <c r="D369" t="b">
        <f>AND(ChargentOrders[[#This Row],[_Contract]],ChargentOrders[[#This Row],[CB Subscription]]=0)</f>
        <v>1</v>
      </c>
      <c r="E369" s="38">
        <f>INDEX(Table5[CUENTA],MATCH(ChargentOrders[[#This Row],[Contract__c]],Table5[SM_Contract__c],0))</f>
        <v>46201</v>
      </c>
      <c r="F369" s="38" t="str">
        <f ca="1">INDEX(Table5[ESTADO],MATCH(ChargentOrders[[#This Row],[Contract__c]],Table5[SM_Contract__c],0))</f>
        <v>DEBE 1</v>
      </c>
      <c r="G369" t="s">
        <v>1008</v>
      </c>
      <c r="H369" t="s">
        <v>78</v>
      </c>
      <c r="I369" t="s">
        <v>1009</v>
      </c>
      <c r="J369" s="1">
        <v>46107.947083333333</v>
      </c>
      <c r="K369">
        <v>9</v>
      </c>
      <c r="L369">
        <v>2029</v>
      </c>
      <c r="M369" t="s">
        <v>1510</v>
      </c>
      <c r="N369">
        <v>9</v>
      </c>
      <c r="O369" t="s">
        <v>1517</v>
      </c>
      <c r="P369" t="s">
        <v>66</v>
      </c>
      <c r="Q369">
        <v>2029</v>
      </c>
      <c r="R369">
        <v>1240</v>
      </c>
      <c r="T369" t="s">
        <v>67</v>
      </c>
      <c r="U369" t="s">
        <v>68</v>
      </c>
      <c r="V369">
        <v>0</v>
      </c>
      <c r="W369" t="s">
        <v>69</v>
      </c>
      <c r="X369" s="5">
        <v>46212</v>
      </c>
      <c r="Y369" t="s">
        <v>90</v>
      </c>
      <c r="Z369" t="s">
        <v>68</v>
      </c>
      <c r="AA369">
        <v>12400</v>
      </c>
      <c r="AB369">
        <v>0</v>
      </c>
      <c r="AC369" t="s">
        <v>849</v>
      </c>
      <c r="AD369" t="s">
        <v>68</v>
      </c>
      <c r="AE369">
        <v>0</v>
      </c>
      <c r="AF369" s="1"/>
      <c r="AG369" s="1"/>
      <c r="AH369">
        <v>0</v>
      </c>
      <c r="AI369">
        <v>42</v>
      </c>
      <c r="AJ369">
        <v>0</v>
      </c>
      <c r="AK369" t="s">
        <v>846</v>
      </c>
      <c r="AL369" t="s">
        <v>71</v>
      </c>
      <c r="AM369" t="s">
        <v>1007</v>
      </c>
      <c r="AN369">
        <v>0</v>
      </c>
      <c r="AO369" s="1"/>
      <c r="AP369">
        <v>1</v>
      </c>
      <c r="AQ369">
        <v>0</v>
      </c>
      <c r="AR369">
        <v>0</v>
      </c>
      <c r="AS369" t="s">
        <v>75</v>
      </c>
      <c r="AT369" t="s">
        <v>68</v>
      </c>
      <c r="AU369">
        <v>1</v>
      </c>
      <c r="AV369" t="s">
        <v>68</v>
      </c>
      <c r="AW369">
        <v>0</v>
      </c>
      <c r="AX369" s="1">
        <v>46127.965474537035</v>
      </c>
      <c r="AY369">
        <v>2500</v>
      </c>
      <c r="AZ369" t="s">
        <v>68</v>
      </c>
      <c r="BA369" t="s">
        <v>68</v>
      </c>
      <c r="BB369" t="s">
        <v>68</v>
      </c>
      <c r="BC369" t="s">
        <v>68</v>
      </c>
      <c r="BD369">
        <v>0</v>
      </c>
      <c r="BE369" s="1">
        <v>46216.989537037036</v>
      </c>
      <c r="BF369" s="1">
        <v>46216.989537037036</v>
      </c>
      <c r="BG369" t="s">
        <v>68</v>
      </c>
      <c r="BH369" t="s">
        <v>68</v>
      </c>
      <c r="BI369" t="s">
        <v>68</v>
      </c>
      <c r="BJ369" t="s">
        <v>68</v>
      </c>
      <c r="BK369" t="s">
        <v>68</v>
      </c>
      <c r="BL369" t="s">
        <v>68</v>
      </c>
      <c r="BM369" t="s">
        <v>68</v>
      </c>
      <c r="BN369" t="s">
        <v>68</v>
      </c>
      <c r="BO369" t="s">
        <v>96</v>
      </c>
      <c r="BP369">
        <v>0</v>
      </c>
      <c r="BQ369" t="s">
        <v>68</v>
      </c>
      <c r="BR369" t="s">
        <v>68</v>
      </c>
      <c r="BS369" t="s">
        <v>249</v>
      </c>
    </row>
    <row r="370" spans="1:71" x14ac:dyDescent="0.35">
      <c r="A370" t="b">
        <f>ISNUMBER(MATCH(ChargentOrders[[#This Row],[Contract__c]],Contract[Id],0))</f>
        <v>1</v>
      </c>
      <c r="B370">
        <f>IFERROR(INDEX(Contract[CB_Subscription__c],MATCH(ChargentOrders[[#This Row],[Contract__c]],Contract[Id],0)),0)</f>
        <v>0</v>
      </c>
      <c r="C370" t="b">
        <f>ISNUMBER(MATCH(ChargentOrders[[#This Row],[Id]],Claude[Id],0))</f>
        <v>1</v>
      </c>
      <c r="D370" t="b">
        <f>AND(ChargentOrders[[#This Row],[_Contract]],ChargentOrders[[#This Row],[CB Subscription]]=0)</f>
        <v>1</v>
      </c>
      <c r="E370" s="38">
        <f>INDEX(Table5[CUENTA],MATCH(ChargentOrders[[#This Row],[Contract__c]],Table5[SM_Contract__c],0))</f>
        <v>46201</v>
      </c>
      <c r="F370" s="38" t="str">
        <f ca="1">INDEX(Table5[ESTADO],MATCH(ChargentOrders[[#This Row],[Contract__c]],Table5[SM_Contract__c],0))</f>
        <v>DEBE 1</v>
      </c>
      <c r="G370" t="s">
        <v>1107</v>
      </c>
      <c r="H370" t="s">
        <v>610</v>
      </c>
      <c r="I370" t="s">
        <v>1108</v>
      </c>
      <c r="J370" s="1">
        <v>46142.427766203706</v>
      </c>
      <c r="K370">
        <v>9</v>
      </c>
      <c r="L370">
        <v>2029</v>
      </c>
      <c r="M370" t="s">
        <v>1510</v>
      </c>
      <c r="N370">
        <v>9</v>
      </c>
      <c r="O370" t="s">
        <v>1510</v>
      </c>
      <c r="P370" t="s">
        <v>66</v>
      </c>
      <c r="Q370">
        <v>2029</v>
      </c>
      <c r="R370">
        <v>12400</v>
      </c>
      <c r="T370" t="s">
        <v>67</v>
      </c>
      <c r="U370" t="s">
        <v>68</v>
      </c>
      <c r="V370">
        <v>0</v>
      </c>
      <c r="W370" t="s">
        <v>69</v>
      </c>
      <c r="X370" s="5">
        <v>46170</v>
      </c>
      <c r="Y370" t="s">
        <v>74</v>
      </c>
      <c r="Z370" t="s">
        <v>68</v>
      </c>
      <c r="AA370">
        <v>12400</v>
      </c>
      <c r="AB370">
        <v>0</v>
      </c>
      <c r="AC370" t="s">
        <v>849</v>
      </c>
      <c r="AD370" t="s">
        <v>68</v>
      </c>
      <c r="AE370">
        <v>0</v>
      </c>
      <c r="AF370" s="1">
        <v>46170.423356481479</v>
      </c>
      <c r="AG370" s="1">
        <v>46170.423414351855</v>
      </c>
      <c r="AH370">
        <v>1</v>
      </c>
      <c r="AI370">
        <v>12</v>
      </c>
      <c r="AJ370">
        <v>1240</v>
      </c>
      <c r="AK370" t="s">
        <v>846</v>
      </c>
      <c r="AL370" t="s">
        <v>71</v>
      </c>
      <c r="AM370" t="s">
        <v>68</v>
      </c>
      <c r="AN370">
        <v>0</v>
      </c>
      <c r="AO370" s="1"/>
      <c r="AP370">
        <v>0</v>
      </c>
      <c r="AQ370">
        <v>0</v>
      </c>
      <c r="AR370">
        <v>0</v>
      </c>
      <c r="AS370" t="s">
        <v>72</v>
      </c>
      <c r="AT370" t="s">
        <v>68</v>
      </c>
      <c r="AU370">
        <v>1</v>
      </c>
      <c r="AV370" t="s">
        <v>1109</v>
      </c>
      <c r="AW370">
        <v>0</v>
      </c>
      <c r="AX370" s="1">
        <v>46069.42460648148</v>
      </c>
      <c r="AY370">
        <v>2500</v>
      </c>
      <c r="AZ370" t="s">
        <v>68</v>
      </c>
      <c r="BA370" t="s">
        <v>65</v>
      </c>
      <c r="BB370" t="s">
        <v>68</v>
      </c>
      <c r="BC370" t="s">
        <v>68</v>
      </c>
      <c r="BD370">
        <v>0</v>
      </c>
      <c r="BE370" s="1">
        <v>46167.425578703704</v>
      </c>
      <c r="BF370" s="1">
        <v>46170.423356481479</v>
      </c>
      <c r="BG370" t="s">
        <v>68</v>
      </c>
      <c r="BH370" t="s">
        <v>68</v>
      </c>
      <c r="BI370" t="s">
        <v>68</v>
      </c>
      <c r="BJ370" t="s">
        <v>68</v>
      </c>
      <c r="BK370" t="s">
        <v>68</v>
      </c>
      <c r="BL370" t="s">
        <v>68</v>
      </c>
      <c r="BM370" t="s">
        <v>68</v>
      </c>
      <c r="BN370" t="s">
        <v>68</v>
      </c>
      <c r="BO370" t="s">
        <v>96</v>
      </c>
      <c r="BP370">
        <v>0</v>
      </c>
      <c r="BQ370" t="s">
        <v>68</v>
      </c>
      <c r="BR370" t="s">
        <v>68</v>
      </c>
      <c r="BS370" t="s">
        <v>68</v>
      </c>
    </row>
    <row r="371" spans="1:71" x14ac:dyDescent="0.35">
      <c r="A371" t="b">
        <f>ISNUMBER(MATCH(ChargentOrders[[#This Row],[Contract__c]],Contract[Id],0))</f>
        <v>1</v>
      </c>
      <c r="B371">
        <f>IFERROR(INDEX(Contract[CB_Subscription__c],MATCH(ChargentOrders[[#This Row],[Contract__c]],Contract[Id],0)),0)</f>
        <v>0</v>
      </c>
      <c r="C371" t="b">
        <f>ISNUMBER(MATCH(ChargentOrders[[#This Row],[Id]],Claude[Id],0))</f>
        <v>1</v>
      </c>
      <c r="D371" t="b">
        <f>AND(ChargentOrders[[#This Row],[_Contract]],ChargentOrders[[#This Row],[CB Subscription]]=0)</f>
        <v>1</v>
      </c>
      <c r="E371" s="38">
        <f>INDEX(Table5[CUENTA],MATCH(ChargentOrders[[#This Row],[Contract__c]],Table5[SM_Contract__c],0))</f>
        <v>46201</v>
      </c>
      <c r="F371" s="38" t="str">
        <f ca="1">INDEX(Table5[ESTADO],MATCH(ChargentOrders[[#This Row],[Contract__c]],Table5[SM_Contract__c],0))</f>
        <v>DEBE 1</v>
      </c>
      <c r="G371" t="s">
        <v>1274</v>
      </c>
      <c r="H371" t="s">
        <v>610</v>
      </c>
      <c r="I371" t="s">
        <v>1275</v>
      </c>
      <c r="J371" s="1">
        <v>46171.42</v>
      </c>
      <c r="K371">
        <v>9</v>
      </c>
      <c r="L371">
        <v>2029</v>
      </c>
      <c r="M371" t="s">
        <v>1510</v>
      </c>
      <c r="N371">
        <v>9</v>
      </c>
      <c r="O371" t="s">
        <v>1510</v>
      </c>
      <c r="P371" t="s">
        <v>66</v>
      </c>
      <c r="Q371">
        <v>2029</v>
      </c>
      <c r="R371">
        <v>12400</v>
      </c>
      <c r="T371" t="s">
        <v>67</v>
      </c>
      <c r="U371" t="s">
        <v>68</v>
      </c>
      <c r="V371">
        <v>0</v>
      </c>
      <c r="W371" t="s">
        <v>69</v>
      </c>
      <c r="X371" s="5">
        <v>46185</v>
      </c>
      <c r="Y371" t="s">
        <v>74</v>
      </c>
      <c r="Z371" t="s">
        <v>68</v>
      </c>
      <c r="AA371">
        <v>12400</v>
      </c>
      <c r="AB371">
        <v>0</v>
      </c>
      <c r="AC371" t="s">
        <v>849</v>
      </c>
      <c r="AD371" t="s">
        <v>68</v>
      </c>
      <c r="AE371">
        <v>0</v>
      </c>
      <c r="AF371" s="1">
        <v>46185.422638888886</v>
      </c>
      <c r="AG371" s="1">
        <v>46185.422650462962</v>
      </c>
      <c r="AH371">
        <v>1</v>
      </c>
      <c r="AI371">
        <v>6</v>
      </c>
      <c r="AJ371">
        <v>1240</v>
      </c>
      <c r="AK371" t="s">
        <v>846</v>
      </c>
      <c r="AL371" t="s">
        <v>71</v>
      </c>
      <c r="AM371" t="s">
        <v>68</v>
      </c>
      <c r="AN371">
        <v>0</v>
      </c>
      <c r="AO371" s="1"/>
      <c r="AP371">
        <v>0</v>
      </c>
      <c r="AQ371">
        <v>0</v>
      </c>
      <c r="AR371">
        <v>0</v>
      </c>
      <c r="AS371" t="s">
        <v>72</v>
      </c>
      <c r="AT371" t="s">
        <v>68</v>
      </c>
      <c r="AU371">
        <v>1</v>
      </c>
      <c r="AV371" t="s">
        <v>1276</v>
      </c>
      <c r="AW371">
        <v>0</v>
      </c>
      <c r="AX371" s="1">
        <v>46069.42460648148</v>
      </c>
      <c r="AY371">
        <v>2500</v>
      </c>
      <c r="AZ371" t="s">
        <v>68</v>
      </c>
      <c r="BA371" t="s">
        <v>65</v>
      </c>
      <c r="BB371" t="s">
        <v>68</v>
      </c>
      <c r="BC371" t="s">
        <v>68</v>
      </c>
      <c r="BD371">
        <v>0</v>
      </c>
      <c r="BE371" s="1">
        <v>46184.422291666669</v>
      </c>
      <c r="BF371" s="1">
        <v>46185.422638888886</v>
      </c>
      <c r="BG371" t="s">
        <v>68</v>
      </c>
      <c r="BH371" t="s">
        <v>68</v>
      </c>
      <c r="BI371" t="s">
        <v>68</v>
      </c>
      <c r="BJ371" t="s">
        <v>68</v>
      </c>
      <c r="BK371" t="s">
        <v>68</v>
      </c>
      <c r="BL371" t="s">
        <v>68</v>
      </c>
      <c r="BM371" t="s">
        <v>68</v>
      </c>
      <c r="BN371" t="s">
        <v>68</v>
      </c>
      <c r="BO371" t="s">
        <v>96</v>
      </c>
      <c r="BP371">
        <v>0</v>
      </c>
      <c r="BQ371" t="s">
        <v>68</v>
      </c>
      <c r="BR371" t="s">
        <v>68</v>
      </c>
      <c r="BS371" t="s">
        <v>68</v>
      </c>
    </row>
    <row r="372" spans="1:71" x14ac:dyDescent="0.35">
      <c r="A372" t="b">
        <f>ISNUMBER(MATCH(ChargentOrders[[#This Row],[Contract__c]],Contract[Id],0))</f>
        <v>1</v>
      </c>
      <c r="B372">
        <f>IFERROR(INDEX(Contract[CB_Subscription__c],MATCH(ChargentOrders[[#This Row],[Contract__c]],Contract[Id],0)),0)</f>
        <v>0</v>
      </c>
      <c r="C372" t="b">
        <f>ISNUMBER(MATCH(ChargentOrders[[#This Row],[Id]],Claude[Id],0))</f>
        <v>1</v>
      </c>
      <c r="D372" t="b">
        <f>AND(ChargentOrders[[#This Row],[_Contract]],ChargentOrders[[#This Row],[CB Subscription]]=0)</f>
        <v>1</v>
      </c>
      <c r="E372" s="38">
        <f>INDEX(Table5[CUENTA],MATCH(ChargentOrders[[#This Row],[Contract__c]],Table5[SM_Contract__c],0))</f>
        <v>46201</v>
      </c>
      <c r="F372" s="38" t="str">
        <f ca="1">INDEX(Table5[ESTADO],MATCH(ChargentOrders[[#This Row],[Contract__c]],Table5[SM_Contract__c],0))</f>
        <v>DEBE 1</v>
      </c>
      <c r="G372" t="s">
        <v>1393</v>
      </c>
      <c r="H372" t="s">
        <v>78</v>
      </c>
      <c r="I372" t="s">
        <v>1394</v>
      </c>
      <c r="J372" s="1">
        <v>46205.830520833333</v>
      </c>
      <c r="K372">
        <v>9</v>
      </c>
      <c r="L372">
        <v>2029</v>
      </c>
      <c r="M372" t="s">
        <v>1498</v>
      </c>
      <c r="N372">
        <v>9</v>
      </c>
      <c r="O372" t="s">
        <v>1534</v>
      </c>
      <c r="P372" t="s">
        <v>66</v>
      </c>
      <c r="Q372">
        <v>2029</v>
      </c>
      <c r="R372">
        <v>9900</v>
      </c>
      <c r="T372" t="s">
        <v>67</v>
      </c>
      <c r="U372" t="s">
        <v>68</v>
      </c>
      <c r="V372">
        <v>0</v>
      </c>
      <c r="W372" t="s">
        <v>69</v>
      </c>
      <c r="X372" s="5">
        <v>46233</v>
      </c>
      <c r="Y372" t="s">
        <v>84</v>
      </c>
      <c r="Z372" t="s">
        <v>68</v>
      </c>
      <c r="AA372">
        <v>9900</v>
      </c>
      <c r="AB372">
        <v>0</v>
      </c>
      <c r="AC372" t="s">
        <v>760</v>
      </c>
      <c r="AD372" t="s">
        <v>68</v>
      </c>
      <c r="AE372">
        <v>0</v>
      </c>
      <c r="AF372" s="1"/>
      <c r="AG372" s="1"/>
      <c r="AH372">
        <v>0</v>
      </c>
      <c r="AI372">
        <v>0</v>
      </c>
      <c r="AJ372">
        <v>0</v>
      </c>
      <c r="AK372" t="s">
        <v>761</v>
      </c>
      <c r="AL372" t="s">
        <v>71</v>
      </c>
      <c r="AM372" t="s">
        <v>1395</v>
      </c>
      <c r="AN372">
        <v>0</v>
      </c>
      <c r="AO372" s="1"/>
      <c r="AP372">
        <v>1</v>
      </c>
      <c r="AQ372">
        <v>0</v>
      </c>
      <c r="AR372">
        <v>0</v>
      </c>
      <c r="AS372" t="s">
        <v>75</v>
      </c>
      <c r="AT372" t="s">
        <v>68</v>
      </c>
      <c r="AU372">
        <v>0</v>
      </c>
      <c r="AV372" t="s">
        <v>68</v>
      </c>
      <c r="AW372">
        <v>0</v>
      </c>
      <c r="AX372" s="1"/>
      <c r="AY372">
        <v>0</v>
      </c>
      <c r="AZ372" t="s">
        <v>68</v>
      </c>
      <c r="BA372" t="s">
        <v>68</v>
      </c>
      <c r="BB372" t="s">
        <v>68</v>
      </c>
      <c r="BC372" t="s">
        <v>68</v>
      </c>
      <c r="BD372">
        <v>0</v>
      </c>
      <c r="BE372" s="1"/>
      <c r="BF372" s="1"/>
      <c r="BG372" t="s">
        <v>68</v>
      </c>
      <c r="BH372" t="s">
        <v>68</v>
      </c>
      <c r="BI372" t="s">
        <v>68</v>
      </c>
      <c r="BJ372" t="s">
        <v>68</v>
      </c>
      <c r="BK372" t="s">
        <v>68</v>
      </c>
      <c r="BL372" t="s">
        <v>68</v>
      </c>
      <c r="BM372" t="s">
        <v>68</v>
      </c>
      <c r="BN372" t="s">
        <v>68</v>
      </c>
      <c r="BO372" t="s">
        <v>96</v>
      </c>
      <c r="BP372">
        <v>0</v>
      </c>
      <c r="BQ372" t="s">
        <v>68</v>
      </c>
      <c r="BR372" t="s">
        <v>68</v>
      </c>
      <c r="BS372" t="s">
        <v>279</v>
      </c>
    </row>
    <row r="373" spans="1:71" x14ac:dyDescent="0.35">
      <c r="A373" t="b">
        <f>ISNUMBER(MATCH(ChargentOrders[[#This Row],[Contract__c]],Contract[Id],0))</f>
        <v>1</v>
      </c>
      <c r="B373">
        <f>IFERROR(INDEX(Contract[CB_Subscription__c],MATCH(ChargentOrders[[#This Row],[Contract__c]],Contract[Id],0)),0)</f>
        <v>0</v>
      </c>
      <c r="C373" t="b">
        <f>ISNUMBER(MATCH(ChargentOrders[[#This Row],[Id]],Claude[Id],0))</f>
        <v>1</v>
      </c>
      <c r="D373" t="b">
        <f>AND(ChargentOrders[[#This Row],[_Contract]],ChargentOrders[[#This Row],[CB Subscription]]=0)</f>
        <v>1</v>
      </c>
      <c r="E373" s="38">
        <f>INDEX(Table5[CUENTA],MATCH(ChargentOrders[[#This Row],[Contract__c]],Table5[SM_Contract__c],0))</f>
        <v>46202</v>
      </c>
      <c r="F373" s="38" t="str">
        <f ca="1">INDEX(Table5[ESTADO],MATCH(ChargentOrders[[#This Row],[Contract__c]],Table5[SM_Contract__c],0))</f>
        <v>AL DIA</v>
      </c>
      <c r="G373" t="s">
        <v>1174</v>
      </c>
      <c r="H373" t="s">
        <v>155</v>
      </c>
      <c r="I373" t="s">
        <v>1175</v>
      </c>
      <c r="J373" s="1">
        <v>46161.52684027778</v>
      </c>
      <c r="K373">
        <v>2</v>
      </c>
      <c r="L373">
        <v>2030</v>
      </c>
      <c r="M373" t="s">
        <v>1519</v>
      </c>
      <c r="N373">
        <v>2</v>
      </c>
      <c r="O373" t="s">
        <v>1520</v>
      </c>
      <c r="P373" t="s">
        <v>73</v>
      </c>
      <c r="Q373">
        <v>2030</v>
      </c>
      <c r="R373">
        <v>0</v>
      </c>
      <c r="T373" t="s">
        <v>67</v>
      </c>
      <c r="U373" t="s">
        <v>68</v>
      </c>
      <c r="V373">
        <v>0</v>
      </c>
      <c r="W373" t="s">
        <v>69</v>
      </c>
      <c r="X373" s="5"/>
      <c r="Y373" t="s">
        <v>68</v>
      </c>
      <c r="Z373" t="s">
        <v>68</v>
      </c>
      <c r="AA373">
        <v>0</v>
      </c>
      <c r="AC373" t="s">
        <v>1176</v>
      </c>
      <c r="AD373" t="s">
        <v>68</v>
      </c>
      <c r="AE373">
        <v>0</v>
      </c>
      <c r="AF373" s="1"/>
      <c r="AG373" s="1">
        <v>46161.526898148149</v>
      </c>
      <c r="AH373">
        <v>0</v>
      </c>
      <c r="AI373">
        <v>1</v>
      </c>
      <c r="AJ373">
        <v>0</v>
      </c>
      <c r="AK373" t="s">
        <v>1177</v>
      </c>
      <c r="AL373" t="s">
        <v>68</v>
      </c>
      <c r="AM373" t="s">
        <v>68</v>
      </c>
      <c r="AN373">
        <v>0</v>
      </c>
      <c r="AO373" s="1"/>
      <c r="AP373">
        <v>1</v>
      </c>
      <c r="AS373" t="s">
        <v>75</v>
      </c>
      <c r="AT373" t="s">
        <v>68</v>
      </c>
      <c r="AU373">
        <v>0</v>
      </c>
      <c r="AV373" t="s">
        <v>68</v>
      </c>
      <c r="AW373">
        <v>1</v>
      </c>
      <c r="AX373" s="1"/>
      <c r="AZ373" t="s">
        <v>68</v>
      </c>
      <c r="BA373" t="s">
        <v>68</v>
      </c>
      <c r="BB373" t="s">
        <v>68</v>
      </c>
      <c r="BC373" t="s">
        <v>68</v>
      </c>
      <c r="BD373">
        <v>0</v>
      </c>
      <c r="BE373" s="1"/>
      <c r="BF373" s="1">
        <v>46161.526898148149</v>
      </c>
      <c r="BG373" t="s">
        <v>68</v>
      </c>
      <c r="BH373" t="s">
        <v>68</v>
      </c>
      <c r="BI373" t="s">
        <v>68</v>
      </c>
      <c r="BJ373" t="s">
        <v>68</v>
      </c>
      <c r="BK373" t="s">
        <v>68</v>
      </c>
      <c r="BL373" t="s">
        <v>68</v>
      </c>
      <c r="BM373" t="s">
        <v>68</v>
      </c>
      <c r="BN373" t="s">
        <v>68</v>
      </c>
      <c r="BO373" t="s">
        <v>96</v>
      </c>
      <c r="BP373">
        <v>0</v>
      </c>
      <c r="BQ373" t="s">
        <v>68</v>
      </c>
      <c r="BR373" t="s">
        <v>68</v>
      </c>
      <c r="BS373" t="s">
        <v>68</v>
      </c>
    </row>
    <row r="374" spans="1:71" x14ac:dyDescent="0.35">
      <c r="A374" t="b">
        <f>ISNUMBER(MATCH(ChargentOrders[[#This Row],[Contract__c]],Contract[Id],0))</f>
        <v>1</v>
      </c>
      <c r="B374">
        <f>IFERROR(INDEX(Contract[CB_Subscription__c],MATCH(ChargentOrders[[#This Row],[Contract__c]],Contract[Id],0)),0)</f>
        <v>0</v>
      </c>
      <c r="C374" t="b">
        <f>ISNUMBER(MATCH(ChargentOrders[[#This Row],[Id]],Claude[Id],0))</f>
        <v>1</v>
      </c>
      <c r="D374" t="b">
        <f>AND(ChargentOrders[[#This Row],[_Contract]],ChargentOrders[[#This Row],[CB Subscription]]=0)</f>
        <v>1</v>
      </c>
      <c r="E374" s="38">
        <f>INDEX(Table5[CUENTA],MATCH(ChargentOrders[[#This Row],[Contract__c]],Table5[SM_Contract__c],0))</f>
        <v>46202</v>
      </c>
      <c r="F374" s="38" t="str">
        <f ca="1">INDEX(Table5[ESTADO],MATCH(ChargentOrders[[#This Row],[Contract__c]],Table5[SM_Contract__c],0))</f>
        <v>AL DIA</v>
      </c>
      <c r="G374" t="s">
        <v>1178</v>
      </c>
      <c r="H374" t="s">
        <v>155</v>
      </c>
      <c r="I374" t="s">
        <v>1179</v>
      </c>
      <c r="J374" s="1">
        <v>46161.527928240743</v>
      </c>
      <c r="K374">
        <v>2</v>
      </c>
      <c r="L374">
        <v>2030</v>
      </c>
      <c r="M374" t="s">
        <v>1519</v>
      </c>
      <c r="N374">
        <v>2</v>
      </c>
      <c r="O374" t="s">
        <v>1520</v>
      </c>
      <c r="P374" t="s">
        <v>73</v>
      </c>
      <c r="Q374">
        <v>2030</v>
      </c>
      <c r="R374">
        <v>9900</v>
      </c>
      <c r="T374" t="s">
        <v>67</v>
      </c>
      <c r="U374" t="s">
        <v>68</v>
      </c>
      <c r="V374">
        <v>0</v>
      </c>
      <c r="W374" t="s">
        <v>69</v>
      </c>
      <c r="X374" s="5">
        <v>46171</v>
      </c>
      <c r="Y374" t="s">
        <v>74</v>
      </c>
      <c r="Z374" t="s">
        <v>68</v>
      </c>
      <c r="AA374">
        <v>9900</v>
      </c>
      <c r="AB374">
        <v>0</v>
      </c>
      <c r="AC374" t="s">
        <v>1176</v>
      </c>
      <c r="AD374" t="s">
        <v>68</v>
      </c>
      <c r="AE374">
        <v>0</v>
      </c>
      <c r="AF374" s="1">
        <v>46171.425451388888</v>
      </c>
      <c r="AG374" s="1">
        <v>46171.425509259258</v>
      </c>
      <c r="AH374">
        <v>1</v>
      </c>
      <c r="AI374">
        <v>1</v>
      </c>
      <c r="AJ374">
        <v>990</v>
      </c>
      <c r="AK374" t="s">
        <v>1177</v>
      </c>
      <c r="AL374" t="s">
        <v>77</v>
      </c>
      <c r="AM374" t="s">
        <v>68</v>
      </c>
      <c r="AN374">
        <v>0</v>
      </c>
      <c r="AO374" s="1"/>
      <c r="AP374">
        <v>1</v>
      </c>
      <c r="AQ374">
        <v>0</v>
      </c>
      <c r="AR374">
        <v>0</v>
      </c>
      <c r="AS374" t="s">
        <v>75</v>
      </c>
      <c r="AT374" t="s">
        <v>68</v>
      </c>
      <c r="AU374">
        <v>0</v>
      </c>
      <c r="AV374" t="s">
        <v>68</v>
      </c>
      <c r="AW374">
        <v>0</v>
      </c>
      <c r="AX374" s="1"/>
      <c r="AZ374" t="s">
        <v>68</v>
      </c>
      <c r="BA374" t="s">
        <v>68</v>
      </c>
      <c r="BB374" t="s">
        <v>68</v>
      </c>
      <c r="BC374" t="s">
        <v>68</v>
      </c>
      <c r="BD374">
        <v>0</v>
      </c>
      <c r="BE374" s="1"/>
      <c r="BF374" s="1">
        <v>46171.425451388888</v>
      </c>
      <c r="BG374" t="s">
        <v>68</v>
      </c>
      <c r="BH374" t="s">
        <v>68</v>
      </c>
      <c r="BI374" t="s">
        <v>68</v>
      </c>
      <c r="BJ374" t="s">
        <v>68</v>
      </c>
      <c r="BK374" t="s">
        <v>68</v>
      </c>
      <c r="BL374" t="s">
        <v>68</v>
      </c>
      <c r="BM374" t="s">
        <v>68</v>
      </c>
      <c r="BN374" t="s">
        <v>68</v>
      </c>
      <c r="BO374" t="s">
        <v>96</v>
      </c>
      <c r="BP374">
        <v>0</v>
      </c>
      <c r="BQ374" t="s">
        <v>68</v>
      </c>
      <c r="BR374" t="s">
        <v>68</v>
      </c>
      <c r="BS374" t="s">
        <v>68</v>
      </c>
    </row>
    <row r="375" spans="1:71" x14ac:dyDescent="0.35">
      <c r="A375" t="b">
        <f>ISNUMBER(MATCH(ChargentOrders[[#This Row],[Contract__c]],Contract[Id],0))</f>
        <v>1</v>
      </c>
      <c r="B375">
        <f>IFERROR(INDEX(Contract[CB_Subscription__c],MATCH(ChargentOrders[[#This Row],[Contract__c]],Contract[Id],0)),0)</f>
        <v>0</v>
      </c>
      <c r="C375" t="b">
        <f>ISNUMBER(MATCH(ChargentOrders[[#This Row],[Id]],Claude[Id],0))</f>
        <v>1</v>
      </c>
      <c r="D375" t="b">
        <f>AND(ChargentOrders[[#This Row],[_Contract]],ChargentOrders[[#This Row],[CB Subscription]]=0)</f>
        <v>1</v>
      </c>
      <c r="E375" s="38">
        <f>INDEX(Table5[CUENTA],MATCH(ChargentOrders[[#This Row],[Contract__c]],Table5[SM_Contract__c],0))</f>
        <v>46202</v>
      </c>
      <c r="F375" s="38" t="str">
        <f ca="1">INDEX(Table5[ESTADO],MATCH(ChargentOrders[[#This Row],[Contract__c]],Table5[SM_Contract__c],0))</f>
        <v>AL DIA</v>
      </c>
      <c r="G375" t="s">
        <v>1212</v>
      </c>
      <c r="H375" t="s">
        <v>155</v>
      </c>
      <c r="I375" t="s">
        <v>1213</v>
      </c>
      <c r="J375" s="1">
        <v>46170.648263888892</v>
      </c>
      <c r="K375">
        <v>7</v>
      </c>
      <c r="L375">
        <v>2029</v>
      </c>
      <c r="M375" t="s">
        <v>1525</v>
      </c>
      <c r="N375">
        <v>7</v>
      </c>
      <c r="O375" t="s">
        <v>1526</v>
      </c>
      <c r="P375" t="s">
        <v>73</v>
      </c>
      <c r="Q375">
        <v>2029</v>
      </c>
      <c r="R375">
        <v>0</v>
      </c>
      <c r="T375" t="s">
        <v>67</v>
      </c>
      <c r="U375" t="s">
        <v>68</v>
      </c>
      <c r="V375">
        <v>0</v>
      </c>
      <c r="W375" t="s">
        <v>69</v>
      </c>
      <c r="X375" s="5"/>
      <c r="Y375" t="s">
        <v>68</v>
      </c>
      <c r="Z375" t="s">
        <v>68</v>
      </c>
      <c r="AA375">
        <v>0</v>
      </c>
      <c r="AC375" t="s">
        <v>1214</v>
      </c>
      <c r="AD375" t="s">
        <v>68</v>
      </c>
      <c r="AE375">
        <v>0</v>
      </c>
      <c r="AF375" s="1"/>
      <c r="AG375" s="1">
        <v>46170.648298611108</v>
      </c>
      <c r="AH375">
        <v>0</v>
      </c>
      <c r="AI375">
        <v>1</v>
      </c>
      <c r="AJ375">
        <v>0</v>
      </c>
      <c r="AK375" t="s">
        <v>1215</v>
      </c>
      <c r="AL375" t="s">
        <v>68</v>
      </c>
      <c r="AM375" t="s">
        <v>68</v>
      </c>
      <c r="AN375">
        <v>0</v>
      </c>
      <c r="AO375" s="1"/>
      <c r="AP375">
        <v>1</v>
      </c>
      <c r="AS375" t="s">
        <v>75</v>
      </c>
      <c r="AT375" t="s">
        <v>68</v>
      </c>
      <c r="AU375">
        <v>0</v>
      </c>
      <c r="AV375" t="s">
        <v>68</v>
      </c>
      <c r="AW375">
        <v>1</v>
      </c>
      <c r="AX375" s="1"/>
      <c r="AZ375" t="s">
        <v>68</v>
      </c>
      <c r="BA375" t="s">
        <v>68</v>
      </c>
      <c r="BB375" t="s">
        <v>68</v>
      </c>
      <c r="BC375" t="s">
        <v>68</v>
      </c>
      <c r="BD375">
        <v>0</v>
      </c>
      <c r="BE375" s="1"/>
      <c r="BF375" s="1">
        <v>46170.648298611108</v>
      </c>
      <c r="BG375" t="s">
        <v>68</v>
      </c>
      <c r="BH375" t="s">
        <v>68</v>
      </c>
      <c r="BI375" t="s">
        <v>68</v>
      </c>
      <c r="BJ375" t="s">
        <v>68</v>
      </c>
      <c r="BK375" t="s">
        <v>68</v>
      </c>
      <c r="BL375" t="s">
        <v>68</v>
      </c>
      <c r="BM375" t="s">
        <v>68</v>
      </c>
      <c r="BN375" t="s">
        <v>68</v>
      </c>
      <c r="BO375" t="s">
        <v>96</v>
      </c>
      <c r="BP375">
        <v>0</v>
      </c>
      <c r="BQ375" t="s">
        <v>68</v>
      </c>
      <c r="BR375" t="s">
        <v>68</v>
      </c>
      <c r="BS375" t="s">
        <v>68</v>
      </c>
    </row>
    <row r="376" spans="1:71" x14ac:dyDescent="0.35">
      <c r="A376" t="b">
        <f>ISNUMBER(MATCH(ChargentOrders[[#This Row],[Contract__c]],Contract[Id],0))</f>
        <v>1</v>
      </c>
      <c r="B376">
        <f>IFERROR(INDEX(Contract[CB_Subscription__c],MATCH(ChargentOrders[[#This Row],[Contract__c]],Contract[Id],0)),0)</f>
        <v>0</v>
      </c>
      <c r="C376" t="b">
        <f>ISNUMBER(MATCH(ChargentOrders[[#This Row],[Id]],Claude[Id],0))</f>
        <v>1</v>
      </c>
      <c r="D376" t="b">
        <f>AND(ChargentOrders[[#This Row],[_Contract]],ChargentOrders[[#This Row],[CB Subscription]]=0)</f>
        <v>1</v>
      </c>
      <c r="E376" s="38">
        <f>INDEX(Table5[CUENTA],MATCH(ChargentOrders[[#This Row],[Contract__c]],Table5[SM_Contract__c],0))</f>
        <v>46202</v>
      </c>
      <c r="F376" s="38" t="str">
        <f ca="1">INDEX(Table5[ESTADO],MATCH(ChargentOrders[[#This Row],[Contract__c]],Table5[SM_Contract__c],0))</f>
        <v>AL DIA</v>
      </c>
      <c r="G376" t="s">
        <v>1218</v>
      </c>
      <c r="H376" t="s">
        <v>155</v>
      </c>
      <c r="I376" t="s">
        <v>1219</v>
      </c>
      <c r="J376" s="1">
        <v>46170.648935185185</v>
      </c>
      <c r="K376">
        <v>7</v>
      </c>
      <c r="L376">
        <v>2029</v>
      </c>
      <c r="M376" t="s">
        <v>1525</v>
      </c>
      <c r="N376">
        <v>7</v>
      </c>
      <c r="O376" t="s">
        <v>1526</v>
      </c>
      <c r="P376" t="s">
        <v>73</v>
      </c>
      <c r="Q376">
        <v>2029</v>
      </c>
      <c r="R376">
        <v>9900</v>
      </c>
      <c r="T376" t="s">
        <v>67</v>
      </c>
      <c r="U376" t="s">
        <v>68</v>
      </c>
      <c r="V376">
        <v>0</v>
      </c>
      <c r="W376" t="s">
        <v>69</v>
      </c>
      <c r="X376" s="5">
        <v>46171</v>
      </c>
      <c r="Y376" t="s">
        <v>74</v>
      </c>
      <c r="Z376" t="s">
        <v>68</v>
      </c>
      <c r="AA376">
        <v>9900</v>
      </c>
      <c r="AB376">
        <v>0</v>
      </c>
      <c r="AC376" t="s">
        <v>1214</v>
      </c>
      <c r="AD376" t="s">
        <v>68</v>
      </c>
      <c r="AE376">
        <v>0</v>
      </c>
      <c r="AF376" s="1">
        <v>46171.425937499997</v>
      </c>
      <c r="AG376" s="1">
        <v>46171.425937499997</v>
      </c>
      <c r="AH376">
        <v>1</v>
      </c>
      <c r="AI376">
        <v>1</v>
      </c>
      <c r="AJ376">
        <v>990</v>
      </c>
      <c r="AK376" t="s">
        <v>1215</v>
      </c>
      <c r="AL376" t="s">
        <v>77</v>
      </c>
      <c r="AM376" t="s">
        <v>68</v>
      </c>
      <c r="AN376">
        <v>0</v>
      </c>
      <c r="AO376" s="1"/>
      <c r="AP376">
        <v>1</v>
      </c>
      <c r="AQ376">
        <v>0</v>
      </c>
      <c r="AR376">
        <v>0</v>
      </c>
      <c r="AS376" t="s">
        <v>75</v>
      </c>
      <c r="AT376" t="s">
        <v>68</v>
      </c>
      <c r="AU376">
        <v>0</v>
      </c>
      <c r="AV376" t="s">
        <v>68</v>
      </c>
      <c r="AW376">
        <v>0</v>
      </c>
      <c r="AX376" s="1"/>
      <c r="AZ376" t="s">
        <v>68</v>
      </c>
      <c r="BA376" t="s">
        <v>68</v>
      </c>
      <c r="BB376" t="s">
        <v>68</v>
      </c>
      <c r="BC376" t="s">
        <v>68</v>
      </c>
      <c r="BD376">
        <v>0</v>
      </c>
      <c r="BE376" s="1"/>
      <c r="BF376" s="1">
        <v>46171.425937499997</v>
      </c>
      <c r="BG376" t="s">
        <v>68</v>
      </c>
      <c r="BH376" t="s">
        <v>68</v>
      </c>
      <c r="BI376" t="s">
        <v>68</v>
      </c>
      <c r="BJ376" t="s">
        <v>68</v>
      </c>
      <c r="BK376" t="s">
        <v>68</v>
      </c>
      <c r="BL376" t="s">
        <v>68</v>
      </c>
      <c r="BM376" t="s">
        <v>68</v>
      </c>
      <c r="BN376" t="s">
        <v>68</v>
      </c>
      <c r="BO376" t="s">
        <v>96</v>
      </c>
      <c r="BP376">
        <v>0</v>
      </c>
      <c r="BQ376" t="s">
        <v>68</v>
      </c>
      <c r="BR376" t="s">
        <v>68</v>
      </c>
      <c r="BS376" t="s">
        <v>68</v>
      </c>
    </row>
    <row r="377" spans="1:71" x14ac:dyDescent="0.35">
      <c r="A377" t="b">
        <f>ISNUMBER(MATCH(ChargentOrders[[#This Row],[Contract__c]],Contract[Id],0))</f>
        <v>1</v>
      </c>
      <c r="B377">
        <f>IFERROR(INDEX(Contract[CB_Subscription__c],MATCH(ChargentOrders[[#This Row],[Contract__c]],Contract[Id],0)),0)</f>
        <v>0</v>
      </c>
      <c r="C377" t="b">
        <f>ISNUMBER(MATCH(ChargentOrders[[#This Row],[Id]],Claude[Id],0))</f>
        <v>1</v>
      </c>
      <c r="D377" t="b">
        <f>AND(ChargentOrders[[#This Row],[_Contract]],ChargentOrders[[#This Row],[CB Subscription]]=0)</f>
        <v>1</v>
      </c>
      <c r="E377" s="38">
        <f>INDEX(Table5[CUENTA],MATCH(ChargentOrders[[#This Row],[Contract__c]],Table5[SM_Contract__c],0))</f>
        <v>46202</v>
      </c>
      <c r="F377" s="38" t="str">
        <f ca="1">INDEX(Table5[ESTADO],MATCH(ChargentOrders[[#This Row],[Contract__c]],Table5[SM_Contract__c],0))</f>
        <v>AL DIA</v>
      </c>
      <c r="G377" t="s">
        <v>1277</v>
      </c>
      <c r="H377" t="s">
        <v>155</v>
      </c>
      <c r="I377" t="s">
        <v>1278</v>
      </c>
      <c r="J377" s="1">
        <v>46171.425532407404</v>
      </c>
      <c r="K377">
        <v>2</v>
      </c>
      <c r="L377">
        <v>2030</v>
      </c>
      <c r="M377" t="s">
        <v>1519</v>
      </c>
      <c r="N377">
        <v>2</v>
      </c>
      <c r="O377" t="s">
        <v>1520</v>
      </c>
      <c r="P377" t="s">
        <v>73</v>
      </c>
      <c r="Q377">
        <v>2030</v>
      </c>
      <c r="R377">
        <v>9900</v>
      </c>
      <c r="S377">
        <v>29</v>
      </c>
      <c r="T377" t="s">
        <v>67</v>
      </c>
      <c r="U377" t="s">
        <v>68</v>
      </c>
      <c r="V377">
        <v>0</v>
      </c>
      <c r="W377" t="s">
        <v>69</v>
      </c>
      <c r="X377" s="5">
        <v>46232</v>
      </c>
      <c r="Y377" t="s">
        <v>84</v>
      </c>
      <c r="Z377" t="s">
        <v>68</v>
      </c>
      <c r="AA377">
        <v>9900</v>
      </c>
      <c r="AB377">
        <v>0</v>
      </c>
      <c r="AC377" t="s">
        <v>1176</v>
      </c>
      <c r="AD377" t="s">
        <v>68</v>
      </c>
      <c r="AE377">
        <v>0</v>
      </c>
      <c r="AF377" s="1"/>
      <c r="AG377" s="1"/>
      <c r="AH377">
        <v>0</v>
      </c>
      <c r="AI377">
        <v>1</v>
      </c>
      <c r="AJ377">
        <v>0</v>
      </c>
      <c r="AK377" t="s">
        <v>1177</v>
      </c>
      <c r="AL377" t="s">
        <v>76</v>
      </c>
      <c r="AM377" t="s">
        <v>68</v>
      </c>
      <c r="AN377">
        <v>0</v>
      </c>
      <c r="AO377" s="1"/>
      <c r="AP377">
        <v>2</v>
      </c>
      <c r="AQ377">
        <v>0</v>
      </c>
      <c r="AR377">
        <v>0</v>
      </c>
      <c r="AS377" t="s">
        <v>75</v>
      </c>
      <c r="AT377" t="s">
        <v>68</v>
      </c>
      <c r="AU377">
        <v>0</v>
      </c>
      <c r="AV377" t="s">
        <v>68</v>
      </c>
      <c r="AW377">
        <v>0</v>
      </c>
      <c r="AX377" s="1"/>
      <c r="AZ377" t="s">
        <v>68</v>
      </c>
      <c r="BA377" t="s">
        <v>68</v>
      </c>
      <c r="BB377" t="s">
        <v>68</v>
      </c>
      <c r="BC377" t="s">
        <v>68</v>
      </c>
      <c r="BD377">
        <v>0</v>
      </c>
      <c r="BE377" s="1">
        <v>46202.422199074077</v>
      </c>
      <c r="BF377" s="1">
        <v>46202.422199074077</v>
      </c>
      <c r="BG377" t="s">
        <v>68</v>
      </c>
      <c r="BH377" t="s">
        <v>68</v>
      </c>
      <c r="BI377" t="s">
        <v>68</v>
      </c>
      <c r="BJ377" t="s">
        <v>68</v>
      </c>
      <c r="BK377" t="s">
        <v>68</v>
      </c>
      <c r="BL377" t="s">
        <v>68</v>
      </c>
      <c r="BM377" t="s">
        <v>68</v>
      </c>
      <c r="BN377" t="s">
        <v>68</v>
      </c>
      <c r="BO377" t="s">
        <v>96</v>
      </c>
      <c r="BP377">
        <v>0</v>
      </c>
      <c r="BQ377" t="s">
        <v>68</v>
      </c>
      <c r="BR377" t="s">
        <v>68</v>
      </c>
      <c r="BS377" t="s">
        <v>68</v>
      </c>
    </row>
    <row r="378" spans="1:71" x14ac:dyDescent="0.35">
      <c r="A378" t="b">
        <f>ISNUMBER(MATCH(ChargentOrders[[#This Row],[Contract__c]],Contract[Id],0))</f>
        <v>1</v>
      </c>
      <c r="B378">
        <f>IFERROR(INDEX(Contract[CB_Subscription__c],MATCH(ChargentOrders[[#This Row],[Contract__c]],Contract[Id],0)),0)</f>
        <v>0</v>
      </c>
      <c r="C378" t="b">
        <f>ISNUMBER(MATCH(ChargentOrders[[#This Row],[Id]],Claude[Id],0))</f>
        <v>1</v>
      </c>
      <c r="D378" t="b">
        <f>AND(ChargentOrders[[#This Row],[_Contract]],ChargentOrders[[#This Row],[CB Subscription]]=0)</f>
        <v>1</v>
      </c>
      <c r="E378" s="38">
        <f>INDEX(Table5[CUENTA],MATCH(ChargentOrders[[#This Row],[Contract__c]],Table5[SM_Contract__c],0))</f>
        <v>46202</v>
      </c>
      <c r="F378" s="38" t="str">
        <f ca="1">INDEX(Table5[ESTADO],MATCH(ChargentOrders[[#This Row],[Contract__c]],Table5[SM_Contract__c],0))</f>
        <v>AL DIA</v>
      </c>
      <c r="G378" t="s">
        <v>1279</v>
      </c>
      <c r="H378" t="s">
        <v>155</v>
      </c>
      <c r="I378" t="s">
        <v>1280</v>
      </c>
      <c r="J378" s="1">
        <v>46171.425949074073</v>
      </c>
      <c r="K378">
        <v>7</v>
      </c>
      <c r="L378">
        <v>2029</v>
      </c>
      <c r="M378" t="s">
        <v>1525</v>
      </c>
      <c r="N378">
        <v>7</v>
      </c>
      <c r="O378" t="s">
        <v>1526</v>
      </c>
      <c r="P378" t="s">
        <v>73</v>
      </c>
      <c r="Q378">
        <v>2029</v>
      </c>
      <c r="R378">
        <v>9900</v>
      </c>
      <c r="S378">
        <v>29</v>
      </c>
      <c r="T378" t="s">
        <v>67</v>
      </c>
      <c r="U378" t="s">
        <v>68</v>
      </c>
      <c r="V378">
        <v>0</v>
      </c>
      <c r="W378" t="s">
        <v>69</v>
      </c>
      <c r="X378" s="5">
        <v>46232</v>
      </c>
      <c r="Y378" t="s">
        <v>84</v>
      </c>
      <c r="Z378" t="s">
        <v>68</v>
      </c>
      <c r="AA378">
        <v>9900</v>
      </c>
      <c r="AB378">
        <v>0</v>
      </c>
      <c r="AC378" t="s">
        <v>1214</v>
      </c>
      <c r="AD378" t="s">
        <v>68</v>
      </c>
      <c r="AE378">
        <v>0</v>
      </c>
      <c r="AF378" s="1"/>
      <c r="AG378" s="1"/>
      <c r="AH378">
        <v>0</v>
      </c>
      <c r="AI378">
        <v>1</v>
      </c>
      <c r="AJ378">
        <v>0</v>
      </c>
      <c r="AK378" t="s">
        <v>1215</v>
      </c>
      <c r="AL378" t="s">
        <v>76</v>
      </c>
      <c r="AM378" t="s">
        <v>68</v>
      </c>
      <c r="AN378">
        <v>0</v>
      </c>
      <c r="AO378" s="1"/>
      <c r="AP378">
        <v>2</v>
      </c>
      <c r="AQ378">
        <v>0</v>
      </c>
      <c r="AR378">
        <v>0</v>
      </c>
      <c r="AS378" t="s">
        <v>75</v>
      </c>
      <c r="AT378" t="s">
        <v>68</v>
      </c>
      <c r="AU378">
        <v>0</v>
      </c>
      <c r="AV378" t="s">
        <v>68</v>
      </c>
      <c r="AW378">
        <v>0</v>
      </c>
      <c r="AX378" s="1"/>
      <c r="AZ378" t="s">
        <v>68</v>
      </c>
      <c r="BA378" t="s">
        <v>68</v>
      </c>
      <c r="BB378" t="s">
        <v>68</v>
      </c>
      <c r="BC378" t="s">
        <v>68</v>
      </c>
      <c r="BD378">
        <v>0</v>
      </c>
      <c r="BE378" s="1">
        <v>46202.422280092593</v>
      </c>
      <c r="BF378" s="1">
        <v>46202.422280092593</v>
      </c>
      <c r="BG378" t="s">
        <v>68</v>
      </c>
      <c r="BH378" t="s">
        <v>68</v>
      </c>
      <c r="BI378" t="s">
        <v>68</v>
      </c>
      <c r="BJ378" t="s">
        <v>68</v>
      </c>
      <c r="BK378" t="s">
        <v>68</v>
      </c>
      <c r="BL378" t="s">
        <v>68</v>
      </c>
      <c r="BM378" t="s">
        <v>68</v>
      </c>
      <c r="BN378" t="s">
        <v>68</v>
      </c>
      <c r="BO378" t="s">
        <v>96</v>
      </c>
      <c r="BP378">
        <v>0</v>
      </c>
      <c r="BQ378" t="s">
        <v>68</v>
      </c>
      <c r="BR378" t="s">
        <v>68</v>
      </c>
      <c r="BS378" t="s">
        <v>68</v>
      </c>
    </row>
    <row r="379" spans="1:71" x14ac:dyDescent="0.35">
      <c r="A379" t="b">
        <f>ISNUMBER(MATCH(ChargentOrders[[#This Row],[Contract__c]],Contract[Id],0))</f>
        <v>1</v>
      </c>
      <c r="B379">
        <f>IFERROR(INDEX(Contract[CB_Subscription__c],MATCH(ChargentOrders[[#This Row],[Contract__c]],Contract[Id],0)),0)</f>
        <v>0</v>
      </c>
      <c r="C379" t="b">
        <f>ISNUMBER(MATCH(ChargentOrders[[#This Row],[Id]],Claude[Id],0))</f>
        <v>1</v>
      </c>
      <c r="D379" t="b">
        <f>AND(ChargentOrders[[#This Row],[_Contract]],ChargentOrders[[#This Row],[CB Subscription]]=0)</f>
        <v>1</v>
      </c>
      <c r="E379" s="38">
        <f>INDEX(Table5[CUENTA],MATCH(ChargentOrders[[#This Row],[Contract__c]],Table5[SM_Contract__c],0))</f>
        <v>46202</v>
      </c>
      <c r="F379" s="38" t="str">
        <f ca="1">INDEX(Table5[ESTADO],MATCH(ChargentOrders[[#This Row],[Contract__c]],Table5[SM_Contract__c],0))</f>
        <v>AL DIA</v>
      </c>
      <c r="G379" t="s">
        <v>1336</v>
      </c>
      <c r="H379" t="s">
        <v>155</v>
      </c>
      <c r="I379" t="s">
        <v>1337</v>
      </c>
      <c r="J379" s="1">
        <v>46202.422233796293</v>
      </c>
      <c r="K379">
        <v>2</v>
      </c>
      <c r="L379">
        <v>2030</v>
      </c>
      <c r="M379" t="s">
        <v>1519</v>
      </c>
      <c r="N379">
        <v>2</v>
      </c>
      <c r="O379" t="s">
        <v>1520</v>
      </c>
      <c r="P379" t="s">
        <v>73</v>
      </c>
      <c r="Q379">
        <v>2030</v>
      </c>
      <c r="R379">
        <v>12400</v>
      </c>
      <c r="T379" t="s">
        <v>67</v>
      </c>
      <c r="U379" t="s">
        <v>68</v>
      </c>
      <c r="V379">
        <v>0</v>
      </c>
      <c r="W379" t="s">
        <v>69</v>
      </c>
      <c r="X379" s="5">
        <v>46212</v>
      </c>
      <c r="Y379" t="s">
        <v>84</v>
      </c>
      <c r="Z379" t="s">
        <v>68</v>
      </c>
      <c r="AA379">
        <v>12400</v>
      </c>
      <c r="AB379">
        <v>0</v>
      </c>
      <c r="AC379" t="s">
        <v>1176</v>
      </c>
      <c r="AD379" t="s">
        <v>68</v>
      </c>
      <c r="AE379">
        <v>0</v>
      </c>
      <c r="AF379" s="1"/>
      <c r="AG379" s="1"/>
      <c r="AH379">
        <v>0</v>
      </c>
      <c r="AI379">
        <v>3</v>
      </c>
      <c r="AJ379">
        <v>0</v>
      </c>
      <c r="AK379" t="s">
        <v>1177</v>
      </c>
      <c r="AL379" t="s">
        <v>71</v>
      </c>
      <c r="AM379" t="s">
        <v>68</v>
      </c>
      <c r="AN379">
        <v>0</v>
      </c>
      <c r="AO379" s="1"/>
      <c r="AQ379">
        <v>0</v>
      </c>
      <c r="AR379">
        <v>0</v>
      </c>
      <c r="AS379" t="s">
        <v>72</v>
      </c>
      <c r="AT379" t="s">
        <v>68</v>
      </c>
      <c r="AU379">
        <v>1</v>
      </c>
      <c r="AV379" t="s">
        <v>1338</v>
      </c>
      <c r="AW379">
        <v>0</v>
      </c>
      <c r="AX379" s="1">
        <v>46171.425532407404</v>
      </c>
      <c r="AY379">
        <v>2500</v>
      </c>
      <c r="AZ379" t="s">
        <v>68</v>
      </c>
      <c r="BA379" t="s">
        <v>65</v>
      </c>
      <c r="BB379" t="s">
        <v>68</v>
      </c>
      <c r="BC379" t="s">
        <v>68</v>
      </c>
      <c r="BD379">
        <v>0</v>
      </c>
      <c r="BE379" s="1">
        <v>46209.422488425924</v>
      </c>
      <c r="BF379" s="1">
        <v>46209.422488425924</v>
      </c>
      <c r="BG379" t="s">
        <v>68</v>
      </c>
      <c r="BH379" t="s">
        <v>68</v>
      </c>
      <c r="BI379" t="s">
        <v>68</v>
      </c>
      <c r="BJ379" t="s">
        <v>68</v>
      </c>
      <c r="BK379" t="s">
        <v>68</v>
      </c>
      <c r="BL379" t="s">
        <v>68</v>
      </c>
      <c r="BM379" t="s">
        <v>68</v>
      </c>
      <c r="BN379" t="s">
        <v>68</v>
      </c>
      <c r="BO379" t="s">
        <v>96</v>
      </c>
      <c r="BP379">
        <v>0</v>
      </c>
      <c r="BQ379" t="s">
        <v>68</v>
      </c>
      <c r="BR379" t="s">
        <v>68</v>
      </c>
      <c r="BS379" t="s">
        <v>68</v>
      </c>
    </row>
    <row r="380" spans="1:71" x14ac:dyDescent="0.35">
      <c r="A380" t="b">
        <f>ISNUMBER(MATCH(ChargentOrders[[#This Row],[Contract__c]],Contract[Id],0))</f>
        <v>1</v>
      </c>
      <c r="B380">
        <f>IFERROR(INDEX(Contract[CB_Subscription__c],MATCH(ChargentOrders[[#This Row],[Contract__c]],Contract[Id],0)),0)</f>
        <v>0</v>
      </c>
      <c r="C380" t="b">
        <f>ISNUMBER(MATCH(ChargentOrders[[#This Row],[Id]],Claude[Id],0))</f>
        <v>1</v>
      </c>
      <c r="D380" t="b">
        <f>AND(ChargentOrders[[#This Row],[_Contract]],ChargentOrders[[#This Row],[CB Subscription]]=0)</f>
        <v>1</v>
      </c>
      <c r="E380" s="38">
        <f>INDEX(Table5[CUENTA],MATCH(ChargentOrders[[#This Row],[Contract__c]],Table5[SM_Contract__c],0))</f>
        <v>46202</v>
      </c>
      <c r="F380" s="38" t="str">
        <f ca="1">INDEX(Table5[ESTADO],MATCH(ChargentOrders[[#This Row],[Contract__c]],Table5[SM_Contract__c],0))</f>
        <v>AL DIA</v>
      </c>
      <c r="G380" t="s">
        <v>1339</v>
      </c>
      <c r="H380" t="s">
        <v>155</v>
      </c>
      <c r="I380" t="s">
        <v>1340</v>
      </c>
      <c r="J380" s="1">
        <v>46202.422384259262</v>
      </c>
      <c r="K380">
        <v>7</v>
      </c>
      <c r="L380">
        <v>2029</v>
      </c>
      <c r="M380" t="s">
        <v>1525</v>
      </c>
      <c r="N380">
        <v>7</v>
      </c>
      <c r="O380" t="s">
        <v>1526</v>
      </c>
      <c r="P380" t="s">
        <v>73</v>
      </c>
      <c r="Q380">
        <v>2029</v>
      </c>
      <c r="R380">
        <v>12400</v>
      </c>
      <c r="T380" t="s">
        <v>67</v>
      </c>
      <c r="U380" t="s">
        <v>68</v>
      </c>
      <c r="V380">
        <v>0</v>
      </c>
      <c r="W380" t="s">
        <v>69</v>
      </c>
      <c r="X380" s="5">
        <v>46212</v>
      </c>
      <c r="Y380" t="s">
        <v>84</v>
      </c>
      <c r="Z380" t="s">
        <v>68</v>
      </c>
      <c r="AA380">
        <v>12400</v>
      </c>
      <c r="AB380">
        <v>0</v>
      </c>
      <c r="AC380" t="s">
        <v>1214</v>
      </c>
      <c r="AD380" t="s">
        <v>68</v>
      </c>
      <c r="AE380">
        <v>0</v>
      </c>
      <c r="AF380" s="1"/>
      <c r="AG380" s="1"/>
      <c r="AH380">
        <v>0</v>
      </c>
      <c r="AI380">
        <v>3</v>
      </c>
      <c r="AJ380">
        <v>0</v>
      </c>
      <c r="AK380" t="s">
        <v>1215</v>
      </c>
      <c r="AL380" t="s">
        <v>71</v>
      </c>
      <c r="AM380" t="s">
        <v>68</v>
      </c>
      <c r="AN380">
        <v>0</v>
      </c>
      <c r="AO380" s="1"/>
      <c r="AQ380">
        <v>0</v>
      </c>
      <c r="AR380">
        <v>0</v>
      </c>
      <c r="AS380" t="s">
        <v>72</v>
      </c>
      <c r="AT380" t="s">
        <v>68</v>
      </c>
      <c r="AU380">
        <v>1</v>
      </c>
      <c r="AV380" t="s">
        <v>1341</v>
      </c>
      <c r="AW380">
        <v>0</v>
      </c>
      <c r="AX380" s="1">
        <v>46171.425949074073</v>
      </c>
      <c r="AY380">
        <v>2500</v>
      </c>
      <c r="AZ380" t="s">
        <v>68</v>
      </c>
      <c r="BA380" t="s">
        <v>65</v>
      </c>
      <c r="BB380" t="s">
        <v>68</v>
      </c>
      <c r="BC380" t="s">
        <v>68</v>
      </c>
      <c r="BD380">
        <v>0</v>
      </c>
      <c r="BE380" s="1">
        <v>46209.422500000001</v>
      </c>
      <c r="BF380" s="1">
        <v>46209.422500000001</v>
      </c>
      <c r="BG380" t="s">
        <v>68</v>
      </c>
      <c r="BH380" t="s">
        <v>68</v>
      </c>
      <c r="BI380" t="s">
        <v>68</v>
      </c>
      <c r="BJ380" t="s">
        <v>68</v>
      </c>
      <c r="BK380" t="s">
        <v>68</v>
      </c>
      <c r="BL380" t="s">
        <v>68</v>
      </c>
      <c r="BM380" t="s">
        <v>68</v>
      </c>
      <c r="BN380" t="s">
        <v>68</v>
      </c>
      <c r="BO380" t="s">
        <v>96</v>
      </c>
      <c r="BP380">
        <v>0</v>
      </c>
      <c r="BQ380" t="s">
        <v>68</v>
      </c>
      <c r="BR380" t="s">
        <v>68</v>
      </c>
      <c r="BS380" t="s">
        <v>68</v>
      </c>
    </row>
    <row r="381" spans="1:71" x14ac:dyDescent="0.35">
      <c r="A381" t="b">
        <f>ISNUMBER(MATCH(ChargentOrders[[#This Row],[Contract__c]],Contract[Id],0))</f>
        <v>1</v>
      </c>
      <c r="B381">
        <f>IFERROR(INDEX(Contract[CB_Subscription__c],MATCH(ChargentOrders[[#This Row],[Contract__c]],Contract[Id],0)),0)</f>
        <v>0</v>
      </c>
      <c r="C381" t="b">
        <f>ISNUMBER(MATCH(ChargentOrders[[#This Row],[Id]],Claude[Id],0))</f>
        <v>1</v>
      </c>
      <c r="D381" t="b">
        <f>AND(ChargentOrders[[#This Row],[_Contract]],ChargentOrders[[#This Row],[CB Subscription]]=0)</f>
        <v>1</v>
      </c>
      <c r="E381" s="38">
        <f>INDEX(Table5[CUENTA],MATCH(ChargentOrders[[#This Row],[Contract__c]],Table5[SM_Contract__c],0))</f>
        <v>46203</v>
      </c>
      <c r="F381" s="38" t="str">
        <f ca="1">INDEX(Table5[ESTADO],MATCH(ChargentOrders[[#This Row],[Contract__c]],Table5[SM_Contract__c],0))</f>
        <v>DEBE 1</v>
      </c>
      <c r="G381" t="s">
        <v>156</v>
      </c>
      <c r="H381" t="s">
        <v>79</v>
      </c>
      <c r="I381" t="s">
        <v>157</v>
      </c>
      <c r="J381" s="1">
        <v>45392.86577546296</v>
      </c>
      <c r="K381">
        <v>7</v>
      </c>
      <c r="L381">
        <v>2028</v>
      </c>
      <c r="M381" t="s">
        <v>1430</v>
      </c>
      <c r="N381">
        <v>7</v>
      </c>
      <c r="O381" t="s">
        <v>1431</v>
      </c>
      <c r="P381" t="s">
        <v>73</v>
      </c>
      <c r="Q381">
        <v>2028</v>
      </c>
      <c r="R381">
        <v>0</v>
      </c>
      <c r="T381" t="s">
        <v>67</v>
      </c>
      <c r="U381" t="s">
        <v>68</v>
      </c>
      <c r="V381">
        <v>0</v>
      </c>
      <c r="W381" t="s">
        <v>69</v>
      </c>
      <c r="X381" s="5"/>
      <c r="Y381" t="s">
        <v>68</v>
      </c>
      <c r="Z381" t="s">
        <v>68</v>
      </c>
      <c r="AA381">
        <v>0</v>
      </c>
      <c r="AC381" t="s">
        <v>158</v>
      </c>
      <c r="AD381" t="s">
        <v>68</v>
      </c>
      <c r="AE381">
        <v>0</v>
      </c>
      <c r="AF381" s="1"/>
      <c r="AG381" s="1">
        <v>45392.865810185183</v>
      </c>
      <c r="AH381">
        <v>0</v>
      </c>
      <c r="AI381">
        <v>1</v>
      </c>
      <c r="AJ381">
        <v>0</v>
      </c>
      <c r="AK381" t="s">
        <v>159</v>
      </c>
      <c r="AL381" t="s">
        <v>68</v>
      </c>
      <c r="AM381" t="s">
        <v>68</v>
      </c>
      <c r="AN381">
        <v>0</v>
      </c>
      <c r="AO381" s="1"/>
      <c r="AP381">
        <v>1</v>
      </c>
      <c r="AS381" t="s">
        <v>75</v>
      </c>
      <c r="AT381" t="s">
        <v>68</v>
      </c>
      <c r="AU381">
        <v>0</v>
      </c>
      <c r="AV381" t="s">
        <v>68</v>
      </c>
      <c r="AW381">
        <v>1</v>
      </c>
      <c r="AX381" s="1"/>
      <c r="AZ381" t="s">
        <v>68</v>
      </c>
      <c r="BA381" t="s">
        <v>68</v>
      </c>
      <c r="BB381" t="s">
        <v>68</v>
      </c>
      <c r="BC381" t="s">
        <v>68</v>
      </c>
      <c r="BD381">
        <v>0</v>
      </c>
      <c r="BE381" s="1"/>
      <c r="BF381" s="1">
        <v>45392.865810185183</v>
      </c>
      <c r="BG381" t="s">
        <v>68</v>
      </c>
      <c r="BH381" t="s">
        <v>68</v>
      </c>
      <c r="BI381" t="s">
        <v>68</v>
      </c>
      <c r="BJ381" t="s">
        <v>68</v>
      </c>
      <c r="BK381" t="s">
        <v>68</v>
      </c>
      <c r="BL381" t="s">
        <v>68</v>
      </c>
      <c r="BM381" t="s">
        <v>68</v>
      </c>
      <c r="BN381" t="s">
        <v>68</v>
      </c>
      <c r="BO381" t="s">
        <v>96</v>
      </c>
      <c r="BP381">
        <v>0</v>
      </c>
      <c r="BQ381" t="s">
        <v>68</v>
      </c>
      <c r="BR381" t="s">
        <v>68</v>
      </c>
      <c r="BS381" t="s">
        <v>68</v>
      </c>
    </row>
    <row r="382" spans="1:71" x14ac:dyDescent="0.35">
      <c r="A382" t="b">
        <f>ISNUMBER(MATCH(ChargentOrders[[#This Row],[Contract__c]],Contract[Id],0))</f>
        <v>1</v>
      </c>
      <c r="B382">
        <f>IFERROR(INDEX(Contract[CB_Subscription__c],MATCH(ChargentOrders[[#This Row],[Contract__c]],Contract[Id],0)),0)</f>
        <v>0</v>
      </c>
      <c r="C382" t="b">
        <f>ISNUMBER(MATCH(ChargentOrders[[#This Row],[Id]],Claude[Id],0))</f>
        <v>1</v>
      </c>
      <c r="D382" t="b">
        <f>AND(ChargentOrders[[#This Row],[_Contract]],ChargentOrders[[#This Row],[CB Subscription]]=0)</f>
        <v>1</v>
      </c>
      <c r="E382" s="38">
        <f>INDEX(Table5[CUENTA],MATCH(ChargentOrders[[#This Row],[Contract__c]],Table5[SM_Contract__c],0))</f>
        <v>46203</v>
      </c>
      <c r="F382" s="38" t="str">
        <f ca="1">INDEX(Table5[ESTADO],MATCH(ChargentOrders[[#This Row],[Contract__c]],Table5[SM_Contract__c],0))</f>
        <v>DEBE 1</v>
      </c>
      <c r="G382" t="s">
        <v>160</v>
      </c>
      <c r="H382" t="s">
        <v>79</v>
      </c>
      <c r="I382" t="s">
        <v>161</v>
      </c>
      <c r="J382" s="1">
        <v>45392.867743055554</v>
      </c>
      <c r="K382">
        <v>7</v>
      </c>
      <c r="L382">
        <v>2028</v>
      </c>
      <c r="M382" t="s">
        <v>1430</v>
      </c>
      <c r="N382">
        <v>7</v>
      </c>
      <c r="O382" t="s">
        <v>1431</v>
      </c>
      <c r="P382" t="s">
        <v>73</v>
      </c>
      <c r="Q382">
        <v>2028</v>
      </c>
      <c r="R382">
        <v>11039</v>
      </c>
      <c r="T382" t="s">
        <v>67</v>
      </c>
      <c r="U382" t="s">
        <v>68</v>
      </c>
      <c r="V382">
        <v>0</v>
      </c>
      <c r="W382" t="s">
        <v>69</v>
      </c>
      <c r="X382" s="5">
        <v>45392</v>
      </c>
      <c r="Y382" t="s">
        <v>74</v>
      </c>
      <c r="Z382" t="s">
        <v>68</v>
      </c>
      <c r="AA382">
        <v>9900</v>
      </c>
      <c r="AB382">
        <v>11385</v>
      </c>
      <c r="AC382" t="s">
        <v>158</v>
      </c>
      <c r="AD382" t="s">
        <v>68</v>
      </c>
      <c r="AE382">
        <v>0</v>
      </c>
      <c r="AF382" s="1">
        <v>45392.867951388886</v>
      </c>
      <c r="AG382" s="1">
        <v>45392.867951388886</v>
      </c>
      <c r="AH382">
        <v>1</v>
      </c>
      <c r="AI382">
        <v>1</v>
      </c>
      <c r="AJ382">
        <v>11039</v>
      </c>
      <c r="AK382" t="s">
        <v>159</v>
      </c>
      <c r="AL382" t="s">
        <v>77</v>
      </c>
      <c r="AM382" t="s">
        <v>68</v>
      </c>
      <c r="AN382">
        <v>0</v>
      </c>
      <c r="AO382" s="1"/>
      <c r="AP382">
        <v>1</v>
      </c>
      <c r="AQ382">
        <v>100</v>
      </c>
      <c r="AR382">
        <v>1050</v>
      </c>
      <c r="AS382" t="s">
        <v>75</v>
      </c>
      <c r="AT382" t="s">
        <v>68</v>
      </c>
      <c r="AU382">
        <v>0</v>
      </c>
      <c r="AV382" t="s">
        <v>68</v>
      </c>
      <c r="AW382">
        <v>0</v>
      </c>
      <c r="AX382" s="1"/>
      <c r="AZ382" t="s">
        <v>68</v>
      </c>
      <c r="BA382" t="s">
        <v>68</v>
      </c>
      <c r="BB382" t="s">
        <v>68</v>
      </c>
      <c r="BC382" t="s">
        <v>68</v>
      </c>
      <c r="BD382">
        <v>0</v>
      </c>
      <c r="BE382" s="1"/>
      <c r="BF382" s="1">
        <v>45392.867951388886</v>
      </c>
      <c r="BG382" t="s">
        <v>68</v>
      </c>
      <c r="BH382" t="s">
        <v>68</v>
      </c>
      <c r="BI382" t="s">
        <v>68</v>
      </c>
      <c r="BJ382" t="s">
        <v>68</v>
      </c>
      <c r="BK382" t="s">
        <v>68</v>
      </c>
      <c r="BL382" t="s">
        <v>68</v>
      </c>
      <c r="BM382" t="s">
        <v>68</v>
      </c>
      <c r="BN382" t="s">
        <v>68</v>
      </c>
      <c r="BO382" t="s">
        <v>96</v>
      </c>
      <c r="BP382">
        <v>0</v>
      </c>
      <c r="BQ382" t="s">
        <v>68</v>
      </c>
      <c r="BR382" t="s">
        <v>68</v>
      </c>
      <c r="BS382" t="s">
        <v>68</v>
      </c>
    </row>
    <row r="383" spans="1:71" x14ac:dyDescent="0.35">
      <c r="A383" t="b">
        <f>ISNUMBER(MATCH(ChargentOrders[[#This Row],[Contract__c]],Contract[Id],0))</f>
        <v>1</v>
      </c>
      <c r="B383">
        <f>IFERROR(INDEX(Contract[CB_Subscription__c],MATCH(ChargentOrders[[#This Row],[Contract__c]],Contract[Id],0)),0)</f>
        <v>0</v>
      </c>
      <c r="C383" t="b">
        <f>ISNUMBER(MATCH(ChargentOrders[[#This Row],[Id]],Claude[Id],0))</f>
        <v>1</v>
      </c>
      <c r="D383" t="b">
        <f>AND(ChargentOrders[[#This Row],[_Contract]],ChargentOrders[[#This Row],[CB Subscription]]=0)</f>
        <v>1</v>
      </c>
      <c r="E383" s="38">
        <f>INDEX(Table5[CUENTA],MATCH(ChargentOrders[[#This Row],[Contract__c]],Table5[SM_Contract__c],0))</f>
        <v>46203</v>
      </c>
      <c r="F383" s="38" t="str">
        <f ca="1">INDEX(Table5[ESTADO],MATCH(ChargentOrders[[#This Row],[Contract__c]],Table5[SM_Contract__c],0))</f>
        <v>DEBE 1</v>
      </c>
      <c r="G383" t="s">
        <v>162</v>
      </c>
      <c r="H383" t="s">
        <v>79</v>
      </c>
      <c r="I383" t="s">
        <v>163</v>
      </c>
      <c r="J383" s="1">
        <v>45392.867974537039</v>
      </c>
      <c r="K383">
        <v>7</v>
      </c>
      <c r="L383">
        <v>2028</v>
      </c>
      <c r="M383" t="s">
        <v>1430</v>
      </c>
      <c r="N383">
        <v>7</v>
      </c>
      <c r="O383" t="s">
        <v>1431</v>
      </c>
      <c r="P383" t="s">
        <v>73</v>
      </c>
      <c r="Q383">
        <v>2028</v>
      </c>
      <c r="R383">
        <v>7900</v>
      </c>
      <c r="S383">
        <v>30</v>
      </c>
      <c r="T383" t="s">
        <v>67</v>
      </c>
      <c r="U383" t="s">
        <v>68</v>
      </c>
      <c r="V383">
        <v>0</v>
      </c>
      <c r="W383" t="s">
        <v>69</v>
      </c>
      <c r="X383" s="5">
        <v>46233</v>
      </c>
      <c r="Y383" t="s">
        <v>84</v>
      </c>
      <c r="Z383" t="s">
        <v>68</v>
      </c>
      <c r="AA383">
        <v>7900</v>
      </c>
      <c r="AB383">
        <v>0</v>
      </c>
      <c r="AC383" t="s">
        <v>158</v>
      </c>
      <c r="AD383" t="s">
        <v>68</v>
      </c>
      <c r="AE383">
        <v>0</v>
      </c>
      <c r="AF383" s="1">
        <v>45898.418622685182</v>
      </c>
      <c r="AG383" s="1">
        <v>45898.418657407405</v>
      </c>
      <c r="AH383">
        <v>11</v>
      </c>
      <c r="AI383">
        <v>24</v>
      </c>
      <c r="AJ383">
        <v>968945</v>
      </c>
      <c r="AK383" t="s">
        <v>159</v>
      </c>
      <c r="AL383" t="s">
        <v>76</v>
      </c>
      <c r="AM383" t="s">
        <v>68</v>
      </c>
      <c r="AN383">
        <v>0</v>
      </c>
      <c r="AO383" s="1"/>
      <c r="AP383">
        <v>25</v>
      </c>
      <c r="AQ383">
        <v>0</v>
      </c>
      <c r="AR383">
        <v>0</v>
      </c>
      <c r="AS383" t="s">
        <v>75</v>
      </c>
      <c r="AT383" t="s">
        <v>68</v>
      </c>
      <c r="AU383">
        <v>0</v>
      </c>
      <c r="AV383" t="s">
        <v>68</v>
      </c>
      <c r="AW383">
        <v>0</v>
      </c>
      <c r="AX383" s="1"/>
      <c r="AZ383" t="s">
        <v>68</v>
      </c>
      <c r="BA383" t="s">
        <v>68</v>
      </c>
      <c r="BB383" t="s">
        <v>68</v>
      </c>
      <c r="BC383" t="s">
        <v>68</v>
      </c>
      <c r="BD383">
        <v>0</v>
      </c>
      <c r="BE383" s="1">
        <v>46203.416805555556</v>
      </c>
      <c r="BF383" s="1">
        <v>46203.416805555556</v>
      </c>
      <c r="BG383" t="s">
        <v>68</v>
      </c>
      <c r="BH383" t="s">
        <v>68</v>
      </c>
      <c r="BI383" t="s">
        <v>68</v>
      </c>
      <c r="BJ383" t="s">
        <v>68</v>
      </c>
      <c r="BK383" t="s">
        <v>68</v>
      </c>
      <c r="BL383" t="s">
        <v>68</v>
      </c>
      <c r="BM383" t="s">
        <v>68</v>
      </c>
      <c r="BN383" t="s">
        <v>68</v>
      </c>
      <c r="BO383" t="s">
        <v>96</v>
      </c>
      <c r="BP383">
        <v>0</v>
      </c>
      <c r="BQ383" t="s">
        <v>68</v>
      </c>
      <c r="BR383" t="s">
        <v>68</v>
      </c>
      <c r="BS383" t="s">
        <v>68</v>
      </c>
    </row>
    <row r="384" spans="1:71" x14ac:dyDescent="0.35">
      <c r="A384" t="b">
        <f>ISNUMBER(MATCH(ChargentOrders[[#This Row],[Contract__c]],Contract[Id],0))</f>
        <v>1</v>
      </c>
      <c r="B384">
        <f>IFERROR(INDEX(Contract[CB_Subscription__c],MATCH(ChargentOrders[[#This Row],[Contract__c]],Contract[Id],0)),0)</f>
        <v>0</v>
      </c>
      <c r="C384" t="b">
        <f>ISNUMBER(MATCH(ChargentOrders[[#This Row],[Id]],Claude[Id],0))</f>
        <v>1</v>
      </c>
      <c r="D384" t="b">
        <f>AND(ChargentOrders[[#This Row],[_Contract]],ChargentOrders[[#This Row],[CB Subscription]]=0)</f>
        <v>1</v>
      </c>
      <c r="E384" s="38">
        <f>INDEX(Table5[CUENTA],MATCH(ChargentOrders[[#This Row],[Contract__c]],Table5[SM_Contract__c],0))</f>
        <v>46203</v>
      </c>
      <c r="F384" s="38" t="str">
        <f ca="1">INDEX(Table5[ESTADO],MATCH(ChargentOrders[[#This Row],[Contract__c]],Table5[SM_Contract__c],0))</f>
        <v>DEBE 1</v>
      </c>
      <c r="G384" t="s">
        <v>169</v>
      </c>
      <c r="H384" t="s">
        <v>79</v>
      </c>
      <c r="I384" t="s">
        <v>170</v>
      </c>
      <c r="J384" s="1">
        <v>45499.649976851855</v>
      </c>
      <c r="K384">
        <v>7</v>
      </c>
      <c r="L384">
        <v>2028</v>
      </c>
      <c r="M384" t="s">
        <v>1430</v>
      </c>
      <c r="N384">
        <v>7</v>
      </c>
      <c r="O384" t="s">
        <v>1431</v>
      </c>
      <c r="P384" t="s">
        <v>73</v>
      </c>
      <c r="Q384">
        <v>2028</v>
      </c>
      <c r="R384">
        <v>11596</v>
      </c>
      <c r="T384" t="s">
        <v>67</v>
      </c>
      <c r="U384" t="s">
        <v>68</v>
      </c>
      <c r="V384">
        <v>0</v>
      </c>
      <c r="W384" t="s">
        <v>69</v>
      </c>
      <c r="X384" s="5">
        <v>45502</v>
      </c>
      <c r="Y384" t="s">
        <v>74</v>
      </c>
      <c r="Z384" t="s">
        <v>68</v>
      </c>
      <c r="AA384">
        <v>10400</v>
      </c>
      <c r="AB384">
        <v>1196</v>
      </c>
      <c r="AC384" t="s">
        <v>158</v>
      </c>
      <c r="AD384" t="s">
        <v>68</v>
      </c>
      <c r="AE384">
        <v>0</v>
      </c>
      <c r="AF384" s="1">
        <v>45502.426562499997</v>
      </c>
      <c r="AG384" s="1">
        <v>45502.426562499997</v>
      </c>
      <c r="AH384">
        <v>1</v>
      </c>
      <c r="AI384">
        <v>1</v>
      </c>
      <c r="AJ384">
        <v>11596</v>
      </c>
      <c r="AK384" t="s">
        <v>159</v>
      </c>
      <c r="AL384" t="s">
        <v>71</v>
      </c>
      <c r="AM384" t="s">
        <v>68</v>
      </c>
      <c r="AN384">
        <v>0</v>
      </c>
      <c r="AO384" s="1"/>
      <c r="AP384">
        <v>0</v>
      </c>
      <c r="AQ384">
        <v>100</v>
      </c>
      <c r="AR384">
        <v>1050</v>
      </c>
      <c r="AS384" t="s">
        <v>72</v>
      </c>
      <c r="AT384" t="s">
        <v>68</v>
      </c>
      <c r="AU384">
        <v>1</v>
      </c>
      <c r="AV384" t="s">
        <v>171</v>
      </c>
      <c r="AW384">
        <v>0</v>
      </c>
      <c r="AX384" s="1">
        <v>45392.867974537039</v>
      </c>
      <c r="AY384">
        <v>2500</v>
      </c>
      <c r="AZ384" t="s">
        <v>68</v>
      </c>
      <c r="BA384" t="s">
        <v>65</v>
      </c>
      <c r="BB384" t="s">
        <v>68</v>
      </c>
      <c r="BC384" t="s">
        <v>68</v>
      </c>
      <c r="BD384">
        <v>0</v>
      </c>
      <c r="BE384" s="1"/>
      <c r="BF384" s="1">
        <v>45502.426562499997</v>
      </c>
      <c r="BG384" t="s">
        <v>68</v>
      </c>
      <c r="BH384" t="s">
        <v>68</v>
      </c>
      <c r="BI384" t="s">
        <v>68</v>
      </c>
      <c r="BJ384" t="s">
        <v>68</v>
      </c>
      <c r="BK384" t="s">
        <v>68</v>
      </c>
      <c r="BL384" t="s">
        <v>68</v>
      </c>
      <c r="BM384" t="s">
        <v>68</v>
      </c>
      <c r="BN384" t="s">
        <v>68</v>
      </c>
      <c r="BO384" t="s">
        <v>96</v>
      </c>
      <c r="BP384">
        <v>0</v>
      </c>
      <c r="BQ384" t="s">
        <v>68</v>
      </c>
      <c r="BR384" t="s">
        <v>68</v>
      </c>
      <c r="BS384" t="s">
        <v>68</v>
      </c>
    </row>
    <row r="385" spans="1:71" x14ac:dyDescent="0.35">
      <c r="A385" t="b">
        <f>ISNUMBER(MATCH(ChargentOrders[[#This Row],[Contract__c]],Contract[Id],0))</f>
        <v>1</v>
      </c>
      <c r="B385">
        <f>IFERROR(INDEX(Contract[CB_Subscription__c],MATCH(ChargentOrders[[#This Row],[Contract__c]],Contract[Id],0)),0)</f>
        <v>0</v>
      </c>
      <c r="C385" t="b">
        <f>ISNUMBER(MATCH(ChargentOrders[[#This Row],[Id]],Claude[Id],0))</f>
        <v>1</v>
      </c>
      <c r="D385" t="b">
        <f>AND(ChargentOrders[[#This Row],[_Contract]],ChargentOrders[[#This Row],[CB Subscription]]=0)</f>
        <v>1</v>
      </c>
      <c r="E385" s="38">
        <f>INDEX(Table5[CUENTA],MATCH(ChargentOrders[[#This Row],[Contract__c]],Table5[SM_Contract__c],0))</f>
        <v>46203</v>
      </c>
      <c r="F385" s="38" t="str">
        <f ca="1">INDEX(Table5[ESTADO],MATCH(ChargentOrders[[#This Row],[Contract__c]],Table5[SM_Contract__c],0))</f>
        <v>DEBE 1</v>
      </c>
      <c r="G385" t="s">
        <v>206</v>
      </c>
      <c r="H385" t="s">
        <v>79</v>
      </c>
      <c r="I385" t="s">
        <v>207</v>
      </c>
      <c r="J385" s="1">
        <v>45595.423657407409</v>
      </c>
      <c r="K385">
        <v>7</v>
      </c>
      <c r="L385">
        <v>2028</v>
      </c>
      <c r="M385" t="s">
        <v>1430</v>
      </c>
      <c r="N385">
        <v>7</v>
      </c>
      <c r="O385" t="s">
        <v>1431</v>
      </c>
      <c r="P385" t="s">
        <v>73</v>
      </c>
      <c r="Q385">
        <v>2028</v>
      </c>
      <c r="R385">
        <v>11596</v>
      </c>
      <c r="T385" t="s">
        <v>67</v>
      </c>
      <c r="U385" t="s">
        <v>68</v>
      </c>
      <c r="V385">
        <v>0</v>
      </c>
      <c r="W385" t="s">
        <v>69</v>
      </c>
      <c r="X385" s="5">
        <v>45597</v>
      </c>
      <c r="Y385" t="s">
        <v>74</v>
      </c>
      <c r="Z385" t="s">
        <v>68</v>
      </c>
      <c r="AA385">
        <v>10400</v>
      </c>
      <c r="AB385">
        <v>1196</v>
      </c>
      <c r="AC385" t="s">
        <v>158</v>
      </c>
      <c r="AD385" t="s">
        <v>68</v>
      </c>
      <c r="AE385">
        <v>0</v>
      </c>
      <c r="AF385" s="1">
        <v>45597.429537037038</v>
      </c>
      <c r="AG385" s="1">
        <v>45597.429606481484</v>
      </c>
      <c r="AH385">
        <v>1</v>
      </c>
      <c r="AI385">
        <v>1</v>
      </c>
      <c r="AJ385">
        <v>11596</v>
      </c>
      <c r="AK385" t="s">
        <v>159</v>
      </c>
      <c r="AL385" t="s">
        <v>71</v>
      </c>
      <c r="AM385" t="s">
        <v>68</v>
      </c>
      <c r="AN385">
        <v>0</v>
      </c>
      <c r="AO385" s="1"/>
      <c r="AP385">
        <v>0</v>
      </c>
      <c r="AQ385">
        <v>100</v>
      </c>
      <c r="AR385">
        <v>1050</v>
      </c>
      <c r="AS385" t="s">
        <v>72</v>
      </c>
      <c r="AT385" t="s">
        <v>68</v>
      </c>
      <c r="AU385">
        <v>1</v>
      </c>
      <c r="AV385" t="s">
        <v>208</v>
      </c>
      <c r="AW385">
        <v>0</v>
      </c>
      <c r="AX385" s="1">
        <v>45392.867974537039</v>
      </c>
      <c r="AY385">
        <v>2500</v>
      </c>
      <c r="AZ385" t="s">
        <v>68</v>
      </c>
      <c r="BA385" t="s">
        <v>65</v>
      </c>
      <c r="BB385" t="s">
        <v>68</v>
      </c>
      <c r="BC385" t="s">
        <v>68</v>
      </c>
      <c r="BD385">
        <v>0</v>
      </c>
      <c r="BE385" s="1"/>
      <c r="BF385" s="1">
        <v>45597.429537037038</v>
      </c>
      <c r="BG385" t="s">
        <v>68</v>
      </c>
      <c r="BH385" t="s">
        <v>68</v>
      </c>
      <c r="BI385" t="s">
        <v>68</v>
      </c>
      <c r="BJ385" t="s">
        <v>68</v>
      </c>
      <c r="BK385" t="s">
        <v>68</v>
      </c>
      <c r="BL385" t="s">
        <v>68</v>
      </c>
      <c r="BM385" t="s">
        <v>68</v>
      </c>
      <c r="BN385" t="s">
        <v>68</v>
      </c>
      <c r="BO385" t="s">
        <v>96</v>
      </c>
      <c r="BP385">
        <v>0</v>
      </c>
      <c r="BQ385" t="s">
        <v>68</v>
      </c>
      <c r="BR385" t="s">
        <v>68</v>
      </c>
      <c r="BS385" t="s">
        <v>68</v>
      </c>
    </row>
    <row r="386" spans="1:71" x14ac:dyDescent="0.35">
      <c r="A386" t="b">
        <f>ISNUMBER(MATCH(ChargentOrders[[#This Row],[Contract__c]],Contract[Id],0))</f>
        <v>1</v>
      </c>
      <c r="B386">
        <f>IFERROR(INDEX(Contract[CB_Subscription__c],MATCH(ChargentOrders[[#This Row],[Contract__c]],Contract[Id],0)),0)</f>
        <v>0</v>
      </c>
      <c r="C386" t="b">
        <f>ISNUMBER(MATCH(ChargentOrders[[#This Row],[Id]],Claude[Id],0))</f>
        <v>1</v>
      </c>
      <c r="D386" t="b">
        <f>AND(ChargentOrders[[#This Row],[_Contract]],ChargentOrders[[#This Row],[CB Subscription]]=0)</f>
        <v>1</v>
      </c>
      <c r="E386" s="38">
        <f>INDEX(Table5[CUENTA],MATCH(ChargentOrders[[#This Row],[Contract__c]],Table5[SM_Contract__c],0))</f>
        <v>46203</v>
      </c>
      <c r="F386" s="38" t="str">
        <f ca="1">INDEX(Table5[ESTADO],MATCH(ChargentOrders[[#This Row],[Contract__c]],Table5[SM_Contract__c],0))</f>
        <v>DEBE 1</v>
      </c>
      <c r="G386" t="s">
        <v>228</v>
      </c>
      <c r="H386" t="s">
        <v>79</v>
      </c>
      <c r="I386" t="s">
        <v>229</v>
      </c>
      <c r="J386" s="1">
        <v>45687.422719907408</v>
      </c>
      <c r="K386">
        <v>7</v>
      </c>
      <c r="L386">
        <v>2028</v>
      </c>
      <c r="M386" t="s">
        <v>1430</v>
      </c>
      <c r="N386">
        <v>7</v>
      </c>
      <c r="O386" t="s">
        <v>1431</v>
      </c>
      <c r="P386" t="s">
        <v>73</v>
      </c>
      <c r="Q386">
        <v>2028</v>
      </c>
      <c r="R386">
        <v>11596</v>
      </c>
      <c r="T386" t="s">
        <v>67</v>
      </c>
      <c r="U386" t="s">
        <v>68</v>
      </c>
      <c r="V386">
        <v>0</v>
      </c>
      <c r="W386" t="s">
        <v>69</v>
      </c>
      <c r="X386" s="5">
        <v>45688</v>
      </c>
      <c r="Y386" t="s">
        <v>74</v>
      </c>
      <c r="Z386" t="s">
        <v>68</v>
      </c>
      <c r="AA386">
        <v>10400</v>
      </c>
      <c r="AB386">
        <v>1196</v>
      </c>
      <c r="AC386" t="s">
        <v>158</v>
      </c>
      <c r="AD386" t="s">
        <v>68</v>
      </c>
      <c r="AE386">
        <v>0</v>
      </c>
      <c r="AF386" s="1">
        <v>45688.429571759261</v>
      </c>
      <c r="AG386" s="1">
        <v>45688.429583333331</v>
      </c>
      <c r="AH386">
        <v>1</v>
      </c>
      <c r="AI386">
        <v>1</v>
      </c>
      <c r="AJ386">
        <v>11596</v>
      </c>
      <c r="AK386" t="s">
        <v>159</v>
      </c>
      <c r="AL386" t="s">
        <v>71</v>
      </c>
      <c r="AM386" t="s">
        <v>68</v>
      </c>
      <c r="AN386">
        <v>0</v>
      </c>
      <c r="AO386" s="1"/>
      <c r="AP386">
        <v>0</v>
      </c>
      <c r="AQ386">
        <v>100</v>
      </c>
      <c r="AR386">
        <v>1050</v>
      </c>
      <c r="AS386" t="s">
        <v>72</v>
      </c>
      <c r="AT386" t="s">
        <v>68</v>
      </c>
      <c r="AU386">
        <v>1</v>
      </c>
      <c r="AV386" t="s">
        <v>230</v>
      </c>
      <c r="AW386">
        <v>0</v>
      </c>
      <c r="AX386" s="1">
        <v>45392.867974537039</v>
      </c>
      <c r="AY386">
        <v>2500</v>
      </c>
      <c r="AZ386" t="s">
        <v>68</v>
      </c>
      <c r="BA386" t="s">
        <v>65</v>
      </c>
      <c r="BB386" t="s">
        <v>68</v>
      </c>
      <c r="BC386" t="s">
        <v>68</v>
      </c>
      <c r="BD386">
        <v>0</v>
      </c>
      <c r="BE386" s="1"/>
      <c r="BF386" s="1">
        <v>45688.429571759261</v>
      </c>
      <c r="BG386" t="s">
        <v>68</v>
      </c>
      <c r="BH386" t="s">
        <v>68</v>
      </c>
      <c r="BI386" t="s">
        <v>68</v>
      </c>
      <c r="BJ386" t="s">
        <v>68</v>
      </c>
      <c r="BK386" t="s">
        <v>68</v>
      </c>
      <c r="BL386" t="s">
        <v>68</v>
      </c>
      <c r="BM386" t="s">
        <v>68</v>
      </c>
      <c r="BN386" t="s">
        <v>68</v>
      </c>
      <c r="BO386" t="s">
        <v>96</v>
      </c>
      <c r="BP386">
        <v>0</v>
      </c>
      <c r="BQ386" t="s">
        <v>68</v>
      </c>
      <c r="BR386" t="s">
        <v>68</v>
      </c>
      <c r="BS386" t="s">
        <v>68</v>
      </c>
    </row>
    <row r="387" spans="1:71" x14ac:dyDescent="0.35">
      <c r="A387" t="b">
        <f>ISNUMBER(MATCH(ChargentOrders[[#This Row],[Contract__c]],Contract[Id],0))</f>
        <v>1</v>
      </c>
      <c r="B387">
        <f>IFERROR(INDEX(Contract[CB_Subscription__c],MATCH(ChargentOrders[[#This Row],[Contract__c]],Contract[Id],0)),0)</f>
        <v>0</v>
      </c>
      <c r="C387" t="b">
        <f>ISNUMBER(MATCH(ChargentOrders[[#This Row],[Id]],Claude[Id],0))</f>
        <v>1</v>
      </c>
      <c r="D387" t="b">
        <f>AND(ChargentOrders[[#This Row],[_Contract]],ChargentOrders[[#This Row],[CB Subscription]]=0)</f>
        <v>1</v>
      </c>
      <c r="E387" s="38">
        <f>INDEX(Table5[CUENTA],MATCH(ChargentOrders[[#This Row],[Contract__c]],Table5[SM_Contract__c],0))</f>
        <v>46203</v>
      </c>
      <c r="F387" s="38" t="str">
        <f ca="1">INDEX(Table5[ESTADO],MATCH(ChargentOrders[[#This Row],[Contract__c]],Table5[SM_Contract__c],0))</f>
        <v>DEBE 1</v>
      </c>
      <c r="G387" t="s">
        <v>260</v>
      </c>
      <c r="H387" t="s">
        <v>78</v>
      </c>
      <c r="I387" t="s">
        <v>261</v>
      </c>
      <c r="J387" s="1">
        <v>45725.886516203704</v>
      </c>
      <c r="K387">
        <v>7</v>
      </c>
      <c r="L387">
        <v>2028</v>
      </c>
      <c r="M387" t="s">
        <v>1430</v>
      </c>
      <c r="N387">
        <v>7</v>
      </c>
      <c r="O387" t="s">
        <v>1443</v>
      </c>
      <c r="P387" t="s">
        <v>73</v>
      </c>
      <c r="Q387">
        <v>2028</v>
      </c>
      <c r="R387">
        <v>8809</v>
      </c>
      <c r="T387" t="s">
        <v>67</v>
      </c>
      <c r="U387" t="s">
        <v>68</v>
      </c>
      <c r="V387">
        <v>0</v>
      </c>
      <c r="W387" t="s">
        <v>69</v>
      </c>
      <c r="X387" s="5">
        <v>45716</v>
      </c>
      <c r="Y387" t="s">
        <v>74</v>
      </c>
      <c r="Z387" t="s">
        <v>68</v>
      </c>
      <c r="AA387">
        <v>7900</v>
      </c>
      <c r="AB387">
        <v>909</v>
      </c>
      <c r="AC387" t="s">
        <v>158</v>
      </c>
      <c r="AD387" t="s">
        <v>68</v>
      </c>
      <c r="AE387">
        <v>0</v>
      </c>
      <c r="AF387" s="1">
        <v>45726.426550925928</v>
      </c>
      <c r="AG387" s="1">
        <v>45726.426550925928</v>
      </c>
      <c r="AH387">
        <v>1</v>
      </c>
      <c r="AI387">
        <v>1</v>
      </c>
      <c r="AJ387">
        <v>8809</v>
      </c>
      <c r="AK387" t="s">
        <v>159</v>
      </c>
      <c r="AL387" t="s">
        <v>71</v>
      </c>
      <c r="AM387" t="s">
        <v>259</v>
      </c>
      <c r="AN387">
        <v>0</v>
      </c>
      <c r="AO387" s="1">
        <v>45725.886180555557</v>
      </c>
      <c r="AP387">
        <v>10</v>
      </c>
      <c r="AQ387">
        <v>10</v>
      </c>
      <c r="AR387">
        <v>105</v>
      </c>
      <c r="AS387" t="s">
        <v>75</v>
      </c>
      <c r="AT387" t="s">
        <v>68</v>
      </c>
      <c r="AU387">
        <v>0</v>
      </c>
      <c r="AV387" t="s">
        <v>68</v>
      </c>
      <c r="AW387">
        <v>0</v>
      </c>
      <c r="AX387" s="1"/>
      <c r="AZ387" t="s">
        <v>68</v>
      </c>
      <c r="BA387" t="s">
        <v>68</v>
      </c>
      <c r="BB387" t="s">
        <v>68</v>
      </c>
      <c r="BC387" t="s">
        <v>68</v>
      </c>
      <c r="BD387">
        <v>0</v>
      </c>
      <c r="BE387" s="1"/>
      <c r="BF387" s="1">
        <v>45726.426550925928</v>
      </c>
      <c r="BG387" t="s">
        <v>68</v>
      </c>
      <c r="BH387" t="s">
        <v>68</v>
      </c>
      <c r="BI387" t="s">
        <v>68</v>
      </c>
      <c r="BJ387" t="s">
        <v>68</v>
      </c>
      <c r="BK387" t="s">
        <v>68</v>
      </c>
      <c r="BL387" t="s">
        <v>68</v>
      </c>
      <c r="BM387" t="s">
        <v>68</v>
      </c>
      <c r="BN387" t="s">
        <v>68</v>
      </c>
      <c r="BO387" t="s">
        <v>96</v>
      </c>
      <c r="BP387">
        <v>0</v>
      </c>
      <c r="BQ387" t="s">
        <v>68</v>
      </c>
      <c r="BR387" t="s">
        <v>68</v>
      </c>
      <c r="BS387" t="s">
        <v>256</v>
      </c>
    </row>
    <row r="388" spans="1:71" x14ac:dyDescent="0.35">
      <c r="A388" t="b">
        <f>ISNUMBER(MATCH(ChargentOrders[[#This Row],[Contract__c]],Contract[Id],0))</f>
        <v>1</v>
      </c>
      <c r="B388">
        <f>IFERROR(INDEX(Contract[CB_Subscription__c],MATCH(ChargentOrders[[#This Row],[Contract__c]],Contract[Id],0)),0)</f>
        <v>0</v>
      </c>
      <c r="C388" t="b">
        <f>ISNUMBER(MATCH(ChargentOrders[[#This Row],[Id]],Claude[Id],0))</f>
        <v>1</v>
      </c>
      <c r="D388" t="b">
        <f>AND(ChargentOrders[[#This Row],[_Contract]],ChargentOrders[[#This Row],[CB Subscription]]=0)</f>
        <v>1</v>
      </c>
      <c r="E388" s="38">
        <f>INDEX(Table5[CUENTA],MATCH(ChargentOrders[[#This Row],[Contract__c]],Table5[SM_Contract__c],0))</f>
        <v>46203</v>
      </c>
      <c r="F388" s="38" t="str">
        <f ca="1">INDEX(Table5[ESTADO],MATCH(ChargentOrders[[#This Row],[Contract__c]],Table5[SM_Contract__c],0))</f>
        <v>DEBE 1</v>
      </c>
      <c r="G388" t="s">
        <v>298</v>
      </c>
      <c r="H388" t="s">
        <v>79</v>
      </c>
      <c r="I388" t="s">
        <v>299</v>
      </c>
      <c r="J388" s="1">
        <v>45777.422002314815</v>
      </c>
      <c r="K388">
        <v>7</v>
      </c>
      <c r="L388">
        <v>2028</v>
      </c>
      <c r="M388" t="s">
        <v>1430</v>
      </c>
      <c r="N388">
        <v>7</v>
      </c>
      <c r="O388" t="s">
        <v>1431</v>
      </c>
      <c r="P388" t="s">
        <v>73</v>
      </c>
      <c r="Q388">
        <v>2028</v>
      </c>
      <c r="R388">
        <v>11596</v>
      </c>
      <c r="T388" t="s">
        <v>67</v>
      </c>
      <c r="U388" t="s">
        <v>68</v>
      </c>
      <c r="V388">
        <v>0</v>
      </c>
      <c r="W388" t="s">
        <v>69</v>
      </c>
      <c r="X388" s="5">
        <v>45779</v>
      </c>
      <c r="Y388" t="s">
        <v>74</v>
      </c>
      <c r="Z388" t="s">
        <v>68</v>
      </c>
      <c r="AA388">
        <v>10400</v>
      </c>
      <c r="AB388">
        <v>1196</v>
      </c>
      <c r="AC388" t="s">
        <v>158</v>
      </c>
      <c r="AD388" t="s">
        <v>68</v>
      </c>
      <c r="AE388">
        <v>0</v>
      </c>
      <c r="AF388" s="1">
        <v>45779.427141203705</v>
      </c>
      <c r="AG388" s="1">
        <v>45779.427222222221</v>
      </c>
      <c r="AH388">
        <v>1</v>
      </c>
      <c r="AI388">
        <v>1</v>
      </c>
      <c r="AJ388">
        <v>11596</v>
      </c>
      <c r="AK388" t="s">
        <v>159</v>
      </c>
      <c r="AL388" t="s">
        <v>71</v>
      </c>
      <c r="AM388" t="s">
        <v>68</v>
      </c>
      <c r="AN388">
        <v>0</v>
      </c>
      <c r="AO388" s="1"/>
      <c r="AP388">
        <v>0</v>
      </c>
      <c r="AQ388">
        <v>100</v>
      </c>
      <c r="AR388">
        <v>1050</v>
      </c>
      <c r="AS388" t="s">
        <v>72</v>
      </c>
      <c r="AT388" t="s">
        <v>68</v>
      </c>
      <c r="AU388">
        <v>1</v>
      </c>
      <c r="AV388" t="s">
        <v>300</v>
      </c>
      <c r="AW388">
        <v>0</v>
      </c>
      <c r="AX388" s="1">
        <v>45392.867974537039</v>
      </c>
      <c r="AY388">
        <v>2500</v>
      </c>
      <c r="AZ388" t="s">
        <v>68</v>
      </c>
      <c r="BA388" t="s">
        <v>65</v>
      </c>
      <c r="BB388" t="s">
        <v>68</v>
      </c>
      <c r="BC388" t="s">
        <v>68</v>
      </c>
      <c r="BD388">
        <v>0</v>
      </c>
      <c r="BE388" s="1"/>
      <c r="BF388" s="1">
        <v>45779.427141203705</v>
      </c>
      <c r="BG388" t="s">
        <v>68</v>
      </c>
      <c r="BH388" t="s">
        <v>68</v>
      </c>
      <c r="BI388" t="s">
        <v>68</v>
      </c>
      <c r="BJ388" t="s">
        <v>68</v>
      </c>
      <c r="BK388" t="s">
        <v>68</v>
      </c>
      <c r="BL388" t="s">
        <v>68</v>
      </c>
      <c r="BM388" t="s">
        <v>68</v>
      </c>
      <c r="BN388" t="s">
        <v>68</v>
      </c>
      <c r="BO388" t="s">
        <v>96</v>
      </c>
      <c r="BP388">
        <v>0</v>
      </c>
      <c r="BQ388" t="s">
        <v>68</v>
      </c>
      <c r="BR388" t="s">
        <v>68</v>
      </c>
      <c r="BS388" t="s">
        <v>68</v>
      </c>
    </row>
    <row r="389" spans="1:71" x14ac:dyDescent="0.35">
      <c r="A389" t="b">
        <f>ISNUMBER(MATCH(ChargentOrders[[#This Row],[Contract__c]],Contract[Id],0))</f>
        <v>1</v>
      </c>
      <c r="B389">
        <f>IFERROR(INDEX(Contract[CB_Subscription__c],MATCH(ChargentOrders[[#This Row],[Contract__c]],Contract[Id],0)),0)</f>
        <v>0</v>
      </c>
      <c r="C389" t="b">
        <f>ISNUMBER(MATCH(ChargentOrders[[#This Row],[Id]],Claude[Id],0))</f>
        <v>1</v>
      </c>
      <c r="D389" t="b">
        <f>AND(ChargentOrders[[#This Row],[_Contract]],ChargentOrders[[#This Row],[CB Subscription]]=0)</f>
        <v>1</v>
      </c>
      <c r="E389" s="38">
        <f>INDEX(Table5[CUENTA],MATCH(ChargentOrders[[#This Row],[Contract__c]],Table5[SM_Contract__c],0))</f>
        <v>46203</v>
      </c>
      <c r="F389" s="38" t="str">
        <f ca="1">INDEX(Table5[ESTADO],MATCH(ChargentOrders[[#This Row],[Contract__c]],Table5[SM_Contract__c],0))</f>
        <v>DEBE 1</v>
      </c>
      <c r="G389" t="s">
        <v>421</v>
      </c>
      <c r="H389" t="s">
        <v>79</v>
      </c>
      <c r="I389" t="s">
        <v>422</v>
      </c>
      <c r="J389" s="1">
        <v>45894.59306712963</v>
      </c>
      <c r="K389">
        <v>7</v>
      </c>
      <c r="L389">
        <v>2029</v>
      </c>
      <c r="M389" t="s">
        <v>1457</v>
      </c>
      <c r="N389">
        <v>7</v>
      </c>
      <c r="O389" t="s">
        <v>1458</v>
      </c>
      <c r="P389" t="s">
        <v>66</v>
      </c>
      <c r="Q389">
        <v>2029</v>
      </c>
      <c r="R389">
        <v>0</v>
      </c>
      <c r="T389" t="s">
        <v>67</v>
      </c>
      <c r="U389" t="s">
        <v>68</v>
      </c>
      <c r="V389">
        <v>0</v>
      </c>
      <c r="W389" t="s">
        <v>69</v>
      </c>
      <c r="X389" s="5"/>
      <c r="Y389" t="s">
        <v>68</v>
      </c>
      <c r="Z389" t="s">
        <v>68</v>
      </c>
      <c r="AA389">
        <v>0</v>
      </c>
      <c r="AC389" t="s">
        <v>423</v>
      </c>
      <c r="AD389" t="s">
        <v>68</v>
      </c>
      <c r="AE389">
        <v>0</v>
      </c>
      <c r="AF389" s="1"/>
      <c r="AG389" s="1">
        <v>45894.593090277776</v>
      </c>
      <c r="AH389">
        <v>0</v>
      </c>
      <c r="AI389">
        <v>1</v>
      </c>
      <c r="AJ389">
        <v>0</v>
      </c>
      <c r="AK389" t="s">
        <v>424</v>
      </c>
      <c r="AL389" t="s">
        <v>68</v>
      </c>
      <c r="AM389" t="s">
        <v>68</v>
      </c>
      <c r="AN389">
        <v>0</v>
      </c>
      <c r="AO389" s="1"/>
      <c r="AP389">
        <v>1</v>
      </c>
      <c r="AS389" t="s">
        <v>75</v>
      </c>
      <c r="AT389" t="s">
        <v>68</v>
      </c>
      <c r="AU389">
        <v>0</v>
      </c>
      <c r="AV389" t="s">
        <v>68</v>
      </c>
      <c r="AW389">
        <v>1</v>
      </c>
      <c r="AX389" s="1"/>
      <c r="AZ389" t="s">
        <v>68</v>
      </c>
      <c r="BA389" t="s">
        <v>68</v>
      </c>
      <c r="BB389" t="s">
        <v>68</v>
      </c>
      <c r="BC389" t="s">
        <v>68</v>
      </c>
      <c r="BD389">
        <v>0</v>
      </c>
      <c r="BE389" s="1"/>
      <c r="BF389" s="1">
        <v>45894.593090277776</v>
      </c>
      <c r="BG389" t="s">
        <v>68</v>
      </c>
      <c r="BH389" t="s">
        <v>68</v>
      </c>
      <c r="BI389" t="s">
        <v>68</v>
      </c>
      <c r="BJ389" t="s">
        <v>68</v>
      </c>
      <c r="BK389" t="s">
        <v>68</v>
      </c>
      <c r="BL389" t="s">
        <v>68</v>
      </c>
      <c r="BM389" t="s">
        <v>68</v>
      </c>
      <c r="BN389" t="s">
        <v>68</v>
      </c>
      <c r="BO389" t="s">
        <v>96</v>
      </c>
      <c r="BP389">
        <v>0</v>
      </c>
      <c r="BQ389" t="s">
        <v>68</v>
      </c>
      <c r="BR389" t="s">
        <v>68</v>
      </c>
      <c r="BS389" t="s">
        <v>68</v>
      </c>
    </row>
    <row r="390" spans="1:71" x14ac:dyDescent="0.35">
      <c r="A390" t="b">
        <f>ISNUMBER(MATCH(ChargentOrders[[#This Row],[Contract__c]],Contract[Id],0))</f>
        <v>1</v>
      </c>
      <c r="B390">
        <f>IFERROR(INDEX(Contract[CB_Subscription__c],MATCH(ChargentOrders[[#This Row],[Contract__c]],Contract[Id],0)),0)</f>
        <v>0</v>
      </c>
      <c r="C390" t="b">
        <f>ISNUMBER(MATCH(ChargentOrders[[#This Row],[Id]],Claude[Id],0))</f>
        <v>1</v>
      </c>
      <c r="D390" t="b">
        <f>AND(ChargentOrders[[#This Row],[_Contract]],ChargentOrders[[#This Row],[CB Subscription]]=0)</f>
        <v>1</v>
      </c>
      <c r="E390" s="38">
        <f>INDEX(Table5[CUENTA],MATCH(ChargentOrders[[#This Row],[Contract__c]],Table5[SM_Contract__c],0))</f>
        <v>46203</v>
      </c>
      <c r="F390" s="38" t="str">
        <f ca="1">INDEX(Table5[ESTADO],MATCH(ChargentOrders[[#This Row],[Contract__c]],Table5[SM_Contract__c],0))</f>
        <v>DEBE 1</v>
      </c>
      <c r="G390" t="s">
        <v>425</v>
      </c>
      <c r="H390" t="s">
        <v>79</v>
      </c>
      <c r="I390" t="s">
        <v>426</v>
      </c>
      <c r="J390" s="1">
        <v>45894.594328703701</v>
      </c>
      <c r="K390">
        <v>7</v>
      </c>
      <c r="L390">
        <v>2029</v>
      </c>
      <c r="M390" t="s">
        <v>1457</v>
      </c>
      <c r="N390">
        <v>7</v>
      </c>
      <c r="O390" t="s">
        <v>1458</v>
      </c>
      <c r="P390" t="s">
        <v>66</v>
      </c>
      <c r="Q390">
        <v>2029</v>
      </c>
      <c r="R390">
        <v>13269</v>
      </c>
      <c r="T390" t="s">
        <v>67</v>
      </c>
      <c r="U390" t="s">
        <v>68</v>
      </c>
      <c r="V390">
        <v>0</v>
      </c>
      <c r="W390" t="s">
        <v>69</v>
      </c>
      <c r="X390" s="5">
        <v>45894</v>
      </c>
      <c r="Y390" t="s">
        <v>74</v>
      </c>
      <c r="Z390" t="s">
        <v>68</v>
      </c>
      <c r="AA390">
        <v>11900</v>
      </c>
      <c r="AB390">
        <v>13685</v>
      </c>
      <c r="AC390" t="s">
        <v>423</v>
      </c>
      <c r="AD390" t="s">
        <v>68</v>
      </c>
      <c r="AE390">
        <v>0</v>
      </c>
      <c r="AF390" s="1">
        <v>45894.594699074078</v>
      </c>
      <c r="AG390" s="1">
        <v>45894.594699074078</v>
      </c>
      <c r="AH390">
        <v>1</v>
      </c>
      <c r="AI390">
        <v>1</v>
      </c>
      <c r="AJ390">
        <v>13269</v>
      </c>
      <c r="AK390" t="s">
        <v>424</v>
      </c>
      <c r="AL390" t="s">
        <v>77</v>
      </c>
      <c r="AM390" t="s">
        <v>68</v>
      </c>
      <c r="AN390">
        <v>0</v>
      </c>
      <c r="AO390" s="1"/>
      <c r="AP390">
        <v>1</v>
      </c>
      <c r="AQ390">
        <v>100</v>
      </c>
      <c r="AR390">
        <v>1050</v>
      </c>
      <c r="AS390" t="s">
        <v>75</v>
      </c>
      <c r="AT390" t="s">
        <v>68</v>
      </c>
      <c r="AU390">
        <v>0</v>
      </c>
      <c r="AV390" t="s">
        <v>68</v>
      </c>
      <c r="AW390">
        <v>0</v>
      </c>
      <c r="AX390" s="1"/>
      <c r="AZ390" t="s">
        <v>68</v>
      </c>
      <c r="BA390" t="s">
        <v>68</v>
      </c>
      <c r="BB390" t="s">
        <v>68</v>
      </c>
      <c r="BC390" t="s">
        <v>68</v>
      </c>
      <c r="BD390">
        <v>0</v>
      </c>
      <c r="BE390" s="1"/>
      <c r="BF390" s="1">
        <v>45894.594699074078</v>
      </c>
      <c r="BG390" t="s">
        <v>68</v>
      </c>
      <c r="BH390" t="s">
        <v>68</v>
      </c>
      <c r="BI390" t="s">
        <v>68</v>
      </c>
      <c r="BJ390" t="s">
        <v>68</v>
      </c>
      <c r="BK390" t="s">
        <v>68</v>
      </c>
      <c r="BL390" t="s">
        <v>68</v>
      </c>
      <c r="BM390" t="s">
        <v>68</v>
      </c>
      <c r="BN390" t="s">
        <v>68</v>
      </c>
      <c r="BO390" t="s">
        <v>96</v>
      </c>
      <c r="BP390">
        <v>0</v>
      </c>
      <c r="BQ390" t="s">
        <v>68</v>
      </c>
      <c r="BR390" t="s">
        <v>68</v>
      </c>
      <c r="BS390" t="s">
        <v>68</v>
      </c>
    </row>
    <row r="391" spans="1:71" x14ac:dyDescent="0.35">
      <c r="A391" t="b">
        <f>ISNUMBER(MATCH(ChargentOrders[[#This Row],[Contract__c]],Contract[Id],0))</f>
        <v>1</v>
      </c>
      <c r="B391">
        <f>IFERROR(INDEX(Contract[CB_Subscription__c],MATCH(ChargentOrders[[#This Row],[Contract__c]],Contract[Id],0)),0)</f>
        <v>0</v>
      </c>
      <c r="C391" t="b">
        <f>ISNUMBER(MATCH(ChargentOrders[[#This Row],[Id]],Claude[Id],0))</f>
        <v>1</v>
      </c>
      <c r="D391" t="b">
        <f>AND(ChargentOrders[[#This Row],[_Contract]],ChargentOrders[[#This Row],[CB Subscription]]=0)</f>
        <v>1</v>
      </c>
      <c r="E391" s="38">
        <f>INDEX(Table5[CUENTA],MATCH(ChargentOrders[[#This Row],[Contract__c]],Table5[SM_Contract__c],0))</f>
        <v>46203</v>
      </c>
      <c r="F391" s="38" t="str">
        <f ca="1">INDEX(Table5[ESTADO],MATCH(ChargentOrders[[#This Row],[Contract__c]],Table5[SM_Contract__c],0))</f>
        <v>DEBE 1</v>
      </c>
      <c r="G391" t="s">
        <v>427</v>
      </c>
      <c r="H391" t="s">
        <v>79</v>
      </c>
      <c r="I391" t="s">
        <v>428</v>
      </c>
      <c r="J391" s="1">
        <v>45894.594756944447</v>
      </c>
      <c r="K391">
        <v>10</v>
      </c>
      <c r="L391">
        <v>2028</v>
      </c>
      <c r="M391" t="s">
        <v>1459</v>
      </c>
      <c r="N391">
        <v>10</v>
      </c>
      <c r="O391" t="s">
        <v>1459</v>
      </c>
      <c r="P391" t="s">
        <v>66</v>
      </c>
      <c r="Q391">
        <v>2028</v>
      </c>
      <c r="R391">
        <v>750</v>
      </c>
      <c r="S391">
        <v>1</v>
      </c>
      <c r="T391" t="s">
        <v>67</v>
      </c>
      <c r="U391" t="s">
        <v>68</v>
      </c>
      <c r="V391">
        <v>0</v>
      </c>
      <c r="W391" t="s">
        <v>69</v>
      </c>
      <c r="X391" s="5">
        <v>46113</v>
      </c>
      <c r="Y391" t="s">
        <v>90</v>
      </c>
      <c r="Z391" t="s">
        <v>68</v>
      </c>
      <c r="AA391">
        <v>7500</v>
      </c>
      <c r="AB391">
        <v>0</v>
      </c>
      <c r="AC391" t="s">
        <v>429</v>
      </c>
      <c r="AD391" t="s">
        <v>68</v>
      </c>
      <c r="AE391">
        <v>0</v>
      </c>
      <c r="AF391" s="1">
        <v>46083.41747685185</v>
      </c>
      <c r="AG391" s="1">
        <v>46083.41747685185</v>
      </c>
      <c r="AH391">
        <v>5</v>
      </c>
      <c r="AI391">
        <v>10</v>
      </c>
      <c r="AJ391">
        <v>38363</v>
      </c>
      <c r="AK391" t="s">
        <v>424</v>
      </c>
      <c r="AL391" t="s">
        <v>76</v>
      </c>
      <c r="AM391" t="s">
        <v>68</v>
      </c>
      <c r="AN391">
        <v>0</v>
      </c>
      <c r="AO391" s="1"/>
      <c r="AP391">
        <v>8</v>
      </c>
      <c r="AQ391">
        <v>0</v>
      </c>
      <c r="AR391">
        <v>0</v>
      </c>
      <c r="AS391" t="s">
        <v>75</v>
      </c>
      <c r="AT391" t="s">
        <v>68</v>
      </c>
      <c r="AU391">
        <v>0</v>
      </c>
      <c r="AV391" t="s">
        <v>68</v>
      </c>
      <c r="AW391">
        <v>0</v>
      </c>
      <c r="AX391" s="1"/>
      <c r="AZ391" t="s">
        <v>68</v>
      </c>
      <c r="BA391" t="s">
        <v>68</v>
      </c>
      <c r="BB391" t="s">
        <v>68</v>
      </c>
      <c r="BC391" t="s">
        <v>68</v>
      </c>
      <c r="BD391">
        <v>0</v>
      </c>
      <c r="BE391" s="1">
        <v>46216.994641203702</v>
      </c>
      <c r="BF391" s="1">
        <v>46216.994641203702</v>
      </c>
      <c r="BG391" t="s">
        <v>68</v>
      </c>
      <c r="BH391" t="s">
        <v>68</v>
      </c>
      <c r="BI391" t="s">
        <v>68</v>
      </c>
      <c r="BJ391" t="s">
        <v>68</v>
      </c>
      <c r="BK391" t="s">
        <v>68</v>
      </c>
      <c r="BL391" t="s">
        <v>68</v>
      </c>
      <c r="BM391" t="s">
        <v>68</v>
      </c>
      <c r="BN391" t="s">
        <v>68</v>
      </c>
      <c r="BO391" t="s">
        <v>96</v>
      </c>
      <c r="BP391">
        <v>0</v>
      </c>
      <c r="BQ391" t="s">
        <v>68</v>
      </c>
      <c r="BR391" t="s">
        <v>68</v>
      </c>
      <c r="BS391" t="s">
        <v>68</v>
      </c>
    </row>
    <row r="392" spans="1:71" x14ac:dyDescent="0.35">
      <c r="A392" t="b">
        <f>ISNUMBER(MATCH(ChargentOrders[[#This Row],[Contract__c]],Contract[Id],0))</f>
        <v>1</v>
      </c>
      <c r="B392">
        <f>IFERROR(INDEX(Contract[CB_Subscription__c],MATCH(ChargentOrders[[#This Row],[Contract__c]],Contract[Id],0)),0)</f>
        <v>0</v>
      </c>
      <c r="C392" t="b">
        <f>ISNUMBER(MATCH(ChargentOrders[[#This Row],[Id]],Claude[Id],0))</f>
        <v>1</v>
      </c>
      <c r="D392" t="b">
        <f>AND(ChargentOrders[[#This Row],[_Contract]],ChargentOrders[[#This Row],[CB Subscription]]=0)</f>
        <v>1</v>
      </c>
      <c r="E392" s="38">
        <f>INDEX(Table5[CUENTA],MATCH(ChargentOrders[[#This Row],[Contract__c]],Table5[SM_Contract__c],0))</f>
        <v>46203</v>
      </c>
      <c r="F392" s="38" t="str">
        <f ca="1">INDEX(Table5[ESTADO],MATCH(ChargentOrders[[#This Row],[Contract__c]],Table5[SM_Contract__c],0))</f>
        <v>DEBE 1</v>
      </c>
      <c r="G392" t="s">
        <v>454</v>
      </c>
      <c r="H392" t="s">
        <v>79</v>
      </c>
      <c r="I392" t="s">
        <v>455</v>
      </c>
      <c r="J392" s="1">
        <v>45930.418310185189</v>
      </c>
      <c r="K392">
        <v>7</v>
      </c>
      <c r="L392">
        <v>2028</v>
      </c>
      <c r="M392" t="s">
        <v>1430</v>
      </c>
      <c r="N392">
        <v>7</v>
      </c>
      <c r="O392" t="s">
        <v>1431</v>
      </c>
      <c r="P392" t="s">
        <v>73</v>
      </c>
      <c r="Q392">
        <v>2028</v>
      </c>
      <c r="R392">
        <v>11596</v>
      </c>
      <c r="T392" t="s">
        <v>67</v>
      </c>
      <c r="U392" t="s">
        <v>68</v>
      </c>
      <c r="V392">
        <v>0</v>
      </c>
      <c r="W392" t="s">
        <v>69</v>
      </c>
      <c r="X392" s="5">
        <v>45957</v>
      </c>
      <c r="Y392" t="s">
        <v>74</v>
      </c>
      <c r="Z392" t="s">
        <v>68</v>
      </c>
      <c r="AA392">
        <v>10400</v>
      </c>
      <c r="AB392">
        <v>1196</v>
      </c>
      <c r="AC392" t="s">
        <v>158</v>
      </c>
      <c r="AD392" t="s">
        <v>68</v>
      </c>
      <c r="AE392">
        <v>0</v>
      </c>
      <c r="AF392" s="1">
        <v>45957.423414351855</v>
      </c>
      <c r="AG392" s="1">
        <v>45957.423437500001</v>
      </c>
      <c r="AH392">
        <v>1</v>
      </c>
      <c r="AI392">
        <v>17</v>
      </c>
      <c r="AJ392">
        <v>11596</v>
      </c>
      <c r="AK392" t="s">
        <v>159</v>
      </c>
      <c r="AL392" t="s">
        <v>71</v>
      </c>
      <c r="AM392" t="s">
        <v>68</v>
      </c>
      <c r="AN392">
        <v>0</v>
      </c>
      <c r="AO392" s="1"/>
      <c r="AP392">
        <v>0</v>
      </c>
      <c r="AQ392">
        <v>100</v>
      </c>
      <c r="AR392">
        <v>1050</v>
      </c>
      <c r="AS392" t="s">
        <v>72</v>
      </c>
      <c r="AT392" t="s">
        <v>68</v>
      </c>
      <c r="AU392">
        <v>1</v>
      </c>
      <c r="AV392" t="s">
        <v>456</v>
      </c>
      <c r="AW392">
        <v>0</v>
      </c>
      <c r="AX392" s="1">
        <v>45392.867974537039</v>
      </c>
      <c r="AY392">
        <v>2500</v>
      </c>
      <c r="AZ392" t="s">
        <v>68</v>
      </c>
      <c r="BA392" t="s">
        <v>65</v>
      </c>
      <c r="BB392" t="s">
        <v>68</v>
      </c>
      <c r="BC392" t="s">
        <v>68</v>
      </c>
      <c r="BD392">
        <v>0</v>
      </c>
      <c r="BE392" s="1">
        <v>45954.980798611112</v>
      </c>
      <c r="BF392" s="1">
        <v>45957.423414351855</v>
      </c>
      <c r="BG392" t="s">
        <v>68</v>
      </c>
      <c r="BH392" t="s">
        <v>68</v>
      </c>
      <c r="BI392" t="s">
        <v>68</v>
      </c>
      <c r="BJ392" t="s">
        <v>68</v>
      </c>
      <c r="BK392" t="s">
        <v>68</v>
      </c>
      <c r="BL392" t="s">
        <v>68</v>
      </c>
      <c r="BM392" t="s">
        <v>68</v>
      </c>
      <c r="BN392" t="s">
        <v>68</v>
      </c>
      <c r="BO392" t="s">
        <v>96</v>
      </c>
      <c r="BP392">
        <v>0</v>
      </c>
      <c r="BQ392" t="s">
        <v>68</v>
      </c>
      <c r="BR392" t="s">
        <v>68</v>
      </c>
      <c r="BS392" t="s">
        <v>68</v>
      </c>
    </row>
    <row r="393" spans="1:71" x14ac:dyDescent="0.35">
      <c r="A393" t="b">
        <f>ISNUMBER(MATCH(ChargentOrders[[#This Row],[Contract__c]],Contract[Id],0))</f>
        <v>1</v>
      </c>
      <c r="B393">
        <f>IFERROR(INDEX(Contract[CB_Subscription__c],MATCH(ChargentOrders[[#This Row],[Contract__c]],Contract[Id],0)),0)</f>
        <v>0</v>
      </c>
      <c r="C393" t="b">
        <f>ISNUMBER(MATCH(ChargentOrders[[#This Row],[Id]],Claude[Id],0))</f>
        <v>1</v>
      </c>
      <c r="D393" t="b">
        <f>AND(ChargentOrders[[#This Row],[_Contract]],ChargentOrders[[#This Row],[CB Subscription]]=0)</f>
        <v>1</v>
      </c>
      <c r="E393" s="38">
        <f>INDEX(Table5[CUENTA],MATCH(ChargentOrders[[#This Row],[Contract__c]],Table5[SM_Contract__c],0))</f>
        <v>46203</v>
      </c>
      <c r="F393" s="38" t="str">
        <f ca="1">INDEX(Table5[ESTADO],MATCH(ChargentOrders[[#This Row],[Contract__c]],Table5[SM_Contract__c],0))</f>
        <v>DEBE 1</v>
      </c>
      <c r="G393" t="s">
        <v>466</v>
      </c>
      <c r="H393" t="s">
        <v>79</v>
      </c>
      <c r="I393" t="s">
        <v>467</v>
      </c>
      <c r="J393" s="1">
        <v>45930.423206018517</v>
      </c>
      <c r="K393">
        <v>4</v>
      </c>
      <c r="L393">
        <v>2028</v>
      </c>
      <c r="M393" t="s">
        <v>1457</v>
      </c>
      <c r="N393">
        <v>4</v>
      </c>
      <c r="O393" t="s">
        <v>1458</v>
      </c>
      <c r="P393" t="s">
        <v>66</v>
      </c>
      <c r="Q393">
        <v>2028</v>
      </c>
      <c r="R393">
        <v>1115</v>
      </c>
      <c r="T393" t="s">
        <v>67</v>
      </c>
      <c r="U393" t="s">
        <v>68</v>
      </c>
      <c r="V393">
        <v>0</v>
      </c>
      <c r="W393" t="s">
        <v>69</v>
      </c>
      <c r="X393" s="5">
        <v>45947</v>
      </c>
      <c r="Y393" t="s">
        <v>74</v>
      </c>
      <c r="Z393" t="s">
        <v>68</v>
      </c>
      <c r="AA393">
        <v>10000</v>
      </c>
      <c r="AB393">
        <v>115</v>
      </c>
      <c r="AC393" t="s">
        <v>468</v>
      </c>
      <c r="AD393" t="s">
        <v>68</v>
      </c>
      <c r="AE393">
        <v>0</v>
      </c>
      <c r="AF393" s="1">
        <v>45946.663460648146</v>
      </c>
      <c r="AG393" s="1">
        <v>45946.663460648146</v>
      </c>
      <c r="AH393">
        <v>1</v>
      </c>
      <c r="AI393">
        <v>9</v>
      </c>
      <c r="AJ393">
        <v>1115</v>
      </c>
      <c r="AK393" t="s">
        <v>424</v>
      </c>
      <c r="AL393" t="s">
        <v>71</v>
      </c>
      <c r="AM393" t="s">
        <v>68</v>
      </c>
      <c r="AN393">
        <v>0</v>
      </c>
      <c r="AO393" s="1"/>
      <c r="AP393">
        <v>0</v>
      </c>
      <c r="AQ393">
        <v>100</v>
      </c>
      <c r="AR393">
        <v>1050</v>
      </c>
      <c r="AS393" t="s">
        <v>72</v>
      </c>
      <c r="AT393" t="s">
        <v>68</v>
      </c>
      <c r="AU393">
        <v>1</v>
      </c>
      <c r="AV393" t="s">
        <v>469</v>
      </c>
      <c r="AW393">
        <v>0</v>
      </c>
      <c r="AX393" s="1">
        <v>45894.594756944447</v>
      </c>
      <c r="AY393">
        <v>2500</v>
      </c>
      <c r="AZ393" t="s">
        <v>68</v>
      </c>
      <c r="BA393" t="s">
        <v>65</v>
      </c>
      <c r="BB393" t="s">
        <v>68</v>
      </c>
      <c r="BC393" t="s">
        <v>68</v>
      </c>
      <c r="BD393">
        <v>0</v>
      </c>
      <c r="BE393" s="1">
        <v>45946.642754629633</v>
      </c>
      <c r="BF393" s="1">
        <v>45946.663460648146</v>
      </c>
      <c r="BG393" t="s">
        <v>68</v>
      </c>
      <c r="BH393" t="s">
        <v>68</v>
      </c>
      <c r="BI393" t="s">
        <v>68</v>
      </c>
      <c r="BJ393" t="s">
        <v>68</v>
      </c>
      <c r="BK393" t="s">
        <v>68</v>
      </c>
      <c r="BL393" t="s">
        <v>68</v>
      </c>
      <c r="BM393" t="s">
        <v>68</v>
      </c>
      <c r="BN393" t="s">
        <v>68</v>
      </c>
      <c r="BO393" t="s">
        <v>96</v>
      </c>
      <c r="BP393">
        <v>0</v>
      </c>
      <c r="BQ393" t="s">
        <v>68</v>
      </c>
      <c r="BR393" t="s">
        <v>68</v>
      </c>
      <c r="BS393" t="s">
        <v>68</v>
      </c>
    </row>
    <row r="394" spans="1:71" x14ac:dyDescent="0.35">
      <c r="A394" t="b">
        <f>ISNUMBER(MATCH(ChargentOrders[[#This Row],[Contract__c]],Contract[Id],0))</f>
        <v>1</v>
      </c>
      <c r="B394">
        <f>IFERROR(INDEX(Contract[CB_Subscription__c],MATCH(ChargentOrders[[#This Row],[Contract__c]],Contract[Id],0)),0)</f>
        <v>0</v>
      </c>
      <c r="C394" t="b">
        <f>ISNUMBER(MATCH(ChargentOrders[[#This Row],[Id]],Claude[Id],0))</f>
        <v>1</v>
      </c>
      <c r="D394" t="b">
        <f>AND(ChargentOrders[[#This Row],[_Contract]],ChargentOrders[[#This Row],[CB Subscription]]=0)</f>
        <v>1</v>
      </c>
      <c r="E394" s="38">
        <f>INDEX(Table5[CUENTA],MATCH(ChargentOrders[[#This Row],[Contract__c]],Table5[SM_Contract__c],0))</f>
        <v>46203</v>
      </c>
      <c r="F394" s="38" t="str">
        <f ca="1">INDEX(Table5[ESTADO],MATCH(ChargentOrders[[#This Row],[Contract__c]],Table5[SM_Contract__c],0))</f>
        <v>DEBE 1</v>
      </c>
      <c r="G394" t="s">
        <v>485</v>
      </c>
      <c r="H394" t="s">
        <v>101</v>
      </c>
      <c r="I394" t="s">
        <v>486</v>
      </c>
      <c r="J394" s="1">
        <v>45946.641168981485</v>
      </c>
      <c r="K394">
        <v>4</v>
      </c>
      <c r="L394">
        <v>2028</v>
      </c>
      <c r="M394" t="s">
        <v>1420</v>
      </c>
      <c r="N394">
        <v>4</v>
      </c>
      <c r="O394" t="s">
        <v>1465</v>
      </c>
      <c r="P394" t="s">
        <v>73</v>
      </c>
      <c r="Q394">
        <v>2028</v>
      </c>
      <c r="R394">
        <v>0</v>
      </c>
      <c r="T394" t="s">
        <v>67</v>
      </c>
      <c r="U394" t="s">
        <v>68</v>
      </c>
      <c r="V394">
        <v>0</v>
      </c>
      <c r="W394" t="s">
        <v>69</v>
      </c>
      <c r="X394" s="5"/>
      <c r="Y394" t="s">
        <v>68</v>
      </c>
      <c r="Z394" t="s">
        <v>68</v>
      </c>
      <c r="AA394">
        <v>0</v>
      </c>
      <c r="AC394" t="s">
        <v>468</v>
      </c>
      <c r="AD394" t="s">
        <v>68</v>
      </c>
      <c r="AE394">
        <v>0</v>
      </c>
      <c r="AF394" s="1"/>
      <c r="AG394" s="1">
        <v>45946.641203703701</v>
      </c>
      <c r="AH394">
        <v>0</v>
      </c>
      <c r="AI394">
        <v>1</v>
      </c>
      <c r="AJ394">
        <v>0</v>
      </c>
      <c r="AK394" t="s">
        <v>424</v>
      </c>
      <c r="AL394" t="s">
        <v>68</v>
      </c>
      <c r="AM394" t="s">
        <v>68</v>
      </c>
      <c r="AN394">
        <v>0</v>
      </c>
      <c r="AO394" s="1"/>
      <c r="AP394">
        <v>1</v>
      </c>
      <c r="AS394" t="s">
        <v>75</v>
      </c>
      <c r="AT394" t="s">
        <v>68</v>
      </c>
      <c r="AU394">
        <v>0</v>
      </c>
      <c r="AV394" t="s">
        <v>68</v>
      </c>
      <c r="AW394">
        <v>1</v>
      </c>
      <c r="AX394" s="1"/>
      <c r="AZ394" t="s">
        <v>68</v>
      </c>
      <c r="BA394" t="s">
        <v>68</v>
      </c>
      <c r="BB394" t="s">
        <v>68</v>
      </c>
      <c r="BC394" t="s">
        <v>68</v>
      </c>
      <c r="BD394">
        <v>0</v>
      </c>
      <c r="BE394" s="1"/>
      <c r="BF394" s="1">
        <v>45946.641203703701</v>
      </c>
      <c r="BG394" t="s">
        <v>68</v>
      </c>
      <c r="BH394" t="s">
        <v>68</v>
      </c>
      <c r="BI394" t="s">
        <v>68</v>
      </c>
      <c r="BJ394" t="s">
        <v>68</v>
      </c>
      <c r="BK394" t="s">
        <v>68</v>
      </c>
      <c r="BL394" t="s">
        <v>68</v>
      </c>
      <c r="BM394" t="s">
        <v>68</v>
      </c>
      <c r="BN394" t="s">
        <v>68</v>
      </c>
      <c r="BO394" t="s">
        <v>96</v>
      </c>
      <c r="BP394">
        <v>0</v>
      </c>
      <c r="BQ394" t="s">
        <v>68</v>
      </c>
      <c r="BR394" t="s">
        <v>68</v>
      </c>
      <c r="BS394" t="s">
        <v>68</v>
      </c>
    </row>
    <row r="395" spans="1:71" x14ac:dyDescent="0.35">
      <c r="A395" t="b">
        <f>ISNUMBER(MATCH(ChargentOrders[[#This Row],[Contract__c]],Contract[Id],0))</f>
        <v>1</v>
      </c>
      <c r="B395">
        <f>IFERROR(INDEX(Contract[CB_Subscription__c],MATCH(ChargentOrders[[#This Row],[Contract__c]],Contract[Id],0)),0)</f>
        <v>0</v>
      </c>
      <c r="C395" t="b">
        <f>ISNUMBER(MATCH(ChargentOrders[[#This Row],[Id]],Claude[Id],0))</f>
        <v>1</v>
      </c>
      <c r="D395" t="b">
        <f>AND(ChargentOrders[[#This Row],[_Contract]],ChargentOrders[[#This Row],[CB Subscription]]=0)</f>
        <v>1</v>
      </c>
      <c r="E395" s="38">
        <f>INDEX(Table5[CUENTA],MATCH(ChargentOrders[[#This Row],[Contract__c]],Table5[SM_Contract__c],0))</f>
        <v>46203</v>
      </c>
      <c r="F395" s="38" t="str">
        <f ca="1">INDEX(Table5[ESTADO],MATCH(ChargentOrders[[#This Row],[Contract__c]],Table5[SM_Contract__c],0))</f>
        <v>DEBE 1</v>
      </c>
      <c r="G395" t="s">
        <v>493</v>
      </c>
      <c r="H395" t="s">
        <v>79</v>
      </c>
      <c r="I395" t="s">
        <v>494</v>
      </c>
      <c r="J395" s="1">
        <v>45960.41847222222</v>
      </c>
      <c r="K395">
        <v>7</v>
      </c>
      <c r="L395">
        <v>2028</v>
      </c>
      <c r="M395" t="s">
        <v>1430</v>
      </c>
      <c r="N395">
        <v>7</v>
      </c>
      <c r="O395" t="s">
        <v>1431</v>
      </c>
      <c r="P395" t="s">
        <v>73</v>
      </c>
      <c r="Q395">
        <v>2028</v>
      </c>
      <c r="R395">
        <v>11596</v>
      </c>
      <c r="T395" t="s">
        <v>67</v>
      </c>
      <c r="U395" t="s">
        <v>68</v>
      </c>
      <c r="V395">
        <v>0</v>
      </c>
      <c r="W395" t="s">
        <v>69</v>
      </c>
      <c r="X395" s="5">
        <v>45964</v>
      </c>
      <c r="Y395" t="s">
        <v>74</v>
      </c>
      <c r="Z395" t="s">
        <v>68</v>
      </c>
      <c r="AA395">
        <v>10400</v>
      </c>
      <c r="AB395">
        <v>1196</v>
      </c>
      <c r="AC395" t="s">
        <v>158</v>
      </c>
      <c r="AD395" t="s">
        <v>68</v>
      </c>
      <c r="AE395">
        <v>0</v>
      </c>
      <c r="AF395" s="1">
        <v>45964.42527777778</v>
      </c>
      <c r="AG395" s="1">
        <v>45964.42527777778</v>
      </c>
      <c r="AH395">
        <v>1</v>
      </c>
      <c r="AI395">
        <v>4</v>
      </c>
      <c r="AJ395">
        <v>11596</v>
      </c>
      <c r="AK395" t="s">
        <v>159</v>
      </c>
      <c r="AL395" t="s">
        <v>71</v>
      </c>
      <c r="AM395" t="s">
        <v>68</v>
      </c>
      <c r="AN395">
        <v>0</v>
      </c>
      <c r="AO395" s="1"/>
      <c r="AP395">
        <v>0</v>
      </c>
      <c r="AQ395">
        <v>100</v>
      </c>
      <c r="AR395">
        <v>1050</v>
      </c>
      <c r="AS395" t="s">
        <v>72</v>
      </c>
      <c r="AT395" t="s">
        <v>68</v>
      </c>
      <c r="AU395">
        <v>1</v>
      </c>
      <c r="AV395" t="s">
        <v>495</v>
      </c>
      <c r="AW395">
        <v>0</v>
      </c>
      <c r="AX395" s="1">
        <v>45961.025983796295</v>
      </c>
      <c r="AY395">
        <v>2500</v>
      </c>
      <c r="AZ395" t="s">
        <v>68</v>
      </c>
      <c r="BA395" t="s">
        <v>65</v>
      </c>
      <c r="BB395" t="s">
        <v>68</v>
      </c>
      <c r="BC395" t="s">
        <v>68</v>
      </c>
      <c r="BD395">
        <v>0</v>
      </c>
      <c r="BE395" s="1">
        <v>45961.984293981484</v>
      </c>
      <c r="BF395" s="1">
        <v>45964.42527777778</v>
      </c>
      <c r="BG395" t="s">
        <v>68</v>
      </c>
      <c r="BH395" t="s">
        <v>68</v>
      </c>
      <c r="BI395" t="s">
        <v>68</v>
      </c>
      <c r="BJ395" t="s">
        <v>68</v>
      </c>
      <c r="BK395" t="s">
        <v>68</v>
      </c>
      <c r="BL395" t="s">
        <v>68</v>
      </c>
      <c r="BM395" t="s">
        <v>68</v>
      </c>
      <c r="BN395" t="s">
        <v>68</v>
      </c>
      <c r="BO395" t="s">
        <v>96</v>
      </c>
      <c r="BP395">
        <v>0</v>
      </c>
      <c r="BQ395" t="s">
        <v>68</v>
      </c>
      <c r="BR395" t="s">
        <v>68</v>
      </c>
      <c r="BS395" t="s">
        <v>68</v>
      </c>
    </row>
    <row r="396" spans="1:71" x14ac:dyDescent="0.35">
      <c r="A396" t="b">
        <f>ISNUMBER(MATCH(ChargentOrders[[#This Row],[Contract__c]],Contract[Id],0))</f>
        <v>1</v>
      </c>
      <c r="B396">
        <f>IFERROR(INDEX(Contract[CB_Subscription__c],MATCH(ChargentOrders[[#This Row],[Contract__c]],Contract[Id],0)),0)</f>
        <v>0</v>
      </c>
      <c r="C396" t="b">
        <f>ISNUMBER(MATCH(ChargentOrders[[#This Row],[Id]],Claude[Id],0))</f>
        <v>1</v>
      </c>
      <c r="D396" t="b">
        <f>AND(ChargentOrders[[#This Row],[_Contract]],ChargentOrders[[#This Row],[CB Subscription]]=0)</f>
        <v>1</v>
      </c>
      <c r="E396" s="38">
        <f>INDEX(Table5[CUENTA],MATCH(ChargentOrders[[#This Row],[Contract__c]],Table5[SM_Contract__c],0))</f>
        <v>46203</v>
      </c>
      <c r="F396" s="38" t="str">
        <f ca="1">INDEX(Table5[ESTADO],MATCH(ChargentOrders[[#This Row],[Contract__c]],Table5[SM_Contract__c],0))</f>
        <v>DEBE 1</v>
      </c>
      <c r="G396" t="s">
        <v>534</v>
      </c>
      <c r="H396" t="s">
        <v>79</v>
      </c>
      <c r="I396" t="s">
        <v>535</v>
      </c>
      <c r="J396" s="1">
        <v>45987.418217592596</v>
      </c>
      <c r="K396">
        <v>7</v>
      </c>
      <c r="L396">
        <v>2028</v>
      </c>
      <c r="M396" t="s">
        <v>1430</v>
      </c>
      <c r="N396">
        <v>7</v>
      </c>
      <c r="O396" t="s">
        <v>1431</v>
      </c>
      <c r="P396" t="s">
        <v>73</v>
      </c>
      <c r="Q396">
        <v>2028</v>
      </c>
      <c r="R396">
        <v>10400</v>
      </c>
      <c r="T396" t="s">
        <v>67</v>
      </c>
      <c r="U396" t="s">
        <v>68</v>
      </c>
      <c r="V396">
        <v>0</v>
      </c>
      <c r="W396" t="s">
        <v>69</v>
      </c>
      <c r="X396" s="5">
        <v>46083</v>
      </c>
      <c r="Y396" t="s">
        <v>74</v>
      </c>
      <c r="Z396" t="s">
        <v>68</v>
      </c>
      <c r="AA396">
        <v>10400</v>
      </c>
      <c r="AB396">
        <v>0</v>
      </c>
      <c r="AC396" t="s">
        <v>158</v>
      </c>
      <c r="AD396" t="s">
        <v>68</v>
      </c>
      <c r="AE396">
        <v>0</v>
      </c>
      <c r="AF396" s="1">
        <v>46083.418564814812</v>
      </c>
      <c r="AG396" s="1">
        <v>46083.418611111112</v>
      </c>
      <c r="AH396">
        <v>1</v>
      </c>
      <c r="AI396">
        <v>60</v>
      </c>
      <c r="AJ396">
        <v>1040</v>
      </c>
      <c r="AK396" t="s">
        <v>159</v>
      </c>
      <c r="AL396" t="s">
        <v>71</v>
      </c>
      <c r="AM396" t="s">
        <v>68</v>
      </c>
      <c r="AN396">
        <v>0</v>
      </c>
      <c r="AO396" s="1"/>
      <c r="AP396">
        <v>0</v>
      </c>
      <c r="AQ396">
        <v>0</v>
      </c>
      <c r="AR396">
        <v>0</v>
      </c>
      <c r="AS396" t="s">
        <v>72</v>
      </c>
      <c r="AT396" t="s">
        <v>68</v>
      </c>
      <c r="AU396">
        <v>1</v>
      </c>
      <c r="AV396" t="s">
        <v>536</v>
      </c>
      <c r="AW396">
        <v>0</v>
      </c>
      <c r="AX396" s="1">
        <v>45987.722800925927</v>
      </c>
      <c r="AY396">
        <v>2500</v>
      </c>
      <c r="AZ396" t="s">
        <v>68</v>
      </c>
      <c r="BA396" t="s">
        <v>65</v>
      </c>
      <c r="BB396" t="s">
        <v>68</v>
      </c>
      <c r="BC396" t="s">
        <v>68</v>
      </c>
      <c r="BD396">
        <v>0</v>
      </c>
      <c r="BE396" s="1">
        <v>46080.969849537039</v>
      </c>
      <c r="BF396" s="1">
        <v>46083.418564814812</v>
      </c>
      <c r="BG396" t="s">
        <v>68</v>
      </c>
      <c r="BH396" t="s">
        <v>68</v>
      </c>
      <c r="BI396" t="s">
        <v>68</v>
      </c>
      <c r="BJ396" t="s">
        <v>68</v>
      </c>
      <c r="BK396" t="s">
        <v>68</v>
      </c>
      <c r="BL396" t="s">
        <v>68</v>
      </c>
      <c r="BM396" t="s">
        <v>68</v>
      </c>
      <c r="BN396" t="s">
        <v>68</v>
      </c>
      <c r="BO396" t="s">
        <v>96</v>
      </c>
      <c r="BP396">
        <v>0</v>
      </c>
      <c r="BQ396" t="s">
        <v>68</v>
      </c>
      <c r="BR396" t="s">
        <v>68</v>
      </c>
      <c r="BS396" t="s">
        <v>68</v>
      </c>
    </row>
    <row r="397" spans="1:71" x14ac:dyDescent="0.35">
      <c r="A397" t="b">
        <f>ISNUMBER(MATCH(ChargentOrders[[#This Row],[Contract__c]],Contract[Id],0))</f>
        <v>1</v>
      </c>
      <c r="B397">
        <f>IFERROR(INDEX(Contract[CB_Subscription__c],MATCH(ChargentOrders[[#This Row],[Contract__c]],Contract[Id],0)),0)</f>
        <v>0</v>
      </c>
      <c r="C397" t="b">
        <f>ISNUMBER(MATCH(ChargentOrders[[#This Row],[Id]],Claude[Id],0))</f>
        <v>1</v>
      </c>
      <c r="D397" t="b">
        <f>AND(ChargentOrders[[#This Row],[_Contract]],ChargentOrders[[#This Row],[CB Subscription]]=0)</f>
        <v>1</v>
      </c>
      <c r="E397" s="38">
        <f>INDEX(Table5[CUENTA],MATCH(ChargentOrders[[#This Row],[Contract__c]],Table5[SM_Contract__c],0))</f>
        <v>46203</v>
      </c>
      <c r="F397" s="38" t="str">
        <f ca="1">INDEX(Table5[ESTADO],MATCH(ChargentOrders[[#This Row],[Contract__c]],Table5[SM_Contract__c],0))</f>
        <v>DEBE 1</v>
      </c>
      <c r="G397" t="s">
        <v>549</v>
      </c>
      <c r="H397" t="s">
        <v>79</v>
      </c>
      <c r="I397" t="s">
        <v>550</v>
      </c>
      <c r="J397" s="1">
        <v>45987.422337962962</v>
      </c>
      <c r="K397">
        <v>10</v>
      </c>
      <c r="L397">
        <v>2028</v>
      </c>
      <c r="M397" t="s">
        <v>1457</v>
      </c>
      <c r="N397">
        <v>10</v>
      </c>
      <c r="O397" t="s">
        <v>1458</v>
      </c>
      <c r="P397" t="s">
        <v>66</v>
      </c>
      <c r="Q397">
        <v>2028</v>
      </c>
      <c r="R397">
        <v>1000</v>
      </c>
      <c r="T397" t="s">
        <v>67</v>
      </c>
      <c r="U397" t="s">
        <v>68</v>
      </c>
      <c r="V397">
        <v>0</v>
      </c>
      <c r="W397" t="s">
        <v>69</v>
      </c>
      <c r="X397" s="5">
        <v>45995</v>
      </c>
      <c r="Y397" t="s">
        <v>74</v>
      </c>
      <c r="Z397" t="s">
        <v>68</v>
      </c>
      <c r="AA397">
        <v>10000</v>
      </c>
      <c r="AB397">
        <v>0</v>
      </c>
      <c r="AC397" t="s">
        <v>429</v>
      </c>
      <c r="AD397" t="s">
        <v>68</v>
      </c>
      <c r="AE397">
        <v>0</v>
      </c>
      <c r="AF397" s="1">
        <v>45992.630937499998</v>
      </c>
      <c r="AG397" s="1">
        <v>45992.630949074075</v>
      </c>
      <c r="AH397">
        <v>1</v>
      </c>
      <c r="AI397">
        <v>4</v>
      </c>
      <c r="AJ397">
        <v>1000</v>
      </c>
      <c r="AK397" t="s">
        <v>424</v>
      </c>
      <c r="AL397" t="s">
        <v>71</v>
      </c>
      <c r="AM397" t="s">
        <v>68</v>
      </c>
      <c r="AN397">
        <v>0</v>
      </c>
      <c r="AO397" s="1"/>
      <c r="AP397">
        <v>0</v>
      </c>
      <c r="AQ397">
        <v>0</v>
      </c>
      <c r="AR397">
        <v>0</v>
      </c>
      <c r="AS397" t="s">
        <v>72</v>
      </c>
      <c r="AT397" t="s">
        <v>68</v>
      </c>
      <c r="AU397">
        <v>1</v>
      </c>
      <c r="AV397" t="s">
        <v>551</v>
      </c>
      <c r="AW397">
        <v>0</v>
      </c>
      <c r="AX397" s="1">
        <v>45987.730081018519</v>
      </c>
      <c r="AY397">
        <v>2500</v>
      </c>
      <c r="AZ397" t="s">
        <v>68</v>
      </c>
      <c r="BA397" t="s">
        <v>65</v>
      </c>
      <c r="BB397" t="s">
        <v>68</v>
      </c>
      <c r="BC397" t="s">
        <v>68</v>
      </c>
      <c r="BD397">
        <v>0</v>
      </c>
      <c r="BE397" s="1">
        <v>45992.429467592592</v>
      </c>
      <c r="BF397" s="1">
        <v>45992.630937499998</v>
      </c>
      <c r="BG397" t="s">
        <v>68</v>
      </c>
      <c r="BH397" t="s">
        <v>68</v>
      </c>
      <c r="BI397" t="s">
        <v>68</v>
      </c>
      <c r="BJ397" t="s">
        <v>68</v>
      </c>
      <c r="BK397" t="s">
        <v>68</v>
      </c>
      <c r="BL397" t="s">
        <v>68</v>
      </c>
      <c r="BM397" t="s">
        <v>68</v>
      </c>
      <c r="BN397" t="s">
        <v>68</v>
      </c>
      <c r="BO397" t="s">
        <v>96</v>
      </c>
      <c r="BP397">
        <v>0</v>
      </c>
      <c r="BQ397" t="s">
        <v>68</v>
      </c>
      <c r="BR397" t="s">
        <v>68</v>
      </c>
      <c r="BS397" t="s">
        <v>68</v>
      </c>
    </row>
    <row r="398" spans="1:71" x14ac:dyDescent="0.35">
      <c r="A398" t="b">
        <f>ISNUMBER(MATCH(ChargentOrders[[#This Row],[Contract__c]],Contract[Id],0))</f>
        <v>1</v>
      </c>
      <c r="B398">
        <f>IFERROR(INDEX(Contract[CB_Subscription__c],MATCH(ChargentOrders[[#This Row],[Contract__c]],Contract[Id],0)),0)</f>
        <v>0</v>
      </c>
      <c r="C398" t="b">
        <f>ISNUMBER(MATCH(ChargentOrders[[#This Row],[Id]],Claude[Id],0))</f>
        <v>1</v>
      </c>
      <c r="D398" t="b">
        <f>AND(ChargentOrders[[#This Row],[_Contract]],ChargentOrders[[#This Row],[CB Subscription]]=0)</f>
        <v>1</v>
      </c>
      <c r="E398" s="38">
        <f>INDEX(Table5[CUENTA],MATCH(ChargentOrders[[#This Row],[Contract__c]],Table5[SM_Contract__c],0))</f>
        <v>46203</v>
      </c>
      <c r="F398" s="38" t="str">
        <f ca="1">INDEX(Table5[ESTADO],MATCH(ChargentOrders[[#This Row],[Contract__c]],Table5[SM_Contract__c],0))</f>
        <v>DEBE 1</v>
      </c>
      <c r="G398" t="s">
        <v>558</v>
      </c>
      <c r="H398" t="s">
        <v>101</v>
      </c>
      <c r="I398" t="s">
        <v>559</v>
      </c>
      <c r="J398" s="1">
        <v>45989.948055555556</v>
      </c>
      <c r="K398">
        <v>10</v>
      </c>
      <c r="L398">
        <v>2028</v>
      </c>
      <c r="M398" t="s">
        <v>1459</v>
      </c>
      <c r="N398">
        <v>10</v>
      </c>
      <c r="O398" t="s">
        <v>1468</v>
      </c>
      <c r="P398" t="s">
        <v>73</v>
      </c>
      <c r="Q398">
        <v>2028</v>
      </c>
      <c r="R398">
        <v>0</v>
      </c>
      <c r="T398" t="s">
        <v>67</v>
      </c>
      <c r="U398" t="s">
        <v>68</v>
      </c>
      <c r="V398">
        <v>0</v>
      </c>
      <c r="W398" t="s">
        <v>69</v>
      </c>
      <c r="X398" s="5"/>
      <c r="Y398" t="s">
        <v>68</v>
      </c>
      <c r="Z398" t="s">
        <v>68</v>
      </c>
      <c r="AA398">
        <v>0</v>
      </c>
      <c r="AC398" t="s">
        <v>429</v>
      </c>
      <c r="AD398" t="s">
        <v>68</v>
      </c>
      <c r="AE398">
        <v>0</v>
      </c>
      <c r="AF398" s="1"/>
      <c r="AG398" s="1">
        <v>45989.948078703703</v>
      </c>
      <c r="AH398">
        <v>0</v>
      </c>
      <c r="AI398">
        <v>1</v>
      </c>
      <c r="AJ398">
        <v>0</v>
      </c>
      <c r="AK398" t="s">
        <v>424</v>
      </c>
      <c r="AL398" t="s">
        <v>68</v>
      </c>
      <c r="AM398" t="s">
        <v>68</v>
      </c>
      <c r="AN398">
        <v>0</v>
      </c>
      <c r="AO398" s="1"/>
      <c r="AP398">
        <v>1</v>
      </c>
      <c r="AS398" t="s">
        <v>75</v>
      </c>
      <c r="AT398" t="s">
        <v>68</v>
      </c>
      <c r="AU398">
        <v>0</v>
      </c>
      <c r="AV398" t="s">
        <v>68</v>
      </c>
      <c r="AW398">
        <v>1</v>
      </c>
      <c r="AX398" s="1"/>
      <c r="AZ398" t="s">
        <v>68</v>
      </c>
      <c r="BA398" t="s">
        <v>68</v>
      </c>
      <c r="BB398" t="s">
        <v>68</v>
      </c>
      <c r="BC398" t="s">
        <v>68</v>
      </c>
      <c r="BD398">
        <v>0</v>
      </c>
      <c r="BE398" s="1"/>
      <c r="BF398" s="1">
        <v>45989.948078703703</v>
      </c>
      <c r="BG398" t="s">
        <v>68</v>
      </c>
      <c r="BH398" t="s">
        <v>68</v>
      </c>
      <c r="BI398" t="s">
        <v>68</v>
      </c>
      <c r="BJ398" t="s">
        <v>68</v>
      </c>
      <c r="BK398" t="s">
        <v>68</v>
      </c>
      <c r="BL398" t="s">
        <v>68</v>
      </c>
      <c r="BM398" t="s">
        <v>68</v>
      </c>
      <c r="BN398" t="s">
        <v>68</v>
      </c>
      <c r="BO398" t="s">
        <v>96</v>
      </c>
      <c r="BP398">
        <v>0</v>
      </c>
      <c r="BQ398" t="s">
        <v>68</v>
      </c>
      <c r="BR398" t="s">
        <v>68</v>
      </c>
      <c r="BS398" t="s">
        <v>68</v>
      </c>
    </row>
    <row r="399" spans="1:71" x14ac:dyDescent="0.35">
      <c r="A399" t="b">
        <f>ISNUMBER(MATCH(ChargentOrders[[#This Row],[Contract__c]],Contract[Id],0))</f>
        <v>1</v>
      </c>
      <c r="B399">
        <f>IFERROR(INDEX(Contract[CB_Subscription__c],MATCH(ChargentOrders[[#This Row],[Contract__c]],Contract[Id],0)),0)</f>
        <v>0</v>
      </c>
      <c r="C399" t="b">
        <f>ISNUMBER(MATCH(ChargentOrders[[#This Row],[Id]],Claude[Id],0))</f>
        <v>1</v>
      </c>
      <c r="D399" t="b">
        <f>AND(ChargentOrders[[#This Row],[_Contract]],ChargentOrders[[#This Row],[CB Subscription]]=0)</f>
        <v>1</v>
      </c>
      <c r="E399" s="38">
        <f>INDEX(Table5[CUENTA],MATCH(ChargentOrders[[#This Row],[Contract__c]],Table5[SM_Contract__c],0))</f>
        <v>46203</v>
      </c>
      <c r="F399" s="38" t="str">
        <f ca="1">INDEX(Table5[ESTADO],MATCH(ChargentOrders[[#This Row],[Contract__c]],Table5[SM_Contract__c],0))</f>
        <v>DEBE 1</v>
      </c>
      <c r="G399" t="s">
        <v>677</v>
      </c>
      <c r="H399" t="s">
        <v>79</v>
      </c>
      <c r="I399" t="s">
        <v>678</v>
      </c>
      <c r="J399" s="1">
        <v>46021.417500000003</v>
      </c>
      <c r="K399">
        <v>7</v>
      </c>
      <c r="L399">
        <v>2028</v>
      </c>
      <c r="M399" t="s">
        <v>1430</v>
      </c>
      <c r="N399">
        <v>7</v>
      </c>
      <c r="O399" t="s">
        <v>1431</v>
      </c>
      <c r="P399" t="s">
        <v>73</v>
      </c>
      <c r="Q399">
        <v>2028</v>
      </c>
      <c r="R399">
        <v>10400</v>
      </c>
      <c r="T399" t="s">
        <v>67</v>
      </c>
      <c r="U399" t="s">
        <v>68</v>
      </c>
      <c r="V399">
        <v>0</v>
      </c>
      <c r="W399" t="s">
        <v>69</v>
      </c>
      <c r="X399" s="5">
        <v>46083</v>
      </c>
      <c r="Y399" t="s">
        <v>74</v>
      </c>
      <c r="Z399" t="s">
        <v>68</v>
      </c>
      <c r="AA399">
        <v>10400</v>
      </c>
      <c r="AB399">
        <v>0</v>
      </c>
      <c r="AC399" t="s">
        <v>158</v>
      </c>
      <c r="AD399" t="s">
        <v>68</v>
      </c>
      <c r="AE399">
        <v>0</v>
      </c>
      <c r="AF399" s="1">
        <v>46083.420358796298</v>
      </c>
      <c r="AG399" s="1">
        <v>46083.420370370368</v>
      </c>
      <c r="AH399">
        <v>1</v>
      </c>
      <c r="AI399">
        <v>30</v>
      </c>
      <c r="AJ399">
        <v>1040</v>
      </c>
      <c r="AK399" t="s">
        <v>159</v>
      </c>
      <c r="AL399" t="s">
        <v>71</v>
      </c>
      <c r="AM399" t="s">
        <v>68</v>
      </c>
      <c r="AN399">
        <v>0</v>
      </c>
      <c r="AO399" s="1"/>
      <c r="AP399">
        <v>0</v>
      </c>
      <c r="AQ399">
        <v>0</v>
      </c>
      <c r="AR399">
        <v>0</v>
      </c>
      <c r="AS399" t="s">
        <v>72</v>
      </c>
      <c r="AT399" t="s">
        <v>68</v>
      </c>
      <c r="AU399">
        <v>1</v>
      </c>
      <c r="AV399" t="s">
        <v>679</v>
      </c>
      <c r="AW399">
        <v>0</v>
      </c>
      <c r="AX399" s="1">
        <v>45392.867974537039</v>
      </c>
      <c r="AY399">
        <v>2500</v>
      </c>
      <c r="AZ399" t="s">
        <v>68</v>
      </c>
      <c r="BA399" t="s">
        <v>65</v>
      </c>
      <c r="BB399" t="s">
        <v>68</v>
      </c>
      <c r="BC399" t="s">
        <v>68</v>
      </c>
      <c r="BD399">
        <v>0</v>
      </c>
      <c r="BE399" s="1">
        <v>46080.424942129626</v>
      </c>
      <c r="BF399" s="1">
        <v>46083.420358796298</v>
      </c>
      <c r="BG399" t="s">
        <v>68</v>
      </c>
      <c r="BH399" t="s">
        <v>68</v>
      </c>
      <c r="BI399" t="s">
        <v>68</v>
      </c>
      <c r="BJ399" t="s">
        <v>68</v>
      </c>
      <c r="BK399" t="s">
        <v>68</v>
      </c>
      <c r="BL399" t="s">
        <v>68</v>
      </c>
      <c r="BM399" t="s">
        <v>68</v>
      </c>
      <c r="BN399" t="s">
        <v>68</v>
      </c>
      <c r="BO399" t="s">
        <v>96</v>
      </c>
      <c r="BP399">
        <v>0</v>
      </c>
      <c r="BQ399" t="s">
        <v>68</v>
      </c>
      <c r="BR399" t="s">
        <v>68</v>
      </c>
      <c r="BS399" t="s">
        <v>68</v>
      </c>
    </row>
    <row r="400" spans="1:71" x14ac:dyDescent="0.35">
      <c r="A400" t="b">
        <f>ISNUMBER(MATCH(ChargentOrders[[#This Row],[Contract__c]],Contract[Id],0))</f>
        <v>1</v>
      </c>
      <c r="B400">
        <f>IFERROR(INDEX(Contract[CB_Subscription__c],MATCH(ChargentOrders[[#This Row],[Contract__c]],Contract[Id],0)),0)</f>
        <v>0</v>
      </c>
      <c r="C400" t="b">
        <f>ISNUMBER(MATCH(ChargentOrders[[#This Row],[Id]],Claude[Id],0))</f>
        <v>1</v>
      </c>
      <c r="D400" t="b">
        <f>AND(ChargentOrders[[#This Row],[_Contract]],ChargentOrders[[#This Row],[CB Subscription]]=0)</f>
        <v>1</v>
      </c>
      <c r="E400" s="38">
        <f>INDEX(Table5[CUENTA],MATCH(ChargentOrders[[#This Row],[Contract__c]],Table5[SM_Contract__c],0))</f>
        <v>46203</v>
      </c>
      <c r="F400" s="38" t="str">
        <f ca="1">INDEX(Table5[ESTADO],MATCH(ChargentOrders[[#This Row],[Contract__c]],Table5[SM_Contract__c],0))</f>
        <v>DEBE 1</v>
      </c>
      <c r="G400" t="s">
        <v>867</v>
      </c>
      <c r="H400" t="s">
        <v>79</v>
      </c>
      <c r="I400" t="s">
        <v>868</v>
      </c>
      <c r="J400" s="1">
        <v>46052.418009259258</v>
      </c>
      <c r="K400">
        <v>7</v>
      </c>
      <c r="L400">
        <v>2028</v>
      </c>
      <c r="M400" t="s">
        <v>1430</v>
      </c>
      <c r="N400">
        <v>7</v>
      </c>
      <c r="O400" t="s">
        <v>1431</v>
      </c>
      <c r="P400" t="s">
        <v>73</v>
      </c>
      <c r="Q400">
        <v>2028</v>
      </c>
      <c r="R400">
        <v>10400</v>
      </c>
      <c r="T400" t="s">
        <v>67</v>
      </c>
      <c r="U400" t="s">
        <v>68</v>
      </c>
      <c r="V400">
        <v>0</v>
      </c>
      <c r="W400" t="s">
        <v>69</v>
      </c>
      <c r="X400" s="5">
        <v>46083</v>
      </c>
      <c r="Y400" t="s">
        <v>74</v>
      </c>
      <c r="Z400" t="s">
        <v>68</v>
      </c>
      <c r="AA400">
        <v>10400</v>
      </c>
      <c r="AB400">
        <v>0</v>
      </c>
      <c r="AC400" t="s">
        <v>158</v>
      </c>
      <c r="AD400" t="s">
        <v>68</v>
      </c>
      <c r="AE400">
        <v>0</v>
      </c>
      <c r="AF400" s="1">
        <v>46083.422835648147</v>
      </c>
      <c r="AG400" s="1">
        <v>46083.422893518517</v>
      </c>
      <c r="AH400">
        <v>1</v>
      </c>
      <c r="AI400">
        <v>14</v>
      </c>
      <c r="AJ400">
        <v>1040</v>
      </c>
      <c r="AK400" t="s">
        <v>159</v>
      </c>
      <c r="AL400" t="s">
        <v>71</v>
      </c>
      <c r="AM400" t="s">
        <v>68</v>
      </c>
      <c r="AN400">
        <v>0</v>
      </c>
      <c r="AO400" s="1"/>
      <c r="AP400">
        <v>0</v>
      </c>
      <c r="AQ400">
        <v>0</v>
      </c>
      <c r="AR400">
        <v>0</v>
      </c>
      <c r="AS400" t="s">
        <v>72</v>
      </c>
      <c r="AT400" t="s">
        <v>68</v>
      </c>
      <c r="AU400">
        <v>1</v>
      </c>
      <c r="AV400" t="s">
        <v>869</v>
      </c>
      <c r="AW400">
        <v>0</v>
      </c>
      <c r="AX400" s="1">
        <v>45392.867974537039</v>
      </c>
      <c r="AY400">
        <v>2500</v>
      </c>
      <c r="AZ400" t="s">
        <v>68</v>
      </c>
      <c r="BA400" t="s">
        <v>65</v>
      </c>
      <c r="BB400" t="s">
        <v>68</v>
      </c>
      <c r="BC400" t="s">
        <v>68</v>
      </c>
      <c r="BD400">
        <v>0</v>
      </c>
      <c r="BE400" s="1">
        <v>46080.428148148145</v>
      </c>
      <c r="BF400" s="1">
        <v>46083.422835648147</v>
      </c>
      <c r="BG400" t="s">
        <v>68</v>
      </c>
      <c r="BH400" t="s">
        <v>68</v>
      </c>
      <c r="BI400" t="s">
        <v>68</v>
      </c>
      <c r="BJ400" t="s">
        <v>68</v>
      </c>
      <c r="BK400" t="s">
        <v>68</v>
      </c>
      <c r="BL400" t="s">
        <v>68</v>
      </c>
      <c r="BM400" t="s">
        <v>68</v>
      </c>
      <c r="BN400" t="s">
        <v>68</v>
      </c>
      <c r="BO400" t="s">
        <v>96</v>
      </c>
      <c r="BP400">
        <v>0</v>
      </c>
      <c r="BQ400" t="s">
        <v>68</v>
      </c>
      <c r="BR400" t="s">
        <v>68</v>
      </c>
      <c r="BS400" t="s">
        <v>68</v>
      </c>
    </row>
    <row r="401" spans="1:71" x14ac:dyDescent="0.35">
      <c r="A401" t="b">
        <f>ISNUMBER(MATCH(ChargentOrders[[#This Row],[Contract__c]],Contract[Id],0))</f>
        <v>1</v>
      </c>
      <c r="B401">
        <f>IFERROR(INDEX(Contract[CB_Subscription__c],MATCH(ChargentOrders[[#This Row],[Contract__c]],Contract[Id],0)),0)</f>
        <v>0</v>
      </c>
      <c r="C401" t="b">
        <f>ISNUMBER(MATCH(ChargentOrders[[#This Row],[Id]],Claude[Id],0))</f>
        <v>1</v>
      </c>
      <c r="D401" t="b">
        <f>AND(ChargentOrders[[#This Row],[_Contract]],ChargentOrders[[#This Row],[CB Subscription]]=0)</f>
        <v>1</v>
      </c>
      <c r="E401" s="38">
        <f>INDEX(Table5[CUENTA],MATCH(ChargentOrders[[#This Row],[Contract__c]],Table5[SM_Contract__c],0))</f>
        <v>46203</v>
      </c>
      <c r="F401" s="38" t="str">
        <f ca="1">INDEX(Table5[ESTADO],MATCH(ChargentOrders[[#This Row],[Contract__c]],Table5[SM_Contract__c],0))</f>
        <v>DEBE 1</v>
      </c>
      <c r="G401" t="s">
        <v>942</v>
      </c>
      <c r="H401" t="s">
        <v>79</v>
      </c>
      <c r="I401" t="s">
        <v>943</v>
      </c>
      <c r="J401" s="1">
        <v>46070.654791666668</v>
      </c>
      <c r="K401">
        <v>10</v>
      </c>
      <c r="L401">
        <v>2028</v>
      </c>
      <c r="M401" t="s">
        <v>1459</v>
      </c>
      <c r="N401">
        <v>10</v>
      </c>
      <c r="O401" t="s">
        <v>1459</v>
      </c>
      <c r="P401" t="s">
        <v>66</v>
      </c>
      <c r="Q401">
        <v>2028</v>
      </c>
      <c r="R401">
        <v>10000</v>
      </c>
      <c r="T401" t="s">
        <v>67</v>
      </c>
      <c r="U401" t="s">
        <v>68</v>
      </c>
      <c r="V401">
        <v>0</v>
      </c>
      <c r="W401" t="s">
        <v>69</v>
      </c>
      <c r="X401" s="5">
        <v>46080</v>
      </c>
      <c r="Y401" t="s">
        <v>74</v>
      </c>
      <c r="Z401" t="s">
        <v>68</v>
      </c>
      <c r="AA401">
        <v>10000</v>
      </c>
      <c r="AB401">
        <v>0</v>
      </c>
      <c r="AC401" t="s">
        <v>429</v>
      </c>
      <c r="AD401" t="s">
        <v>68</v>
      </c>
      <c r="AE401">
        <v>0</v>
      </c>
      <c r="AF401" s="1">
        <v>46080.432233796295</v>
      </c>
      <c r="AG401" s="1">
        <v>46080.432314814818</v>
      </c>
      <c r="AH401">
        <v>1</v>
      </c>
      <c r="AI401">
        <v>4</v>
      </c>
      <c r="AJ401">
        <v>1000</v>
      </c>
      <c r="AK401" t="s">
        <v>424</v>
      </c>
      <c r="AL401" t="s">
        <v>71</v>
      </c>
      <c r="AM401" t="s">
        <v>68</v>
      </c>
      <c r="AN401">
        <v>0</v>
      </c>
      <c r="AO401" s="1"/>
      <c r="AQ401">
        <v>0</v>
      </c>
      <c r="AR401">
        <v>0</v>
      </c>
      <c r="AS401" t="s">
        <v>72</v>
      </c>
      <c r="AT401" t="s">
        <v>68</v>
      </c>
      <c r="AU401">
        <v>1</v>
      </c>
      <c r="AV401" t="s">
        <v>944</v>
      </c>
      <c r="AW401">
        <v>0</v>
      </c>
      <c r="AX401" s="1">
        <v>45894.594756944447</v>
      </c>
      <c r="AY401">
        <v>2500</v>
      </c>
      <c r="AZ401" t="s">
        <v>68</v>
      </c>
      <c r="BA401" t="s">
        <v>78</v>
      </c>
      <c r="BB401" t="s">
        <v>68</v>
      </c>
      <c r="BC401" t="s">
        <v>68</v>
      </c>
      <c r="BD401">
        <v>0</v>
      </c>
      <c r="BE401" s="1">
        <v>46079.425798611112</v>
      </c>
      <c r="BF401" s="1">
        <v>46080.432233796295</v>
      </c>
      <c r="BG401" t="s">
        <v>68</v>
      </c>
      <c r="BH401" t="s">
        <v>68</v>
      </c>
      <c r="BI401" t="s">
        <v>68</v>
      </c>
      <c r="BJ401" t="s">
        <v>68</v>
      </c>
      <c r="BK401" t="s">
        <v>68</v>
      </c>
      <c r="BL401" t="s">
        <v>68</v>
      </c>
      <c r="BM401" t="s">
        <v>68</v>
      </c>
      <c r="BN401" t="s">
        <v>68</v>
      </c>
      <c r="BO401" t="s">
        <v>96</v>
      </c>
      <c r="BP401">
        <v>0</v>
      </c>
      <c r="BQ401" t="s">
        <v>68</v>
      </c>
      <c r="BR401" t="s">
        <v>68</v>
      </c>
      <c r="BS401" t="s">
        <v>68</v>
      </c>
    </row>
    <row r="402" spans="1:71" x14ac:dyDescent="0.35">
      <c r="A402" t="b">
        <f>ISNUMBER(MATCH(ChargentOrders[[#This Row],[Contract__c]],Contract[Id],0))</f>
        <v>1</v>
      </c>
      <c r="B402">
        <f>IFERROR(INDEX(Contract[CB_Subscription__c],MATCH(ChargentOrders[[#This Row],[Contract__c]],Contract[Id],0)),0)</f>
        <v>0</v>
      </c>
      <c r="C402" t="b">
        <f>ISNUMBER(MATCH(ChargentOrders[[#This Row],[Id]],Claude[Id],0))</f>
        <v>1</v>
      </c>
      <c r="D402" t="b">
        <f>AND(ChargentOrders[[#This Row],[_Contract]],ChargentOrders[[#This Row],[CB Subscription]]=0)</f>
        <v>1</v>
      </c>
      <c r="E402" s="38">
        <f>INDEX(Table5[CUENTA],MATCH(ChargentOrders[[#This Row],[Contract__c]],Table5[SM_Contract__c],0))</f>
        <v>46203</v>
      </c>
      <c r="F402" s="38" t="str">
        <f ca="1">INDEX(Table5[ESTADO],MATCH(ChargentOrders[[#This Row],[Contract__c]],Table5[SM_Contract__c],0))</f>
        <v>DEBE 1</v>
      </c>
      <c r="G402" t="s">
        <v>1004</v>
      </c>
      <c r="H402" t="s">
        <v>79</v>
      </c>
      <c r="I402" t="s">
        <v>1005</v>
      </c>
      <c r="J402" s="1">
        <v>46099.034548611111</v>
      </c>
      <c r="K402">
        <v>7</v>
      </c>
      <c r="L402">
        <v>2028</v>
      </c>
      <c r="M402" t="s">
        <v>1430</v>
      </c>
      <c r="N402">
        <v>7</v>
      </c>
      <c r="O402" t="s">
        <v>1431</v>
      </c>
      <c r="P402" t="s">
        <v>73</v>
      </c>
      <c r="Q402">
        <v>2028</v>
      </c>
      <c r="R402">
        <v>1040</v>
      </c>
      <c r="T402" t="s">
        <v>67</v>
      </c>
      <c r="U402" t="s">
        <v>68</v>
      </c>
      <c r="V402">
        <v>0</v>
      </c>
      <c r="W402" t="s">
        <v>69</v>
      </c>
      <c r="X402" s="5">
        <v>46209</v>
      </c>
      <c r="Y402" t="s">
        <v>74</v>
      </c>
      <c r="Z402" t="s">
        <v>68</v>
      </c>
      <c r="AA402">
        <v>10400</v>
      </c>
      <c r="AB402">
        <v>0</v>
      </c>
      <c r="AC402" t="s">
        <v>158</v>
      </c>
      <c r="AD402" t="s">
        <v>68</v>
      </c>
      <c r="AE402">
        <v>0</v>
      </c>
      <c r="AF402" s="1">
        <v>46206.990069444444</v>
      </c>
      <c r="AG402" s="1">
        <v>46206.990069444444</v>
      </c>
      <c r="AH402">
        <v>1</v>
      </c>
      <c r="AI402">
        <v>28</v>
      </c>
      <c r="AJ402">
        <v>1040</v>
      </c>
      <c r="AK402" t="s">
        <v>159</v>
      </c>
      <c r="AL402" t="s">
        <v>71</v>
      </c>
      <c r="AM402" t="s">
        <v>68</v>
      </c>
      <c r="AN402">
        <v>0</v>
      </c>
      <c r="AO402" s="1"/>
      <c r="AP402">
        <v>22</v>
      </c>
      <c r="AQ402">
        <v>0</v>
      </c>
      <c r="AR402">
        <v>0</v>
      </c>
      <c r="AS402" t="s">
        <v>72</v>
      </c>
      <c r="AT402" t="s">
        <v>68</v>
      </c>
      <c r="AU402">
        <v>1</v>
      </c>
      <c r="AV402" t="s">
        <v>1006</v>
      </c>
      <c r="AW402">
        <v>0</v>
      </c>
      <c r="AX402" s="1">
        <v>46111.971215277779</v>
      </c>
      <c r="AY402">
        <v>2500</v>
      </c>
      <c r="AZ402" t="s">
        <v>68</v>
      </c>
      <c r="BA402" t="s">
        <v>101</v>
      </c>
      <c r="BB402" t="s">
        <v>68</v>
      </c>
      <c r="BC402" t="s">
        <v>68</v>
      </c>
      <c r="BD402">
        <v>0</v>
      </c>
      <c r="BE402" s="1">
        <v>46206.418993055559</v>
      </c>
      <c r="BF402" s="1">
        <v>46206.990069444444</v>
      </c>
      <c r="BG402" t="s">
        <v>68</v>
      </c>
      <c r="BH402" t="s">
        <v>68</v>
      </c>
      <c r="BI402" t="s">
        <v>68</v>
      </c>
      <c r="BJ402" t="s">
        <v>68</v>
      </c>
      <c r="BK402" t="s">
        <v>68</v>
      </c>
      <c r="BL402" t="s">
        <v>68</v>
      </c>
      <c r="BM402" t="s">
        <v>68</v>
      </c>
      <c r="BN402" t="s">
        <v>68</v>
      </c>
      <c r="BO402" t="s">
        <v>96</v>
      </c>
      <c r="BP402">
        <v>0</v>
      </c>
      <c r="BQ402" t="s">
        <v>68</v>
      </c>
      <c r="BR402" t="s">
        <v>68</v>
      </c>
      <c r="BS402" t="s">
        <v>68</v>
      </c>
    </row>
    <row r="403" spans="1:71" x14ac:dyDescent="0.35">
      <c r="A403" t="b">
        <f>ISNUMBER(MATCH(ChargentOrders[[#This Row],[Contract__c]],Contract[Id],0))</f>
        <v>1</v>
      </c>
      <c r="B403">
        <f>IFERROR(INDEX(Contract[CB_Subscription__c],MATCH(ChargentOrders[[#This Row],[Contract__c]],Contract[Id],0)),0)</f>
        <v>0</v>
      </c>
      <c r="C403" t="b">
        <f>ISNUMBER(MATCH(ChargentOrders[[#This Row],[Id]],Claude[Id],0))</f>
        <v>1</v>
      </c>
      <c r="D403" t="b">
        <f>AND(ChargentOrders[[#This Row],[_Contract]],ChargentOrders[[#This Row],[CB Subscription]]=0)</f>
        <v>1</v>
      </c>
      <c r="E403" s="38">
        <f>INDEX(Table5[CUENTA],MATCH(ChargentOrders[[#This Row],[Contract__c]],Table5[SM_Contract__c],0))</f>
        <v>46203</v>
      </c>
      <c r="F403" s="38" t="str">
        <f ca="1">INDEX(Table5[ESTADO],MATCH(ChargentOrders[[#This Row],[Contract__c]],Table5[SM_Contract__c],0))</f>
        <v>DEBE 1</v>
      </c>
      <c r="G403" t="s">
        <v>1110</v>
      </c>
      <c r="H403" t="s">
        <v>79</v>
      </c>
      <c r="I403" t="s">
        <v>1111</v>
      </c>
      <c r="J403" s="1">
        <v>46142.41783564815</v>
      </c>
      <c r="K403">
        <v>7</v>
      </c>
      <c r="L403">
        <v>2028</v>
      </c>
      <c r="M403" t="s">
        <v>1430</v>
      </c>
      <c r="N403">
        <v>7</v>
      </c>
      <c r="O403" t="s">
        <v>1431</v>
      </c>
      <c r="P403" t="s">
        <v>73</v>
      </c>
      <c r="Q403">
        <v>2028</v>
      </c>
      <c r="R403">
        <v>1040</v>
      </c>
      <c r="T403" t="s">
        <v>67</v>
      </c>
      <c r="U403" t="s">
        <v>68</v>
      </c>
      <c r="V403">
        <v>0</v>
      </c>
      <c r="W403" t="s">
        <v>69</v>
      </c>
      <c r="X403" s="5">
        <v>46174</v>
      </c>
      <c r="Y403" t="s">
        <v>74</v>
      </c>
      <c r="Z403" t="s">
        <v>68</v>
      </c>
      <c r="AA403">
        <v>10400</v>
      </c>
      <c r="AB403">
        <v>0</v>
      </c>
      <c r="AC403" t="s">
        <v>158</v>
      </c>
      <c r="AD403" t="s">
        <v>68</v>
      </c>
      <c r="AE403">
        <v>0</v>
      </c>
      <c r="AF403" s="1">
        <v>46172.548935185187</v>
      </c>
      <c r="AG403" s="1">
        <v>46172.548935185187</v>
      </c>
      <c r="AH403">
        <v>1</v>
      </c>
      <c r="AI403">
        <v>8</v>
      </c>
      <c r="AJ403">
        <v>1040</v>
      </c>
      <c r="AK403" t="s">
        <v>159</v>
      </c>
      <c r="AL403" t="s">
        <v>71</v>
      </c>
      <c r="AM403" t="s">
        <v>68</v>
      </c>
      <c r="AN403">
        <v>0</v>
      </c>
      <c r="AO403" s="1"/>
      <c r="AP403">
        <v>0</v>
      </c>
      <c r="AQ403">
        <v>0</v>
      </c>
      <c r="AR403">
        <v>0</v>
      </c>
      <c r="AS403" t="s">
        <v>72</v>
      </c>
      <c r="AT403" t="s">
        <v>68</v>
      </c>
      <c r="AU403">
        <v>1</v>
      </c>
      <c r="AV403" t="s">
        <v>1112</v>
      </c>
      <c r="AW403">
        <v>0</v>
      </c>
      <c r="AX403" s="1">
        <v>45392.867974537039</v>
      </c>
      <c r="AY403">
        <v>2500</v>
      </c>
      <c r="AZ403" t="s">
        <v>68</v>
      </c>
      <c r="BA403" t="s">
        <v>65</v>
      </c>
      <c r="BB403" t="s">
        <v>68</v>
      </c>
      <c r="BC403" t="s">
        <v>68</v>
      </c>
      <c r="BD403">
        <v>0</v>
      </c>
      <c r="BE403" s="1">
        <v>46171.423738425925</v>
      </c>
      <c r="BF403" s="1">
        <v>46172.548935185187</v>
      </c>
      <c r="BG403" t="s">
        <v>68</v>
      </c>
      <c r="BH403" t="s">
        <v>68</v>
      </c>
      <c r="BI403" t="s">
        <v>68</v>
      </c>
      <c r="BJ403" t="s">
        <v>68</v>
      </c>
      <c r="BK403" t="s">
        <v>68</v>
      </c>
      <c r="BL403" t="s">
        <v>68</v>
      </c>
      <c r="BM403" t="s">
        <v>68</v>
      </c>
      <c r="BN403" t="s">
        <v>68</v>
      </c>
      <c r="BO403" t="s">
        <v>96</v>
      </c>
      <c r="BP403">
        <v>0</v>
      </c>
      <c r="BQ403" t="s">
        <v>68</v>
      </c>
      <c r="BR403" t="s">
        <v>68</v>
      </c>
      <c r="BS403" t="s">
        <v>68</v>
      </c>
    </row>
    <row r="404" spans="1:71" x14ac:dyDescent="0.35">
      <c r="A404" t="b">
        <f>ISNUMBER(MATCH(ChargentOrders[[#This Row],[Contract__c]],Contract[Id],0))</f>
        <v>1</v>
      </c>
      <c r="B404">
        <f>IFERROR(INDEX(Contract[CB_Subscription__c],MATCH(ChargentOrders[[#This Row],[Contract__c]],Contract[Id],0)),0)</f>
        <v>0</v>
      </c>
      <c r="C404" t="b">
        <f>ISNUMBER(MATCH(ChargentOrders[[#This Row],[Id]],Claude[Id],0))</f>
        <v>1</v>
      </c>
      <c r="D404" t="b">
        <f>AND(ChargentOrders[[#This Row],[_Contract]],ChargentOrders[[#This Row],[CB Subscription]]=0)</f>
        <v>1</v>
      </c>
      <c r="E404" s="38">
        <f>INDEX(Table5[CUENTA],MATCH(ChargentOrders[[#This Row],[Contract__c]],Table5[SM_Contract__c],0))</f>
        <v>46203</v>
      </c>
      <c r="F404" s="38" t="str">
        <f ca="1">INDEX(Table5[ESTADO],MATCH(ChargentOrders[[#This Row],[Contract__c]],Table5[SM_Contract__c],0))</f>
        <v>DEBE 1</v>
      </c>
      <c r="G404" t="s">
        <v>1226</v>
      </c>
      <c r="H404" t="s">
        <v>79</v>
      </c>
      <c r="I404" t="s">
        <v>1227</v>
      </c>
      <c r="J404" s="1">
        <v>46171.41684027778</v>
      </c>
      <c r="K404">
        <v>7</v>
      </c>
      <c r="L404">
        <v>2028</v>
      </c>
      <c r="M404" t="s">
        <v>1430</v>
      </c>
      <c r="N404">
        <v>7</v>
      </c>
      <c r="O404" t="s">
        <v>1431</v>
      </c>
      <c r="P404" t="s">
        <v>73</v>
      </c>
      <c r="Q404">
        <v>2028</v>
      </c>
      <c r="R404">
        <v>1040</v>
      </c>
      <c r="T404" t="s">
        <v>67</v>
      </c>
      <c r="U404" t="s">
        <v>68</v>
      </c>
      <c r="V404">
        <v>0</v>
      </c>
      <c r="W404" t="s">
        <v>69</v>
      </c>
      <c r="X404" s="5">
        <v>46174</v>
      </c>
      <c r="Y404" t="s">
        <v>74</v>
      </c>
      <c r="Z404" t="s">
        <v>68</v>
      </c>
      <c r="AA404">
        <v>10400</v>
      </c>
      <c r="AB404">
        <v>0</v>
      </c>
      <c r="AC404" t="s">
        <v>158</v>
      </c>
      <c r="AD404" t="s">
        <v>68</v>
      </c>
      <c r="AE404">
        <v>0</v>
      </c>
      <c r="AF404" s="1">
        <v>46172.550462962965</v>
      </c>
      <c r="AG404" s="1">
        <v>46172.550462962965</v>
      </c>
      <c r="AH404">
        <v>1</v>
      </c>
      <c r="AI404">
        <v>1</v>
      </c>
      <c r="AJ404">
        <v>1040</v>
      </c>
      <c r="AK404" t="s">
        <v>159</v>
      </c>
      <c r="AL404" t="s">
        <v>71</v>
      </c>
      <c r="AM404" t="s">
        <v>68</v>
      </c>
      <c r="AN404">
        <v>0</v>
      </c>
      <c r="AO404" s="1"/>
      <c r="AP404">
        <v>0</v>
      </c>
      <c r="AQ404">
        <v>0</v>
      </c>
      <c r="AR404">
        <v>0</v>
      </c>
      <c r="AS404" t="s">
        <v>72</v>
      </c>
      <c r="AT404" t="s">
        <v>68</v>
      </c>
      <c r="AU404">
        <v>1</v>
      </c>
      <c r="AV404" t="s">
        <v>1228</v>
      </c>
      <c r="AW404">
        <v>0</v>
      </c>
      <c r="AX404" s="1">
        <v>45392.867974537039</v>
      </c>
      <c r="AY404">
        <v>2500</v>
      </c>
      <c r="AZ404" t="s">
        <v>68</v>
      </c>
      <c r="BA404" t="s">
        <v>65</v>
      </c>
      <c r="BB404" t="s">
        <v>68</v>
      </c>
      <c r="BC404" t="s">
        <v>68</v>
      </c>
      <c r="BD404">
        <v>0</v>
      </c>
      <c r="BE404" s="1"/>
      <c r="BF404" s="1">
        <v>46172.550462962965</v>
      </c>
      <c r="BG404" t="s">
        <v>68</v>
      </c>
      <c r="BH404" t="s">
        <v>68</v>
      </c>
      <c r="BI404" t="s">
        <v>68</v>
      </c>
      <c r="BJ404" t="s">
        <v>68</v>
      </c>
      <c r="BK404" t="s">
        <v>68</v>
      </c>
      <c r="BL404" t="s">
        <v>68</v>
      </c>
      <c r="BM404" t="s">
        <v>68</v>
      </c>
      <c r="BN404" t="s">
        <v>68</v>
      </c>
      <c r="BO404" t="s">
        <v>96</v>
      </c>
      <c r="BP404">
        <v>0</v>
      </c>
      <c r="BQ404" t="s">
        <v>68</v>
      </c>
      <c r="BR404" t="s">
        <v>68</v>
      </c>
      <c r="BS404" t="s">
        <v>68</v>
      </c>
    </row>
    <row r="405" spans="1:71" x14ac:dyDescent="0.35">
      <c r="A405" t="b">
        <f>ISNUMBER(MATCH(ChargentOrders[[#This Row],[Contract__c]],Contract[Id],0))</f>
        <v>1</v>
      </c>
      <c r="B405">
        <f>IFERROR(INDEX(Contract[CB_Subscription__c],MATCH(ChargentOrders[[#This Row],[Contract__c]],Contract[Id],0)),0)</f>
        <v>0</v>
      </c>
      <c r="C405" t="b">
        <f>ISNUMBER(MATCH(ChargentOrders[[#This Row],[Id]],Claude[Id],0))</f>
        <v>1</v>
      </c>
      <c r="D405" t="b">
        <f>AND(ChargentOrders[[#This Row],[_Contract]],ChargentOrders[[#This Row],[CB Subscription]]=0)</f>
        <v>1</v>
      </c>
      <c r="E405" s="38">
        <f>INDEX(Table5[CUENTA],MATCH(ChargentOrders[[#This Row],[Contract__c]],Table5[SM_Contract__c],0))</f>
        <v>46203</v>
      </c>
      <c r="F405" s="38" t="str">
        <f ca="1">INDEX(Table5[ESTADO],MATCH(ChargentOrders[[#This Row],[Contract__c]],Table5[SM_Contract__c],0))</f>
        <v>DEBE 1</v>
      </c>
      <c r="G405" t="s">
        <v>1357</v>
      </c>
      <c r="H405" t="s">
        <v>79</v>
      </c>
      <c r="I405" t="s">
        <v>1358</v>
      </c>
      <c r="J405" s="1">
        <v>46203.416944444441</v>
      </c>
      <c r="K405">
        <v>7</v>
      </c>
      <c r="L405">
        <v>2028</v>
      </c>
      <c r="M405" t="s">
        <v>1430</v>
      </c>
      <c r="N405">
        <v>7</v>
      </c>
      <c r="O405" t="s">
        <v>1431</v>
      </c>
      <c r="P405" t="s">
        <v>73</v>
      </c>
      <c r="Q405">
        <v>2028</v>
      </c>
      <c r="R405">
        <v>1040</v>
      </c>
      <c r="T405" t="s">
        <v>67</v>
      </c>
      <c r="U405" t="s">
        <v>68</v>
      </c>
      <c r="V405">
        <v>0</v>
      </c>
      <c r="W405" t="s">
        <v>69</v>
      </c>
      <c r="X405" s="5">
        <v>46209</v>
      </c>
      <c r="Y405" t="s">
        <v>74</v>
      </c>
      <c r="Z405" t="s">
        <v>68</v>
      </c>
      <c r="AA405">
        <v>10400</v>
      </c>
      <c r="AB405">
        <v>0</v>
      </c>
      <c r="AC405" t="s">
        <v>158</v>
      </c>
      <c r="AD405" t="s">
        <v>68</v>
      </c>
      <c r="AE405">
        <v>0</v>
      </c>
      <c r="AF405" s="1">
        <v>46206.988703703704</v>
      </c>
      <c r="AG405" s="1">
        <v>46206.988715277781</v>
      </c>
      <c r="AH405">
        <v>1</v>
      </c>
      <c r="AI405">
        <v>3</v>
      </c>
      <c r="AJ405">
        <v>1040</v>
      </c>
      <c r="AK405" t="s">
        <v>159</v>
      </c>
      <c r="AL405" t="s">
        <v>71</v>
      </c>
      <c r="AM405" t="s">
        <v>68</v>
      </c>
      <c r="AN405">
        <v>0</v>
      </c>
      <c r="AO405" s="1"/>
      <c r="AP405">
        <v>0</v>
      </c>
      <c r="AQ405">
        <v>0</v>
      </c>
      <c r="AR405">
        <v>0</v>
      </c>
      <c r="AS405" t="s">
        <v>72</v>
      </c>
      <c r="AT405" t="s">
        <v>68</v>
      </c>
      <c r="AU405">
        <v>1</v>
      </c>
      <c r="AV405" t="s">
        <v>1359</v>
      </c>
      <c r="AW405">
        <v>0</v>
      </c>
      <c r="AX405" s="1">
        <v>45392.867974537039</v>
      </c>
      <c r="AY405">
        <v>2500</v>
      </c>
      <c r="AZ405" t="s">
        <v>68</v>
      </c>
      <c r="BA405" t="s">
        <v>65</v>
      </c>
      <c r="BB405" t="s">
        <v>68</v>
      </c>
      <c r="BC405" t="s">
        <v>68</v>
      </c>
      <c r="BD405">
        <v>0</v>
      </c>
      <c r="BE405" s="1">
        <v>46206.423043981478</v>
      </c>
      <c r="BF405" s="1">
        <v>46206.988703703704</v>
      </c>
      <c r="BG405" t="s">
        <v>68</v>
      </c>
      <c r="BH405" t="s">
        <v>68</v>
      </c>
      <c r="BI405" t="s">
        <v>68</v>
      </c>
      <c r="BJ405" t="s">
        <v>68</v>
      </c>
      <c r="BK405" t="s">
        <v>68</v>
      </c>
      <c r="BL405" t="s">
        <v>68</v>
      </c>
      <c r="BM405" t="s">
        <v>68</v>
      </c>
      <c r="BN405" t="s">
        <v>68</v>
      </c>
      <c r="BO405" t="s">
        <v>96</v>
      </c>
      <c r="BP405">
        <v>0</v>
      </c>
      <c r="BQ405" t="s">
        <v>68</v>
      </c>
      <c r="BR405" t="s">
        <v>68</v>
      </c>
      <c r="BS405" t="s">
        <v>68</v>
      </c>
    </row>
    <row r="406" spans="1:71" x14ac:dyDescent="0.35">
      <c r="A406" t="b">
        <f>ISNUMBER(MATCH(ChargentOrders[[#This Row],[Contract__c]],Contract[Id],0))</f>
        <v>1</v>
      </c>
      <c r="B406">
        <f>IFERROR(INDEX(Contract[CB_Subscription__c],MATCH(ChargentOrders[[#This Row],[Contract__c]],Contract[Id],0)),0)</f>
        <v>0</v>
      </c>
      <c r="C406" t="b">
        <f>ISNUMBER(MATCH(ChargentOrders[[#This Row],[Id]],Claude[Id],0))</f>
        <v>1</v>
      </c>
      <c r="D406" t="b">
        <f>AND(ChargentOrders[[#This Row],[_Contract]],ChargentOrders[[#This Row],[CB Subscription]]=0)</f>
        <v>1</v>
      </c>
      <c r="E406" s="38">
        <f>INDEX(Table5[CUENTA],MATCH(ChargentOrders[[#This Row],[Contract__c]],Table5[SM_Contract__c],0))</f>
        <v>46205</v>
      </c>
      <c r="F406" s="38" t="str">
        <f ca="1">INDEX(Table5[ESTADO],MATCH(ChargentOrders[[#This Row],[Contract__c]],Table5[SM_Contract__c],0))</f>
        <v>AL DIA</v>
      </c>
      <c r="G406" t="s">
        <v>1285</v>
      </c>
      <c r="H406" t="s">
        <v>155</v>
      </c>
      <c r="I406" t="s">
        <v>1286</v>
      </c>
      <c r="J406" s="1">
        <v>46171.642453703702</v>
      </c>
      <c r="K406">
        <v>1</v>
      </c>
      <c r="L406">
        <v>2027</v>
      </c>
      <c r="M406" t="s">
        <v>1421</v>
      </c>
      <c r="N406">
        <v>1</v>
      </c>
      <c r="O406" t="s">
        <v>1529</v>
      </c>
      <c r="P406" t="s">
        <v>73</v>
      </c>
      <c r="Q406">
        <v>2027</v>
      </c>
      <c r="R406">
        <v>0</v>
      </c>
      <c r="T406" t="s">
        <v>67</v>
      </c>
      <c r="U406" t="s">
        <v>68</v>
      </c>
      <c r="V406">
        <v>0</v>
      </c>
      <c r="W406" t="s">
        <v>69</v>
      </c>
      <c r="X406" s="5"/>
      <c r="Y406" t="s">
        <v>68</v>
      </c>
      <c r="Z406" t="s">
        <v>68</v>
      </c>
      <c r="AA406">
        <v>0</v>
      </c>
      <c r="AC406" t="s">
        <v>68</v>
      </c>
      <c r="AD406" t="s">
        <v>68</v>
      </c>
      <c r="AE406">
        <v>0</v>
      </c>
      <c r="AF406" s="1"/>
      <c r="AG406" s="1"/>
      <c r="AH406">
        <v>0</v>
      </c>
      <c r="AI406">
        <v>1</v>
      </c>
      <c r="AJ406">
        <v>0</v>
      </c>
      <c r="AK406" t="s">
        <v>1287</v>
      </c>
      <c r="AL406" t="s">
        <v>68</v>
      </c>
      <c r="AM406" t="s">
        <v>68</v>
      </c>
      <c r="AN406">
        <v>0</v>
      </c>
      <c r="AO406" s="1"/>
      <c r="AP406">
        <v>1</v>
      </c>
      <c r="AS406" t="s">
        <v>75</v>
      </c>
      <c r="AT406" t="s">
        <v>68</v>
      </c>
      <c r="AU406">
        <v>0</v>
      </c>
      <c r="AV406" t="s">
        <v>68</v>
      </c>
      <c r="AW406">
        <v>1</v>
      </c>
      <c r="AX406" s="1"/>
      <c r="AZ406" t="s">
        <v>68</v>
      </c>
      <c r="BA406" t="s">
        <v>68</v>
      </c>
      <c r="BB406" t="s">
        <v>68</v>
      </c>
      <c r="BC406" t="s">
        <v>68</v>
      </c>
      <c r="BD406">
        <v>0</v>
      </c>
      <c r="BE406" s="1">
        <v>46171.642488425925</v>
      </c>
      <c r="BF406" s="1">
        <v>46171.642488425925</v>
      </c>
      <c r="BG406" t="s">
        <v>68</v>
      </c>
      <c r="BH406" t="s">
        <v>68</v>
      </c>
      <c r="BI406" t="s">
        <v>68</v>
      </c>
      <c r="BJ406" t="s">
        <v>68</v>
      </c>
      <c r="BK406" t="s">
        <v>68</v>
      </c>
      <c r="BL406" t="s">
        <v>68</v>
      </c>
      <c r="BM406" t="s">
        <v>68</v>
      </c>
      <c r="BN406" t="s">
        <v>68</v>
      </c>
      <c r="BO406" t="s">
        <v>96</v>
      </c>
      <c r="BP406">
        <v>0</v>
      </c>
      <c r="BQ406" t="s">
        <v>68</v>
      </c>
      <c r="BR406" t="s">
        <v>68</v>
      </c>
      <c r="BS406" t="s">
        <v>68</v>
      </c>
    </row>
    <row r="407" spans="1:71" x14ac:dyDescent="0.35">
      <c r="A407" t="b">
        <f>ISNUMBER(MATCH(ChargentOrders[[#This Row],[Contract__c]],Contract[Id],0))</f>
        <v>1</v>
      </c>
      <c r="B407">
        <f>IFERROR(INDEX(Contract[CB_Subscription__c],MATCH(ChargentOrders[[#This Row],[Contract__c]],Contract[Id],0)),0)</f>
        <v>0</v>
      </c>
      <c r="C407" t="b">
        <f>ISNUMBER(MATCH(ChargentOrders[[#This Row],[Id]],Claude[Id],0))</f>
        <v>1</v>
      </c>
      <c r="D407" t="b">
        <f>AND(ChargentOrders[[#This Row],[_Contract]],ChargentOrders[[#This Row],[CB Subscription]]=0)</f>
        <v>1</v>
      </c>
      <c r="E407" s="38">
        <f>INDEX(Table5[CUENTA],MATCH(ChargentOrders[[#This Row],[Contract__c]],Table5[SM_Contract__c],0))</f>
        <v>46205</v>
      </c>
      <c r="F407" s="38" t="str">
        <f ca="1">INDEX(Table5[ESTADO],MATCH(ChargentOrders[[#This Row],[Contract__c]],Table5[SM_Contract__c],0))</f>
        <v>AL DIA</v>
      </c>
      <c r="G407" t="s">
        <v>1288</v>
      </c>
      <c r="H407" t="s">
        <v>155</v>
      </c>
      <c r="I407" t="s">
        <v>1289</v>
      </c>
      <c r="J407" s="1">
        <v>46171.642997685187</v>
      </c>
      <c r="K407">
        <v>1</v>
      </c>
      <c r="L407">
        <v>2027</v>
      </c>
      <c r="M407" t="s">
        <v>1421</v>
      </c>
      <c r="N407">
        <v>1</v>
      </c>
      <c r="O407" t="s">
        <v>1529</v>
      </c>
      <c r="P407" t="s">
        <v>73</v>
      </c>
      <c r="Q407">
        <v>2027</v>
      </c>
      <c r="R407">
        <v>0</v>
      </c>
      <c r="T407" t="s">
        <v>67</v>
      </c>
      <c r="U407" t="s">
        <v>68</v>
      </c>
      <c r="V407">
        <v>0</v>
      </c>
      <c r="W407" t="s">
        <v>69</v>
      </c>
      <c r="X407" s="5"/>
      <c r="Y407" t="s">
        <v>68</v>
      </c>
      <c r="Z407" t="s">
        <v>68</v>
      </c>
      <c r="AA407">
        <v>0</v>
      </c>
      <c r="AC407" t="s">
        <v>1290</v>
      </c>
      <c r="AD407" t="s">
        <v>68</v>
      </c>
      <c r="AE407">
        <v>0</v>
      </c>
      <c r="AF407" s="1"/>
      <c r="AG407" s="1">
        <v>46171.64303240741</v>
      </c>
      <c r="AH407">
        <v>0</v>
      </c>
      <c r="AI407">
        <v>1</v>
      </c>
      <c r="AJ407">
        <v>0</v>
      </c>
      <c r="AK407" t="s">
        <v>1287</v>
      </c>
      <c r="AL407" t="s">
        <v>68</v>
      </c>
      <c r="AM407" t="s">
        <v>68</v>
      </c>
      <c r="AN407">
        <v>0</v>
      </c>
      <c r="AO407" s="1"/>
      <c r="AP407">
        <v>1</v>
      </c>
      <c r="AS407" t="s">
        <v>75</v>
      </c>
      <c r="AT407" t="s">
        <v>68</v>
      </c>
      <c r="AU407">
        <v>0</v>
      </c>
      <c r="AV407" t="s">
        <v>68</v>
      </c>
      <c r="AW407">
        <v>1</v>
      </c>
      <c r="AX407" s="1"/>
      <c r="AZ407" t="s">
        <v>68</v>
      </c>
      <c r="BA407" t="s">
        <v>68</v>
      </c>
      <c r="BB407" t="s">
        <v>68</v>
      </c>
      <c r="BC407" t="s">
        <v>68</v>
      </c>
      <c r="BD407">
        <v>0</v>
      </c>
      <c r="BE407" s="1"/>
      <c r="BF407" s="1">
        <v>46171.64303240741</v>
      </c>
      <c r="BG407" t="s">
        <v>68</v>
      </c>
      <c r="BH407" t="s">
        <v>68</v>
      </c>
      <c r="BI407" t="s">
        <v>68</v>
      </c>
      <c r="BJ407" t="s">
        <v>68</v>
      </c>
      <c r="BK407" t="s">
        <v>68</v>
      </c>
      <c r="BL407" t="s">
        <v>68</v>
      </c>
      <c r="BM407" t="s">
        <v>68</v>
      </c>
      <c r="BN407" t="s">
        <v>68</v>
      </c>
      <c r="BO407" t="s">
        <v>96</v>
      </c>
      <c r="BP407">
        <v>0</v>
      </c>
      <c r="BQ407" t="s">
        <v>68</v>
      </c>
      <c r="BR407" t="s">
        <v>68</v>
      </c>
      <c r="BS407" t="s">
        <v>68</v>
      </c>
    </row>
    <row r="408" spans="1:71" x14ac:dyDescent="0.35">
      <c r="A408" t="b">
        <f>ISNUMBER(MATCH(ChargentOrders[[#This Row],[Contract__c]],Contract[Id],0))</f>
        <v>1</v>
      </c>
      <c r="B408">
        <f>IFERROR(INDEX(Contract[CB_Subscription__c],MATCH(ChargentOrders[[#This Row],[Contract__c]],Contract[Id],0)),0)</f>
        <v>0</v>
      </c>
      <c r="C408" t="b">
        <f>ISNUMBER(MATCH(ChargentOrders[[#This Row],[Id]],Claude[Id],0))</f>
        <v>1</v>
      </c>
      <c r="D408" t="b">
        <f>AND(ChargentOrders[[#This Row],[_Contract]],ChargentOrders[[#This Row],[CB Subscription]]=0)</f>
        <v>1</v>
      </c>
      <c r="E408" s="38">
        <f>INDEX(Table5[CUENTA],MATCH(ChargentOrders[[#This Row],[Contract__c]],Table5[SM_Contract__c],0))</f>
        <v>46205</v>
      </c>
      <c r="F408" s="38" t="str">
        <f ca="1">INDEX(Table5[ESTADO],MATCH(ChargentOrders[[#This Row],[Contract__c]],Table5[SM_Contract__c],0))</f>
        <v>AL DIA</v>
      </c>
      <c r="G408" t="s">
        <v>1291</v>
      </c>
      <c r="H408" t="s">
        <v>155</v>
      </c>
      <c r="I408" t="s">
        <v>1292</v>
      </c>
      <c r="J408" s="1">
        <v>46171.64371527778</v>
      </c>
      <c r="K408">
        <v>1</v>
      </c>
      <c r="L408">
        <v>2027</v>
      </c>
      <c r="M408" t="s">
        <v>1421</v>
      </c>
      <c r="N408">
        <v>1</v>
      </c>
      <c r="O408" t="s">
        <v>1529</v>
      </c>
      <c r="P408" t="s">
        <v>73</v>
      </c>
      <c r="Q408">
        <v>2027</v>
      </c>
      <c r="R408">
        <v>9900</v>
      </c>
      <c r="T408" t="s">
        <v>67</v>
      </c>
      <c r="U408" t="s">
        <v>68</v>
      </c>
      <c r="V408">
        <v>0</v>
      </c>
      <c r="W408" t="s">
        <v>69</v>
      </c>
      <c r="X408" s="5">
        <v>46177</v>
      </c>
      <c r="Y408" t="s">
        <v>74</v>
      </c>
      <c r="Z408" t="s">
        <v>68</v>
      </c>
      <c r="AA408">
        <v>9900</v>
      </c>
      <c r="AB408">
        <v>0</v>
      </c>
      <c r="AC408" t="s">
        <v>1290</v>
      </c>
      <c r="AD408" t="s">
        <v>68</v>
      </c>
      <c r="AE408">
        <v>0</v>
      </c>
      <c r="AF408" s="1"/>
      <c r="AG408" s="1"/>
      <c r="AH408">
        <v>0</v>
      </c>
      <c r="AI408">
        <v>1</v>
      </c>
      <c r="AJ408">
        <v>0</v>
      </c>
      <c r="AK408" t="s">
        <v>1287</v>
      </c>
      <c r="AL408" t="s">
        <v>77</v>
      </c>
      <c r="AM408" t="s">
        <v>68</v>
      </c>
      <c r="AN408">
        <v>0</v>
      </c>
      <c r="AO408" s="1"/>
      <c r="AP408">
        <v>1</v>
      </c>
      <c r="AQ408">
        <v>0</v>
      </c>
      <c r="AR408">
        <v>0</v>
      </c>
      <c r="AS408" t="s">
        <v>75</v>
      </c>
      <c r="AT408" t="s">
        <v>68</v>
      </c>
      <c r="AU408">
        <v>0</v>
      </c>
      <c r="AV408" t="s">
        <v>68</v>
      </c>
      <c r="AW408">
        <v>0</v>
      </c>
      <c r="AX408" s="1"/>
      <c r="AZ408" t="s">
        <v>68</v>
      </c>
      <c r="BA408" t="s">
        <v>68</v>
      </c>
      <c r="BB408" t="s">
        <v>68</v>
      </c>
      <c r="BC408" t="s">
        <v>68</v>
      </c>
      <c r="BD408">
        <v>0</v>
      </c>
      <c r="BE408" s="1">
        <v>46177.424571759257</v>
      </c>
      <c r="BF408" s="1">
        <v>46177.424571759257</v>
      </c>
      <c r="BG408" t="s">
        <v>68</v>
      </c>
      <c r="BH408" t="s">
        <v>68</v>
      </c>
      <c r="BI408" t="s">
        <v>68</v>
      </c>
      <c r="BJ408" t="s">
        <v>68</v>
      </c>
      <c r="BK408" t="s">
        <v>68</v>
      </c>
      <c r="BL408" t="s">
        <v>68</v>
      </c>
      <c r="BM408" t="s">
        <v>68</v>
      </c>
      <c r="BN408" t="s">
        <v>68</v>
      </c>
      <c r="BO408" t="s">
        <v>96</v>
      </c>
      <c r="BP408">
        <v>0</v>
      </c>
      <c r="BQ408" t="s">
        <v>68</v>
      </c>
      <c r="BR408" t="s">
        <v>68</v>
      </c>
      <c r="BS408" t="s">
        <v>68</v>
      </c>
    </row>
    <row r="409" spans="1:71" x14ac:dyDescent="0.35">
      <c r="A409" t="b">
        <f>ISNUMBER(MATCH(ChargentOrders[[#This Row],[Contract__c]],Contract[Id],0))</f>
        <v>1</v>
      </c>
      <c r="B409">
        <f>IFERROR(INDEX(Contract[CB_Subscription__c],MATCH(ChargentOrders[[#This Row],[Contract__c]],Contract[Id],0)),0)</f>
        <v>0</v>
      </c>
      <c r="C409" t="b">
        <f>ISNUMBER(MATCH(ChargentOrders[[#This Row],[Id]],Claude[Id],0))</f>
        <v>1</v>
      </c>
      <c r="D409" t="b">
        <f>AND(ChargentOrders[[#This Row],[_Contract]],ChargentOrders[[#This Row],[CB Subscription]]=0)</f>
        <v>1</v>
      </c>
      <c r="E409" s="38">
        <f>INDEX(Table5[CUENTA],MATCH(ChargentOrders[[#This Row],[Contract__c]],Table5[SM_Contract__c],0))</f>
        <v>46205</v>
      </c>
      <c r="F409" s="38" t="str">
        <f ca="1">INDEX(Table5[ESTADO],MATCH(ChargentOrders[[#This Row],[Contract__c]],Table5[SM_Contract__c],0))</f>
        <v>AL DIA</v>
      </c>
      <c r="G409" t="s">
        <v>1297</v>
      </c>
      <c r="H409" t="s">
        <v>155</v>
      </c>
      <c r="I409" t="s">
        <v>1298</v>
      </c>
      <c r="J409" s="1">
        <v>46177.424618055556</v>
      </c>
      <c r="K409">
        <v>1</v>
      </c>
      <c r="L409">
        <v>2027</v>
      </c>
      <c r="M409" t="s">
        <v>1421</v>
      </c>
      <c r="N409">
        <v>1</v>
      </c>
      <c r="O409" t="s">
        <v>1529</v>
      </c>
      <c r="P409" t="s">
        <v>73</v>
      </c>
      <c r="Q409">
        <v>2027</v>
      </c>
      <c r="R409">
        <v>990</v>
      </c>
      <c r="T409" t="s">
        <v>67</v>
      </c>
      <c r="U409" t="s">
        <v>68</v>
      </c>
      <c r="V409">
        <v>0</v>
      </c>
      <c r="W409" t="s">
        <v>69</v>
      </c>
      <c r="X409" s="5">
        <v>46178</v>
      </c>
      <c r="Y409" t="s">
        <v>74</v>
      </c>
      <c r="Z409" t="s">
        <v>68</v>
      </c>
      <c r="AA409">
        <v>9900</v>
      </c>
      <c r="AB409">
        <v>0</v>
      </c>
      <c r="AC409" t="s">
        <v>1290</v>
      </c>
      <c r="AD409" t="s">
        <v>68</v>
      </c>
      <c r="AE409">
        <v>0</v>
      </c>
      <c r="AF409" s="1">
        <v>46177.721782407411</v>
      </c>
      <c r="AG409" s="1">
        <v>46177.721782407411</v>
      </c>
      <c r="AH409">
        <v>1</v>
      </c>
      <c r="AI409">
        <v>3</v>
      </c>
      <c r="AJ409">
        <v>990</v>
      </c>
      <c r="AK409" t="s">
        <v>1287</v>
      </c>
      <c r="AL409" t="s">
        <v>71</v>
      </c>
      <c r="AM409" t="s">
        <v>68</v>
      </c>
      <c r="AN409">
        <v>0</v>
      </c>
      <c r="AO409" s="1"/>
      <c r="AQ409">
        <v>0</v>
      </c>
      <c r="AR409">
        <v>0</v>
      </c>
      <c r="AS409" t="s">
        <v>72</v>
      </c>
      <c r="AT409" t="s">
        <v>68</v>
      </c>
      <c r="AU409">
        <v>0</v>
      </c>
      <c r="AV409" t="s">
        <v>1299</v>
      </c>
      <c r="AW409">
        <v>0</v>
      </c>
      <c r="AX409" s="1">
        <v>46177.717939814815</v>
      </c>
      <c r="AY409">
        <v>0</v>
      </c>
      <c r="AZ409" t="s">
        <v>68</v>
      </c>
      <c r="BA409" t="s">
        <v>65</v>
      </c>
      <c r="BB409" t="s">
        <v>68</v>
      </c>
      <c r="BC409" t="s">
        <v>68</v>
      </c>
      <c r="BD409">
        <v>0</v>
      </c>
      <c r="BE409" s="1">
        <v>46177.719050925924</v>
      </c>
      <c r="BF409" s="1">
        <v>46177.721782407411</v>
      </c>
      <c r="BG409" t="s">
        <v>68</v>
      </c>
      <c r="BH409" t="s">
        <v>68</v>
      </c>
      <c r="BI409" t="s">
        <v>68</v>
      </c>
      <c r="BJ409" t="s">
        <v>68</v>
      </c>
      <c r="BK409" t="s">
        <v>68</v>
      </c>
      <c r="BL409" t="s">
        <v>68</v>
      </c>
      <c r="BM409" t="s">
        <v>68</v>
      </c>
      <c r="BN409" t="s">
        <v>68</v>
      </c>
      <c r="BO409" t="s">
        <v>96</v>
      </c>
      <c r="BP409">
        <v>0</v>
      </c>
      <c r="BQ409" t="s">
        <v>68</v>
      </c>
      <c r="BR409" t="s">
        <v>68</v>
      </c>
      <c r="BS409" t="s">
        <v>68</v>
      </c>
    </row>
    <row r="410" spans="1:71" x14ac:dyDescent="0.35">
      <c r="A410" t="b">
        <f>ISNUMBER(MATCH(ChargentOrders[[#This Row],[Contract__c]],Contract[Id],0))</f>
        <v>1</v>
      </c>
      <c r="B410">
        <f>IFERROR(INDEX(Contract[CB_Subscription__c],MATCH(ChargentOrders[[#This Row],[Contract__c]],Contract[Id],0)),0)</f>
        <v>0</v>
      </c>
      <c r="C410" t="b">
        <f>ISNUMBER(MATCH(ChargentOrders[[#This Row],[Id]],Claude[Id],0))</f>
        <v>1</v>
      </c>
      <c r="D410" t="b">
        <f>AND(ChargentOrders[[#This Row],[_Contract]],ChargentOrders[[#This Row],[CB Subscription]]=0)</f>
        <v>1</v>
      </c>
      <c r="E410" s="38">
        <f>INDEX(Table5[CUENTA],MATCH(ChargentOrders[[#This Row],[Contract__c]],Table5[SM_Contract__c],0))</f>
        <v>46205</v>
      </c>
      <c r="F410" s="38" t="str">
        <f ca="1">INDEX(Table5[ESTADO],MATCH(ChargentOrders[[#This Row],[Contract__c]],Table5[SM_Contract__c],0))</f>
        <v>AL DIA</v>
      </c>
      <c r="G410" t="s">
        <v>1305</v>
      </c>
      <c r="H410" t="s">
        <v>155</v>
      </c>
      <c r="I410" t="s">
        <v>1306</v>
      </c>
      <c r="J410" s="1">
        <v>46177.721805555557</v>
      </c>
      <c r="K410">
        <v>1</v>
      </c>
      <c r="L410">
        <v>2027</v>
      </c>
      <c r="M410" t="s">
        <v>1421</v>
      </c>
      <c r="N410">
        <v>1</v>
      </c>
      <c r="O410" t="s">
        <v>1529</v>
      </c>
      <c r="P410" t="s">
        <v>73</v>
      </c>
      <c r="Q410">
        <v>2027</v>
      </c>
      <c r="R410">
        <v>9900</v>
      </c>
      <c r="S410">
        <v>31</v>
      </c>
      <c r="T410" t="s">
        <v>67</v>
      </c>
      <c r="U410" t="s">
        <v>68</v>
      </c>
      <c r="V410">
        <v>0</v>
      </c>
      <c r="W410" t="s">
        <v>69</v>
      </c>
      <c r="X410" s="5">
        <v>46234</v>
      </c>
      <c r="Y410" t="s">
        <v>84</v>
      </c>
      <c r="Z410" t="s">
        <v>68</v>
      </c>
      <c r="AA410">
        <v>9900</v>
      </c>
      <c r="AB410">
        <v>0</v>
      </c>
      <c r="AC410" t="s">
        <v>1290</v>
      </c>
      <c r="AD410" t="s">
        <v>68</v>
      </c>
      <c r="AE410">
        <v>0</v>
      </c>
      <c r="AF410" s="1"/>
      <c r="AG410" s="1"/>
      <c r="AH410">
        <v>0</v>
      </c>
      <c r="AI410">
        <v>1</v>
      </c>
      <c r="AJ410">
        <v>0</v>
      </c>
      <c r="AK410" t="s">
        <v>1287</v>
      </c>
      <c r="AL410" t="s">
        <v>76</v>
      </c>
      <c r="AM410" t="s">
        <v>68</v>
      </c>
      <c r="AN410">
        <v>0</v>
      </c>
      <c r="AO410" s="1"/>
      <c r="AP410">
        <v>2</v>
      </c>
      <c r="AQ410">
        <v>0</v>
      </c>
      <c r="AR410">
        <v>0</v>
      </c>
      <c r="AS410" t="s">
        <v>75</v>
      </c>
      <c r="AT410" t="s">
        <v>68</v>
      </c>
      <c r="AU410">
        <v>0</v>
      </c>
      <c r="AV410" t="s">
        <v>68</v>
      </c>
      <c r="AW410">
        <v>0</v>
      </c>
      <c r="AX410" s="1"/>
      <c r="AZ410" t="s">
        <v>68</v>
      </c>
      <c r="BA410" t="s">
        <v>68</v>
      </c>
      <c r="BB410" t="s">
        <v>68</v>
      </c>
      <c r="BC410" t="s">
        <v>68</v>
      </c>
      <c r="BD410">
        <v>0</v>
      </c>
      <c r="BE410" s="1">
        <v>46205.421990740739</v>
      </c>
      <c r="BF410" s="1">
        <v>46205.421990740739</v>
      </c>
      <c r="BG410" t="s">
        <v>68</v>
      </c>
      <c r="BH410" t="s">
        <v>68</v>
      </c>
      <c r="BI410" t="s">
        <v>68</v>
      </c>
      <c r="BJ410" t="s">
        <v>68</v>
      </c>
      <c r="BK410" t="s">
        <v>68</v>
      </c>
      <c r="BL410" t="s">
        <v>68</v>
      </c>
      <c r="BM410" t="s">
        <v>68</v>
      </c>
      <c r="BN410" t="s">
        <v>68</v>
      </c>
      <c r="BO410" t="s">
        <v>96</v>
      </c>
      <c r="BP410">
        <v>0</v>
      </c>
      <c r="BQ410" t="s">
        <v>68</v>
      </c>
      <c r="BR410" t="s">
        <v>68</v>
      </c>
      <c r="BS410" t="s">
        <v>68</v>
      </c>
    </row>
    <row r="411" spans="1:71" x14ac:dyDescent="0.35">
      <c r="A411" t="b">
        <f>ISNUMBER(MATCH(ChargentOrders[[#This Row],[Contract__c]],Contract[Id],0))</f>
        <v>1</v>
      </c>
      <c r="B411">
        <f>IFERROR(INDEX(Contract[CB_Subscription__c],MATCH(ChargentOrders[[#This Row],[Contract__c]],Contract[Id],0)),0)</f>
        <v>0</v>
      </c>
      <c r="C411" t="b">
        <f>ISNUMBER(MATCH(ChargentOrders[[#This Row],[Id]],Claude[Id],0))</f>
        <v>1</v>
      </c>
      <c r="D411" t="b">
        <f>AND(ChargentOrders[[#This Row],[_Contract]],ChargentOrders[[#This Row],[CB Subscription]]=0)</f>
        <v>1</v>
      </c>
      <c r="E411" s="38">
        <f>INDEX(Table5[CUENTA],MATCH(ChargentOrders[[#This Row],[Contract__c]],Table5[SM_Contract__c],0))</f>
        <v>46205</v>
      </c>
      <c r="F411" s="38" t="str">
        <f ca="1">INDEX(Table5[ESTADO],MATCH(ChargentOrders[[#This Row],[Contract__c]],Table5[SM_Contract__c],0))</f>
        <v>AL DIA</v>
      </c>
      <c r="G411" t="s">
        <v>1390</v>
      </c>
      <c r="H411" t="s">
        <v>155</v>
      </c>
      <c r="I411" t="s">
        <v>1391</v>
      </c>
      <c r="J411" s="1">
        <v>46205.422025462962</v>
      </c>
      <c r="K411">
        <v>1</v>
      </c>
      <c r="L411">
        <v>2027</v>
      </c>
      <c r="M411" t="s">
        <v>1421</v>
      </c>
      <c r="N411">
        <v>1</v>
      </c>
      <c r="O411" t="s">
        <v>1529</v>
      </c>
      <c r="P411" t="s">
        <v>73</v>
      </c>
      <c r="Q411">
        <v>2027</v>
      </c>
      <c r="R411">
        <v>1240</v>
      </c>
      <c r="T411" t="s">
        <v>67</v>
      </c>
      <c r="U411" t="s">
        <v>68</v>
      </c>
      <c r="V411">
        <v>0</v>
      </c>
      <c r="W411" t="s">
        <v>69</v>
      </c>
      <c r="X411" s="5">
        <v>46212</v>
      </c>
      <c r="Y411" t="s">
        <v>90</v>
      </c>
      <c r="Z411" t="s">
        <v>68</v>
      </c>
      <c r="AA411">
        <v>12400</v>
      </c>
      <c r="AB411">
        <v>0</v>
      </c>
      <c r="AC411" t="s">
        <v>1290</v>
      </c>
      <c r="AD411" t="s">
        <v>68</v>
      </c>
      <c r="AE411">
        <v>0</v>
      </c>
      <c r="AF411" s="1"/>
      <c r="AG411" s="1"/>
      <c r="AH411">
        <v>0</v>
      </c>
      <c r="AI411">
        <v>3</v>
      </c>
      <c r="AJ411">
        <v>0</v>
      </c>
      <c r="AK411" t="s">
        <v>1287</v>
      </c>
      <c r="AL411" t="s">
        <v>71</v>
      </c>
      <c r="AM411" t="s">
        <v>68</v>
      </c>
      <c r="AN411">
        <v>0</v>
      </c>
      <c r="AO411" s="1"/>
      <c r="AQ411">
        <v>0</v>
      </c>
      <c r="AR411">
        <v>0</v>
      </c>
      <c r="AS411" t="s">
        <v>72</v>
      </c>
      <c r="AT411" t="s">
        <v>68</v>
      </c>
      <c r="AU411">
        <v>1</v>
      </c>
      <c r="AV411" t="s">
        <v>1392</v>
      </c>
      <c r="AW411">
        <v>0</v>
      </c>
      <c r="AX411" s="1">
        <v>46177.721805555557</v>
      </c>
      <c r="AY411">
        <v>2500</v>
      </c>
      <c r="AZ411" t="s">
        <v>68</v>
      </c>
      <c r="BA411" t="s">
        <v>65</v>
      </c>
      <c r="BB411" t="s">
        <v>68</v>
      </c>
      <c r="BC411" t="s">
        <v>68</v>
      </c>
      <c r="BD411">
        <v>0</v>
      </c>
      <c r="BE411" s="1">
        <v>46216.995104166665</v>
      </c>
      <c r="BF411" s="1">
        <v>46216.995104166665</v>
      </c>
      <c r="BG411" t="s">
        <v>68</v>
      </c>
      <c r="BH411" t="s">
        <v>68</v>
      </c>
      <c r="BI411" t="s">
        <v>68</v>
      </c>
      <c r="BJ411" t="s">
        <v>68</v>
      </c>
      <c r="BK411" t="s">
        <v>68</v>
      </c>
      <c r="BL411" t="s">
        <v>68</v>
      </c>
      <c r="BM411" t="s">
        <v>68</v>
      </c>
      <c r="BN411" t="s">
        <v>68</v>
      </c>
      <c r="BO411" t="s">
        <v>96</v>
      </c>
      <c r="BP411">
        <v>0</v>
      </c>
      <c r="BQ411" t="s">
        <v>68</v>
      </c>
      <c r="BR411" t="s">
        <v>68</v>
      </c>
      <c r="BS411" t="s">
        <v>68</v>
      </c>
    </row>
    <row r="412" spans="1:71" x14ac:dyDescent="0.35">
      <c r="A412" t="b">
        <f>ISNUMBER(MATCH(ChargentOrders[[#This Row],[Contract__c]],Contract[Id],0))</f>
        <v>1</v>
      </c>
      <c r="B412">
        <f>IFERROR(INDEX(Contract[CB_Subscription__c],MATCH(ChargentOrders[[#This Row],[Contract__c]],Contract[Id],0)),0)</f>
        <v>0</v>
      </c>
      <c r="C412" t="b">
        <f>ISNUMBER(MATCH(ChargentOrders[[#This Row],[Id]],Claude[Id],0))</f>
        <v>1</v>
      </c>
      <c r="D412" t="b">
        <f>AND(ChargentOrders[[#This Row],[_Contract]],ChargentOrders[[#This Row],[CB Subscription]]=0)</f>
        <v>1</v>
      </c>
      <c r="E412" s="38">
        <f>INDEX(Table5[CUENTA],MATCH(ChargentOrders[[#This Row],[Contract__c]],Table5[SM_Contract__c],0))</f>
        <v>46218</v>
      </c>
      <c r="F412" s="38" t="str">
        <f ca="1">INDEX(Table5[ESTADO],MATCH(ChargentOrders[[#This Row],[Contract__c]],Table5[SM_Contract__c],0))</f>
        <v>AL DIA</v>
      </c>
      <c r="G412" t="s">
        <v>1191</v>
      </c>
      <c r="H412" t="s">
        <v>155</v>
      </c>
      <c r="I412" t="s">
        <v>1192</v>
      </c>
      <c r="J412" s="1">
        <v>46168.589687500003</v>
      </c>
      <c r="K412">
        <v>4</v>
      </c>
      <c r="L412">
        <v>2031</v>
      </c>
      <c r="M412" t="s">
        <v>1426</v>
      </c>
      <c r="N412">
        <v>4</v>
      </c>
      <c r="O412" t="s">
        <v>1523</v>
      </c>
      <c r="P412" t="s">
        <v>73</v>
      </c>
      <c r="Q412">
        <v>2031</v>
      </c>
      <c r="R412">
        <v>0</v>
      </c>
      <c r="T412" t="s">
        <v>67</v>
      </c>
      <c r="U412" t="s">
        <v>68</v>
      </c>
      <c r="V412">
        <v>0</v>
      </c>
      <c r="W412" t="s">
        <v>69</v>
      </c>
      <c r="X412" s="5"/>
      <c r="Y412" t="s">
        <v>68</v>
      </c>
      <c r="Z412" t="s">
        <v>68</v>
      </c>
      <c r="AA412">
        <v>0</v>
      </c>
      <c r="AC412" t="s">
        <v>1193</v>
      </c>
      <c r="AD412" t="s">
        <v>68</v>
      </c>
      <c r="AE412">
        <v>0</v>
      </c>
      <c r="AF412" s="1"/>
      <c r="AG412" s="1">
        <v>46168.589756944442</v>
      </c>
      <c r="AH412">
        <v>0</v>
      </c>
      <c r="AI412">
        <v>1</v>
      </c>
      <c r="AJ412">
        <v>0</v>
      </c>
      <c r="AK412" t="s">
        <v>1194</v>
      </c>
      <c r="AL412" t="s">
        <v>68</v>
      </c>
      <c r="AM412" t="s">
        <v>68</v>
      </c>
      <c r="AN412">
        <v>0</v>
      </c>
      <c r="AO412" s="1"/>
      <c r="AP412">
        <v>1</v>
      </c>
      <c r="AS412" t="s">
        <v>75</v>
      </c>
      <c r="AT412" t="s">
        <v>68</v>
      </c>
      <c r="AU412">
        <v>0</v>
      </c>
      <c r="AV412" t="s">
        <v>68</v>
      </c>
      <c r="AW412">
        <v>1</v>
      </c>
      <c r="AX412" s="1"/>
      <c r="AZ412" t="s">
        <v>68</v>
      </c>
      <c r="BA412" t="s">
        <v>68</v>
      </c>
      <c r="BB412" t="s">
        <v>68</v>
      </c>
      <c r="BC412" t="s">
        <v>68</v>
      </c>
      <c r="BD412">
        <v>0</v>
      </c>
      <c r="BE412" s="1"/>
      <c r="BF412" s="1">
        <v>46168.589756944442</v>
      </c>
      <c r="BG412" t="s">
        <v>68</v>
      </c>
      <c r="BH412" t="s">
        <v>68</v>
      </c>
      <c r="BI412" t="s">
        <v>68</v>
      </c>
      <c r="BJ412" t="s">
        <v>68</v>
      </c>
      <c r="BK412" t="s">
        <v>68</v>
      </c>
      <c r="BL412" t="s">
        <v>68</v>
      </c>
      <c r="BM412" t="s">
        <v>68</v>
      </c>
      <c r="BN412" t="s">
        <v>68</v>
      </c>
      <c r="BO412" t="s">
        <v>96</v>
      </c>
      <c r="BP412">
        <v>0</v>
      </c>
      <c r="BQ412" t="s">
        <v>68</v>
      </c>
      <c r="BR412" t="s">
        <v>68</v>
      </c>
      <c r="BS412" t="s">
        <v>68</v>
      </c>
    </row>
    <row r="413" spans="1:71" x14ac:dyDescent="0.35">
      <c r="A413" t="b">
        <f>ISNUMBER(MATCH(ChargentOrders[[#This Row],[Contract__c]],Contract[Id],0))</f>
        <v>1</v>
      </c>
      <c r="B413">
        <f>IFERROR(INDEX(Contract[CB_Subscription__c],MATCH(ChargentOrders[[#This Row],[Contract__c]],Contract[Id],0)),0)</f>
        <v>0</v>
      </c>
      <c r="C413" t="b">
        <f>ISNUMBER(MATCH(ChargentOrders[[#This Row],[Id]],Claude[Id],0))</f>
        <v>1</v>
      </c>
      <c r="D413" t="b">
        <f>AND(ChargentOrders[[#This Row],[_Contract]],ChargentOrders[[#This Row],[CB Subscription]]=0)</f>
        <v>1</v>
      </c>
      <c r="E413" s="38">
        <f>INDEX(Table5[CUENTA],MATCH(ChargentOrders[[#This Row],[Contract__c]],Table5[SM_Contract__c],0))</f>
        <v>46218</v>
      </c>
      <c r="F413" s="38" t="str">
        <f ca="1">INDEX(Table5[ESTADO],MATCH(ChargentOrders[[#This Row],[Contract__c]],Table5[SM_Contract__c],0))</f>
        <v>AL DIA</v>
      </c>
      <c r="G413" t="s">
        <v>1195</v>
      </c>
      <c r="H413" t="s">
        <v>155</v>
      </c>
      <c r="I413" t="s">
        <v>1196</v>
      </c>
      <c r="J413" s="1">
        <v>46168.590162037035</v>
      </c>
      <c r="K413">
        <v>4</v>
      </c>
      <c r="L413">
        <v>2031</v>
      </c>
      <c r="M413" t="s">
        <v>1426</v>
      </c>
      <c r="N413">
        <v>4</v>
      </c>
      <c r="O413" t="s">
        <v>1523</v>
      </c>
      <c r="P413" t="s">
        <v>73</v>
      </c>
      <c r="Q413">
        <v>2031</v>
      </c>
      <c r="R413">
        <v>990</v>
      </c>
      <c r="T413" t="s">
        <v>67</v>
      </c>
      <c r="U413" t="s">
        <v>68</v>
      </c>
      <c r="V413">
        <v>0</v>
      </c>
      <c r="W413" t="s">
        <v>69</v>
      </c>
      <c r="X413" s="5">
        <v>46174</v>
      </c>
      <c r="Y413" t="s">
        <v>74</v>
      </c>
      <c r="Z413" t="s">
        <v>68</v>
      </c>
      <c r="AA413">
        <v>9900</v>
      </c>
      <c r="AB413">
        <v>0</v>
      </c>
      <c r="AC413" t="s">
        <v>1193</v>
      </c>
      <c r="AD413" t="s">
        <v>68</v>
      </c>
      <c r="AE413">
        <v>0</v>
      </c>
      <c r="AF413" s="1">
        <v>46170.633425925924</v>
      </c>
      <c r="AG413" s="1">
        <v>46170.633425925924</v>
      </c>
      <c r="AH413">
        <v>1</v>
      </c>
      <c r="AI413">
        <v>1</v>
      </c>
      <c r="AJ413">
        <v>990</v>
      </c>
      <c r="AK413" t="s">
        <v>1194</v>
      </c>
      <c r="AL413" t="s">
        <v>77</v>
      </c>
      <c r="AM413" t="s">
        <v>68</v>
      </c>
      <c r="AN413">
        <v>0</v>
      </c>
      <c r="AO413" s="1"/>
      <c r="AP413">
        <v>1</v>
      </c>
      <c r="AQ413">
        <v>0</v>
      </c>
      <c r="AR413">
        <v>0</v>
      </c>
      <c r="AS413" t="s">
        <v>75</v>
      </c>
      <c r="AT413" t="s">
        <v>68</v>
      </c>
      <c r="AU413">
        <v>0</v>
      </c>
      <c r="AV413" t="s">
        <v>68</v>
      </c>
      <c r="AW413">
        <v>0</v>
      </c>
      <c r="AX413" s="1"/>
      <c r="AZ413" t="s">
        <v>68</v>
      </c>
      <c r="BA413" t="s">
        <v>68</v>
      </c>
      <c r="BB413" t="s">
        <v>68</v>
      </c>
      <c r="BC413" t="s">
        <v>68</v>
      </c>
      <c r="BD413">
        <v>0</v>
      </c>
      <c r="BE413" s="1"/>
      <c r="BF413" s="1">
        <v>46170.633425925924</v>
      </c>
      <c r="BG413" t="s">
        <v>68</v>
      </c>
      <c r="BH413" t="s">
        <v>68</v>
      </c>
      <c r="BI413" t="s">
        <v>68</v>
      </c>
      <c r="BJ413" t="s">
        <v>68</v>
      </c>
      <c r="BK413" t="s">
        <v>68</v>
      </c>
      <c r="BL413" t="s">
        <v>68</v>
      </c>
      <c r="BM413" t="s">
        <v>68</v>
      </c>
      <c r="BN413" t="s">
        <v>68</v>
      </c>
      <c r="BO413" t="s">
        <v>96</v>
      </c>
      <c r="BP413">
        <v>0</v>
      </c>
      <c r="BQ413" t="s">
        <v>68</v>
      </c>
      <c r="BR413" t="s">
        <v>68</v>
      </c>
      <c r="BS413" t="s">
        <v>68</v>
      </c>
    </row>
    <row r="414" spans="1:71" x14ac:dyDescent="0.35">
      <c r="A414" t="b">
        <f>ISNUMBER(MATCH(ChargentOrders[[#This Row],[Contract__c]],Contract[Id],0))</f>
        <v>1</v>
      </c>
      <c r="B414">
        <f>IFERROR(INDEX(Contract[CB_Subscription__c],MATCH(ChargentOrders[[#This Row],[Contract__c]],Contract[Id],0)),0)</f>
        <v>0</v>
      </c>
      <c r="C414" t="b">
        <f>ISNUMBER(MATCH(ChargentOrders[[#This Row],[Id]],Claude[Id],0))</f>
        <v>1</v>
      </c>
      <c r="D414" t="b">
        <f>AND(ChargentOrders[[#This Row],[_Contract]],ChargentOrders[[#This Row],[CB Subscription]]=0)</f>
        <v>1</v>
      </c>
      <c r="E414" s="38">
        <f>INDEX(Table5[CUENTA],MATCH(ChargentOrders[[#This Row],[Contract__c]],Table5[SM_Contract__c],0))</f>
        <v>46218</v>
      </c>
      <c r="F414" s="38" t="str">
        <f ca="1">INDEX(Table5[ESTADO],MATCH(ChargentOrders[[#This Row],[Contract__c]],Table5[SM_Contract__c],0))</f>
        <v>AL DIA</v>
      </c>
      <c r="G414" t="s">
        <v>1216</v>
      </c>
      <c r="H414" t="s">
        <v>155</v>
      </c>
      <c r="I414" t="s">
        <v>1217</v>
      </c>
      <c r="J414" s="1">
        <v>46170.633449074077</v>
      </c>
      <c r="K414">
        <v>4</v>
      </c>
      <c r="L414">
        <v>2031</v>
      </c>
      <c r="M414" t="s">
        <v>1426</v>
      </c>
      <c r="N414">
        <v>4</v>
      </c>
      <c r="O414" t="s">
        <v>1523</v>
      </c>
      <c r="P414" t="s">
        <v>73</v>
      </c>
      <c r="Q414">
        <v>2031</v>
      </c>
      <c r="R414">
        <v>99000</v>
      </c>
      <c r="S414">
        <v>15</v>
      </c>
      <c r="T414" t="s">
        <v>67</v>
      </c>
      <c r="U414" t="s">
        <v>68</v>
      </c>
      <c r="V414">
        <v>0</v>
      </c>
      <c r="W414" t="s">
        <v>69</v>
      </c>
      <c r="X414" s="5">
        <v>46218</v>
      </c>
      <c r="Y414" t="s">
        <v>84</v>
      </c>
      <c r="Z414" t="s">
        <v>68</v>
      </c>
      <c r="AA414">
        <v>990</v>
      </c>
      <c r="AB414">
        <v>0</v>
      </c>
      <c r="AC414" t="s">
        <v>1193</v>
      </c>
      <c r="AD414" t="s">
        <v>68</v>
      </c>
      <c r="AE414">
        <v>0</v>
      </c>
      <c r="AF414" s="1"/>
      <c r="AG414" s="1"/>
      <c r="AH414">
        <v>0</v>
      </c>
      <c r="AI414">
        <v>0</v>
      </c>
      <c r="AJ414">
        <v>0</v>
      </c>
      <c r="AK414" t="s">
        <v>1194</v>
      </c>
      <c r="AL414" t="s">
        <v>76</v>
      </c>
      <c r="AM414" t="s">
        <v>68</v>
      </c>
      <c r="AN414">
        <v>0</v>
      </c>
      <c r="AO414" s="1"/>
      <c r="AP414">
        <v>1</v>
      </c>
      <c r="AQ414">
        <v>0</v>
      </c>
      <c r="AR414">
        <v>0</v>
      </c>
      <c r="AS414" t="s">
        <v>75</v>
      </c>
      <c r="AT414" t="s">
        <v>68</v>
      </c>
      <c r="AU414">
        <v>0</v>
      </c>
      <c r="AV414" t="s">
        <v>68</v>
      </c>
      <c r="AW414">
        <v>0</v>
      </c>
      <c r="AX414" s="1"/>
      <c r="AZ414" t="s">
        <v>68</v>
      </c>
      <c r="BA414" t="s">
        <v>68</v>
      </c>
      <c r="BB414" t="s">
        <v>68</v>
      </c>
      <c r="BC414" t="s">
        <v>68</v>
      </c>
      <c r="BD414">
        <v>0</v>
      </c>
      <c r="BE414" s="1"/>
      <c r="BF414" s="1"/>
      <c r="BG414" t="s">
        <v>68</v>
      </c>
      <c r="BH414" t="s">
        <v>68</v>
      </c>
      <c r="BI414" t="s">
        <v>68</v>
      </c>
      <c r="BJ414" t="s">
        <v>68</v>
      </c>
      <c r="BK414" t="s">
        <v>68</v>
      </c>
      <c r="BL414" t="s">
        <v>68</v>
      </c>
      <c r="BM414" t="s">
        <v>68</v>
      </c>
      <c r="BN414" t="s">
        <v>68</v>
      </c>
      <c r="BO414" t="s">
        <v>96</v>
      </c>
      <c r="BP414">
        <v>0</v>
      </c>
      <c r="BQ414" t="s">
        <v>68</v>
      </c>
      <c r="BR414" t="s">
        <v>68</v>
      </c>
      <c r="BS414" t="s">
        <v>68</v>
      </c>
    </row>
    <row r="415" spans="1:71" x14ac:dyDescent="0.35">
      <c r="A415" t="b">
        <f>ISNUMBER(MATCH(ChargentOrders[[#This Row],[Contract__c]],Contract[Id],0))</f>
        <v>1</v>
      </c>
      <c r="B415">
        <f>IFERROR(INDEX(Contract[CB_Subscription__c],MATCH(ChargentOrders[[#This Row],[Contract__c]],Contract[Id],0)),0)</f>
        <v>0</v>
      </c>
      <c r="C415" t="b">
        <f>ISNUMBER(MATCH(ChargentOrders[[#This Row],[Id]],Claude[Id],0))</f>
        <v>1</v>
      </c>
      <c r="D415" t="b">
        <f>AND(ChargentOrders[[#This Row],[_Contract]],ChargentOrders[[#This Row],[CB Subscription]]=0)</f>
        <v>1</v>
      </c>
      <c r="E415" s="38">
        <f>INDEX(Table5[CUENTA],MATCH(ChargentOrders[[#This Row],[Contract__c]],Table5[SM_Contract__c],0))</f>
        <v>46218</v>
      </c>
      <c r="F415" s="38" t="str">
        <f ca="1">INDEX(Table5[ESTADO],MATCH(ChargentOrders[[#This Row],[Contract__c]],Table5[SM_Contract__c],0))</f>
        <v>AL DIA</v>
      </c>
      <c r="G415" t="s">
        <v>1220</v>
      </c>
      <c r="H415" t="s">
        <v>155</v>
      </c>
      <c r="I415" t="s">
        <v>1221</v>
      </c>
      <c r="J415" s="1">
        <v>46170.842650462961</v>
      </c>
      <c r="K415">
        <v>3</v>
      </c>
      <c r="L415">
        <v>2031</v>
      </c>
      <c r="M415" t="s">
        <v>1423</v>
      </c>
      <c r="N415">
        <v>3</v>
      </c>
      <c r="O415" t="s">
        <v>1527</v>
      </c>
      <c r="P415" t="s">
        <v>73</v>
      </c>
      <c r="Q415">
        <v>2031</v>
      </c>
      <c r="R415">
        <v>0</v>
      </c>
      <c r="T415" t="s">
        <v>67</v>
      </c>
      <c r="U415" t="s">
        <v>68</v>
      </c>
      <c r="V415">
        <v>0</v>
      </c>
      <c r="W415" t="s">
        <v>69</v>
      </c>
      <c r="X415" s="5"/>
      <c r="Y415" t="s">
        <v>68</v>
      </c>
      <c r="Z415" t="s">
        <v>68</v>
      </c>
      <c r="AA415">
        <v>0</v>
      </c>
      <c r="AC415" t="s">
        <v>1222</v>
      </c>
      <c r="AD415" t="s">
        <v>68</v>
      </c>
      <c r="AE415">
        <v>0</v>
      </c>
      <c r="AF415" s="1"/>
      <c r="AG415" s="1">
        <v>46170.842685185184</v>
      </c>
      <c r="AH415">
        <v>0</v>
      </c>
      <c r="AI415">
        <v>1</v>
      </c>
      <c r="AJ415">
        <v>0</v>
      </c>
      <c r="AK415" t="s">
        <v>1223</v>
      </c>
      <c r="AL415" t="s">
        <v>68</v>
      </c>
      <c r="AM415" t="s">
        <v>68</v>
      </c>
      <c r="AN415">
        <v>0</v>
      </c>
      <c r="AO415" s="1"/>
      <c r="AP415">
        <v>1</v>
      </c>
      <c r="AS415" t="s">
        <v>75</v>
      </c>
      <c r="AT415" t="s">
        <v>68</v>
      </c>
      <c r="AU415">
        <v>0</v>
      </c>
      <c r="AV415" t="s">
        <v>68</v>
      </c>
      <c r="AW415">
        <v>1</v>
      </c>
      <c r="AX415" s="1"/>
      <c r="AZ415" t="s">
        <v>68</v>
      </c>
      <c r="BA415" t="s">
        <v>68</v>
      </c>
      <c r="BB415" t="s">
        <v>68</v>
      </c>
      <c r="BC415" t="s">
        <v>68</v>
      </c>
      <c r="BD415">
        <v>0</v>
      </c>
      <c r="BE415" s="1"/>
      <c r="BF415" s="1">
        <v>46170.842685185184</v>
      </c>
      <c r="BG415" t="s">
        <v>68</v>
      </c>
      <c r="BH415" t="s">
        <v>68</v>
      </c>
      <c r="BI415" t="s">
        <v>68</v>
      </c>
      <c r="BJ415" t="s">
        <v>68</v>
      </c>
      <c r="BK415" t="s">
        <v>68</v>
      </c>
      <c r="BL415" t="s">
        <v>68</v>
      </c>
      <c r="BM415" t="s">
        <v>68</v>
      </c>
      <c r="BN415" t="s">
        <v>68</v>
      </c>
      <c r="BO415" t="s">
        <v>96</v>
      </c>
      <c r="BP415">
        <v>0</v>
      </c>
      <c r="BQ415" t="s">
        <v>68</v>
      </c>
      <c r="BR415" t="s">
        <v>68</v>
      </c>
      <c r="BS415" t="s">
        <v>68</v>
      </c>
    </row>
    <row r="416" spans="1:71" x14ac:dyDescent="0.35">
      <c r="A416" t="b">
        <f>ISNUMBER(MATCH(ChargentOrders[[#This Row],[Contract__c]],Contract[Id],0))</f>
        <v>1</v>
      </c>
      <c r="B416">
        <f>IFERROR(INDEX(Contract[CB_Subscription__c],MATCH(ChargentOrders[[#This Row],[Contract__c]],Contract[Id],0)),0)</f>
        <v>0</v>
      </c>
      <c r="C416" t="b">
        <f>ISNUMBER(MATCH(ChargentOrders[[#This Row],[Id]],Claude[Id],0))</f>
        <v>1</v>
      </c>
      <c r="D416" t="b">
        <f>AND(ChargentOrders[[#This Row],[_Contract]],ChargentOrders[[#This Row],[CB Subscription]]=0)</f>
        <v>1</v>
      </c>
      <c r="E416" s="38">
        <f>INDEX(Table5[CUENTA],MATCH(ChargentOrders[[#This Row],[Contract__c]],Table5[SM_Contract__c],0))</f>
        <v>46218</v>
      </c>
      <c r="F416" s="38" t="str">
        <f ca="1">INDEX(Table5[ESTADO],MATCH(ChargentOrders[[#This Row],[Contract__c]],Table5[SM_Contract__c],0))</f>
        <v>AL DIA</v>
      </c>
      <c r="G416" t="s">
        <v>1224</v>
      </c>
      <c r="H416" t="s">
        <v>155</v>
      </c>
      <c r="I416" t="s">
        <v>1225</v>
      </c>
      <c r="J416" s="1">
        <v>46170.843715277777</v>
      </c>
      <c r="K416">
        <v>3</v>
      </c>
      <c r="L416">
        <v>2031</v>
      </c>
      <c r="M416" t="s">
        <v>1423</v>
      </c>
      <c r="N416">
        <v>3</v>
      </c>
      <c r="O416" t="s">
        <v>1527</v>
      </c>
      <c r="P416" t="s">
        <v>73</v>
      </c>
      <c r="Q416">
        <v>2031</v>
      </c>
      <c r="R416">
        <v>9900</v>
      </c>
      <c r="T416" t="s">
        <v>67</v>
      </c>
      <c r="U416" t="s">
        <v>68</v>
      </c>
      <c r="V416">
        <v>0</v>
      </c>
      <c r="W416" t="s">
        <v>69</v>
      </c>
      <c r="X416" s="5">
        <v>46183</v>
      </c>
      <c r="Y416" t="s">
        <v>74</v>
      </c>
      <c r="Z416" t="s">
        <v>68</v>
      </c>
      <c r="AA416">
        <v>9900</v>
      </c>
      <c r="AB416">
        <v>0</v>
      </c>
      <c r="AC416" t="s">
        <v>1222</v>
      </c>
      <c r="AD416" t="s">
        <v>68</v>
      </c>
      <c r="AE416">
        <v>0</v>
      </c>
      <c r="AF416" s="1">
        <v>46183.416886574072</v>
      </c>
      <c r="AG416" s="1">
        <v>46183.416898148149</v>
      </c>
      <c r="AH416">
        <v>1</v>
      </c>
      <c r="AI416">
        <v>1</v>
      </c>
      <c r="AJ416">
        <v>990</v>
      </c>
      <c r="AK416" t="s">
        <v>1223</v>
      </c>
      <c r="AL416" t="s">
        <v>77</v>
      </c>
      <c r="AM416" t="s">
        <v>68</v>
      </c>
      <c r="AN416">
        <v>0</v>
      </c>
      <c r="AO416" s="1"/>
      <c r="AP416">
        <v>1</v>
      </c>
      <c r="AQ416">
        <v>0</v>
      </c>
      <c r="AR416">
        <v>0</v>
      </c>
      <c r="AS416" t="s">
        <v>75</v>
      </c>
      <c r="AT416" t="s">
        <v>68</v>
      </c>
      <c r="AU416">
        <v>0</v>
      </c>
      <c r="AV416" t="s">
        <v>68</v>
      </c>
      <c r="AW416">
        <v>0</v>
      </c>
      <c r="AX416" s="1"/>
      <c r="AZ416" t="s">
        <v>68</v>
      </c>
      <c r="BA416" t="s">
        <v>68</v>
      </c>
      <c r="BB416" t="s">
        <v>68</v>
      </c>
      <c r="BC416" t="s">
        <v>68</v>
      </c>
      <c r="BD416">
        <v>0</v>
      </c>
      <c r="BE416" s="1"/>
      <c r="BF416" s="1">
        <v>46183.416886574072</v>
      </c>
      <c r="BG416" t="s">
        <v>68</v>
      </c>
      <c r="BH416" t="s">
        <v>68</v>
      </c>
      <c r="BI416" t="s">
        <v>68</v>
      </c>
      <c r="BJ416" t="s">
        <v>68</v>
      </c>
      <c r="BK416" t="s">
        <v>68</v>
      </c>
      <c r="BL416" t="s">
        <v>68</v>
      </c>
      <c r="BM416" t="s">
        <v>68</v>
      </c>
      <c r="BN416" t="s">
        <v>68</v>
      </c>
      <c r="BO416" t="s">
        <v>96</v>
      </c>
      <c r="BP416">
        <v>0</v>
      </c>
      <c r="BQ416" t="s">
        <v>68</v>
      </c>
      <c r="BR416" t="s">
        <v>68</v>
      </c>
      <c r="BS416" t="s">
        <v>68</v>
      </c>
    </row>
    <row r="417" spans="1:71" x14ac:dyDescent="0.35">
      <c r="A417" t="b">
        <f>ISNUMBER(MATCH(ChargentOrders[[#This Row],[Contract__c]],Contract[Id],0))</f>
        <v>1</v>
      </c>
      <c r="B417">
        <f>IFERROR(INDEX(Contract[CB_Subscription__c],MATCH(ChargentOrders[[#This Row],[Contract__c]],Contract[Id],0)),0)</f>
        <v>0</v>
      </c>
      <c r="C417" t="b">
        <f>ISNUMBER(MATCH(ChargentOrders[[#This Row],[Id]],Claude[Id],0))</f>
        <v>1</v>
      </c>
      <c r="D417" t="b">
        <f>AND(ChargentOrders[[#This Row],[_Contract]],ChargentOrders[[#This Row],[CB Subscription]]=0)</f>
        <v>1</v>
      </c>
      <c r="E417" s="38">
        <f>INDEX(Table5[CUENTA],MATCH(ChargentOrders[[#This Row],[Contract__c]],Table5[SM_Contract__c],0))</f>
        <v>46218</v>
      </c>
      <c r="F417" s="38" t="str">
        <f ca="1">INDEX(Table5[ESTADO],MATCH(ChargentOrders[[#This Row],[Contract__c]],Table5[SM_Contract__c],0))</f>
        <v>AL DIA</v>
      </c>
      <c r="G417" t="s">
        <v>1312</v>
      </c>
      <c r="H417" t="s">
        <v>101</v>
      </c>
      <c r="I417" t="s">
        <v>1313</v>
      </c>
      <c r="J417" s="1">
        <v>46181.627500000002</v>
      </c>
      <c r="K417">
        <v>5</v>
      </c>
      <c r="L417">
        <v>2031</v>
      </c>
      <c r="M417" t="s">
        <v>1532</v>
      </c>
      <c r="N417">
        <v>5</v>
      </c>
      <c r="O417" t="s">
        <v>1532</v>
      </c>
      <c r="P417" t="s">
        <v>73</v>
      </c>
      <c r="Q417">
        <v>2031</v>
      </c>
      <c r="R417">
        <v>99000</v>
      </c>
      <c r="S417">
        <v>15</v>
      </c>
      <c r="T417" t="s">
        <v>67</v>
      </c>
      <c r="U417" t="s">
        <v>68</v>
      </c>
      <c r="V417">
        <v>0</v>
      </c>
      <c r="W417" t="s">
        <v>69</v>
      </c>
      <c r="X417" s="5">
        <v>46218</v>
      </c>
      <c r="Y417" t="s">
        <v>84</v>
      </c>
      <c r="Z417" t="s">
        <v>68</v>
      </c>
      <c r="AA417">
        <v>990</v>
      </c>
      <c r="AB417">
        <v>0</v>
      </c>
      <c r="AC417" t="s">
        <v>1314</v>
      </c>
      <c r="AD417" t="s">
        <v>68</v>
      </c>
      <c r="AE417">
        <v>0</v>
      </c>
      <c r="AF417" s="1">
        <v>46188.42328703704</v>
      </c>
      <c r="AG417" s="1">
        <v>46188.42328703704</v>
      </c>
      <c r="AH417">
        <v>1</v>
      </c>
      <c r="AI417">
        <v>1</v>
      </c>
      <c r="AJ417">
        <v>990</v>
      </c>
      <c r="AK417" t="s">
        <v>1315</v>
      </c>
      <c r="AL417" t="s">
        <v>76</v>
      </c>
      <c r="AM417" t="s">
        <v>68</v>
      </c>
      <c r="AN417">
        <v>0</v>
      </c>
      <c r="AO417" s="1"/>
      <c r="AP417">
        <v>2</v>
      </c>
      <c r="AQ417">
        <v>0</v>
      </c>
      <c r="AR417">
        <v>0</v>
      </c>
      <c r="AS417" t="s">
        <v>75</v>
      </c>
      <c r="AT417" t="s">
        <v>1316</v>
      </c>
      <c r="AU417">
        <v>0</v>
      </c>
      <c r="AV417" t="s">
        <v>68</v>
      </c>
      <c r="AW417">
        <v>0</v>
      </c>
      <c r="AX417" s="1"/>
      <c r="AZ417" t="s">
        <v>68</v>
      </c>
      <c r="BA417" t="s">
        <v>68</v>
      </c>
      <c r="BB417" t="s">
        <v>68</v>
      </c>
      <c r="BC417" t="s">
        <v>68</v>
      </c>
      <c r="BD417">
        <v>0</v>
      </c>
      <c r="BE417" s="1"/>
      <c r="BF417" s="1">
        <v>46188.42328703704</v>
      </c>
      <c r="BG417" t="s">
        <v>68</v>
      </c>
      <c r="BH417" t="s">
        <v>68</v>
      </c>
      <c r="BI417" t="s">
        <v>68</v>
      </c>
      <c r="BJ417" t="s">
        <v>68</v>
      </c>
      <c r="BK417" t="s">
        <v>68</v>
      </c>
      <c r="BL417" t="s">
        <v>68</v>
      </c>
      <c r="BM417" t="s">
        <v>68</v>
      </c>
      <c r="BN417" t="s">
        <v>68</v>
      </c>
      <c r="BO417" t="s">
        <v>96</v>
      </c>
      <c r="BP417">
        <v>0</v>
      </c>
      <c r="BQ417" t="s">
        <v>68</v>
      </c>
      <c r="BR417" t="s">
        <v>68</v>
      </c>
      <c r="BS417" t="s">
        <v>68</v>
      </c>
    </row>
    <row r="418" spans="1:71" x14ac:dyDescent="0.35">
      <c r="A418" t="b">
        <f>ISNUMBER(MATCH(ChargentOrders[[#This Row],[Contract__c]],Contract[Id],0))</f>
        <v>1</v>
      </c>
      <c r="B418">
        <f>IFERROR(INDEX(Contract[CB_Subscription__c],MATCH(ChargentOrders[[#This Row],[Contract__c]],Contract[Id],0)),0)</f>
        <v>0</v>
      </c>
      <c r="C418" t="b">
        <f>ISNUMBER(MATCH(ChargentOrders[[#This Row],[Id]],Claude[Id],0))</f>
        <v>1</v>
      </c>
      <c r="D418" t="b">
        <f>AND(ChargentOrders[[#This Row],[_Contract]],ChargentOrders[[#This Row],[CB Subscription]]=0)</f>
        <v>1</v>
      </c>
      <c r="E418" s="38">
        <f>INDEX(Table5[CUENTA],MATCH(ChargentOrders[[#This Row],[Contract__c]],Table5[SM_Contract__c],0))</f>
        <v>46218</v>
      </c>
      <c r="F418" s="38" t="str">
        <f ca="1">INDEX(Table5[ESTADO],MATCH(ChargentOrders[[#This Row],[Contract__c]],Table5[SM_Contract__c],0))</f>
        <v>AL DIA</v>
      </c>
      <c r="G418" t="s">
        <v>1317</v>
      </c>
      <c r="H418" t="s">
        <v>101</v>
      </c>
      <c r="I418" t="s">
        <v>1318</v>
      </c>
      <c r="J418" s="1">
        <v>46181.627384259256</v>
      </c>
      <c r="K418">
        <v>5</v>
      </c>
      <c r="L418">
        <v>2031</v>
      </c>
      <c r="M418" t="s">
        <v>1532</v>
      </c>
      <c r="N418">
        <v>5</v>
      </c>
      <c r="O418" t="s">
        <v>1533</v>
      </c>
      <c r="P418" t="s">
        <v>73</v>
      </c>
      <c r="Q418">
        <v>2031</v>
      </c>
      <c r="R418">
        <v>0</v>
      </c>
      <c r="T418" t="s">
        <v>67</v>
      </c>
      <c r="U418" t="s">
        <v>68</v>
      </c>
      <c r="V418">
        <v>0</v>
      </c>
      <c r="W418" t="s">
        <v>69</v>
      </c>
      <c r="X418" s="5"/>
      <c r="Y418" t="s">
        <v>68</v>
      </c>
      <c r="Z418" t="s">
        <v>68</v>
      </c>
      <c r="AA418">
        <v>0</v>
      </c>
      <c r="AC418" t="s">
        <v>1314</v>
      </c>
      <c r="AD418" t="s">
        <v>68</v>
      </c>
      <c r="AE418">
        <v>0</v>
      </c>
      <c r="AF418" s="1"/>
      <c r="AG418" s="1">
        <v>46181.627476851849</v>
      </c>
      <c r="AH418">
        <v>0</v>
      </c>
      <c r="AI418">
        <v>1</v>
      </c>
      <c r="AJ418">
        <v>0</v>
      </c>
      <c r="AK418" t="s">
        <v>1315</v>
      </c>
      <c r="AL418" t="s">
        <v>68</v>
      </c>
      <c r="AM418" t="s">
        <v>68</v>
      </c>
      <c r="AN418">
        <v>0</v>
      </c>
      <c r="AO418" s="1"/>
      <c r="AP418">
        <v>1</v>
      </c>
      <c r="AS418" t="s">
        <v>75</v>
      </c>
      <c r="AT418" t="s">
        <v>68</v>
      </c>
      <c r="AU418">
        <v>0</v>
      </c>
      <c r="AV418" t="s">
        <v>68</v>
      </c>
      <c r="AW418">
        <v>1</v>
      </c>
      <c r="AX418" s="1"/>
      <c r="AZ418" t="s">
        <v>68</v>
      </c>
      <c r="BA418" t="s">
        <v>68</v>
      </c>
      <c r="BB418" t="s">
        <v>68</v>
      </c>
      <c r="BC418" t="s">
        <v>68</v>
      </c>
      <c r="BD418">
        <v>0</v>
      </c>
      <c r="BE418" s="1"/>
      <c r="BF418" s="1">
        <v>46181.627465277779</v>
      </c>
      <c r="BG418" t="s">
        <v>68</v>
      </c>
      <c r="BH418" t="s">
        <v>68</v>
      </c>
      <c r="BI418" t="s">
        <v>68</v>
      </c>
      <c r="BJ418" t="s">
        <v>68</v>
      </c>
      <c r="BK418" t="s">
        <v>68</v>
      </c>
      <c r="BL418" t="s">
        <v>68</v>
      </c>
      <c r="BM418" t="s">
        <v>68</v>
      </c>
      <c r="BN418" t="s">
        <v>68</v>
      </c>
      <c r="BO418" t="s">
        <v>96</v>
      </c>
      <c r="BP418">
        <v>0</v>
      </c>
      <c r="BQ418" t="s">
        <v>68</v>
      </c>
      <c r="BR418" t="s">
        <v>68</v>
      </c>
      <c r="BS418" t="s">
        <v>68</v>
      </c>
    </row>
    <row r="419" spans="1:71" x14ac:dyDescent="0.35">
      <c r="A419" t="b">
        <f>ISNUMBER(MATCH(ChargentOrders[[#This Row],[Contract__c]],Contract[Id],0))</f>
        <v>1</v>
      </c>
      <c r="B419">
        <f>IFERROR(INDEX(Contract[CB_Subscription__c],MATCH(ChargentOrders[[#This Row],[Contract__c]],Contract[Id],0)),0)</f>
        <v>0</v>
      </c>
      <c r="C419" t="b">
        <f>ISNUMBER(MATCH(ChargentOrders[[#This Row],[Id]],Claude[Id],0))</f>
        <v>1</v>
      </c>
      <c r="D419" t="b">
        <f>AND(ChargentOrders[[#This Row],[_Contract]],ChargentOrders[[#This Row],[CB Subscription]]=0)</f>
        <v>1</v>
      </c>
      <c r="E419" s="38">
        <f>INDEX(Table5[CUENTA],MATCH(ChargentOrders[[#This Row],[Contract__c]],Table5[SM_Contract__c],0))</f>
        <v>46218</v>
      </c>
      <c r="F419" s="38" t="str">
        <f ca="1">INDEX(Table5[ESTADO],MATCH(ChargentOrders[[#This Row],[Contract__c]],Table5[SM_Contract__c],0))</f>
        <v>AL DIA</v>
      </c>
      <c r="G419" t="s">
        <v>1319</v>
      </c>
      <c r="H419" t="s">
        <v>155</v>
      </c>
      <c r="I419" t="s">
        <v>1320</v>
      </c>
      <c r="J419" s="1">
        <v>46183.416932870372</v>
      </c>
      <c r="K419">
        <v>3</v>
      </c>
      <c r="L419">
        <v>2031</v>
      </c>
      <c r="M419" t="s">
        <v>1423</v>
      </c>
      <c r="N419">
        <v>3</v>
      </c>
      <c r="O419" t="s">
        <v>1527</v>
      </c>
      <c r="P419" t="s">
        <v>73</v>
      </c>
      <c r="Q419">
        <v>2031</v>
      </c>
      <c r="R419">
        <v>99000</v>
      </c>
      <c r="S419">
        <v>15</v>
      </c>
      <c r="T419" t="s">
        <v>67</v>
      </c>
      <c r="U419" t="s">
        <v>68</v>
      </c>
      <c r="V419">
        <v>0</v>
      </c>
      <c r="W419" t="s">
        <v>69</v>
      </c>
      <c r="X419" s="5">
        <v>46218</v>
      </c>
      <c r="Y419" t="s">
        <v>84</v>
      </c>
      <c r="Z419" t="s">
        <v>68</v>
      </c>
      <c r="AA419">
        <v>990</v>
      </c>
      <c r="AB419">
        <v>0</v>
      </c>
      <c r="AC419" t="s">
        <v>1222</v>
      </c>
      <c r="AD419" t="s">
        <v>68</v>
      </c>
      <c r="AE419">
        <v>0</v>
      </c>
      <c r="AF419" s="1"/>
      <c r="AG419" s="1"/>
      <c r="AH419">
        <v>0</v>
      </c>
      <c r="AI419">
        <v>0</v>
      </c>
      <c r="AJ419">
        <v>0</v>
      </c>
      <c r="AK419" t="s">
        <v>1223</v>
      </c>
      <c r="AL419" t="s">
        <v>76</v>
      </c>
      <c r="AM419" t="s">
        <v>68</v>
      </c>
      <c r="AN419">
        <v>0</v>
      </c>
      <c r="AO419" s="1"/>
      <c r="AP419">
        <v>1</v>
      </c>
      <c r="AQ419">
        <v>0</v>
      </c>
      <c r="AR419">
        <v>0</v>
      </c>
      <c r="AS419" t="s">
        <v>75</v>
      </c>
      <c r="AT419" t="s">
        <v>68</v>
      </c>
      <c r="AU419">
        <v>0</v>
      </c>
      <c r="AV419" t="s">
        <v>68</v>
      </c>
      <c r="AW419">
        <v>0</v>
      </c>
      <c r="AX419" s="1"/>
      <c r="AZ419" t="s">
        <v>68</v>
      </c>
      <c r="BA419" t="s">
        <v>68</v>
      </c>
      <c r="BB419" t="s">
        <v>68</v>
      </c>
      <c r="BC419" t="s">
        <v>68</v>
      </c>
      <c r="BD419">
        <v>0</v>
      </c>
      <c r="BE419" s="1"/>
      <c r="BF419" s="1"/>
      <c r="BG419" t="s">
        <v>68</v>
      </c>
      <c r="BH419" t="s">
        <v>68</v>
      </c>
      <c r="BI419" t="s">
        <v>68</v>
      </c>
      <c r="BJ419" t="s">
        <v>68</v>
      </c>
      <c r="BK419" t="s">
        <v>68</v>
      </c>
      <c r="BL419" t="s">
        <v>68</v>
      </c>
      <c r="BM419" t="s">
        <v>68</v>
      </c>
      <c r="BN419" t="s">
        <v>68</v>
      </c>
      <c r="BO419" t="s">
        <v>96</v>
      </c>
      <c r="BP419">
        <v>0</v>
      </c>
      <c r="BQ419" t="s">
        <v>68</v>
      </c>
      <c r="BR419" t="s">
        <v>68</v>
      </c>
      <c r="BS419" t="s">
        <v>68</v>
      </c>
    </row>
    <row r="420" spans="1:71" x14ac:dyDescent="0.35">
      <c r="A420" t="b">
        <f>ISNUMBER(MATCH(ChargentOrders[[#This Row],[Contract__c]],Contract[Id],0))</f>
        <v>1</v>
      </c>
      <c r="B420">
        <f>IFERROR(INDEX(Contract[CB_Subscription__c],MATCH(ChargentOrders[[#This Row],[Contract__c]],Contract[Id],0)),0)</f>
        <v>0</v>
      </c>
      <c r="C420" t="b">
        <f>ISNUMBER(MATCH(ChargentOrders[[#This Row],[Id]],Claude[Id],0))</f>
        <v>1</v>
      </c>
      <c r="D420" t="b">
        <f>AND(ChargentOrders[[#This Row],[_Contract]],ChargentOrders[[#This Row],[CB Subscription]]=0)</f>
        <v>1</v>
      </c>
      <c r="E420" s="38">
        <f>INDEX(Table5[CUENTA],MATCH(ChargentOrders[[#This Row],[Contract__c]],Table5[SM_Contract__c],0))</f>
        <v>46221</v>
      </c>
      <c r="F420" s="38" t="str">
        <f ca="1">INDEX(Table5[ESTADO],MATCH(ChargentOrders[[#This Row],[Contract__c]],Table5[SM_Contract__c],0))</f>
        <v>AL DIA</v>
      </c>
      <c r="G420" t="s">
        <v>648</v>
      </c>
      <c r="H420" t="s">
        <v>81</v>
      </c>
      <c r="I420" t="s">
        <v>649</v>
      </c>
      <c r="J420" s="1">
        <v>46009.783958333333</v>
      </c>
      <c r="K420">
        <v>9</v>
      </c>
      <c r="L420">
        <v>2027</v>
      </c>
      <c r="M420" t="s">
        <v>1428</v>
      </c>
      <c r="N420">
        <v>9</v>
      </c>
      <c r="O420" t="s">
        <v>1486</v>
      </c>
      <c r="P420" t="s">
        <v>73</v>
      </c>
      <c r="Q420">
        <v>2027</v>
      </c>
      <c r="R420">
        <v>7900</v>
      </c>
      <c r="S420">
        <v>30</v>
      </c>
      <c r="T420" t="s">
        <v>67</v>
      </c>
      <c r="U420" t="s">
        <v>68</v>
      </c>
      <c r="V420">
        <v>0</v>
      </c>
      <c r="W420" t="s">
        <v>69</v>
      </c>
      <c r="X420" s="5">
        <v>46203</v>
      </c>
      <c r="Y420" t="s">
        <v>84</v>
      </c>
      <c r="Z420" t="s">
        <v>68</v>
      </c>
      <c r="AA420">
        <v>7900</v>
      </c>
      <c r="AB420">
        <v>0</v>
      </c>
      <c r="AC420" t="s">
        <v>650</v>
      </c>
      <c r="AD420" t="s">
        <v>68</v>
      </c>
      <c r="AE420">
        <v>0</v>
      </c>
      <c r="AF420" s="1">
        <v>46203.417303240742</v>
      </c>
      <c r="AG420" s="1">
        <v>46203.417326388888</v>
      </c>
      <c r="AH420">
        <v>5</v>
      </c>
      <c r="AI420">
        <v>6</v>
      </c>
      <c r="AJ420">
        <v>3950</v>
      </c>
      <c r="AK420" t="s">
        <v>651</v>
      </c>
      <c r="AL420" t="s">
        <v>76</v>
      </c>
      <c r="AM420" t="s">
        <v>68</v>
      </c>
      <c r="AN420">
        <v>0</v>
      </c>
      <c r="AO420" s="1"/>
      <c r="AP420">
        <v>7</v>
      </c>
      <c r="AQ420">
        <v>0</v>
      </c>
      <c r="AR420">
        <v>0</v>
      </c>
      <c r="AS420" t="s">
        <v>75</v>
      </c>
      <c r="AT420" t="s">
        <v>68</v>
      </c>
      <c r="AU420">
        <v>0</v>
      </c>
      <c r="AV420" t="s">
        <v>68</v>
      </c>
      <c r="AW420">
        <v>0</v>
      </c>
      <c r="AX420" s="1"/>
      <c r="AZ420" t="s">
        <v>68</v>
      </c>
      <c r="BA420" t="s">
        <v>68</v>
      </c>
      <c r="BB420" t="s">
        <v>68</v>
      </c>
      <c r="BC420" t="s">
        <v>68</v>
      </c>
      <c r="BD420">
        <v>0</v>
      </c>
      <c r="BE420" s="1">
        <v>46160.417685185188</v>
      </c>
      <c r="BF420" s="1">
        <v>46203.417303240742</v>
      </c>
      <c r="BG420" t="s">
        <v>68</v>
      </c>
      <c r="BH420" t="s">
        <v>68</v>
      </c>
      <c r="BI420" t="s">
        <v>68</v>
      </c>
      <c r="BJ420" t="s">
        <v>68</v>
      </c>
      <c r="BK420" t="s">
        <v>68</v>
      </c>
      <c r="BL420" t="s">
        <v>68</v>
      </c>
      <c r="BM420" t="s">
        <v>68</v>
      </c>
      <c r="BN420" t="s">
        <v>68</v>
      </c>
      <c r="BO420" t="s">
        <v>96</v>
      </c>
      <c r="BP420">
        <v>0</v>
      </c>
      <c r="BQ420" t="s">
        <v>68</v>
      </c>
      <c r="BR420" t="s">
        <v>68</v>
      </c>
      <c r="BS420" t="s">
        <v>68</v>
      </c>
    </row>
    <row r="421" spans="1:71" x14ac:dyDescent="0.35">
      <c r="A421" t="b">
        <f>ISNUMBER(MATCH(ChargentOrders[[#This Row],[Contract__c]],Contract[Id],0))</f>
        <v>1</v>
      </c>
      <c r="B421">
        <f>IFERROR(INDEX(Contract[CB_Subscription__c],MATCH(ChargentOrders[[#This Row],[Contract__c]],Contract[Id],0)),0)</f>
        <v>0</v>
      </c>
      <c r="C421" t="b">
        <f>ISNUMBER(MATCH(ChargentOrders[[#This Row],[Id]],Claude[Id],0))</f>
        <v>1</v>
      </c>
      <c r="D421" t="b">
        <f>AND(ChargentOrders[[#This Row],[_Contract]],ChargentOrders[[#This Row],[CB Subscription]]=0)</f>
        <v>1</v>
      </c>
      <c r="E421" s="38">
        <f>INDEX(Table5[CUENTA],MATCH(ChargentOrders[[#This Row],[Contract__c]],Table5[SM_Contract__c],0))</f>
        <v>46221</v>
      </c>
      <c r="F421" s="38" t="str">
        <f ca="1">INDEX(Table5[ESTADO],MATCH(ChargentOrders[[#This Row],[Contract__c]],Table5[SM_Contract__c],0))</f>
        <v>AL DIA</v>
      </c>
      <c r="G421" t="s">
        <v>652</v>
      </c>
      <c r="H421" t="s">
        <v>81</v>
      </c>
      <c r="I421" t="s">
        <v>653</v>
      </c>
      <c r="J421" s="1">
        <v>46009.782604166663</v>
      </c>
      <c r="K421">
        <v>2</v>
      </c>
      <c r="L421">
        <v>2029</v>
      </c>
      <c r="M421" t="s">
        <v>1428</v>
      </c>
      <c r="N421">
        <v>2</v>
      </c>
      <c r="O421" t="s">
        <v>1486</v>
      </c>
      <c r="P421" t="s">
        <v>73</v>
      </c>
      <c r="Q421">
        <v>2029</v>
      </c>
      <c r="R421">
        <v>0</v>
      </c>
      <c r="T421" t="s">
        <v>67</v>
      </c>
      <c r="U421" t="s">
        <v>68</v>
      </c>
      <c r="V421">
        <v>0</v>
      </c>
      <c r="W421" t="s">
        <v>69</v>
      </c>
      <c r="X421" s="5"/>
      <c r="Y421" t="s">
        <v>68</v>
      </c>
      <c r="Z421" t="s">
        <v>68</v>
      </c>
      <c r="AA421">
        <v>0</v>
      </c>
      <c r="AC421" t="s">
        <v>654</v>
      </c>
      <c r="AD421" t="s">
        <v>68</v>
      </c>
      <c r="AE421">
        <v>0</v>
      </c>
      <c r="AF421" s="1"/>
      <c r="AG421" s="1">
        <v>46009.782638888886</v>
      </c>
      <c r="AH421">
        <v>0</v>
      </c>
      <c r="AI421">
        <v>1</v>
      </c>
      <c r="AJ421">
        <v>0</v>
      </c>
      <c r="AK421" t="s">
        <v>651</v>
      </c>
      <c r="AL421" t="s">
        <v>68</v>
      </c>
      <c r="AM421" t="s">
        <v>68</v>
      </c>
      <c r="AN421">
        <v>0</v>
      </c>
      <c r="AO421" s="1"/>
      <c r="AP421">
        <v>1</v>
      </c>
      <c r="AS421" t="s">
        <v>75</v>
      </c>
      <c r="AT421" t="s">
        <v>68</v>
      </c>
      <c r="AU421">
        <v>0</v>
      </c>
      <c r="AV421" t="s">
        <v>68</v>
      </c>
      <c r="AW421">
        <v>1</v>
      </c>
      <c r="AX421" s="1"/>
      <c r="AZ421" t="s">
        <v>68</v>
      </c>
      <c r="BA421" t="s">
        <v>68</v>
      </c>
      <c r="BB421" t="s">
        <v>68</v>
      </c>
      <c r="BC421" t="s">
        <v>68</v>
      </c>
      <c r="BD421">
        <v>0</v>
      </c>
      <c r="BE421" s="1"/>
      <c r="BF421" s="1">
        <v>46009.782638888886</v>
      </c>
      <c r="BG421" t="s">
        <v>68</v>
      </c>
      <c r="BH421" t="s">
        <v>68</v>
      </c>
      <c r="BI421" t="s">
        <v>68</v>
      </c>
      <c r="BJ421" t="s">
        <v>68</v>
      </c>
      <c r="BK421" t="s">
        <v>68</v>
      </c>
      <c r="BL421" t="s">
        <v>68</v>
      </c>
      <c r="BM421" t="s">
        <v>68</v>
      </c>
      <c r="BN421" t="s">
        <v>68</v>
      </c>
      <c r="BO421" t="s">
        <v>96</v>
      </c>
      <c r="BP421">
        <v>0</v>
      </c>
      <c r="BQ421" t="s">
        <v>68</v>
      </c>
      <c r="BR421" t="s">
        <v>68</v>
      </c>
      <c r="BS421" t="s">
        <v>68</v>
      </c>
    </row>
    <row r="422" spans="1:71" x14ac:dyDescent="0.35">
      <c r="A422" t="b">
        <f>ISNUMBER(MATCH(ChargentOrders[[#This Row],[Contract__c]],Contract[Id],0))</f>
        <v>1</v>
      </c>
      <c r="B422">
        <f>IFERROR(INDEX(Contract[CB_Subscription__c],MATCH(ChargentOrders[[#This Row],[Contract__c]],Contract[Id],0)),0)</f>
        <v>0</v>
      </c>
      <c r="C422" t="b">
        <f>ISNUMBER(MATCH(ChargentOrders[[#This Row],[Id]],Claude[Id],0))</f>
        <v>1</v>
      </c>
      <c r="D422" t="b">
        <f>AND(ChargentOrders[[#This Row],[_Contract]],ChargentOrders[[#This Row],[CB Subscription]]=0)</f>
        <v>1</v>
      </c>
      <c r="E422" s="38">
        <f>INDEX(Table5[CUENTA],MATCH(ChargentOrders[[#This Row],[Contract__c]],Table5[SM_Contract__c],0))</f>
        <v>46221</v>
      </c>
      <c r="F422" s="38" t="str">
        <f ca="1">INDEX(Table5[ESTADO],MATCH(ChargentOrders[[#This Row],[Contract__c]],Table5[SM_Contract__c],0))</f>
        <v>AL DIA</v>
      </c>
      <c r="G422" t="s">
        <v>655</v>
      </c>
      <c r="H422" t="s">
        <v>81</v>
      </c>
      <c r="I422" t="s">
        <v>656</v>
      </c>
      <c r="J422" s="1">
        <v>46009.783078703702</v>
      </c>
      <c r="K422">
        <v>2</v>
      </c>
      <c r="L422">
        <v>2029</v>
      </c>
      <c r="M422" t="s">
        <v>1428</v>
      </c>
      <c r="N422">
        <v>2</v>
      </c>
      <c r="O422" t="s">
        <v>1486</v>
      </c>
      <c r="P422" t="s">
        <v>73</v>
      </c>
      <c r="Q422">
        <v>2029</v>
      </c>
      <c r="R422">
        <v>1490</v>
      </c>
      <c r="T422" t="s">
        <v>67</v>
      </c>
      <c r="U422" t="s">
        <v>68</v>
      </c>
      <c r="V422">
        <v>0</v>
      </c>
      <c r="W422" t="s">
        <v>69</v>
      </c>
      <c r="X422" s="5">
        <v>46009</v>
      </c>
      <c r="Y422" t="s">
        <v>74</v>
      </c>
      <c r="Z422" t="s">
        <v>68</v>
      </c>
      <c r="AA422">
        <v>14900</v>
      </c>
      <c r="AB422">
        <v>0</v>
      </c>
      <c r="AC422" t="s">
        <v>654</v>
      </c>
      <c r="AD422" t="s">
        <v>68</v>
      </c>
      <c r="AE422">
        <v>0</v>
      </c>
      <c r="AF422" s="1">
        <v>46009.783935185187</v>
      </c>
      <c r="AG422" s="1">
        <v>46009.783946759257</v>
      </c>
      <c r="AH422">
        <v>1</v>
      </c>
      <c r="AI422">
        <v>1</v>
      </c>
      <c r="AJ422">
        <v>1490</v>
      </c>
      <c r="AK422" t="s">
        <v>651</v>
      </c>
      <c r="AL422" t="s">
        <v>77</v>
      </c>
      <c r="AM422" t="s">
        <v>68</v>
      </c>
      <c r="AN422">
        <v>0</v>
      </c>
      <c r="AO422" s="1"/>
      <c r="AP422">
        <v>1</v>
      </c>
      <c r="AQ422">
        <v>0</v>
      </c>
      <c r="AR422">
        <v>0</v>
      </c>
      <c r="AS422" t="s">
        <v>75</v>
      </c>
      <c r="AT422" t="s">
        <v>68</v>
      </c>
      <c r="AU422">
        <v>0</v>
      </c>
      <c r="AV422" t="s">
        <v>68</v>
      </c>
      <c r="AW422">
        <v>0</v>
      </c>
      <c r="AX422" s="1"/>
      <c r="AZ422" t="s">
        <v>68</v>
      </c>
      <c r="BA422" t="s">
        <v>68</v>
      </c>
      <c r="BB422" t="s">
        <v>68</v>
      </c>
      <c r="BC422" t="s">
        <v>68</v>
      </c>
      <c r="BD422">
        <v>0</v>
      </c>
      <c r="BE422" s="1"/>
      <c r="BF422" s="1">
        <v>46009.783935185187</v>
      </c>
      <c r="BG422" t="s">
        <v>68</v>
      </c>
      <c r="BH422" t="s">
        <v>68</v>
      </c>
      <c r="BI422" t="s">
        <v>68</v>
      </c>
      <c r="BJ422" t="s">
        <v>68</v>
      </c>
      <c r="BK422" t="s">
        <v>68</v>
      </c>
      <c r="BL422" t="s">
        <v>68</v>
      </c>
      <c r="BM422" t="s">
        <v>68</v>
      </c>
      <c r="BN422" t="s">
        <v>68</v>
      </c>
      <c r="BO422" t="s">
        <v>96</v>
      </c>
      <c r="BP422">
        <v>0</v>
      </c>
      <c r="BQ422" t="s">
        <v>68</v>
      </c>
      <c r="BR422" t="s">
        <v>68</v>
      </c>
      <c r="BS422" t="s">
        <v>68</v>
      </c>
    </row>
    <row r="423" spans="1:71" x14ac:dyDescent="0.35">
      <c r="A423" t="b">
        <f>ISNUMBER(MATCH(ChargentOrders[[#This Row],[Contract__c]],Contract[Id],0))</f>
        <v>1</v>
      </c>
      <c r="B423">
        <f>IFERROR(INDEX(Contract[CB_Subscription__c],MATCH(ChargentOrders[[#This Row],[Contract__c]],Contract[Id],0)),0)</f>
        <v>0</v>
      </c>
      <c r="C423" t="b">
        <f>ISNUMBER(MATCH(ChargentOrders[[#This Row],[Id]],Claude[Id],0))</f>
        <v>1</v>
      </c>
      <c r="D423" t="b">
        <f>AND(ChargentOrders[[#This Row],[_Contract]],ChargentOrders[[#This Row],[CB Subscription]]=0)</f>
        <v>1</v>
      </c>
      <c r="E423" s="38">
        <f>INDEX(Table5[CUENTA],MATCH(ChargentOrders[[#This Row],[Contract__c]],Table5[SM_Contract__c],0))</f>
        <v>46221</v>
      </c>
      <c r="F423" s="38" t="str">
        <f ca="1">INDEX(Table5[ESTADO],MATCH(ChargentOrders[[#This Row],[Contract__c]],Table5[SM_Contract__c],0))</f>
        <v>AL DIA</v>
      </c>
      <c r="G423" t="s">
        <v>1171</v>
      </c>
      <c r="H423" t="s">
        <v>81</v>
      </c>
      <c r="I423" t="s">
        <v>1172</v>
      </c>
      <c r="J423" s="1">
        <v>46160.417696759258</v>
      </c>
      <c r="K423">
        <v>9</v>
      </c>
      <c r="L423">
        <v>2027</v>
      </c>
      <c r="M423" t="s">
        <v>1428</v>
      </c>
      <c r="N423">
        <v>9</v>
      </c>
      <c r="O423" t="s">
        <v>1486</v>
      </c>
      <c r="P423" t="s">
        <v>73</v>
      </c>
      <c r="Q423">
        <v>2027</v>
      </c>
      <c r="R423">
        <v>1040</v>
      </c>
      <c r="T423" t="s">
        <v>67</v>
      </c>
      <c r="U423" t="s">
        <v>68</v>
      </c>
      <c r="V423">
        <v>0</v>
      </c>
      <c r="W423" t="s">
        <v>69</v>
      </c>
      <c r="X423" s="5">
        <v>46164</v>
      </c>
      <c r="Y423" t="s">
        <v>74</v>
      </c>
      <c r="Z423" t="s">
        <v>68</v>
      </c>
      <c r="AA423">
        <v>10400</v>
      </c>
      <c r="AB423">
        <v>0</v>
      </c>
      <c r="AC423" t="s">
        <v>650</v>
      </c>
      <c r="AD423" t="s">
        <v>68</v>
      </c>
      <c r="AE423">
        <v>0</v>
      </c>
      <c r="AF423" s="1">
        <v>46161.840405092589</v>
      </c>
      <c r="AG423" s="1">
        <v>46161.840405092589</v>
      </c>
      <c r="AH423">
        <v>1</v>
      </c>
      <c r="AI423">
        <v>2</v>
      </c>
      <c r="AJ423">
        <v>1040</v>
      </c>
      <c r="AK423" t="s">
        <v>651</v>
      </c>
      <c r="AL423" t="s">
        <v>71</v>
      </c>
      <c r="AM423" t="s">
        <v>68</v>
      </c>
      <c r="AN423">
        <v>0</v>
      </c>
      <c r="AO423" s="1"/>
      <c r="AP423">
        <v>0</v>
      </c>
      <c r="AQ423">
        <v>0</v>
      </c>
      <c r="AR423">
        <v>0</v>
      </c>
      <c r="AS423" t="s">
        <v>72</v>
      </c>
      <c r="AT423" t="s">
        <v>68</v>
      </c>
      <c r="AU423">
        <v>1</v>
      </c>
      <c r="AV423" t="s">
        <v>1173</v>
      </c>
      <c r="AW423">
        <v>0</v>
      </c>
      <c r="AX423" s="1">
        <v>46009.783958333333</v>
      </c>
      <c r="AY423">
        <v>2500</v>
      </c>
      <c r="AZ423" t="s">
        <v>68</v>
      </c>
      <c r="BA423" t="s">
        <v>65</v>
      </c>
      <c r="BB423" t="s">
        <v>68</v>
      </c>
      <c r="BC423" t="s">
        <v>68</v>
      </c>
      <c r="BD423">
        <v>0</v>
      </c>
      <c r="BE423" s="1">
        <v>46161.793645833335</v>
      </c>
      <c r="BF423" s="1">
        <v>46161.840405092589</v>
      </c>
      <c r="BG423" t="s">
        <v>68</v>
      </c>
      <c r="BH423" t="s">
        <v>68</v>
      </c>
      <c r="BI423" t="s">
        <v>68</v>
      </c>
      <c r="BJ423" t="s">
        <v>68</v>
      </c>
      <c r="BK423" t="s">
        <v>68</v>
      </c>
      <c r="BL423" t="s">
        <v>68</v>
      </c>
      <c r="BM423" t="s">
        <v>68</v>
      </c>
      <c r="BN423" t="s">
        <v>68</v>
      </c>
      <c r="BO423" t="s">
        <v>96</v>
      </c>
      <c r="BP423">
        <v>0</v>
      </c>
      <c r="BQ423" t="s">
        <v>68</v>
      </c>
      <c r="BR423" t="s">
        <v>68</v>
      </c>
      <c r="BS423" t="s">
        <v>68</v>
      </c>
    </row>
    <row r="424" spans="1:71" x14ac:dyDescent="0.35">
      <c r="A424" t="b">
        <f>ISNUMBER(MATCH(ChargentOrders[[#This Row],[Contract__c]],Contract[Id],0))</f>
        <v>1</v>
      </c>
      <c r="B424">
        <f>IFERROR(INDEX(Contract[CB_Subscription__c],MATCH(ChargentOrders[[#This Row],[Contract__c]],Contract[Id],0)),0)</f>
        <v>0</v>
      </c>
      <c r="C424" t="b">
        <f>ISNUMBER(MATCH(ChargentOrders[[#This Row],[Id]],Claude[Id],0))</f>
        <v>1</v>
      </c>
      <c r="D424" t="b">
        <f>AND(ChargentOrders[[#This Row],[_Contract]],ChargentOrders[[#This Row],[CB Subscription]]=0)</f>
        <v>1</v>
      </c>
      <c r="E424" s="38">
        <f>INDEX(Table5[CUENTA],MATCH(ChargentOrders[[#This Row],[Contract__c]],Table5[SM_Contract__c],0))</f>
        <v>46221</v>
      </c>
      <c r="F424" s="38" t="str">
        <f ca="1">INDEX(Table5[ESTADO],MATCH(ChargentOrders[[#This Row],[Contract__c]],Table5[SM_Contract__c],0))</f>
        <v>AL DIA</v>
      </c>
      <c r="G424" t="s">
        <v>1180</v>
      </c>
      <c r="H424" t="s">
        <v>80</v>
      </c>
      <c r="I424" t="s">
        <v>1181</v>
      </c>
      <c r="J424" s="1">
        <v>46161.796539351853</v>
      </c>
      <c r="K424">
        <v>9</v>
      </c>
      <c r="L424">
        <v>2027</v>
      </c>
      <c r="M424" t="s">
        <v>1471</v>
      </c>
      <c r="N424">
        <v>9</v>
      </c>
      <c r="O424" t="s">
        <v>1472</v>
      </c>
      <c r="P424" t="s">
        <v>73</v>
      </c>
      <c r="Q424">
        <v>2027</v>
      </c>
      <c r="R424">
        <v>0</v>
      </c>
      <c r="T424" t="s">
        <v>67</v>
      </c>
      <c r="U424" t="s">
        <v>68</v>
      </c>
      <c r="V424">
        <v>0</v>
      </c>
      <c r="W424" t="s">
        <v>69</v>
      </c>
      <c r="X424" s="5"/>
      <c r="Y424" t="s">
        <v>68</v>
      </c>
      <c r="Z424" t="s">
        <v>68</v>
      </c>
      <c r="AA424">
        <v>0</v>
      </c>
      <c r="AC424" t="s">
        <v>650</v>
      </c>
      <c r="AD424" t="s">
        <v>68</v>
      </c>
      <c r="AE424">
        <v>0</v>
      </c>
      <c r="AF424" s="1"/>
      <c r="AG424" s="1">
        <v>46161.796574074076</v>
      </c>
      <c r="AH424">
        <v>0</v>
      </c>
      <c r="AI424">
        <v>1</v>
      </c>
      <c r="AJ424">
        <v>0</v>
      </c>
      <c r="AK424" t="s">
        <v>651</v>
      </c>
      <c r="AL424" t="s">
        <v>68</v>
      </c>
      <c r="AM424" t="s">
        <v>68</v>
      </c>
      <c r="AN424">
        <v>0</v>
      </c>
      <c r="AO424" s="1"/>
      <c r="AP424">
        <v>1</v>
      </c>
      <c r="AS424" t="s">
        <v>75</v>
      </c>
      <c r="AT424" t="s">
        <v>68</v>
      </c>
      <c r="AU424">
        <v>0</v>
      </c>
      <c r="AV424" t="s">
        <v>68</v>
      </c>
      <c r="AW424">
        <v>1</v>
      </c>
      <c r="AX424" s="1"/>
      <c r="AZ424" t="s">
        <v>68</v>
      </c>
      <c r="BA424" t="s">
        <v>68</v>
      </c>
      <c r="BB424" t="s">
        <v>68</v>
      </c>
      <c r="BC424" t="s">
        <v>68</v>
      </c>
      <c r="BD424">
        <v>0</v>
      </c>
      <c r="BE424" s="1"/>
      <c r="BF424" s="1">
        <v>46161.7965625</v>
      </c>
      <c r="BG424" t="s">
        <v>68</v>
      </c>
      <c r="BH424" t="s">
        <v>68</v>
      </c>
      <c r="BI424" t="s">
        <v>68</v>
      </c>
      <c r="BJ424" t="s">
        <v>68</v>
      </c>
      <c r="BK424" t="s">
        <v>68</v>
      </c>
      <c r="BL424" t="s">
        <v>68</v>
      </c>
      <c r="BM424" t="s">
        <v>68</v>
      </c>
      <c r="BN424" t="s">
        <v>68</v>
      </c>
      <c r="BO424" t="s">
        <v>96</v>
      </c>
      <c r="BP424">
        <v>0</v>
      </c>
      <c r="BQ424" t="s">
        <v>68</v>
      </c>
      <c r="BR424" t="s">
        <v>68</v>
      </c>
      <c r="BS424" t="s">
        <v>68</v>
      </c>
    </row>
    <row r="425" spans="1:71" x14ac:dyDescent="0.35">
      <c r="A425" t="b">
        <f>ISNUMBER(MATCH(ChargentOrders[[#This Row],[Contract__c]],Contract[Id],0))</f>
        <v>1</v>
      </c>
      <c r="B425">
        <f>IFERROR(INDEX(Contract[CB_Subscription__c],MATCH(ChargentOrders[[#This Row],[Contract__c]],Contract[Id],0)),0)</f>
        <v>0</v>
      </c>
      <c r="C425" t="b">
        <f>ISNUMBER(MATCH(ChargentOrders[[#This Row],[Id]],Claude[Id],0))</f>
        <v>1</v>
      </c>
      <c r="D425" t="b">
        <f>AND(ChargentOrders[[#This Row],[_Contract]],ChargentOrders[[#This Row],[CB Subscription]]=0)</f>
        <v>1</v>
      </c>
      <c r="E425" s="38">
        <f>INDEX(Table5[CUENTA],MATCH(ChargentOrders[[#This Row],[Contract__c]],Table5[SM_Contract__c],0))</f>
        <v>46228</v>
      </c>
      <c r="F425" s="38" t="str">
        <f ca="1">INDEX(Table5[ESTADO],MATCH(ChargentOrders[[#This Row],[Contract__c]],Table5[SM_Contract__c],0))</f>
        <v>AL DIA</v>
      </c>
      <c r="G425" t="s">
        <v>1197</v>
      </c>
      <c r="H425" t="s">
        <v>155</v>
      </c>
      <c r="I425" t="s">
        <v>1198</v>
      </c>
      <c r="J425" s="1">
        <v>46168.632141203707</v>
      </c>
      <c r="K425">
        <v>7</v>
      </c>
      <c r="L425">
        <v>2029</v>
      </c>
      <c r="M425" t="s">
        <v>1416</v>
      </c>
      <c r="N425">
        <v>7</v>
      </c>
      <c r="O425" t="s">
        <v>1524</v>
      </c>
      <c r="P425" t="s">
        <v>73</v>
      </c>
      <c r="Q425">
        <v>2029</v>
      </c>
      <c r="R425">
        <v>0</v>
      </c>
      <c r="T425" t="s">
        <v>67</v>
      </c>
      <c r="U425" t="s">
        <v>68</v>
      </c>
      <c r="V425">
        <v>0</v>
      </c>
      <c r="W425" t="s">
        <v>69</v>
      </c>
      <c r="X425" s="5"/>
      <c r="Y425" t="s">
        <v>68</v>
      </c>
      <c r="Z425" t="s">
        <v>68</v>
      </c>
      <c r="AA425">
        <v>0</v>
      </c>
      <c r="AC425" t="s">
        <v>1199</v>
      </c>
      <c r="AD425" t="s">
        <v>68</v>
      </c>
      <c r="AE425">
        <v>0</v>
      </c>
      <c r="AF425" s="1"/>
      <c r="AG425" s="1">
        <v>46168.632175925923</v>
      </c>
      <c r="AH425">
        <v>0</v>
      </c>
      <c r="AI425">
        <v>1</v>
      </c>
      <c r="AJ425">
        <v>0</v>
      </c>
      <c r="AK425" t="s">
        <v>1200</v>
      </c>
      <c r="AL425" t="s">
        <v>68</v>
      </c>
      <c r="AM425" t="s">
        <v>68</v>
      </c>
      <c r="AN425">
        <v>0</v>
      </c>
      <c r="AO425" s="1"/>
      <c r="AP425">
        <v>1</v>
      </c>
      <c r="AS425" t="s">
        <v>75</v>
      </c>
      <c r="AT425" t="s">
        <v>68</v>
      </c>
      <c r="AU425">
        <v>0</v>
      </c>
      <c r="AV425" t="s">
        <v>68</v>
      </c>
      <c r="AW425">
        <v>1</v>
      </c>
      <c r="AX425" s="1"/>
      <c r="AZ425" t="s">
        <v>68</v>
      </c>
      <c r="BA425" t="s">
        <v>68</v>
      </c>
      <c r="BB425" t="s">
        <v>68</v>
      </c>
      <c r="BC425" t="s">
        <v>68</v>
      </c>
      <c r="BD425">
        <v>0</v>
      </c>
      <c r="BE425" s="1"/>
      <c r="BF425" s="1">
        <v>46168.632175925923</v>
      </c>
      <c r="BG425" t="s">
        <v>68</v>
      </c>
      <c r="BH425" t="s">
        <v>68</v>
      </c>
      <c r="BI425" t="s">
        <v>68</v>
      </c>
      <c r="BJ425" t="s">
        <v>68</v>
      </c>
      <c r="BK425" t="s">
        <v>68</v>
      </c>
      <c r="BL425" t="s">
        <v>68</v>
      </c>
      <c r="BM425" t="s">
        <v>68</v>
      </c>
      <c r="BN425" t="s">
        <v>68</v>
      </c>
      <c r="BO425" t="s">
        <v>96</v>
      </c>
      <c r="BP425">
        <v>0</v>
      </c>
      <c r="BQ425" t="s">
        <v>68</v>
      </c>
      <c r="BR425" t="s">
        <v>68</v>
      </c>
      <c r="BS425" t="s">
        <v>68</v>
      </c>
    </row>
    <row r="426" spans="1:71" x14ac:dyDescent="0.35">
      <c r="A426" t="b">
        <f>ISNUMBER(MATCH(ChargentOrders[[#This Row],[Contract__c]],Contract[Id],0))</f>
        <v>1</v>
      </c>
      <c r="B426">
        <f>IFERROR(INDEX(Contract[CB_Subscription__c],MATCH(ChargentOrders[[#This Row],[Contract__c]],Contract[Id],0)),0)</f>
        <v>0</v>
      </c>
      <c r="C426" t="b">
        <f>ISNUMBER(MATCH(ChargentOrders[[#This Row],[Id]],Claude[Id],0))</f>
        <v>1</v>
      </c>
      <c r="D426" t="b">
        <f>AND(ChargentOrders[[#This Row],[_Contract]],ChargentOrders[[#This Row],[CB Subscription]]=0)</f>
        <v>1</v>
      </c>
      <c r="E426" s="38">
        <f>INDEX(Table5[CUENTA],MATCH(ChargentOrders[[#This Row],[Contract__c]],Table5[SM_Contract__c],0))</f>
        <v>46228</v>
      </c>
      <c r="F426" s="38" t="str">
        <f ca="1">INDEX(Table5[ESTADO],MATCH(ChargentOrders[[#This Row],[Contract__c]],Table5[SM_Contract__c],0))</f>
        <v>AL DIA</v>
      </c>
      <c r="G426" t="s">
        <v>1201</v>
      </c>
      <c r="H426" t="s">
        <v>155</v>
      </c>
      <c r="I426" t="s">
        <v>1202</v>
      </c>
      <c r="J426" s="1">
        <v>46168.63354166667</v>
      </c>
      <c r="K426">
        <v>7</v>
      </c>
      <c r="L426">
        <v>2029</v>
      </c>
      <c r="M426" t="s">
        <v>1416</v>
      </c>
      <c r="N426">
        <v>7</v>
      </c>
      <c r="O426" t="s">
        <v>1524</v>
      </c>
      <c r="P426" t="s">
        <v>73</v>
      </c>
      <c r="Q426">
        <v>2029</v>
      </c>
      <c r="R426">
        <v>9900</v>
      </c>
      <c r="T426" t="s">
        <v>67</v>
      </c>
      <c r="U426" t="s">
        <v>68</v>
      </c>
      <c r="V426">
        <v>0</v>
      </c>
      <c r="W426" t="s">
        <v>69</v>
      </c>
      <c r="X426" s="5">
        <v>46178</v>
      </c>
      <c r="Y426" t="s">
        <v>74</v>
      </c>
      <c r="Z426" t="s">
        <v>68</v>
      </c>
      <c r="AA426">
        <v>9900</v>
      </c>
      <c r="AB426">
        <v>0</v>
      </c>
      <c r="AC426" t="s">
        <v>1199</v>
      </c>
      <c r="AD426" t="s">
        <v>68</v>
      </c>
      <c r="AE426">
        <v>0</v>
      </c>
      <c r="AF426" s="1">
        <v>46178.425844907404</v>
      </c>
      <c r="AG426" s="1">
        <v>46178.425891203704</v>
      </c>
      <c r="AH426">
        <v>1</v>
      </c>
      <c r="AI426">
        <v>1</v>
      </c>
      <c r="AJ426">
        <v>990</v>
      </c>
      <c r="AK426" t="s">
        <v>1200</v>
      </c>
      <c r="AL426" t="s">
        <v>77</v>
      </c>
      <c r="AM426" t="s">
        <v>68</v>
      </c>
      <c r="AN426">
        <v>0</v>
      </c>
      <c r="AO426" s="1"/>
      <c r="AP426">
        <v>1</v>
      </c>
      <c r="AQ426">
        <v>0</v>
      </c>
      <c r="AR426">
        <v>0</v>
      </c>
      <c r="AS426" t="s">
        <v>75</v>
      </c>
      <c r="AT426" t="s">
        <v>68</v>
      </c>
      <c r="AU426">
        <v>0</v>
      </c>
      <c r="AV426" t="s">
        <v>68</v>
      </c>
      <c r="AW426">
        <v>0</v>
      </c>
      <c r="AX426" s="1"/>
      <c r="AZ426" t="s">
        <v>68</v>
      </c>
      <c r="BA426" t="s">
        <v>68</v>
      </c>
      <c r="BB426" t="s">
        <v>68</v>
      </c>
      <c r="BC426" t="s">
        <v>68</v>
      </c>
      <c r="BD426">
        <v>0</v>
      </c>
      <c r="BE426" s="1"/>
      <c r="BF426" s="1">
        <v>46178.425844907404</v>
      </c>
      <c r="BG426" t="s">
        <v>68</v>
      </c>
      <c r="BH426" t="s">
        <v>68</v>
      </c>
      <c r="BI426" t="s">
        <v>68</v>
      </c>
      <c r="BJ426" t="s">
        <v>68</v>
      </c>
      <c r="BK426" t="s">
        <v>68</v>
      </c>
      <c r="BL426" t="s">
        <v>68</v>
      </c>
      <c r="BM426" t="s">
        <v>68</v>
      </c>
      <c r="BN426" t="s">
        <v>68</v>
      </c>
      <c r="BO426" t="s">
        <v>96</v>
      </c>
      <c r="BP426">
        <v>0</v>
      </c>
      <c r="BQ426" t="s">
        <v>68</v>
      </c>
      <c r="BR426" t="s">
        <v>68</v>
      </c>
      <c r="BS426" t="s">
        <v>68</v>
      </c>
    </row>
    <row r="427" spans="1:71" x14ac:dyDescent="0.35">
      <c r="A427" t="b">
        <f>ISNUMBER(MATCH(ChargentOrders[[#This Row],[Contract__c]],Contract[Id],0))</f>
        <v>1</v>
      </c>
      <c r="B427">
        <f>IFERROR(INDEX(Contract[CB_Subscription__c],MATCH(ChargentOrders[[#This Row],[Contract__c]],Contract[Id],0)),0)</f>
        <v>0</v>
      </c>
      <c r="C427" t="b">
        <f>ISNUMBER(MATCH(ChargentOrders[[#This Row],[Id]],Claude[Id],0))</f>
        <v>1</v>
      </c>
      <c r="D427" t="b">
        <f>AND(ChargentOrders[[#This Row],[_Contract]],ChargentOrders[[#This Row],[CB Subscription]]=0)</f>
        <v>1</v>
      </c>
      <c r="E427" s="38">
        <f>INDEX(Table5[CUENTA],MATCH(ChargentOrders[[#This Row],[Contract__c]],Table5[SM_Contract__c],0))</f>
        <v>46228</v>
      </c>
      <c r="F427" s="38" t="str">
        <f ca="1">INDEX(Table5[ESTADO],MATCH(ChargentOrders[[#This Row],[Contract__c]],Table5[SM_Contract__c],0))</f>
        <v>AL DIA</v>
      </c>
      <c r="G427" t="s">
        <v>1307</v>
      </c>
      <c r="H427" t="s">
        <v>155</v>
      </c>
      <c r="I427" t="s">
        <v>1308</v>
      </c>
      <c r="J427" s="1">
        <v>46178.42591435185</v>
      </c>
      <c r="K427">
        <v>7</v>
      </c>
      <c r="L427">
        <v>2029</v>
      </c>
      <c r="M427" t="s">
        <v>1416</v>
      </c>
      <c r="N427">
        <v>7</v>
      </c>
      <c r="O427" t="s">
        <v>1524</v>
      </c>
      <c r="P427" t="s">
        <v>73</v>
      </c>
      <c r="Q427">
        <v>2029</v>
      </c>
      <c r="R427">
        <v>99000</v>
      </c>
      <c r="S427">
        <v>24</v>
      </c>
      <c r="T427" t="s">
        <v>67</v>
      </c>
      <c r="U427" t="s">
        <v>68</v>
      </c>
      <c r="V427">
        <v>0</v>
      </c>
      <c r="W427" t="s">
        <v>69</v>
      </c>
      <c r="X427" s="5">
        <v>46227</v>
      </c>
      <c r="Y427" t="s">
        <v>84</v>
      </c>
      <c r="Z427" t="s">
        <v>68</v>
      </c>
      <c r="AA427">
        <v>990</v>
      </c>
      <c r="AB427">
        <v>0</v>
      </c>
      <c r="AC427" t="s">
        <v>1199</v>
      </c>
      <c r="AD427" t="s">
        <v>68</v>
      </c>
      <c r="AE427">
        <v>0</v>
      </c>
      <c r="AF427" s="1"/>
      <c r="AG427" s="1"/>
      <c r="AH427">
        <v>0</v>
      </c>
      <c r="AI427">
        <v>0</v>
      </c>
      <c r="AJ427">
        <v>0</v>
      </c>
      <c r="AK427" t="s">
        <v>1200</v>
      </c>
      <c r="AL427" t="s">
        <v>76</v>
      </c>
      <c r="AM427" t="s">
        <v>68</v>
      </c>
      <c r="AN427">
        <v>0</v>
      </c>
      <c r="AO427" s="1"/>
      <c r="AP427">
        <v>1</v>
      </c>
      <c r="AQ427">
        <v>0</v>
      </c>
      <c r="AR427">
        <v>0</v>
      </c>
      <c r="AS427" t="s">
        <v>75</v>
      </c>
      <c r="AT427" t="s">
        <v>68</v>
      </c>
      <c r="AU427">
        <v>0</v>
      </c>
      <c r="AV427" t="s">
        <v>68</v>
      </c>
      <c r="AW427">
        <v>0</v>
      </c>
      <c r="AX427" s="1"/>
      <c r="AZ427" t="s">
        <v>68</v>
      </c>
      <c r="BA427" t="s">
        <v>68</v>
      </c>
      <c r="BB427" t="s">
        <v>68</v>
      </c>
      <c r="BC427" t="s">
        <v>68</v>
      </c>
      <c r="BD427">
        <v>0</v>
      </c>
      <c r="BE427" s="1"/>
      <c r="BF427" s="1"/>
      <c r="BG427" t="s">
        <v>68</v>
      </c>
      <c r="BH427" t="s">
        <v>68</v>
      </c>
      <c r="BI427" t="s">
        <v>68</v>
      </c>
      <c r="BJ427" t="s">
        <v>68</v>
      </c>
      <c r="BK427" t="s">
        <v>68</v>
      </c>
      <c r="BL427" t="s">
        <v>68</v>
      </c>
      <c r="BM427" t="s">
        <v>68</v>
      </c>
      <c r="BN427" t="s">
        <v>68</v>
      </c>
      <c r="BO427" t="s">
        <v>96</v>
      </c>
      <c r="BP427">
        <v>0</v>
      </c>
      <c r="BQ427" t="s">
        <v>68</v>
      </c>
      <c r="BR427" t="s">
        <v>68</v>
      </c>
      <c r="BS427" t="s">
        <v>68</v>
      </c>
    </row>
    <row r="428" spans="1:71" x14ac:dyDescent="0.35">
      <c r="A428" t="b">
        <f>ISNUMBER(MATCH(ChargentOrders[[#This Row],[Contract__c]],Contract[Id],0))</f>
        <v>1</v>
      </c>
      <c r="B428">
        <f>IFERROR(INDEX(Contract[CB_Subscription__c],MATCH(ChargentOrders[[#This Row],[Contract__c]],Contract[Id],0)),0)</f>
        <v>0</v>
      </c>
      <c r="C428" t="b">
        <f>ISNUMBER(MATCH(ChargentOrders[[#This Row],[Id]],Claude[Id],0))</f>
        <v>1</v>
      </c>
      <c r="D428" t="b">
        <f>AND(ChargentOrders[[#This Row],[_Contract]],ChargentOrders[[#This Row],[CB Subscription]]=0)</f>
        <v>1</v>
      </c>
      <c r="E428" s="38">
        <f>INDEX(Table5[CUENTA],MATCH(ChargentOrders[[#This Row],[Contract__c]],Table5[SM_Contract__c],0))</f>
        <v>46239</v>
      </c>
      <c r="F428" s="38" t="str">
        <f ca="1">INDEX(Table5[ESTADO],MATCH(ChargentOrders[[#This Row],[Contract__c]],Table5[SM_Contract__c],0))</f>
        <v>DE MAS 1</v>
      </c>
      <c r="G428" t="s">
        <v>1182</v>
      </c>
      <c r="H428" t="s">
        <v>155</v>
      </c>
      <c r="I428" t="s">
        <v>1183</v>
      </c>
      <c r="J428" s="1">
        <v>46164.588807870372</v>
      </c>
      <c r="K428">
        <v>10</v>
      </c>
      <c r="L428">
        <v>2030</v>
      </c>
      <c r="M428" t="s">
        <v>1521</v>
      </c>
      <c r="N428">
        <v>10</v>
      </c>
      <c r="O428" t="s">
        <v>1522</v>
      </c>
      <c r="P428" t="s">
        <v>73</v>
      </c>
      <c r="Q428">
        <v>2030</v>
      </c>
      <c r="R428">
        <v>0</v>
      </c>
      <c r="T428" t="s">
        <v>67</v>
      </c>
      <c r="U428" t="s">
        <v>68</v>
      </c>
      <c r="V428">
        <v>0</v>
      </c>
      <c r="W428" t="s">
        <v>69</v>
      </c>
      <c r="X428" s="5"/>
      <c r="Y428" t="s">
        <v>68</v>
      </c>
      <c r="Z428" t="s">
        <v>68</v>
      </c>
      <c r="AA428">
        <v>0</v>
      </c>
      <c r="AC428" t="s">
        <v>1184</v>
      </c>
      <c r="AD428" t="s">
        <v>68</v>
      </c>
      <c r="AE428">
        <v>0</v>
      </c>
      <c r="AF428" s="1"/>
      <c r="AG428" s="1">
        <v>46164.588842592595</v>
      </c>
      <c r="AH428">
        <v>0</v>
      </c>
      <c r="AI428">
        <v>1</v>
      </c>
      <c r="AJ428">
        <v>0</v>
      </c>
      <c r="AK428" t="s">
        <v>1185</v>
      </c>
      <c r="AL428" t="s">
        <v>68</v>
      </c>
      <c r="AM428" t="s">
        <v>68</v>
      </c>
      <c r="AN428">
        <v>0</v>
      </c>
      <c r="AO428" s="1"/>
      <c r="AP428">
        <v>1</v>
      </c>
      <c r="AS428" t="s">
        <v>75</v>
      </c>
      <c r="AT428" t="s">
        <v>68</v>
      </c>
      <c r="AU428">
        <v>0</v>
      </c>
      <c r="AV428" t="s">
        <v>68</v>
      </c>
      <c r="AW428">
        <v>1</v>
      </c>
      <c r="AX428" s="1"/>
      <c r="AZ428" t="s">
        <v>68</v>
      </c>
      <c r="BA428" t="s">
        <v>68</v>
      </c>
      <c r="BB428" t="s">
        <v>68</v>
      </c>
      <c r="BC428" t="s">
        <v>68</v>
      </c>
      <c r="BD428">
        <v>0</v>
      </c>
      <c r="BE428" s="1"/>
      <c r="BF428" s="1">
        <v>46164.588842592595</v>
      </c>
      <c r="BG428" t="s">
        <v>68</v>
      </c>
      <c r="BH428" t="s">
        <v>68</v>
      </c>
      <c r="BI428" t="s">
        <v>68</v>
      </c>
      <c r="BJ428" t="s">
        <v>68</v>
      </c>
      <c r="BK428" t="s">
        <v>68</v>
      </c>
      <c r="BL428" t="s">
        <v>68</v>
      </c>
      <c r="BM428" t="s">
        <v>68</v>
      </c>
      <c r="BN428" t="s">
        <v>68</v>
      </c>
      <c r="BO428" t="s">
        <v>96</v>
      </c>
      <c r="BP428">
        <v>0</v>
      </c>
      <c r="BQ428" t="s">
        <v>68</v>
      </c>
      <c r="BR428" t="s">
        <v>68</v>
      </c>
      <c r="BS428" t="s">
        <v>68</v>
      </c>
    </row>
    <row r="429" spans="1:71" x14ac:dyDescent="0.35">
      <c r="A429" t="b">
        <f>ISNUMBER(MATCH(ChargentOrders[[#This Row],[Contract__c]],Contract[Id],0))</f>
        <v>1</v>
      </c>
      <c r="B429">
        <f>IFERROR(INDEX(Contract[CB_Subscription__c],MATCH(ChargentOrders[[#This Row],[Contract__c]],Contract[Id],0)),0)</f>
        <v>0</v>
      </c>
      <c r="C429" t="b">
        <f>ISNUMBER(MATCH(ChargentOrders[[#This Row],[Id]],Claude[Id],0))</f>
        <v>1</v>
      </c>
      <c r="D429" t="b">
        <f>AND(ChargentOrders[[#This Row],[_Contract]],ChargentOrders[[#This Row],[CB Subscription]]=0)</f>
        <v>1</v>
      </c>
      <c r="E429" s="38">
        <f>INDEX(Table5[CUENTA],MATCH(ChargentOrders[[#This Row],[Contract__c]],Table5[SM_Contract__c],0))</f>
        <v>46239</v>
      </c>
      <c r="F429" s="38" t="str">
        <f ca="1">INDEX(Table5[ESTADO],MATCH(ChargentOrders[[#This Row],[Contract__c]],Table5[SM_Contract__c],0))</f>
        <v>DE MAS 1</v>
      </c>
      <c r="G429" t="s">
        <v>1186</v>
      </c>
      <c r="H429" t="s">
        <v>155</v>
      </c>
      <c r="I429" t="s">
        <v>1187</v>
      </c>
      <c r="J429" s="1">
        <v>46164.589571759258</v>
      </c>
      <c r="K429">
        <v>10</v>
      </c>
      <c r="L429">
        <v>2030</v>
      </c>
      <c r="M429" t="s">
        <v>1521</v>
      </c>
      <c r="N429">
        <v>10</v>
      </c>
      <c r="O429" t="s">
        <v>1522</v>
      </c>
      <c r="P429" t="s">
        <v>73</v>
      </c>
      <c r="Q429">
        <v>2030</v>
      </c>
      <c r="R429">
        <v>9900</v>
      </c>
      <c r="T429" t="s">
        <v>67</v>
      </c>
      <c r="U429" t="s">
        <v>68</v>
      </c>
      <c r="V429">
        <v>0</v>
      </c>
      <c r="W429" t="s">
        <v>69</v>
      </c>
      <c r="X429" s="5">
        <v>46171</v>
      </c>
      <c r="Y429" t="s">
        <v>74</v>
      </c>
      <c r="Z429" t="s">
        <v>68</v>
      </c>
      <c r="AA429">
        <v>9900</v>
      </c>
      <c r="AB429">
        <v>0</v>
      </c>
      <c r="AC429" t="s">
        <v>1184</v>
      </c>
      <c r="AD429" t="s">
        <v>68</v>
      </c>
      <c r="AE429">
        <v>0</v>
      </c>
      <c r="AF429" s="1"/>
      <c r="AG429" s="1"/>
      <c r="AH429">
        <v>0</v>
      </c>
      <c r="AI429">
        <v>1</v>
      </c>
      <c r="AJ429">
        <v>0</v>
      </c>
      <c r="AK429" t="s">
        <v>1185</v>
      </c>
      <c r="AL429" t="s">
        <v>77</v>
      </c>
      <c r="AM429" t="s">
        <v>68</v>
      </c>
      <c r="AN429">
        <v>0</v>
      </c>
      <c r="AO429" s="1"/>
      <c r="AP429">
        <v>1</v>
      </c>
      <c r="AQ429">
        <v>0</v>
      </c>
      <c r="AR429">
        <v>0</v>
      </c>
      <c r="AS429" t="s">
        <v>75</v>
      </c>
      <c r="AT429" t="s">
        <v>68</v>
      </c>
      <c r="AU429">
        <v>0</v>
      </c>
      <c r="AV429" t="s">
        <v>68</v>
      </c>
      <c r="AW429">
        <v>0</v>
      </c>
      <c r="AX429" s="1"/>
      <c r="AZ429" t="s">
        <v>68</v>
      </c>
      <c r="BA429" t="s">
        <v>68</v>
      </c>
      <c r="BB429" t="s">
        <v>68</v>
      </c>
      <c r="BC429" t="s">
        <v>68</v>
      </c>
      <c r="BD429">
        <v>0</v>
      </c>
      <c r="BE429" s="1">
        <v>46171.425659722219</v>
      </c>
      <c r="BF429" s="1">
        <v>46171.425659722219</v>
      </c>
      <c r="BG429" t="s">
        <v>68</v>
      </c>
      <c r="BH429" t="s">
        <v>68</v>
      </c>
      <c r="BI429" t="s">
        <v>68</v>
      </c>
      <c r="BJ429" t="s">
        <v>68</v>
      </c>
      <c r="BK429" t="s">
        <v>68</v>
      </c>
      <c r="BL429" t="s">
        <v>68</v>
      </c>
      <c r="BM429" t="s">
        <v>68</v>
      </c>
      <c r="BN429" t="s">
        <v>68</v>
      </c>
      <c r="BO429" t="s">
        <v>96</v>
      </c>
      <c r="BP429">
        <v>0</v>
      </c>
      <c r="BQ429" t="s">
        <v>68</v>
      </c>
      <c r="BR429" t="s">
        <v>68</v>
      </c>
      <c r="BS429" t="s">
        <v>68</v>
      </c>
    </row>
    <row r="430" spans="1:71" x14ac:dyDescent="0.35">
      <c r="A430" t="b">
        <f>ISNUMBER(MATCH(ChargentOrders[[#This Row],[Contract__c]],Contract[Id],0))</f>
        <v>1</v>
      </c>
      <c r="B430">
        <f>IFERROR(INDEX(Contract[CB_Subscription__c],MATCH(ChargentOrders[[#This Row],[Contract__c]],Contract[Id],0)),0)</f>
        <v>0</v>
      </c>
      <c r="C430" t="b">
        <f>ISNUMBER(MATCH(ChargentOrders[[#This Row],[Id]],Claude[Id],0))</f>
        <v>1</v>
      </c>
      <c r="D430" t="b">
        <f>AND(ChargentOrders[[#This Row],[_Contract]],ChargentOrders[[#This Row],[CB Subscription]]=0)</f>
        <v>1</v>
      </c>
      <c r="E430" s="38">
        <f>INDEX(Table5[CUENTA],MATCH(ChargentOrders[[#This Row],[Contract__c]],Table5[SM_Contract__c],0))</f>
        <v>46239</v>
      </c>
      <c r="F430" s="38" t="str">
        <f ca="1">INDEX(Table5[ESTADO],MATCH(ChargentOrders[[#This Row],[Contract__c]],Table5[SM_Contract__c],0))</f>
        <v>DE MAS 1</v>
      </c>
      <c r="G430" t="s">
        <v>1281</v>
      </c>
      <c r="H430" t="s">
        <v>155</v>
      </c>
      <c r="I430" t="s">
        <v>1282</v>
      </c>
      <c r="J430" s="1">
        <v>46171.425740740742</v>
      </c>
      <c r="K430">
        <v>1</v>
      </c>
      <c r="L430">
        <v>2030</v>
      </c>
      <c r="M430" t="s">
        <v>1528</v>
      </c>
      <c r="N430">
        <v>1</v>
      </c>
      <c r="O430" t="s">
        <v>1528</v>
      </c>
      <c r="P430" t="s">
        <v>73</v>
      </c>
      <c r="Q430">
        <v>2030</v>
      </c>
      <c r="R430">
        <v>990</v>
      </c>
      <c r="T430" t="s">
        <v>67</v>
      </c>
      <c r="U430" t="s">
        <v>68</v>
      </c>
      <c r="V430">
        <v>0</v>
      </c>
      <c r="W430" t="s">
        <v>69</v>
      </c>
      <c r="X430" s="5">
        <v>46174</v>
      </c>
      <c r="Y430" t="s">
        <v>74</v>
      </c>
      <c r="Z430" t="s">
        <v>68</v>
      </c>
      <c r="AA430">
        <v>9900</v>
      </c>
      <c r="AB430">
        <v>0</v>
      </c>
      <c r="AC430" t="s">
        <v>1283</v>
      </c>
      <c r="AD430" t="s">
        <v>68</v>
      </c>
      <c r="AE430">
        <v>0</v>
      </c>
      <c r="AF430" s="1">
        <v>46171.823344907411</v>
      </c>
      <c r="AG430" s="1">
        <v>46171.82335648148</v>
      </c>
      <c r="AH430">
        <v>1</v>
      </c>
      <c r="AI430">
        <v>1</v>
      </c>
      <c r="AJ430">
        <v>990</v>
      </c>
      <c r="AK430" t="s">
        <v>1185</v>
      </c>
      <c r="AL430" t="s">
        <v>71</v>
      </c>
      <c r="AM430" t="s">
        <v>68</v>
      </c>
      <c r="AN430">
        <v>0</v>
      </c>
      <c r="AO430" s="1"/>
      <c r="AQ430">
        <v>0</v>
      </c>
      <c r="AR430">
        <v>0</v>
      </c>
      <c r="AS430" t="s">
        <v>72</v>
      </c>
      <c r="AT430" t="s">
        <v>68</v>
      </c>
      <c r="AU430">
        <v>0</v>
      </c>
      <c r="AV430" t="s">
        <v>1284</v>
      </c>
      <c r="AW430">
        <v>0</v>
      </c>
      <c r="AX430" s="1">
        <v>46171.785960648151</v>
      </c>
      <c r="AY430">
        <v>0</v>
      </c>
      <c r="AZ430" t="s">
        <v>68</v>
      </c>
      <c r="BA430" t="s">
        <v>65</v>
      </c>
      <c r="BB430" t="s">
        <v>68</v>
      </c>
      <c r="BC430" t="s">
        <v>68</v>
      </c>
      <c r="BD430">
        <v>0</v>
      </c>
      <c r="BE430" s="1"/>
      <c r="BF430" s="1">
        <v>46171.823344907411</v>
      </c>
      <c r="BG430" t="s">
        <v>68</v>
      </c>
      <c r="BH430" t="s">
        <v>68</v>
      </c>
      <c r="BI430" t="s">
        <v>68</v>
      </c>
      <c r="BJ430" t="s">
        <v>68</v>
      </c>
      <c r="BK430" t="s">
        <v>68</v>
      </c>
      <c r="BL430" t="s">
        <v>68</v>
      </c>
      <c r="BM430" t="s">
        <v>68</v>
      </c>
      <c r="BN430" t="s">
        <v>68</v>
      </c>
      <c r="BO430" t="s">
        <v>96</v>
      </c>
      <c r="BP430">
        <v>0</v>
      </c>
      <c r="BQ430" t="s">
        <v>68</v>
      </c>
      <c r="BR430" t="s">
        <v>68</v>
      </c>
      <c r="BS430" t="s">
        <v>68</v>
      </c>
    </row>
    <row r="431" spans="1:71" x14ac:dyDescent="0.35">
      <c r="A431" t="b">
        <f>ISNUMBER(MATCH(ChargentOrders[[#This Row],[Contract__c]],Contract[Id],0))</f>
        <v>1</v>
      </c>
      <c r="B431">
        <f>IFERROR(INDEX(Contract[CB_Subscription__c],MATCH(ChargentOrders[[#This Row],[Contract__c]],Contract[Id],0)),0)</f>
        <v>0</v>
      </c>
      <c r="C431" t="b">
        <f>ISNUMBER(MATCH(ChargentOrders[[#This Row],[Id]],Claude[Id],0))</f>
        <v>1</v>
      </c>
      <c r="D431" t="b">
        <f>AND(ChargentOrders[[#This Row],[_Contract]],ChargentOrders[[#This Row],[CB Subscription]]=0)</f>
        <v>1</v>
      </c>
      <c r="E431" s="38">
        <f>INDEX(Table5[CUENTA],MATCH(ChargentOrders[[#This Row],[Contract__c]],Table5[SM_Contract__c],0))</f>
        <v>46239</v>
      </c>
      <c r="F431" s="38" t="str">
        <f ca="1">INDEX(Table5[ESTADO],MATCH(ChargentOrders[[#This Row],[Contract__c]],Table5[SM_Contract__c],0))</f>
        <v>DE MAS 1</v>
      </c>
      <c r="G431" t="s">
        <v>1293</v>
      </c>
      <c r="H431" t="s">
        <v>155</v>
      </c>
      <c r="I431" t="s">
        <v>1294</v>
      </c>
      <c r="J431" s="1">
        <v>46171.784641203703</v>
      </c>
      <c r="K431">
        <v>1</v>
      </c>
      <c r="L431">
        <v>2030</v>
      </c>
      <c r="M431" t="s">
        <v>1528</v>
      </c>
      <c r="N431">
        <v>1</v>
      </c>
      <c r="O431" t="s">
        <v>1530</v>
      </c>
      <c r="P431" t="s">
        <v>73</v>
      </c>
      <c r="Q431">
        <v>2030</v>
      </c>
      <c r="R431">
        <v>0</v>
      </c>
      <c r="T431" t="s">
        <v>67</v>
      </c>
      <c r="U431" t="s">
        <v>68</v>
      </c>
      <c r="V431">
        <v>0</v>
      </c>
      <c r="W431" t="s">
        <v>69</v>
      </c>
      <c r="X431" s="5"/>
      <c r="Y431" t="s">
        <v>68</v>
      </c>
      <c r="Z431" t="s">
        <v>68</v>
      </c>
      <c r="AA431">
        <v>0</v>
      </c>
      <c r="AC431" t="s">
        <v>1283</v>
      </c>
      <c r="AD431" t="s">
        <v>68</v>
      </c>
      <c r="AE431">
        <v>0</v>
      </c>
      <c r="AF431" s="1"/>
      <c r="AG431" s="1">
        <v>46171.784687500003</v>
      </c>
      <c r="AH431">
        <v>0</v>
      </c>
      <c r="AI431">
        <v>1</v>
      </c>
      <c r="AJ431">
        <v>0</v>
      </c>
      <c r="AK431" t="s">
        <v>1185</v>
      </c>
      <c r="AL431" t="s">
        <v>68</v>
      </c>
      <c r="AM431" t="s">
        <v>68</v>
      </c>
      <c r="AN431">
        <v>0</v>
      </c>
      <c r="AO431" s="1"/>
      <c r="AP431">
        <v>1</v>
      </c>
      <c r="AS431" t="s">
        <v>75</v>
      </c>
      <c r="AT431" t="s">
        <v>68</v>
      </c>
      <c r="AU431">
        <v>0</v>
      </c>
      <c r="AV431" t="s">
        <v>68</v>
      </c>
      <c r="AW431">
        <v>1</v>
      </c>
      <c r="AX431" s="1"/>
      <c r="AZ431" t="s">
        <v>68</v>
      </c>
      <c r="BA431" t="s">
        <v>68</v>
      </c>
      <c r="BB431" t="s">
        <v>68</v>
      </c>
      <c r="BC431" t="s">
        <v>68</v>
      </c>
      <c r="BD431">
        <v>0</v>
      </c>
      <c r="BE431" s="1"/>
      <c r="BF431" s="1">
        <v>46171.784687500003</v>
      </c>
      <c r="BG431" t="s">
        <v>68</v>
      </c>
      <c r="BH431" t="s">
        <v>68</v>
      </c>
      <c r="BI431" t="s">
        <v>68</v>
      </c>
      <c r="BJ431" t="s">
        <v>68</v>
      </c>
      <c r="BK431" t="s">
        <v>68</v>
      </c>
      <c r="BL431" t="s">
        <v>68</v>
      </c>
      <c r="BM431" t="s">
        <v>68</v>
      </c>
      <c r="BN431" t="s">
        <v>68</v>
      </c>
      <c r="BO431" t="s">
        <v>96</v>
      </c>
      <c r="BP431">
        <v>0</v>
      </c>
      <c r="BQ431" t="s">
        <v>68</v>
      </c>
      <c r="BR431" t="s">
        <v>68</v>
      </c>
      <c r="BS431" t="s">
        <v>68</v>
      </c>
    </row>
    <row r="432" spans="1:71" x14ac:dyDescent="0.35">
      <c r="A432" t="b">
        <f>ISNUMBER(MATCH(ChargentOrders[[#This Row],[Contract__c]],Contract[Id],0))</f>
        <v>1</v>
      </c>
      <c r="B432">
        <f>IFERROR(INDEX(Contract[CB_Subscription__c],MATCH(ChargentOrders[[#This Row],[Contract__c]],Contract[Id],0)),0)</f>
        <v>0</v>
      </c>
      <c r="C432" t="b">
        <f>ISNUMBER(MATCH(ChargentOrders[[#This Row],[Id]],Claude[Id],0))</f>
        <v>1</v>
      </c>
      <c r="D432" t="b">
        <f>AND(ChargentOrders[[#This Row],[_Contract]],ChargentOrders[[#This Row],[CB Subscription]]=0)</f>
        <v>1</v>
      </c>
      <c r="E432" s="38">
        <f>INDEX(Table5[CUENTA],MATCH(ChargentOrders[[#This Row],[Contract__c]],Table5[SM_Contract__c],0))</f>
        <v>46239</v>
      </c>
      <c r="F432" s="38" t="str">
        <f ca="1">INDEX(Table5[ESTADO],MATCH(ChargentOrders[[#This Row],[Contract__c]],Table5[SM_Contract__c],0))</f>
        <v>DE MAS 1</v>
      </c>
      <c r="G432" t="s">
        <v>1295</v>
      </c>
      <c r="H432" t="s">
        <v>155</v>
      </c>
      <c r="I432" t="s">
        <v>1296</v>
      </c>
      <c r="J432" s="1">
        <v>46171.823368055557</v>
      </c>
      <c r="K432">
        <v>10</v>
      </c>
      <c r="L432">
        <v>2030</v>
      </c>
      <c r="M432" t="s">
        <v>1528</v>
      </c>
      <c r="N432">
        <v>10</v>
      </c>
      <c r="O432" t="s">
        <v>1530</v>
      </c>
      <c r="P432" t="s">
        <v>73</v>
      </c>
      <c r="Q432">
        <v>2030</v>
      </c>
      <c r="R432">
        <v>9900</v>
      </c>
      <c r="S432">
        <v>5</v>
      </c>
      <c r="T432" t="s">
        <v>67</v>
      </c>
      <c r="U432" t="s">
        <v>68</v>
      </c>
      <c r="V432">
        <v>0</v>
      </c>
      <c r="W432" t="s">
        <v>69</v>
      </c>
      <c r="X432" s="5">
        <v>46239</v>
      </c>
      <c r="Y432" t="s">
        <v>84</v>
      </c>
      <c r="Z432" t="s">
        <v>68</v>
      </c>
      <c r="AA432">
        <v>9900</v>
      </c>
      <c r="AB432">
        <v>0</v>
      </c>
      <c r="AC432" t="s">
        <v>1184</v>
      </c>
      <c r="AD432" t="s">
        <v>68</v>
      </c>
      <c r="AE432">
        <v>0</v>
      </c>
      <c r="AF432" s="1">
        <v>46206.422094907408</v>
      </c>
      <c r="AG432" s="1">
        <v>46206.422118055554</v>
      </c>
      <c r="AH432">
        <v>1</v>
      </c>
      <c r="AI432">
        <v>2</v>
      </c>
      <c r="AJ432">
        <v>990</v>
      </c>
      <c r="AK432" t="s">
        <v>1185</v>
      </c>
      <c r="AL432" t="s">
        <v>76</v>
      </c>
      <c r="AM432" t="s">
        <v>68</v>
      </c>
      <c r="AN432">
        <v>0</v>
      </c>
      <c r="AO432" s="1"/>
      <c r="AP432">
        <v>3</v>
      </c>
      <c r="AQ432">
        <v>0</v>
      </c>
      <c r="AR432">
        <v>0</v>
      </c>
      <c r="AS432" t="s">
        <v>75</v>
      </c>
      <c r="AT432" t="s">
        <v>68</v>
      </c>
      <c r="AU432">
        <v>0</v>
      </c>
      <c r="AV432" t="s">
        <v>68</v>
      </c>
      <c r="AW432">
        <v>0</v>
      </c>
      <c r="AX432" s="1"/>
      <c r="AZ432" t="s">
        <v>68</v>
      </c>
      <c r="BA432" t="s">
        <v>68</v>
      </c>
      <c r="BB432" t="s">
        <v>68</v>
      </c>
      <c r="BC432" t="s">
        <v>68</v>
      </c>
      <c r="BD432">
        <v>0</v>
      </c>
      <c r="BE432" s="1">
        <v>46178.426782407405</v>
      </c>
      <c r="BF432" s="1">
        <v>46206.422094907408</v>
      </c>
      <c r="BG432" t="s">
        <v>68</v>
      </c>
      <c r="BH432" t="s">
        <v>68</v>
      </c>
      <c r="BI432" t="s">
        <v>68</v>
      </c>
      <c r="BJ432" t="s">
        <v>68</v>
      </c>
      <c r="BK432" t="s">
        <v>68</v>
      </c>
      <c r="BL432" t="s">
        <v>68</v>
      </c>
      <c r="BM432" t="s">
        <v>68</v>
      </c>
      <c r="BN432" t="s">
        <v>68</v>
      </c>
      <c r="BO432" t="s">
        <v>96</v>
      </c>
      <c r="BP432">
        <v>0</v>
      </c>
      <c r="BQ432" t="s">
        <v>68</v>
      </c>
      <c r="BR432" t="s">
        <v>68</v>
      </c>
      <c r="BS432" t="s">
        <v>68</v>
      </c>
    </row>
    <row r="433" spans="1:71" x14ac:dyDescent="0.35">
      <c r="A433" t="b">
        <f>ISNUMBER(MATCH(ChargentOrders[[#This Row],[Contract__c]],Contract[Id],0))</f>
        <v>1</v>
      </c>
      <c r="B433">
        <f>IFERROR(INDEX(Contract[CB_Subscription__c],MATCH(ChargentOrders[[#This Row],[Contract__c]],Contract[Id],0)),0)</f>
        <v>0</v>
      </c>
      <c r="C433" t="b">
        <f>ISNUMBER(MATCH(ChargentOrders[[#This Row],[Id]],Claude[Id],0))</f>
        <v>1</v>
      </c>
      <c r="D433" t="b">
        <f>AND(ChargentOrders[[#This Row],[_Contract]],ChargentOrders[[#This Row],[CB Subscription]]=0)</f>
        <v>1</v>
      </c>
      <c r="E433" s="38">
        <f>INDEX(Table5[CUENTA],MATCH(ChargentOrders[[#This Row],[Contract__c]],Table5[SM_Contract__c],0))</f>
        <v>46239</v>
      </c>
      <c r="F433" s="38" t="str">
        <f ca="1">INDEX(Table5[ESTADO],MATCH(ChargentOrders[[#This Row],[Contract__c]],Table5[SM_Contract__c],0))</f>
        <v>DE MAS 1</v>
      </c>
      <c r="G433" t="s">
        <v>1309</v>
      </c>
      <c r="H433" t="s">
        <v>155</v>
      </c>
      <c r="I433" t="s">
        <v>1310</v>
      </c>
      <c r="J433" s="1">
        <v>46178.426817129628</v>
      </c>
      <c r="K433">
        <v>10</v>
      </c>
      <c r="L433">
        <v>2030</v>
      </c>
      <c r="M433" t="s">
        <v>1528</v>
      </c>
      <c r="N433">
        <v>10</v>
      </c>
      <c r="O433" t="s">
        <v>1530</v>
      </c>
      <c r="P433" t="s">
        <v>73</v>
      </c>
      <c r="Q433">
        <v>2030</v>
      </c>
      <c r="R433">
        <v>990</v>
      </c>
      <c r="T433" t="s">
        <v>67</v>
      </c>
      <c r="U433" t="s">
        <v>68</v>
      </c>
      <c r="V433">
        <v>0</v>
      </c>
      <c r="W433" t="s">
        <v>69</v>
      </c>
      <c r="X433" s="5">
        <v>46181</v>
      </c>
      <c r="Y433" t="s">
        <v>74</v>
      </c>
      <c r="Z433" t="s">
        <v>68</v>
      </c>
      <c r="AA433">
        <v>9900</v>
      </c>
      <c r="AB433">
        <v>0</v>
      </c>
      <c r="AC433" t="s">
        <v>1184</v>
      </c>
      <c r="AD433" t="s">
        <v>68</v>
      </c>
      <c r="AE433">
        <v>0</v>
      </c>
      <c r="AF433" s="1">
        <v>46178.661770833336</v>
      </c>
      <c r="AG433" s="1">
        <v>46178.661770833336</v>
      </c>
      <c r="AH433">
        <v>1</v>
      </c>
      <c r="AI433">
        <v>1</v>
      </c>
      <c r="AJ433">
        <v>990</v>
      </c>
      <c r="AK433" t="s">
        <v>1185</v>
      </c>
      <c r="AL433" t="s">
        <v>71</v>
      </c>
      <c r="AM433" t="s">
        <v>68</v>
      </c>
      <c r="AN433">
        <v>0</v>
      </c>
      <c r="AO433" s="1"/>
      <c r="AP433">
        <v>0</v>
      </c>
      <c r="AQ433">
        <v>0</v>
      </c>
      <c r="AR433">
        <v>0</v>
      </c>
      <c r="AS433" t="s">
        <v>72</v>
      </c>
      <c r="AT433" t="s">
        <v>68</v>
      </c>
      <c r="AU433">
        <v>0</v>
      </c>
      <c r="AV433" t="s">
        <v>1311</v>
      </c>
      <c r="AW433">
        <v>0</v>
      </c>
      <c r="AX433" s="1">
        <v>46178.66138888889</v>
      </c>
      <c r="AY433">
        <v>0</v>
      </c>
      <c r="AZ433" t="s">
        <v>68</v>
      </c>
      <c r="BA433" t="s">
        <v>65</v>
      </c>
      <c r="BB433" t="s">
        <v>68</v>
      </c>
      <c r="BC433" t="s">
        <v>68</v>
      </c>
      <c r="BD433">
        <v>0</v>
      </c>
      <c r="BE433" s="1"/>
      <c r="BF433" s="1">
        <v>46178.661770833336</v>
      </c>
      <c r="BG433" t="s">
        <v>68</v>
      </c>
      <c r="BH433" t="s">
        <v>68</v>
      </c>
      <c r="BI433" t="s">
        <v>68</v>
      </c>
      <c r="BJ433" t="s">
        <v>68</v>
      </c>
      <c r="BK433" t="s">
        <v>68</v>
      </c>
      <c r="BL433" t="s">
        <v>68</v>
      </c>
      <c r="BM433" t="s">
        <v>68</v>
      </c>
      <c r="BN433" t="s">
        <v>68</v>
      </c>
      <c r="BO433" t="s">
        <v>96</v>
      </c>
      <c r="BP433">
        <v>0</v>
      </c>
      <c r="BQ433" t="s">
        <v>68</v>
      </c>
      <c r="BR433" t="s">
        <v>68</v>
      </c>
      <c r="BS433" t="s">
        <v>68</v>
      </c>
    </row>
    <row r="434" spans="1:71" x14ac:dyDescent="0.35">
      <c r="A434" t="b">
        <f>ISNUMBER(MATCH(ChargentOrders[[#This Row],[Contract__c]],Contract[Id],0))</f>
        <v>1</v>
      </c>
      <c r="B434">
        <f>IFERROR(INDEX(Contract[CB_Subscription__c],MATCH(ChargentOrders[[#This Row],[Contract__c]],Contract[Id],0)),0)</f>
        <v>0</v>
      </c>
      <c r="C434" t="b">
        <f>ISNUMBER(MATCH(ChargentOrders[[#This Row],[Id]],Claude[Id],0))</f>
        <v>1</v>
      </c>
      <c r="D434" t="b">
        <f>AND(ChargentOrders[[#This Row],[_Contract]],ChargentOrders[[#This Row],[CB Subscription]]=0)</f>
        <v>1</v>
      </c>
      <c r="E434" s="38">
        <f>INDEX(Table5[CUENTA],MATCH(ChargentOrders[[#This Row],[Contract__c]],Table5[SM_Contract__c],0))</f>
        <v>46249</v>
      </c>
      <c r="F434" s="38" t="str">
        <f ca="1">INDEX(Table5[ESTADO],MATCH(ChargentOrders[[#This Row],[Contract__c]],Table5[SM_Contract__c],0))</f>
        <v>DE MAS 1</v>
      </c>
      <c r="G434" t="s">
        <v>1396</v>
      </c>
      <c r="H434" t="s">
        <v>101</v>
      </c>
      <c r="I434" t="s">
        <v>1397</v>
      </c>
      <c r="J434" s="1">
        <v>46210.783495370371</v>
      </c>
      <c r="K434">
        <v>10</v>
      </c>
      <c r="L434">
        <v>2030</v>
      </c>
      <c r="M434" t="s">
        <v>1535</v>
      </c>
      <c r="N434">
        <v>10</v>
      </c>
      <c r="O434" t="s">
        <v>1535</v>
      </c>
      <c r="P434" t="s">
        <v>66</v>
      </c>
      <c r="Q434">
        <v>2030</v>
      </c>
      <c r="R434">
        <v>790</v>
      </c>
      <c r="S434">
        <v>14</v>
      </c>
      <c r="T434" t="s">
        <v>67</v>
      </c>
      <c r="U434" t="s">
        <v>68</v>
      </c>
      <c r="V434">
        <v>0</v>
      </c>
      <c r="W434" t="s">
        <v>69</v>
      </c>
      <c r="X434" s="5">
        <v>46248</v>
      </c>
      <c r="Y434" t="s">
        <v>84</v>
      </c>
      <c r="Z434" t="s">
        <v>68</v>
      </c>
      <c r="AA434">
        <v>790</v>
      </c>
      <c r="AB434">
        <v>0</v>
      </c>
      <c r="AC434" t="s">
        <v>1398</v>
      </c>
      <c r="AD434" t="s">
        <v>68</v>
      </c>
      <c r="AE434">
        <v>0</v>
      </c>
      <c r="AF434" s="1">
        <v>46210.873553240737</v>
      </c>
      <c r="AG434" s="1">
        <v>46210.873553240737</v>
      </c>
      <c r="AH434">
        <v>1</v>
      </c>
      <c r="AI434">
        <v>1</v>
      </c>
      <c r="AJ434">
        <v>790</v>
      </c>
      <c r="AK434" t="s">
        <v>1399</v>
      </c>
      <c r="AL434" t="s">
        <v>76</v>
      </c>
      <c r="AM434" t="s">
        <v>68</v>
      </c>
      <c r="AN434">
        <v>0</v>
      </c>
      <c r="AO434" s="1"/>
      <c r="AP434">
        <v>2</v>
      </c>
      <c r="AQ434">
        <v>0</v>
      </c>
      <c r="AR434">
        <v>0</v>
      </c>
      <c r="AS434" t="s">
        <v>75</v>
      </c>
      <c r="AT434" t="s">
        <v>1400</v>
      </c>
      <c r="AU434">
        <v>0</v>
      </c>
      <c r="AV434" t="s">
        <v>68</v>
      </c>
      <c r="AW434">
        <v>0</v>
      </c>
      <c r="AX434" s="1"/>
      <c r="AZ434" t="s">
        <v>68</v>
      </c>
      <c r="BA434" t="s">
        <v>68</v>
      </c>
      <c r="BB434" t="s">
        <v>68</v>
      </c>
      <c r="BC434" t="s">
        <v>68</v>
      </c>
      <c r="BD434">
        <v>0</v>
      </c>
      <c r="BE434" s="1"/>
      <c r="BF434" s="1">
        <v>46210.873553240737</v>
      </c>
      <c r="BG434" t="s">
        <v>68</v>
      </c>
      <c r="BH434" t="s">
        <v>68</v>
      </c>
      <c r="BI434" t="s">
        <v>68</v>
      </c>
      <c r="BJ434" t="s">
        <v>68</v>
      </c>
      <c r="BK434" t="s">
        <v>68</v>
      </c>
      <c r="BL434" t="s">
        <v>68</v>
      </c>
      <c r="BM434" t="s">
        <v>68</v>
      </c>
      <c r="BN434" t="s">
        <v>68</v>
      </c>
      <c r="BO434" t="s">
        <v>96</v>
      </c>
      <c r="BP434">
        <v>0</v>
      </c>
      <c r="BQ434" t="s">
        <v>68</v>
      </c>
      <c r="BR434" t="s">
        <v>68</v>
      </c>
      <c r="BS434" t="s">
        <v>68</v>
      </c>
    </row>
    <row r="435" spans="1:71" x14ac:dyDescent="0.35">
      <c r="A435" t="b">
        <f>ISNUMBER(MATCH(ChargentOrders[[#This Row],[Contract__c]],Contract[Id],0))</f>
        <v>1</v>
      </c>
      <c r="B435">
        <f>IFERROR(INDEX(Contract[CB_Subscription__c],MATCH(ChargentOrders[[#This Row],[Contract__c]],Contract[Id],0)),0)</f>
        <v>0</v>
      </c>
      <c r="C435" t="b">
        <f>ISNUMBER(MATCH(ChargentOrders[[#This Row],[Id]],Claude[Id],0))</f>
        <v>1</v>
      </c>
      <c r="D435" t="b">
        <f>AND(ChargentOrders[[#This Row],[_Contract]],ChargentOrders[[#This Row],[CB Subscription]]=0)</f>
        <v>1</v>
      </c>
      <c r="E435" s="38">
        <f>INDEX(Table5[CUENTA],MATCH(ChargentOrders[[#This Row],[Contract__c]],Table5[SM_Contract__c],0))</f>
        <v>46249</v>
      </c>
      <c r="F435" s="38" t="str">
        <f ca="1">INDEX(Table5[ESTADO],MATCH(ChargentOrders[[#This Row],[Contract__c]],Table5[SM_Contract__c],0))</f>
        <v>DE MAS 1</v>
      </c>
      <c r="G435" t="s">
        <v>1401</v>
      </c>
      <c r="H435" t="s">
        <v>101</v>
      </c>
      <c r="I435" t="s">
        <v>1402</v>
      </c>
      <c r="J435" s="1">
        <v>46210.783402777779</v>
      </c>
      <c r="K435">
        <v>10</v>
      </c>
      <c r="L435">
        <v>2030</v>
      </c>
      <c r="M435" t="s">
        <v>1535</v>
      </c>
      <c r="N435">
        <v>10</v>
      </c>
      <c r="O435" t="s">
        <v>1536</v>
      </c>
      <c r="P435" t="s">
        <v>66</v>
      </c>
      <c r="Q435">
        <v>2030</v>
      </c>
      <c r="R435">
        <v>0</v>
      </c>
      <c r="T435" t="s">
        <v>67</v>
      </c>
      <c r="U435" t="s">
        <v>68</v>
      </c>
      <c r="V435">
        <v>0</v>
      </c>
      <c r="W435" t="s">
        <v>69</v>
      </c>
      <c r="X435" s="5"/>
      <c r="Y435" t="s">
        <v>68</v>
      </c>
      <c r="Z435" t="s">
        <v>68</v>
      </c>
      <c r="AA435">
        <v>0</v>
      </c>
      <c r="AC435" t="s">
        <v>1398</v>
      </c>
      <c r="AD435" t="s">
        <v>68</v>
      </c>
      <c r="AE435">
        <v>0</v>
      </c>
      <c r="AF435" s="1"/>
      <c r="AG435" s="1">
        <v>46210.783449074072</v>
      </c>
      <c r="AH435">
        <v>0</v>
      </c>
      <c r="AI435">
        <v>1</v>
      </c>
      <c r="AJ435">
        <v>0</v>
      </c>
      <c r="AK435" t="s">
        <v>1399</v>
      </c>
      <c r="AL435" t="s">
        <v>68</v>
      </c>
      <c r="AM435" t="s">
        <v>68</v>
      </c>
      <c r="AN435">
        <v>0</v>
      </c>
      <c r="AO435" s="1"/>
      <c r="AP435">
        <v>1</v>
      </c>
      <c r="AS435" t="s">
        <v>75</v>
      </c>
      <c r="AT435" t="s">
        <v>68</v>
      </c>
      <c r="AU435">
        <v>0</v>
      </c>
      <c r="AV435" t="s">
        <v>68</v>
      </c>
      <c r="AW435">
        <v>1</v>
      </c>
      <c r="AX435" s="1"/>
      <c r="AZ435" t="s">
        <v>68</v>
      </c>
      <c r="BA435" t="s">
        <v>68</v>
      </c>
      <c r="BB435" t="s">
        <v>68</v>
      </c>
      <c r="BC435" t="s">
        <v>68</v>
      </c>
      <c r="BD435">
        <v>0</v>
      </c>
      <c r="BE435" s="1"/>
      <c r="BF435" s="1">
        <v>46210.783449074072</v>
      </c>
      <c r="BG435" t="s">
        <v>68</v>
      </c>
      <c r="BH435" t="s">
        <v>68</v>
      </c>
      <c r="BI435" t="s">
        <v>68</v>
      </c>
      <c r="BJ435" t="s">
        <v>68</v>
      </c>
      <c r="BK435" t="s">
        <v>68</v>
      </c>
      <c r="BL435" t="s">
        <v>68</v>
      </c>
      <c r="BM435" t="s">
        <v>68</v>
      </c>
      <c r="BN435" t="s">
        <v>68</v>
      </c>
      <c r="BO435" t="s">
        <v>96</v>
      </c>
      <c r="BP435">
        <v>0</v>
      </c>
      <c r="BQ435" t="s">
        <v>68</v>
      </c>
      <c r="BR435" t="s">
        <v>68</v>
      </c>
      <c r="BS435" t="s">
        <v>68</v>
      </c>
    </row>
    <row r="436" spans="1:71" x14ac:dyDescent="0.35">
      <c r="A436" t="b">
        <f>ISNUMBER(MATCH(ChargentOrders[[#This Row],[Contract__c]],Contract[Id],0))</f>
        <v>1</v>
      </c>
      <c r="B436">
        <f>IFERROR(INDEX(Contract[CB_Subscription__c],MATCH(ChargentOrders[[#This Row],[Contract__c]],Contract[Id],0)),0)</f>
        <v>0</v>
      </c>
      <c r="C436" t="b">
        <f>ISNUMBER(MATCH(ChargentOrders[[#This Row],[Id]],Claude[Id],0))</f>
        <v>1</v>
      </c>
      <c r="D436" t="b">
        <f>AND(ChargentOrders[[#This Row],[_Contract]],ChargentOrders[[#This Row],[CB Subscription]]=0)</f>
        <v>1</v>
      </c>
      <c r="E436" s="38">
        <f>INDEX(Table5[CUENTA],MATCH(ChargentOrders[[#This Row],[Contract__c]],Table5[SM_Contract__c],0))</f>
        <v>46264</v>
      </c>
      <c r="F436" s="38" t="str">
        <f ca="1">INDEX(Table5[ESTADO],MATCH(ChargentOrders[[#This Row],[Contract__c]],Table5[SM_Contract__c],0))</f>
        <v>DE MAS 1</v>
      </c>
      <c r="G436" t="s">
        <v>573</v>
      </c>
      <c r="H436" t="s">
        <v>81</v>
      </c>
      <c r="I436" t="s">
        <v>574</v>
      </c>
      <c r="J436" s="1">
        <v>45992.944212962961</v>
      </c>
      <c r="K436">
        <v>2</v>
      </c>
      <c r="L436">
        <v>2030</v>
      </c>
      <c r="M436" t="s">
        <v>1429</v>
      </c>
      <c r="N436">
        <v>2</v>
      </c>
      <c r="O436" t="s">
        <v>1470</v>
      </c>
      <c r="P436" t="s">
        <v>73</v>
      </c>
      <c r="Q436">
        <v>2030</v>
      </c>
      <c r="R436">
        <v>0</v>
      </c>
      <c r="T436" t="s">
        <v>67</v>
      </c>
      <c r="U436" t="s">
        <v>68</v>
      </c>
      <c r="V436">
        <v>0</v>
      </c>
      <c r="W436" t="s">
        <v>69</v>
      </c>
      <c r="X436" s="5"/>
      <c r="Y436" t="s">
        <v>68</v>
      </c>
      <c r="Z436" t="s">
        <v>68</v>
      </c>
      <c r="AA436">
        <v>0</v>
      </c>
      <c r="AC436" t="s">
        <v>575</v>
      </c>
      <c r="AD436" t="s">
        <v>68</v>
      </c>
      <c r="AE436">
        <v>0</v>
      </c>
      <c r="AF436" s="1"/>
      <c r="AG436" s="1">
        <v>45992.944236111114</v>
      </c>
      <c r="AH436">
        <v>0</v>
      </c>
      <c r="AI436">
        <v>1</v>
      </c>
      <c r="AJ436">
        <v>0</v>
      </c>
      <c r="AK436" t="s">
        <v>576</v>
      </c>
      <c r="AL436" t="s">
        <v>68</v>
      </c>
      <c r="AM436" t="s">
        <v>68</v>
      </c>
      <c r="AN436">
        <v>0</v>
      </c>
      <c r="AO436" s="1"/>
      <c r="AP436">
        <v>1</v>
      </c>
      <c r="AS436" t="s">
        <v>75</v>
      </c>
      <c r="AT436" t="s">
        <v>68</v>
      </c>
      <c r="AU436">
        <v>0</v>
      </c>
      <c r="AV436" t="s">
        <v>68</v>
      </c>
      <c r="AW436">
        <v>1</v>
      </c>
      <c r="AX436" s="1"/>
      <c r="AZ436" t="s">
        <v>68</v>
      </c>
      <c r="BA436" t="s">
        <v>68</v>
      </c>
      <c r="BB436" t="s">
        <v>68</v>
      </c>
      <c r="BC436" t="s">
        <v>68</v>
      </c>
      <c r="BD436">
        <v>0</v>
      </c>
      <c r="BE436" s="1"/>
      <c r="BF436" s="1">
        <v>45992.944236111114</v>
      </c>
      <c r="BG436" t="s">
        <v>68</v>
      </c>
      <c r="BH436" t="s">
        <v>68</v>
      </c>
      <c r="BI436" t="s">
        <v>68</v>
      </c>
      <c r="BJ436" t="s">
        <v>68</v>
      </c>
      <c r="BK436" t="s">
        <v>68</v>
      </c>
      <c r="BL436" t="s">
        <v>68</v>
      </c>
      <c r="BM436" t="s">
        <v>68</v>
      </c>
      <c r="BN436" t="s">
        <v>68</v>
      </c>
      <c r="BO436" t="s">
        <v>96</v>
      </c>
      <c r="BP436">
        <v>0</v>
      </c>
      <c r="BQ436" t="s">
        <v>68</v>
      </c>
      <c r="BR436" t="s">
        <v>68</v>
      </c>
      <c r="BS436" t="s">
        <v>68</v>
      </c>
    </row>
    <row r="437" spans="1:71" x14ac:dyDescent="0.35">
      <c r="A437" t="b">
        <f>ISNUMBER(MATCH(ChargentOrders[[#This Row],[Contract__c]],Contract[Id],0))</f>
        <v>1</v>
      </c>
      <c r="B437">
        <f>IFERROR(INDEX(Contract[CB_Subscription__c],MATCH(ChargentOrders[[#This Row],[Contract__c]],Contract[Id],0)),0)</f>
        <v>0</v>
      </c>
      <c r="C437" t="b">
        <f>ISNUMBER(MATCH(ChargentOrders[[#This Row],[Id]],Claude[Id],0))</f>
        <v>1</v>
      </c>
      <c r="D437" t="b">
        <f>AND(ChargentOrders[[#This Row],[_Contract]],ChargentOrders[[#This Row],[CB Subscription]]=0)</f>
        <v>1</v>
      </c>
      <c r="E437" s="38">
        <f>INDEX(Table5[CUENTA],MATCH(ChargentOrders[[#This Row],[Contract__c]],Table5[SM_Contract__c],0))</f>
        <v>46264</v>
      </c>
      <c r="F437" s="38" t="str">
        <f ca="1">INDEX(Table5[ESTADO],MATCH(ChargentOrders[[#This Row],[Contract__c]],Table5[SM_Contract__c],0))</f>
        <v>DE MAS 1</v>
      </c>
      <c r="G437" t="s">
        <v>577</v>
      </c>
      <c r="H437" t="s">
        <v>81</v>
      </c>
      <c r="I437" t="s">
        <v>578</v>
      </c>
      <c r="J437" s="1">
        <v>45992.945196759261</v>
      </c>
      <c r="K437">
        <v>2</v>
      </c>
      <c r="L437">
        <v>2030</v>
      </c>
      <c r="M437" t="s">
        <v>1429</v>
      </c>
      <c r="N437">
        <v>2</v>
      </c>
      <c r="O437" t="s">
        <v>1470</v>
      </c>
      <c r="P437" t="s">
        <v>73</v>
      </c>
      <c r="Q437">
        <v>2030</v>
      </c>
      <c r="R437">
        <v>690</v>
      </c>
      <c r="S437">
        <v>29</v>
      </c>
      <c r="T437" t="s">
        <v>67</v>
      </c>
      <c r="U437" t="s">
        <v>68</v>
      </c>
      <c r="V437">
        <v>0</v>
      </c>
      <c r="W437" t="s">
        <v>69</v>
      </c>
      <c r="X437" s="5">
        <v>46263</v>
      </c>
      <c r="Y437" t="s">
        <v>84</v>
      </c>
      <c r="Z437" t="s">
        <v>68</v>
      </c>
      <c r="AA437">
        <v>6900</v>
      </c>
      <c r="AB437">
        <v>0</v>
      </c>
      <c r="AC437" t="s">
        <v>575</v>
      </c>
      <c r="AD437" t="s">
        <v>68</v>
      </c>
      <c r="AE437">
        <v>0</v>
      </c>
      <c r="AF437" s="1">
        <v>46216.984166666669</v>
      </c>
      <c r="AG437" s="1">
        <v>46216.984178240738</v>
      </c>
      <c r="AH437">
        <v>6</v>
      </c>
      <c r="AI437">
        <v>6</v>
      </c>
      <c r="AJ437">
        <v>4140</v>
      </c>
      <c r="AK437" t="s">
        <v>576</v>
      </c>
      <c r="AL437" t="s">
        <v>76</v>
      </c>
      <c r="AM437" t="s">
        <v>68</v>
      </c>
      <c r="AN437">
        <v>0</v>
      </c>
      <c r="AO437" s="1"/>
      <c r="AP437">
        <v>6</v>
      </c>
      <c r="AQ437">
        <v>0</v>
      </c>
      <c r="AR437">
        <v>0</v>
      </c>
      <c r="AS437" t="s">
        <v>75</v>
      </c>
      <c r="AT437" t="s">
        <v>68</v>
      </c>
      <c r="AU437">
        <v>0</v>
      </c>
      <c r="AV437" t="s">
        <v>68</v>
      </c>
      <c r="AW437">
        <v>0</v>
      </c>
      <c r="AX437" s="1"/>
      <c r="AZ437" t="s">
        <v>68</v>
      </c>
      <c r="BA437" t="s">
        <v>68</v>
      </c>
      <c r="BB437" t="s">
        <v>68</v>
      </c>
      <c r="BC437" t="s">
        <v>68</v>
      </c>
      <c r="BD437">
        <v>0</v>
      </c>
      <c r="BE437" s="1"/>
      <c r="BF437" s="1">
        <v>46216.984166666669</v>
      </c>
      <c r="BG437" t="s">
        <v>68</v>
      </c>
      <c r="BH437" t="s">
        <v>68</v>
      </c>
      <c r="BI437" t="s">
        <v>68</v>
      </c>
      <c r="BJ437" t="s">
        <v>68</v>
      </c>
      <c r="BK437" t="s">
        <v>68</v>
      </c>
      <c r="BL437" t="s">
        <v>68</v>
      </c>
      <c r="BM437" t="s">
        <v>68</v>
      </c>
      <c r="BN437" t="s">
        <v>68</v>
      </c>
      <c r="BO437" t="s">
        <v>96</v>
      </c>
      <c r="BP437">
        <v>0</v>
      </c>
      <c r="BQ437" t="s">
        <v>68</v>
      </c>
      <c r="BR437" t="s">
        <v>68</v>
      </c>
      <c r="BS437" t="s">
        <v>68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4CA4-D459-48C6-9B19-978D7E09BD37}">
  <dimension ref="A1:CQ452"/>
  <sheetViews>
    <sheetView workbookViewId="0">
      <selection activeCell="D4" sqref="D4"/>
    </sheetView>
  </sheetViews>
  <sheetFormatPr defaultRowHeight="14.5" x14ac:dyDescent="0.35"/>
  <cols>
    <col min="1" max="1" width="21.36328125" bestFit="1" customWidth="1"/>
    <col min="2" max="3" width="21.36328125" customWidth="1"/>
  </cols>
  <sheetData>
    <row r="1" spans="1:95" x14ac:dyDescent="0.35">
      <c r="D1" s="12">
        <f>SUBTOTAL(103,Claude[Id])</f>
        <v>450</v>
      </c>
    </row>
    <row r="2" spans="1:95" x14ac:dyDescent="0.35">
      <c r="A2" s="10" t="s">
        <v>2333</v>
      </c>
      <c r="B2" s="10" t="s">
        <v>2348</v>
      </c>
      <c r="C2" s="10" t="s">
        <v>1902</v>
      </c>
      <c r="D2" s="9" t="s">
        <v>0</v>
      </c>
      <c r="E2" s="9" t="s">
        <v>1</v>
      </c>
      <c r="F2" s="9" t="s">
        <v>1914</v>
      </c>
      <c r="G2" s="9" t="s">
        <v>2</v>
      </c>
      <c r="H2" s="9" t="s">
        <v>3</v>
      </c>
      <c r="I2" s="9" t="s">
        <v>1915</v>
      </c>
      <c r="J2" s="9" t="s">
        <v>1916</v>
      </c>
      <c r="K2" s="9" t="s">
        <v>1917</v>
      </c>
      <c r="L2" s="9" t="s">
        <v>1918</v>
      </c>
      <c r="M2" s="9" t="s">
        <v>2343</v>
      </c>
      <c r="N2" s="9" t="s">
        <v>1919</v>
      </c>
      <c r="O2" s="9" t="s">
        <v>1920</v>
      </c>
      <c r="P2" s="9" t="s">
        <v>1921</v>
      </c>
      <c r="Q2" s="9" t="s">
        <v>1922</v>
      </c>
      <c r="R2" s="9" t="s">
        <v>2314</v>
      </c>
      <c r="S2" s="9" t="s">
        <v>2315</v>
      </c>
      <c r="T2" s="9" t="s">
        <v>2316</v>
      </c>
      <c r="U2" s="9" t="s">
        <v>2317</v>
      </c>
      <c r="V2" s="9" t="s">
        <v>2318</v>
      </c>
      <c r="W2" s="9" t="s">
        <v>4</v>
      </c>
      <c r="X2" s="9" t="s">
        <v>5</v>
      </c>
      <c r="Y2" s="9" t="s">
        <v>6</v>
      </c>
      <c r="Z2" s="9" t="s">
        <v>7</v>
      </c>
      <c r="AA2" s="9" t="s">
        <v>8</v>
      </c>
      <c r="AB2" s="9" t="s">
        <v>9</v>
      </c>
      <c r="AC2" s="9" t="s">
        <v>10</v>
      </c>
      <c r="AD2" s="9" t="s">
        <v>11</v>
      </c>
      <c r="AE2" s="9" t="s">
        <v>12</v>
      </c>
      <c r="AF2" s="9" t="s">
        <v>2319</v>
      </c>
      <c r="AG2" s="9" t="s">
        <v>2344</v>
      </c>
      <c r="AH2" s="9" t="s">
        <v>13</v>
      </c>
      <c r="AI2" s="9" t="s">
        <v>2320</v>
      </c>
      <c r="AJ2" s="9" t="s">
        <v>14</v>
      </c>
      <c r="AK2" s="9" t="s">
        <v>15</v>
      </c>
      <c r="AL2" s="9" t="s">
        <v>2321</v>
      </c>
      <c r="AM2" s="9" t="s">
        <v>2322</v>
      </c>
      <c r="AN2" s="9" t="s">
        <v>2323</v>
      </c>
      <c r="AO2" s="9" t="s">
        <v>2324</v>
      </c>
      <c r="AP2" s="9" t="s">
        <v>16</v>
      </c>
      <c r="AQ2" s="9" t="s">
        <v>2325</v>
      </c>
      <c r="AR2" s="9" t="s">
        <v>17</v>
      </c>
      <c r="AS2" s="9" t="s">
        <v>18</v>
      </c>
      <c r="AT2" s="9" t="s">
        <v>2326</v>
      </c>
      <c r="AU2" s="9" t="s">
        <v>20</v>
      </c>
      <c r="AV2" s="9" t="s">
        <v>2327</v>
      </c>
      <c r="AW2" s="9" t="s">
        <v>21</v>
      </c>
      <c r="AX2" s="9" t="s">
        <v>22</v>
      </c>
      <c r="AY2" s="9" t="s">
        <v>24</v>
      </c>
      <c r="AZ2" s="9" t="s">
        <v>25</v>
      </c>
      <c r="BA2" s="9" t="s">
        <v>26</v>
      </c>
      <c r="BB2" s="9" t="s">
        <v>27</v>
      </c>
      <c r="BC2" s="9" t="s">
        <v>28</v>
      </c>
      <c r="BD2" s="9" t="s">
        <v>29</v>
      </c>
      <c r="BE2" s="9" t="s">
        <v>30</v>
      </c>
      <c r="BF2" s="9" t="s">
        <v>31</v>
      </c>
      <c r="BG2" s="9" t="s">
        <v>32</v>
      </c>
      <c r="BH2" s="9" t="s">
        <v>33</v>
      </c>
      <c r="BI2" s="9" t="s">
        <v>34</v>
      </c>
      <c r="BJ2" s="9" t="s">
        <v>35</v>
      </c>
      <c r="BK2" s="9" t="s">
        <v>36</v>
      </c>
      <c r="BL2" s="9" t="s">
        <v>37</v>
      </c>
      <c r="BM2" s="9" t="s">
        <v>38</v>
      </c>
      <c r="BN2" s="9" t="s">
        <v>39</v>
      </c>
      <c r="BO2" s="9" t="s">
        <v>40</v>
      </c>
      <c r="BP2" s="9" t="s">
        <v>41</v>
      </c>
      <c r="BQ2" s="9" t="s">
        <v>42</v>
      </c>
      <c r="BR2" s="9" t="s">
        <v>43</v>
      </c>
      <c r="BS2" s="9" t="s">
        <v>44</v>
      </c>
      <c r="BT2" s="9" t="s">
        <v>46</v>
      </c>
      <c r="BU2" s="9" t="s">
        <v>47</v>
      </c>
      <c r="BV2" s="9" t="s">
        <v>48</v>
      </c>
      <c r="BW2" s="9" t="s">
        <v>49</v>
      </c>
      <c r="BX2" s="9" t="s">
        <v>50</v>
      </c>
      <c r="BY2" s="9" t="s">
        <v>51</v>
      </c>
      <c r="BZ2" s="9" t="s">
        <v>52</v>
      </c>
      <c r="CA2" s="9" t="s">
        <v>53</v>
      </c>
      <c r="CB2" s="9" t="s">
        <v>54</v>
      </c>
      <c r="CC2" s="9" t="s">
        <v>55</v>
      </c>
      <c r="CD2" s="9" t="s">
        <v>56</v>
      </c>
      <c r="CE2" s="9" t="s">
        <v>57</v>
      </c>
      <c r="CF2" s="9" t="s">
        <v>58</v>
      </c>
      <c r="CG2" s="9" t="s">
        <v>59</v>
      </c>
      <c r="CH2" s="9" t="s">
        <v>60</v>
      </c>
      <c r="CI2" s="9" t="s">
        <v>61</v>
      </c>
      <c r="CJ2" s="9" t="s">
        <v>62</v>
      </c>
      <c r="CK2" s="9" t="s">
        <v>63</v>
      </c>
      <c r="CL2" s="9" t="s">
        <v>2328</v>
      </c>
      <c r="CM2" s="9" t="s">
        <v>64</v>
      </c>
      <c r="CN2" s="9" t="s">
        <v>2329</v>
      </c>
      <c r="CO2" s="9" t="s">
        <v>2330</v>
      </c>
      <c r="CP2" s="9" t="s">
        <v>2331</v>
      </c>
      <c r="CQ2" s="9" t="s">
        <v>2332</v>
      </c>
    </row>
    <row r="3" spans="1:95" x14ac:dyDescent="0.35">
      <c r="A3" s="9" t="b">
        <f>ISNUMBER(MATCH(Claude[[#This Row],[Id]],ChargentOrders[Id],0))</f>
        <v>0</v>
      </c>
      <c r="B3" t="e">
        <f>INDEX(ChargentOrders[VALIDO],MATCH(Claude[[#This Row],[Id]],ChargentOrders[Id],0))</f>
        <v>#N/A</v>
      </c>
      <c r="C3" t="e">
        <f>INDEX(Contract[CB_Subscription__c],MATCH(Claude[[#This Row],[Contract__c]],Contract[Id],0))</f>
        <v>#N/A</v>
      </c>
      <c r="D3" s="9" t="s">
        <v>85</v>
      </c>
      <c r="E3" s="9" t="s">
        <v>81</v>
      </c>
      <c r="F3" s="9">
        <v>0</v>
      </c>
      <c r="G3" s="9" t="s">
        <v>86</v>
      </c>
      <c r="H3" s="9">
        <v>44524.804803240739</v>
      </c>
      <c r="I3" s="9" t="s">
        <v>81</v>
      </c>
      <c r="J3" s="9">
        <v>45860.032187500001</v>
      </c>
      <c r="K3" s="9" t="s">
        <v>78</v>
      </c>
      <c r="L3" s="9">
        <v>45860.032187500001</v>
      </c>
      <c r="M3" s="9"/>
      <c r="N3" s="9"/>
      <c r="O3" s="9" t="s">
        <v>2345</v>
      </c>
      <c r="P3" s="9" t="s">
        <v>2066</v>
      </c>
      <c r="Q3" s="9" t="s">
        <v>1925</v>
      </c>
      <c r="R3" s="9" t="s">
        <v>1565</v>
      </c>
      <c r="S3" s="9" t="s">
        <v>2346</v>
      </c>
      <c r="T3" s="9" t="s">
        <v>2347</v>
      </c>
      <c r="U3" s="9" t="s">
        <v>1928</v>
      </c>
      <c r="V3" s="9">
        <v>956</v>
      </c>
      <c r="W3" s="9">
        <v>5</v>
      </c>
      <c r="X3" s="9">
        <v>2026</v>
      </c>
      <c r="Y3" s="9">
        <v>9808</v>
      </c>
      <c r="Z3" s="9">
        <v>5</v>
      </c>
      <c r="AA3" s="9"/>
      <c r="AB3" s="9" t="s">
        <v>73</v>
      </c>
      <c r="AC3" s="9">
        <v>2026</v>
      </c>
      <c r="AD3" s="9" t="s">
        <v>93</v>
      </c>
      <c r="AE3" s="9"/>
      <c r="AF3" s="9" t="s">
        <v>1929</v>
      </c>
      <c r="AG3" s="9"/>
      <c r="AH3" s="9" t="s">
        <v>67</v>
      </c>
      <c r="AI3" s="9">
        <v>0</v>
      </c>
      <c r="AJ3" s="9"/>
      <c r="AK3" s="9">
        <v>0</v>
      </c>
      <c r="AL3" s="9" t="s">
        <v>1930</v>
      </c>
      <c r="AM3" s="9"/>
      <c r="AN3" s="9"/>
      <c r="AO3" s="9" t="s">
        <v>1931</v>
      </c>
      <c r="AP3" s="9" t="s">
        <v>69</v>
      </c>
      <c r="AQ3" s="9" t="s">
        <v>1932</v>
      </c>
      <c r="AR3" s="9"/>
      <c r="AS3" s="9"/>
      <c r="AT3" s="9"/>
      <c r="AU3" s="9" t="s">
        <v>92</v>
      </c>
      <c r="AV3" s="9">
        <v>0</v>
      </c>
      <c r="AW3" s="9"/>
      <c r="AX3" s="9" t="s">
        <v>87</v>
      </c>
      <c r="AY3" s="9">
        <v>0</v>
      </c>
      <c r="AZ3" s="9"/>
      <c r="BA3" s="9">
        <v>44524.804837962962</v>
      </c>
      <c r="BB3" s="9">
        <v>0</v>
      </c>
      <c r="BC3" s="9">
        <v>1</v>
      </c>
      <c r="BD3" s="9">
        <v>0</v>
      </c>
      <c r="BE3" s="9" t="s">
        <v>88</v>
      </c>
      <c r="BF3" s="9"/>
      <c r="BG3" s="9"/>
      <c r="BH3" s="9">
        <v>0</v>
      </c>
      <c r="BI3" s="9"/>
      <c r="BJ3" s="9">
        <v>1</v>
      </c>
      <c r="BK3" s="9"/>
      <c r="BL3" s="9"/>
      <c r="BM3" s="9" t="s">
        <v>75</v>
      </c>
      <c r="BN3" s="9"/>
      <c r="BO3" s="9">
        <v>0</v>
      </c>
      <c r="BP3" s="9"/>
      <c r="BQ3" s="9">
        <v>1</v>
      </c>
      <c r="BR3" s="9"/>
      <c r="BS3" s="9"/>
      <c r="BT3" s="9"/>
      <c r="BU3" s="9"/>
      <c r="BV3" s="9"/>
      <c r="BW3" s="9">
        <v>0</v>
      </c>
      <c r="BX3" s="9"/>
      <c r="BY3" s="9">
        <v>44524.804826388892</v>
      </c>
      <c r="BZ3" s="9"/>
      <c r="CA3" s="9"/>
      <c r="CB3" s="9"/>
      <c r="CC3" s="9"/>
      <c r="CD3" s="9"/>
      <c r="CE3" s="9"/>
      <c r="CF3" s="9"/>
      <c r="CG3" s="9"/>
      <c r="CH3" s="9"/>
      <c r="CI3" s="9">
        <v>0</v>
      </c>
      <c r="CJ3" s="9"/>
      <c r="CK3" s="9"/>
      <c r="CL3" s="9"/>
      <c r="CM3" s="9"/>
      <c r="CN3" s="9">
        <v>0</v>
      </c>
      <c r="CO3" s="9"/>
      <c r="CP3" s="9"/>
      <c r="CQ3" s="9"/>
    </row>
    <row r="4" spans="1:95" x14ac:dyDescent="0.35">
      <c r="A4" s="9" t="b">
        <f>ISNUMBER(MATCH(Claude[[#This Row],[Id]],ChargentOrders[Id],0))</f>
        <v>1</v>
      </c>
      <c r="B4" t="b">
        <f>INDEX(ChargentOrders[VALIDO],MATCH(Claude[[#This Row],[Id]],ChargentOrders[Id],0))</f>
        <v>1</v>
      </c>
      <c r="C4">
        <f>INDEX(Contract[CB_Subscription__c],MATCH(Claude[[#This Row],[Contract__c]],Contract[Id],0))</f>
        <v>0</v>
      </c>
      <c r="D4" s="9" t="s">
        <v>110</v>
      </c>
      <c r="E4" s="9" t="s">
        <v>81</v>
      </c>
      <c r="F4" s="9">
        <v>0</v>
      </c>
      <c r="G4" s="9" t="s">
        <v>111</v>
      </c>
      <c r="H4" s="9">
        <v>45160.90861111111</v>
      </c>
      <c r="I4" s="9" t="s">
        <v>81</v>
      </c>
      <c r="J4" s="9">
        <v>46114.618217592593</v>
      </c>
      <c r="K4" s="9" t="s">
        <v>78</v>
      </c>
      <c r="L4" s="9">
        <v>46114.618217592593</v>
      </c>
      <c r="M4" s="9"/>
      <c r="N4" s="9"/>
      <c r="O4" s="9" t="s">
        <v>1923</v>
      </c>
      <c r="P4" s="9" t="s">
        <v>1924</v>
      </c>
      <c r="Q4" s="9" t="s">
        <v>1925</v>
      </c>
      <c r="R4" s="9" t="s">
        <v>1568</v>
      </c>
      <c r="S4" s="9" t="s">
        <v>1926</v>
      </c>
      <c r="T4" s="9" t="s">
        <v>1927</v>
      </c>
      <c r="U4" s="9" t="s">
        <v>1928</v>
      </c>
      <c r="V4" s="9">
        <v>94</v>
      </c>
      <c r="W4" s="9">
        <v>10</v>
      </c>
      <c r="X4" s="9">
        <v>2026</v>
      </c>
      <c r="Y4" s="9">
        <v>2774</v>
      </c>
      <c r="Z4" s="9">
        <v>10</v>
      </c>
      <c r="AA4" s="9">
        <v>4549516985532770</v>
      </c>
      <c r="AB4" s="9" t="s">
        <v>73</v>
      </c>
      <c r="AC4" s="9">
        <v>2026</v>
      </c>
      <c r="AD4" s="9" t="s">
        <v>93</v>
      </c>
      <c r="AE4" s="9"/>
      <c r="AF4" s="9" t="s">
        <v>1929</v>
      </c>
      <c r="AG4" s="9"/>
      <c r="AH4" s="9" t="s">
        <v>67</v>
      </c>
      <c r="AI4" s="9">
        <v>0</v>
      </c>
      <c r="AJ4" s="9"/>
      <c r="AK4" s="9">
        <v>0</v>
      </c>
      <c r="AL4" s="9" t="s">
        <v>1930</v>
      </c>
      <c r="AM4" s="9"/>
      <c r="AN4" s="9"/>
      <c r="AO4" s="9" t="s">
        <v>1931</v>
      </c>
      <c r="AP4" s="9" t="s">
        <v>69</v>
      </c>
      <c r="AQ4" s="9" t="s">
        <v>1932</v>
      </c>
      <c r="AR4" s="9"/>
      <c r="AS4" s="9"/>
      <c r="AT4" s="9"/>
      <c r="AU4" s="9" t="s">
        <v>92</v>
      </c>
      <c r="AV4" s="9">
        <v>0</v>
      </c>
      <c r="AW4" s="9"/>
      <c r="AX4" s="9"/>
      <c r="AY4" s="9">
        <v>0</v>
      </c>
      <c r="AZ4" s="9"/>
      <c r="BA4" s="9"/>
      <c r="BB4" s="9">
        <v>0</v>
      </c>
      <c r="BC4" s="9">
        <v>1</v>
      </c>
      <c r="BD4" s="9">
        <v>0</v>
      </c>
      <c r="BE4" s="9" t="s">
        <v>112</v>
      </c>
      <c r="BF4" s="9"/>
      <c r="BG4" s="9"/>
      <c r="BH4" s="9">
        <v>0</v>
      </c>
      <c r="BI4" s="9"/>
      <c r="BJ4" s="9">
        <v>1</v>
      </c>
      <c r="BK4" s="9"/>
      <c r="BL4" s="9"/>
      <c r="BM4" s="9" t="s">
        <v>75</v>
      </c>
      <c r="BN4" s="9"/>
      <c r="BO4" s="9">
        <v>0</v>
      </c>
      <c r="BP4" s="9"/>
      <c r="BQ4" s="9">
        <v>0</v>
      </c>
      <c r="BR4" s="9"/>
      <c r="BS4" s="9"/>
      <c r="BT4" s="9"/>
      <c r="BU4" s="9"/>
      <c r="BV4" s="9"/>
      <c r="BW4" s="9">
        <v>0</v>
      </c>
      <c r="BX4" s="9">
        <v>45160.908622685187</v>
      </c>
      <c r="BY4" s="9">
        <v>45160.908622685187</v>
      </c>
      <c r="BZ4" s="9"/>
      <c r="CA4" s="9"/>
      <c r="CB4" s="9"/>
      <c r="CC4" s="9"/>
      <c r="CD4" s="9"/>
      <c r="CE4" s="9"/>
      <c r="CF4" s="9"/>
      <c r="CG4" s="9"/>
      <c r="CH4" s="9">
        <v>1</v>
      </c>
      <c r="CI4" s="9">
        <v>0</v>
      </c>
      <c r="CJ4" s="9"/>
      <c r="CK4" s="9"/>
      <c r="CL4" s="9"/>
      <c r="CM4" s="9"/>
      <c r="CN4" s="9">
        <v>0</v>
      </c>
      <c r="CO4" s="9"/>
      <c r="CP4" s="9"/>
      <c r="CQ4" s="9"/>
    </row>
    <row r="5" spans="1:95" x14ac:dyDescent="0.35">
      <c r="A5" s="9" t="b">
        <f>ISNUMBER(MATCH(Claude[[#This Row],[Id]],ChargentOrders[Id],0))</f>
        <v>1</v>
      </c>
      <c r="B5" t="b">
        <f>INDEX(ChargentOrders[VALIDO],MATCH(Claude[[#This Row],[Id]],ChargentOrders[Id],0))</f>
        <v>1</v>
      </c>
      <c r="C5">
        <f>INDEX(Contract[CB_Subscription__c],MATCH(Claude[[#This Row],[Contract__c]],Contract[Id],0))</f>
        <v>0</v>
      </c>
      <c r="D5" s="9" t="s">
        <v>113</v>
      </c>
      <c r="E5" s="9" t="s">
        <v>81</v>
      </c>
      <c r="F5" s="9">
        <v>0</v>
      </c>
      <c r="G5" s="9" t="s">
        <v>114</v>
      </c>
      <c r="H5" s="9">
        <v>45160.909224537034</v>
      </c>
      <c r="I5" s="9" t="s">
        <v>81</v>
      </c>
      <c r="J5" s="9">
        <v>46114.618217592593</v>
      </c>
      <c r="K5" s="9" t="s">
        <v>78</v>
      </c>
      <c r="L5" s="9">
        <v>46114.618217592593</v>
      </c>
      <c r="M5" s="9"/>
      <c r="N5" s="9"/>
      <c r="O5" s="9" t="s">
        <v>1923</v>
      </c>
      <c r="P5" s="9" t="s">
        <v>1924</v>
      </c>
      <c r="Q5" s="9" t="s">
        <v>1925</v>
      </c>
      <c r="R5" s="9" t="s">
        <v>1568</v>
      </c>
      <c r="S5" s="9" t="s">
        <v>1926</v>
      </c>
      <c r="T5" s="9" t="s">
        <v>1927</v>
      </c>
      <c r="U5" s="9" t="s">
        <v>1928</v>
      </c>
      <c r="V5" s="9">
        <v>949</v>
      </c>
      <c r="W5" s="9">
        <v>10</v>
      </c>
      <c r="X5" s="9">
        <v>2026</v>
      </c>
      <c r="Y5" s="9">
        <v>2774</v>
      </c>
      <c r="Z5" s="9">
        <v>10</v>
      </c>
      <c r="AA5" s="9">
        <v>4549516985532770</v>
      </c>
      <c r="AB5" s="9" t="s">
        <v>73</v>
      </c>
      <c r="AC5" s="9">
        <v>2026</v>
      </c>
      <c r="AD5" s="9" t="s">
        <v>93</v>
      </c>
      <c r="AE5" s="9"/>
      <c r="AF5" s="9" t="s">
        <v>1929</v>
      </c>
      <c r="AG5" s="9"/>
      <c r="AH5" s="9" t="s">
        <v>67</v>
      </c>
      <c r="AI5" s="9">
        <v>0</v>
      </c>
      <c r="AJ5" s="9"/>
      <c r="AK5" s="9">
        <v>0</v>
      </c>
      <c r="AL5" s="9" t="s">
        <v>1930</v>
      </c>
      <c r="AM5" s="9"/>
      <c r="AN5" s="9"/>
      <c r="AO5" s="9" t="s">
        <v>1931</v>
      </c>
      <c r="AP5" s="9" t="s">
        <v>69</v>
      </c>
      <c r="AQ5" s="9" t="s">
        <v>1932</v>
      </c>
      <c r="AR5" s="9"/>
      <c r="AS5" s="9"/>
      <c r="AT5" s="9"/>
      <c r="AU5" s="9" t="s">
        <v>92</v>
      </c>
      <c r="AV5" s="9">
        <v>0</v>
      </c>
      <c r="AW5" s="9"/>
      <c r="AX5" s="9" t="s">
        <v>115</v>
      </c>
      <c r="AY5" s="9">
        <v>0</v>
      </c>
      <c r="AZ5" s="9"/>
      <c r="BA5" s="9">
        <v>45160.909247685187</v>
      </c>
      <c r="BB5" s="9">
        <v>0</v>
      </c>
      <c r="BC5" s="9">
        <v>1</v>
      </c>
      <c r="BD5" s="9">
        <v>0</v>
      </c>
      <c r="BE5" s="9" t="s">
        <v>112</v>
      </c>
      <c r="BF5" s="9"/>
      <c r="BG5" s="9"/>
      <c r="BH5" s="9">
        <v>0</v>
      </c>
      <c r="BI5" s="9"/>
      <c r="BJ5" s="9">
        <v>1</v>
      </c>
      <c r="BK5" s="9"/>
      <c r="BL5" s="9"/>
      <c r="BM5" s="9" t="s">
        <v>75</v>
      </c>
      <c r="BN5" s="9"/>
      <c r="BO5" s="9">
        <v>0</v>
      </c>
      <c r="BP5" s="9"/>
      <c r="BQ5" s="9">
        <v>1</v>
      </c>
      <c r="BR5" s="9"/>
      <c r="BS5" s="9"/>
      <c r="BT5" s="9"/>
      <c r="BU5" s="9"/>
      <c r="BV5" s="9"/>
      <c r="BW5" s="9">
        <v>0</v>
      </c>
      <c r="BX5" s="9"/>
      <c r="BY5" s="9">
        <v>45160.909247685187</v>
      </c>
      <c r="BZ5" s="9"/>
      <c r="CA5" s="9"/>
      <c r="CB5" s="9"/>
      <c r="CC5" s="9"/>
      <c r="CD5" s="9"/>
      <c r="CE5" s="9"/>
      <c r="CF5" s="9"/>
      <c r="CG5" s="9"/>
      <c r="CH5" s="9">
        <v>1</v>
      </c>
      <c r="CI5" s="9">
        <v>0</v>
      </c>
      <c r="CJ5" s="9"/>
      <c r="CK5" s="9"/>
      <c r="CL5" s="9"/>
      <c r="CM5" s="9"/>
      <c r="CN5" s="9">
        <v>0</v>
      </c>
      <c r="CO5" s="9"/>
      <c r="CP5" s="9"/>
      <c r="CQ5" s="9"/>
    </row>
    <row r="6" spans="1:95" x14ac:dyDescent="0.35">
      <c r="A6" s="9" t="b">
        <f>ISNUMBER(MATCH(Claude[[#This Row],[Id]],ChargentOrders[Id],0))</f>
        <v>1</v>
      </c>
      <c r="B6" t="b">
        <f>INDEX(ChargentOrders[VALIDO],MATCH(Claude[[#This Row],[Id]],ChargentOrders[Id],0))</f>
        <v>1</v>
      </c>
      <c r="C6">
        <f>INDEX(Contract[CB_Subscription__c],MATCH(Claude[[#This Row],[Contract__c]],Contract[Id],0))</f>
        <v>0</v>
      </c>
      <c r="D6" s="9" t="s">
        <v>116</v>
      </c>
      <c r="E6" s="9" t="s">
        <v>81</v>
      </c>
      <c r="F6" s="9">
        <v>0</v>
      </c>
      <c r="G6" s="9" t="s">
        <v>117</v>
      </c>
      <c r="H6" s="9">
        <v>45160.909895833334</v>
      </c>
      <c r="I6" s="9" t="s">
        <v>81</v>
      </c>
      <c r="J6" s="9">
        <v>46114.618217592593</v>
      </c>
      <c r="K6" s="9" t="s">
        <v>78</v>
      </c>
      <c r="L6" s="9">
        <v>46114.618217592593</v>
      </c>
      <c r="M6" s="9"/>
      <c r="N6" s="9" t="s">
        <v>1570</v>
      </c>
      <c r="O6" s="9" t="s">
        <v>1923</v>
      </c>
      <c r="P6" s="9" t="s">
        <v>1924</v>
      </c>
      <c r="Q6" s="9" t="s">
        <v>1925</v>
      </c>
      <c r="R6" s="9" t="s">
        <v>1568</v>
      </c>
      <c r="S6" s="9" t="s">
        <v>1926</v>
      </c>
      <c r="T6" s="9" t="s">
        <v>1927</v>
      </c>
      <c r="U6" s="9" t="s">
        <v>1928</v>
      </c>
      <c r="V6" s="9">
        <v>949</v>
      </c>
      <c r="W6" s="9">
        <v>10</v>
      </c>
      <c r="X6" s="9">
        <v>2026</v>
      </c>
      <c r="Y6" s="9">
        <v>2774</v>
      </c>
      <c r="Z6" s="9">
        <v>10</v>
      </c>
      <c r="AA6" s="9">
        <v>4549516985532770</v>
      </c>
      <c r="AB6" s="9" t="s">
        <v>73</v>
      </c>
      <c r="AC6" s="9">
        <v>2026</v>
      </c>
      <c r="AD6" s="9" t="s">
        <v>1933</v>
      </c>
      <c r="AE6" s="9"/>
      <c r="AF6" s="9" t="s">
        <v>1929</v>
      </c>
      <c r="AG6" s="9"/>
      <c r="AH6" s="9" t="s">
        <v>67</v>
      </c>
      <c r="AI6" s="9">
        <v>0</v>
      </c>
      <c r="AJ6" s="9"/>
      <c r="AK6" s="9">
        <v>0</v>
      </c>
      <c r="AL6" s="9" t="s">
        <v>1930</v>
      </c>
      <c r="AM6" s="9">
        <v>1</v>
      </c>
      <c r="AN6" s="9"/>
      <c r="AO6" s="9" t="s">
        <v>1931</v>
      </c>
      <c r="AP6" s="9" t="s">
        <v>69</v>
      </c>
      <c r="AQ6" s="9" t="s">
        <v>1934</v>
      </c>
      <c r="AR6" s="9">
        <v>45163</v>
      </c>
      <c r="AS6" s="9" t="s">
        <v>74</v>
      </c>
      <c r="AT6" s="9" t="s">
        <v>1935</v>
      </c>
      <c r="AU6" s="9" t="s">
        <v>1936</v>
      </c>
      <c r="AV6" s="9">
        <v>0</v>
      </c>
      <c r="AW6" s="9">
        <v>5692</v>
      </c>
      <c r="AX6" s="9" t="s">
        <v>118</v>
      </c>
      <c r="AY6" s="9">
        <v>0</v>
      </c>
      <c r="AZ6" s="9">
        <v>45162.689317129632</v>
      </c>
      <c r="BA6" s="9">
        <v>45162.689317129632</v>
      </c>
      <c r="BB6" s="9">
        <v>1</v>
      </c>
      <c r="BC6" s="9">
        <v>1</v>
      </c>
      <c r="BD6" s="9" t="s">
        <v>1933</v>
      </c>
      <c r="BE6" s="9" t="s">
        <v>112</v>
      </c>
      <c r="BF6" s="9" t="s">
        <v>77</v>
      </c>
      <c r="BG6" s="9"/>
      <c r="BH6" s="9">
        <v>0</v>
      </c>
      <c r="BI6" s="9"/>
      <c r="BJ6" s="9">
        <v>1</v>
      </c>
      <c r="BK6" s="9" t="s">
        <v>1937</v>
      </c>
      <c r="BL6" s="9" t="s">
        <v>1938</v>
      </c>
      <c r="BM6" s="9" t="s">
        <v>75</v>
      </c>
      <c r="BN6" s="9"/>
      <c r="BO6" s="9">
        <v>0</v>
      </c>
      <c r="BP6" s="9"/>
      <c r="BQ6" s="9">
        <v>0</v>
      </c>
      <c r="BR6" s="9"/>
      <c r="BS6" s="9"/>
      <c r="BT6" s="9"/>
      <c r="BU6" s="9"/>
      <c r="BV6" s="9"/>
      <c r="BW6" s="9">
        <v>0</v>
      </c>
      <c r="BX6" s="9"/>
      <c r="BY6" s="9">
        <v>45162.689317129632</v>
      </c>
      <c r="BZ6" s="9"/>
      <c r="CA6" s="9"/>
      <c r="CB6" s="9"/>
      <c r="CC6" s="9"/>
      <c r="CD6" s="9"/>
      <c r="CE6" s="9"/>
      <c r="CF6" s="9"/>
      <c r="CG6" s="9"/>
      <c r="CH6" s="9">
        <v>1</v>
      </c>
      <c r="CI6" s="9">
        <v>0</v>
      </c>
      <c r="CJ6" s="9"/>
      <c r="CK6" s="9"/>
      <c r="CL6" s="9"/>
      <c r="CM6" s="9"/>
      <c r="CN6" s="9">
        <v>0</v>
      </c>
      <c r="CO6" s="9"/>
      <c r="CP6" s="9"/>
      <c r="CQ6" s="9"/>
    </row>
    <row r="7" spans="1:95" x14ac:dyDescent="0.35">
      <c r="A7" s="9" t="b">
        <f>ISNUMBER(MATCH(Claude[[#This Row],[Id]],ChargentOrders[Id],0))</f>
        <v>1</v>
      </c>
      <c r="B7" t="b">
        <f>INDEX(ChargentOrders[VALIDO],MATCH(Claude[[#This Row],[Id]],ChargentOrders[Id],0))</f>
        <v>1</v>
      </c>
      <c r="C7">
        <f>INDEX(Contract[CB_Subscription__c],MATCH(Claude[[#This Row],[Contract__c]],Contract[Id],0))</f>
        <v>0</v>
      </c>
      <c r="D7" s="9" t="s">
        <v>119</v>
      </c>
      <c r="E7" s="9" t="s">
        <v>81</v>
      </c>
      <c r="F7" s="9">
        <v>0</v>
      </c>
      <c r="G7" s="9" t="s">
        <v>120</v>
      </c>
      <c r="H7" s="9">
        <v>45160.909895833334</v>
      </c>
      <c r="I7" s="9" t="s">
        <v>81</v>
      </c>
      <c r="J7" s="9">
        <v>46114.618217592593</v>
      </c>
      <c r="K7" s="9" t="s">
        <v>78</v>
      </c>
      <c r="L7" s="9">
        <v>46114.618217592593</v>
      </c>
      <c r="M7" s="9"/>
      <c r="N7" s="9" t="s">
        <v>1570</v>
      </c>
      <c r="O7" s="9" t="s">
        <v>1923</v>
      </c>
      <c r="P7" s="9" t="s">
        <v>1924</v>
      </c>
      <c r="Q7" s="9" t="s">
        <v>1925</v>
      </c>
      <c r="R7" s="9" t="s">
        <v>1568</v>
      </c>
      <c r="S7" s="9" t="s">
        <v>1926</v>
      </c>
      <c r="T7" s="9" t="s">
        <v>1927</v>
      </c>
      <c r="U7" s="9" t="s">
        <v>1928</v>
      </c>
      <c r="V7" s="9">
        <v>949</v>
      </c>
      <c r="W7" s="9">
        <v>10</v>
      </c>
      <c r="X7" s="9">
        <v>2026</v>
      </c>
      <c r="Y7" s="9">
        <v>2774</v>
      </c>
      <c r="Z7" s="9">
        <v>10</v>
      </c>
      <c r="AA7" s="9">
        <v>4549516985532770</v>
      </c>
      <c r="AB7" s="9" t="s">
        <v>73</v>
      </c>
      <c r="AC7" s="9">
        <v>2026</v>
      </c>
      <c r="AD7" s="9" t="s">
        <v>1933</v>
      </c>
      <c r="AE7" s="9"/>
      <c r="AF7" s="9" t="s">
        <v>1929</v>
      </c>
      <c r="AG7" s="9"/>
      <c r="AH7" s="9" t="s">
        <v>67</v>
      </c>
      <c r="AI7" s="9">
        <v>0</v>
      </c>
      <c r="AJ7" s="9"/>
      <c r="AK7" s="9">
        <v>0</v>
      </c>
      <c r="AL7" s="9" t="s">
        <v>1930</v>
      </c>
      <c r="AM7" s="9">
        <v>1</v>
      </c>
      <c r="AN7" s="9">
        <v>45170</v>
      </c>
      <c r="AO7" s="9" t="s">
        <v>1931</v>
      </c>
      <c r="AP7" s="9" t="s">
        <v>69</v>
      </c>
      <c r="AQ7" s="9" t="s">
        <v>1932</v>
      </c>
      <c r="AR7" s="9">
        <v>45170</v>
      </c>
      <c r="AS7" s="9" t="s">
        <v>74</v>
      </c>
      <c r="AT7" s="9" t="s">
        <v>1935</v>
      </c>
      <c r="AU7" s="9" t="s">
        <v>1939</v>
      </c>
      <c r="AV7" s="9">
        <v>0</v>
      </c>
      <c r="AW7" s="9">
        <v>5692</v>
      </c>
      <c r="AX7" s="9" t="s">
        <v>115</v>
      </c>
      <c r="AY7" s="9">
        <v>0</v>
      </c>
      <c r="AZ7" s="9"/>
      <c r="BA7" s="9"/>
      <c r="BB7" s="9">
        <v>0</v>
      </c>
      <c r="BC7" s="9">
        <v>1</v>
      </c>
      <c r="BD7" s="9">
        <v>0</v>
      </c>
      <c r="BE7" s="9" t="s">
        <v>112</v>
      </c>
      <c r="BF7" s="9" t="s">
        <v>77</v>
      </c>
      <c r="BG7" s="9"/>
      <c r="BH7" s="9">
        <v>0</v>
      </c>
      <c r="BI7" s="9"/>
      <c r="BJ7" s="9">
        <v>1</v>
      </c>
      <c r="BK7" s="9" t="s">
        <v>1937</v>
      </c>
      <c r="BL7" s="9" t="s">
        <v>1938</v>
      </c>
      <c r="BM7" s="9" t="s">
        <v>75</v>
      </c>
      <c r="BN7" s="9"/>
      <c r="BO7" s="9">
        <v>0</v>
      </c>
      <c r="BP7" s="9"/>
      <c r="BQ7" s="9">
        <v>0</v>
      </c>
      <c r="BR7" s="9"/>
      <c r="BS7" s="9"/>
      <c r="BT7" s="9"/>
      <c r="BU7" s="9"/>
      <c r="BV7" s="9"/>
      <c r="BW7" s="9">
        <v>0</v>
      </c>
      <c r="BX7" s="9">
        <v>45170.425416666665</v>
      </c>
      <c r="BY7" s="9">
        <v>45170.425416666665</v>
      </c>
      <c r="BZ7" s="9"/>
      <c r="CA7" s="9"/>
      <c r="CB7" s="9"/>
      <c r="CC7" s="9"/>
      <c r="CD7" s="9"/>
      <c r="CE7" s="9"/>
      <c r="CF7" s="9"/>
      <c r="CG7" s="9"/>
      <c r="CH7" s="9">
        <v>1</v>
      </c>
      <c r="CI7" s="9">
        <v>0</v>
      </c>
      <c r="CJ7" s="9"/>
      <c r="CK7" s="9"/>
      <c r="CL7" s="9"/>
      <c r="CM7" s="9"/>
      <c r="CN7" s="9">
        <v>0</v>
      </c>
      <c r="CO7" s="9"/>
      <c r="CP7" s="9"/>
      <c r="CQ7" s="9"/>
    </row>
    <row r="8" spans="1:95" x14ac:dyDescent="0.35">
      <c r="A8" s="9" t="b">
        <f>ISNUMBER(MATCH(Claude[[#This Row],[Id]],ChargentOrders[Id],0))</f>
        <v>1</v>
      </c>
      <c r="B8" t="b">
        <f>INDEX(ChargentOrders[VALIDO],MATCH(Claude[[#This Row],[Id]],ChargentOrders[Id],0))</f>
        <v>1</v>
      </c>
      <c r="C8">
        <f>INDEX(Contract[CB_Subscription__c],MATCH(Claude[[#This Row],[Contract__c]],Contract[Id],0))</f>
        <v>0</v>
      </c>
      <c r="D8" s="9" t="s">
        <v>121</v>
      </c>
      <c r="E8" s="9" t="s">
        <v>81</v>
      </c>
      <c r="F8" s="9">
        <v>0</v>
      </c>
      <c r="G8" s="9" t="s">
        <v>122</v>
      </c>
      <c r="H8" s="9">
        <v>45160.908854166664</v>
      </c>
      <c r="I8" s="9" t="s">
        <v>81</v>
      </c>
      <c r="J8" s="9">
        <v>46114.618217592593</v>
      </c>
      <c r="K8" s="9" t="s">
        <v>78</v>
      </c>
      <c r="L8" s="9">
        <v>46114.618217592593</v>
      </c>
      <c r="M8" s="9"/>
      <c r="N8" s="9"/>
      <c r="O8" s="9" t="s">
        <v>1923</v>
      </c>
      <c r="P8" s="9" t="s">
        <v>1924</v>
      </c>
      <c r="Q8" s="9" t="s">
        <v>1925</v>
      </c>
      <c r="R8" s="9" t="s">
        <v>1568</v>
      </c>
      <c r="S8" s="9" t="s">
        <v>1926</v>
      </c>
      <c r="T8" s="9" t="s">
        <v>1927</v>
      </c>
      <c r="U8" s="9" t="s">
        <v>1928</v>
      </c>
      <c r="V8" s="9">
        <v>94</v>
      </c>
      <c r="W8" s="9">
        <v>10</v>
      </c>
      <c r="X8" s="9">
        <v>2026</v>
      </c>
      <c r="Y8" s="9">
        <v>2774</v>
      </c>
      <c r="Z8" s="9">
        <v>10</v>
      </c>
      <c r="AA8" s="9">
        <v>4549516985532770</v>
      </c>
      <c r="AB8" s="9" t="s">
        <v>73</v>
      </c>
      <c r="AC8" s="9">
        <v>2026</v>
      </c>
      <c r="AD8" s="9" t="s">
        <v>93</v>
      </c>
      <c r="AE8" s="9"/>
      <c r="AF8" s="9" t="s">
        <v>1929</v>
      </c>
      <c r="AG8" s="9"/>
      <c r="AH8" s="9" t="s">
        <v>67</v>
      </c>
      <c r="AI8" s="9">
        <v>0</v>
      </c>
      <c r="AJ8" s="9"/>
      <c r="AK8" s="9">
        <v>0</v>
      </c>
      <c r="AL8" s="9" t="s">
        <v>1930</v>
      </c>
      <c r="AM8" s="9"/>
      <c r="AN8" s="9"/>
      <c r="AO8" s="9" t="s">
        <v>1931</v>
      </c>
      <c r="AP8" s="9" t="s">
        <v>69</v>
      </c>
      <c r="AQ8" s="9" t="s">
        <v>1932</v>
      </c>
      <c r="AR8" s="9"/>
      <c r="AS8" s="9"/>
      <c r="AT8" s="9"/>
      <c r="AU8" s="9" t="s">
        <v>92</v>
      </c>
      <c r="AV8" s="9">
        <v>0</v>
      </c>
      <c r="AW8" s="9"/>
      <c r="AX8" s="9"/>
      <c r="AY8" s="9">
        <v>0</v>
      </c>
      <c r="AZ8" s="9"/>
      <c r="BA8" s="9"/>
      <c r="BB8" s="9">
        <v>0</v>
      </c>
      <c r="BC8" s="9">
        <v>1</v>
      </c>
      <c r="BD8" s="9">
        <v>0</v>
      </c>
      <c r="BE8" s="9" t="s">
        <v>112</v>
      </c>
      <c r="BF8" s="9"/>
      <c r="BG8" s="9"/>
      <c r="BH8" s="9">
        <v>0</v>
      </c>
      <c r="BI8" s="9"/>
      <c r="BJ8" s="9">
        <v>1</v>
      </c>
      <c r="BK8" s="9"/>
      <c r="BL8" s="9"/>
      <c r="BM8" s="9" t="s">
        <v>75</v>
      </c>
      <c r="BN8" s="9"/>
      <c r="BO8" s="9">
        <v>0</v>
      </c>
      <c r="BP8" s="9"/>
      <c r="BQ8" s="9">
        <v>0</v>
      </c>
      <c r="BR8" s="9"/>
      <c r="BS8" s="9"/>
      <c r="BT8" s="9"/>
      <c r="BU8" s="9"/>
      <c r="BV8" s="9"/>
      <c r="BW8" s="9">
        <v>0</v>
      </c>
      <c r="BX8" s="9">
        <v>45160.908865740741</v>
      </c>
      <c r="BY8" s="9">
        <v>45160.908865740741</v>
      </c>
      <c r="BZ8" s="9"/>
      <c r="CA8" s="9"/>
      <c r="CB8" s="9"/>
      <c r="CC8" s="9"/>
      <c r="CD8" s="9"/>
      <c r="CE8" s="9"/>
      <c r="CF8" s="9"/>
      <c r="CG8" s="9"/>
      <c r="CH8" s="9">
        <v>1</v>
      </c>
      <c r="CI8" s="9">
        <v>0</v>
      </c>
      <c r="CJ8" s="9"/>
      <c r="CK8" s="9"/>
      <c r="CL8" s="9"/>
      <c r="CM8" s="9"/>
      <c r="CN8" s="9">
        <v>0</v>
      </c>
      <c r="CO8" s="9"/>
      <c r="CP8" s="9"/>
      <c r="CQ8" s="9"/>
    </row>
    <row r="9" spans="1:95" x14ac:dyDescent="0.35">
      <c r="A9" s="9" t="b">
        <f>ISNUMBER(MATCH(Claude[[#This Row],[Id]],ChargentOrders[Id],0))</f>
        <v>1</v>
      </c>
      <c r="B9" t="b">
        <f>INDEX(ChargentOrders[VALIDO],MATCH(Claude[[#This Row],[Id]],ChargentOrders[Id],0))</f>
        <v>1</v>
      </c>
      <c r="C9">
        <f>INDEX(Contract[CB_Subscription__c],MATCH(Claude[[#This Row],[Contract__c]],Contract[Id],0))</f>
        <v>0</v>
      </c>
      <c r="D9" s="9" t="s">
        <v>123</v>
      </c>
      <c r="E9" s="9" t="s">
        <v>81</v>
      </c>
      <c r="F9" s="9">
        <v>0</v>
      </c>
      <c r="G9" s="9" t="s">
        <v>124</v>
      </c>
      <c r="H9" s="9">
        <v>45170.425474537034</v>
      </c>
      <c r="I9" s="9" t="s">
        <v>65</v>
      </c>
      <c r="J9" s="9">
        <v>46114.61824074074</v>
      </c>
      <c r="K9" s="9" t="s">
        <v>78</v>
      </c>
      <c r="L9" s="9">
        <v>46114.61824074074</v>
      </c>
      <c r="M9" s="9"/>
      <c r="N9" s="9" t="s">
        <v>1570</v>
      </c>
      <c r="O9" s="9" t="s">
        <v>1923</v>
      </c>
      <c r="P9" s="9" t="s">
        <v>1924</v>
      </c>
      <c r="Q9" s="9" t="s">
        <v>1925</v>
      </c>
      <c r="R9" s="9" t="s">
        <v>1568</v>
      </c>
      <c r="S9" s="9" t="s">
        <v>1926</v>
      </c>
      <c r="T9" s="9" t="s">
        <v>1927</v>
      </c>
      <c r="U9" s="9" t="s">
        <v>1928</v>
      </c>
      <c r="V9" s="9">
        <v>949</v>
      </c>
      <c r="W9" s="9">
        <v>6</v>
      </c>
      <c r="X9" s="9">
        <v>2027</v>
      </c>
      <c r="Y9" s="9">
        <v>2473</v>
      </c>
      <c r="Z9" s="9">
        <v>6</v>
      </c>
      <c r="AA9" s="9"/>
      <c r="AB9" s="9" t="s">
        <v>73</v>
      </c>
      <c r="AC9" s="9">
        <v>2027</v>
      </c>
      <c r="AD9" s="9" t="s">
        <v>1940</v>
      </c>
      <c r="AE9" s="9"/>
      <c r="AF9" s="9" t="s">
        <v>1929</v>
      </c>
      <c r="AG9" s="9"/>
      <c r="AH9" s="9" t="s">
        <v>67</v>
      </c>
      <c r="AI9" s="9">
        <v>0</v>
      </c>
      <c r="AJ9" s="9"/>
      <c r="AK9" s="9">
        <v>0</v>
      </c>
      <c r="AL9" s="9" t="s">
        <v>1930</v>
      </c>
      <c r="AM9" s="9">
        <v>1</v>
      </c>
      <c r="AN9" s="9">
        <v>45173</v>
      </c>
      <c r="AO9" s="9" t="s">
        <v>1931</v>
      </c>
      <c r="AP9" s="9" t="s">
        <v>69</v>
      </c>
      <c r="AQ9" s="9" t="s">
        <v>1932</v>
      </c>
      <c r="AR9" s="9">
        <v>45173</v>
      </c>
      <c r="AS9" s="9" t="s">
        <v>74</v>
      </c>
      <c r="AT9" s="9" t="s">
        <v>1935</v>
      </c>
      <c r="AU9" s="9" t="s">
        <v>1939</v>
      </c>
      <c r="AV9" s="9">
        <v>0</v>
      </c>
      <c r="AW9" s="9" t="s">
        <v>1941</v>
      </c>
      <c r="AX9" s="9" t="s">
        <v>125</v>
      </c>
      <c r="AY9" s="9">
        <v>0</v>
      </c>
      <c r="AZ9" s="9">
        <v>45170.864583333336</v>
      </c>
      <c r="BA9" s="9">
        <v>45170.864583333336</v>
      </c>
      <c r="BB9" s="9">
        <v>1</v>
      </c>
      <c r="BC9" s="9">
        <v>1</v>
      </c>
      <c r="BD9" s="9" t="s">
        <v>1940</v>
      </c>
      <c r="BE9" s="9" t="s">
        <v>112</v>
      </c>
      <c r="BF9" s="9" t="s">
        <v>71</v>
      </c>
      <c r="BG9" s="9"/>
      <c r="BH9" s="9">
        <v>0</v>
      </c>
      <c r="BI9" s="9"/>
      <c r="BJ9" s="9"/>
      <c r="BK9" s="9" t="s">
        <v>1937</v>
      </c>
      <c r="BL9" s="9" t="s">
        <v>1938</v>
      </c>
      <c r="BM9" s="9" t="s">
        <v>72</v>
      </c>
      <c r="BN9" s="9"/>
      <c r="BO9" s="9">
        <v>0</v>
      </c>
      <c r="BP9" s="9" t="s">
        <v>126</v>
      </c>
      <c r="BQ9" s="9">
        <v>0</v>
      </c>
      <c r="BR9" s="9">
        <v>45170.864074074074</v>
      </c>
      <c r="BS9" s="9">
        <v>0</v>
      </c>
      <c r="BT9" s="9" t="s">
        <v>65</v>
      </c>
      <c r="BU9" s="9"/>
      <c r="BV9" s="9" t="s">
        <v>82</v>
      </c>
      <c r="BW9" s="9">
        <v>0</v>
      </c>
      <c r="BX9" s="9"/>
      <c r="BY9" s="9">
        <v>45170.864583333336</v>
      </c>
      <c r="BZ9" s="9"/>
      <c r="CA9" s="9"/>
      <c r="CB9" s="9"/>
      <c r="CC9" s="9"/>
      <c r="CD9" s="9"/>
      <c r="CE9" s="9"/>
      <c r="CF9" s="9"/>
      <c r="CG9" s="9"/>
      <c r="CH9" s="9">
        <v>1</v>
      </c>
      <c r="CI9" s="9">
        <v>0</v>
      </c>
      <c r="CJ9" s="9"/>
      <c r="CK9" s="9"/>
      <c r="CL9" s="9"/>
      <c r="CM9" s="9"/>
      <c r="CN9" s="9">
        <v>0</v>
      </c>
      <c r="CO9" s="9"/>
      <c r="CP9" s="9"/>
      <c r="CQ9" s="9"/>
    </row>
    <row r="10" spans="1:95" x14ac:dyDescent="0.35">
      <c r="A10" s="9" t="b">
        <f>ISNUMBER(MATCH(Claude[[#This Row],[Id]],ChargentOrders[Id],0))</f>
        <v>1</v>
      </c>
      <c r="B10" t="b">
        <f>INDEX(ChargentOrders[VALIDO],MATCH(Claude[[#This Row],[Id]],ChargentOrders[Id],0))</f>
        <v>1</v>
      </c>
      <c r="C10">
        <f>INDEX(Contract[CB_Subscription__c],MATCH(Claude[[#This Row],[Contract__c]],Contract[Id],0))</f>
        <v>0</v>
      </c>
      <c r="D10" s="9" t="s">
        <v>127</v>
      </c>
      <c r="E10" s="9" t="s">
        <v>102</v>
      </c>
      <c r="F10" s="9">
        <v>0</v>
      </c>
      <c r="G10" s="9" t="s">
        <v>128</v>
      </c>
      <c r="H10" s="9">
        <v>45170.563993055555</v>
      </c>
      <c r="I10" s="9" t="s">
        <v>102</v>
      </c>
      <c r="J10" s="9">
        <v>46114.61824074074</v>
      </c>
      <c r="K10" s="9" t="s">
        <v>78</v>
      </c>
      <c r="L10" s="9">
        <v>46114.61824074074</v>
      </c>
      <c r="M10" s="9"/>
      <c r="N10" s="9"/>
      <c r="O10" s="9" t="s">
        <v>1923</v>
      </c>
      <c r="P10" s="9" t="s">
        <v>1924</v>
      </c>
      <c r="Q10" s="9" t="s">
        <v>1925</v>
      </c>
      <c r="R10" s="9" t="s">
        <v>1568</v>
      </c>
      <c r="S10" s="9" t="s">
        <v>1926</v>
      </c>
      <c r="T10" s="9" t="s">
        <v>1927</v>
      </c>
      <c r="U10" s="9" t="s">
        <v>1928</v>
      </c>
      <c r="V10" s="9">
        <v>94</v>
      </c>
      <c r="W10" s="9">
        <v>6</v>
      </c>
      <c r="X10" s="9">
        <v>2027</v>
      </c>
      <c r="Y10" s="9">
        <v>2473</v>
      </c>
      <c r="Z10" s="9">
        <v>6</v>
      </c>
      <c r="AA10" s="9">
        <v>4549542114082470</v>
      </c>
      <c r="AB10" s="9" t="s">
        <v>73</v>
      </c>
      <c r="AC10" s="9">
        <v>2027</v>
      </c>
      <c r="AD10" s="9" t="s">
        <v>93</v>
      </c>
      <c r="AE10" s="9"/>
      <c r="AF10" s="9" t="s">
        <v>1929</v>
      </c>
      <c r="AG10" s="9"/>
      <c r="AH10" s="9" t="s">
        <v>67</v>
      </c>
      <c r="AI10" s="9">
        <v>0</v>
      </c>
      <c r="AJ10" s="9"/>
      <c r="AK10" s="9">
        <v>0</v>
      </c>
      <c r="AL10" s="9" t="s">
        <v>1930</v>
      </c>
      <c r="AM10" s="9"/>
      <c r="AN10" s="9"/>
      <c r="AO10" s="9" t="s">
        <v>1931</v>
      </c>
      <c r="AP10" s="9" t="s">
        <v>69</v>
      </c>
      <c r="AQ10" s="9" t="s">
        <v>1932</v>
      </c>
      <c r="AR10" s="9"/>
      <c r="AS10" s="9"/>
      <c r="AT10" s="9"/>
      <c r="AU10" s="9" t="s">
        <v>92</v>
      </c>
      <c r="AV10" s="9">
        <v>0</v>
      </c>
      <c r="AW10" s="9"/>
      <c r="AX10" s="9"/>
      <c r="AY10" s="9">
        <v>0</v>
      </c>
      <c r="AZ10" s="9"/>
      <c r="BA10" s="9"/>
      <c r="BB10" s="9">
        <v>0</v>
      </c>
      <c r="BC10" s="9">
        <v>1</v>
      </c>
      <c r="BD10" s="9">
        <v>0</v>
      </c>
      <c r="BE10" s="9" t="s">
        <v>112</v>
      </c>
      <c r="BF10" s="9"/>
      <c r="BG10" s="9"/>
      <c r="BH10" s="9">
        <v>0</v>
      </c>
      <c r="BI10" s="9"/>
      <c r="BJ10" s="9">
        <v>1</v>
      </c>
      <c r="BK10" s="9"/>
      <c r="BL10" s="9"/>
      <c r="BM10" s="9" t="s">
        <v>75</v>
      </c>
      <c r="BN10" s="9"/>
      <c r="BO10" s="9">
        <v>0</v>
      </c>
      <c r="BP10" s="9"/>
      <c r="BQ10" s="9">
        <v>0</v>
      </c>
      <c r="BR10" s="9"/>
      <c r="BS10" s="9"/>
      <c r="BT10" s="9"/>
      <c r="BU10" s="9"/>
      <c r="BV10" s="9"/>
      <c r="BW10" s="9">
        <v>0</v>
      </c>
      <c r="BX10" s="9">
        <v>45170.564004629632</v>
      </c>
      <c r="BY10" s="9">
        <v>45170.564004629632</v>
      </c>
      <c r="BZ10" s="9"/>
      <c r="CA10" s="9"/>
      <c r="CB10" s="9"/>
      <c r="CC10" s="9"/>
      <c r="CD10" s="9"/>
      <c r="CE10" s="9"/>
      <c r="CF10" s="9"/>
      <c r="CG10" s="9"/>
      <c r="CH10" s="9">
        <v>1</v>
      </c>
      <c r="CI10" s="9">
        <v>0</v>
      </c>
      <c r="CJ10" s="9"/>
      <c r="CK10" s="9"/>
      <c r="CL10" s="9"/>
      <c r="CM10" s="9"/>
      <c r="CN10" s="9">
        <v>0</v>
      </c>
      <c r="CO10" s="9"/>
      <c r="CP10" s="9"/>
      <c r="CQ10" s="9"/>
    </row>
    <row r="11" spans="1:95" x14ac:dyDescent="0.35">
      <c r="A11" s="9" t="b">
        <f>ISNUMBER(MATCH(Claude[[#This Row],[Id]],ChargentOrders[Id],0))</f>
        <v>1</v>
      </c>
      <c r="B11" t="b">
        <f>INDEX(ChargentOrders[VALIDO],MATCH(Claude[[#This Row],[Id]],ChargentOrders[Id],0))</f>
        <v>1</v>
      </c>
      <c r="C11">
        <f>INDEX(Contract[CB_Subscription__c],MATCH(Claude[[#This Row],[Contract__c]],Contract[Id],0))</f>
        <v>0</v>
      </c>
      <c r="D11" s="9" t="s">
        <v>129</v>
      </c>
      <c r="E11" s="9" t="s">
        <v>102</v>
      </c>
      <c r="F11" s="9">
        <v>0</v>
      </c>
      <c r="G11" s="9" t="s">
        <v>130</v>
      </c>
      <c r="H11" s="9">
        <v>45170.564386574071</v>
      </c>
      <c r="I11" s="9" t="s">
        <v>102</v>
      </c>
      <c r="J11" s="9">
        <v>46114.61824074074</v>
      </c>
      <c r="K11" s="9" t="s">
        <v>78</v>
      </c>
      <c r="L11" s="9">
        <v>46114.61824074074</v>
      </c>
      <c r="M11" s="9"/>
      <c r="N11" s="9"/>
      <c r="O11" s="9" t="s">
        <v>1923</v>
      </c>
      <c r="P11" s="9" t="s">
        <v>1924</v>
      </c>
      <c r="Q11" s="9" t="s">
        <v>1925</v>
      </c>
      <c r="R11" s="9" t="s">
        <v>1568</v>
      </c>
      <c r="S11" s="9" t="s">
        <v>1926</v>
      </c>
      <c r="T11" s="9" t="s">
        <v>1927</v>
      </c>
      <c r="U11" s="9" t="s">
        <v>1928</v>
      </c>
      <c r="V11" s="9">
        <v>94</v>
      </c>
      <c r="W11" s="9">
        <v>6</v>
      </c>
      <c r="X11" s="9">
        <v>2027</v>
      </c>
      <c r="Y11" s="9">
        <v>2473</v>
      </c>
      <c r="Z11" s="9">
        <v>6</v>
      </c>
      <c r="AA11" s="9">
        <v>4549542114082470</v>
      </c>
      <c r="AB11" s="9" t="s">
        <v>73</v>
      </c>
      <c r="AC11" s="9">
        <v>2027</v>
      </c>
      <c r="AD11" s="9" t="s">
        <v>93</v>
      </c>
      <c r="AE11" s="9"/>
      <c r="AF11" s="9" t="s">
        <v>1929</v>
      </c>
      <c r="AG11" s="9"/>
      <c r="AH11" s="9" t="s">
        <v>67</v>
      </c>
      <c r="AI11" s="9">
        <v>0</v>
      </c>
      <c r="AJ11" s="9"/>
      <c r="AK11" s="9">
        <v>0</v>
      </c>
      <c r="AL11" s="9" t="s">
        <v>1930</v>
      </c>
      <c r="AM11" s="9"/>
      <c r="AN11" s="9"/>
      <c r="AO11" s="9" t="s">
        <v>1931</v>
      </c>
      <c r="AP11" s="9" t="s">
        <v>69</v>
      </c>
      <c r="AQ11" s="9" t="s">
        <v>1932</v>
      </c>
      <c r="AR11" s="9"/>
      <c r="AS11" s="9"/>
      <c r="AT11" s="9"/>
      <c r="AU11" s="9" t="s">
        <v>92</v>
      </c>
      <c r="AV11" s="9">
        <v>0</v>
      </c>
      <c r="AW11" s="9"/>
      <c r="AX11" s="9"/>
      <c r="AY11" s="9">
        <v>0</v>
      </c>
      <c r="AZ11" s="9"/>
      <c r="BA11" s="9"/>
      <c r="BB11" s="9">
        <v>0</v>
      </c>
      <c r="BC11" s="9">
        <v>1</v>
      </c>
      <c r="BD11" s="9">
        <v>0</v>
      </c>
      <c r="BE11" s="9" t="s">
        <v>112</v>
      </c>
      <c r="BF11" s="9"/>
      <c r="BG11" s="9"/>
      <c r="BH11" s="9">
        <v>0</v>
      </c>
      <c r="BI11" s="9"/>
      <c r="BJ11" s="9">
        <v>1</v>
      </c>
      <c r="BK11" s="9"/>
      <c r="BL11" s="9"/>
      <c r="BM11" s="9" t="s">
        <v>75</v>
      </c>
      <c r="BN11" s="9"/>
      <c r="BO11" s="9">
        <v>0</v>
      </c>
      <c r="BP11" s="9"/>
      <c r="BQ11" s="9">
        <v>0</v>
      </c>
      <c r="BR11" s="9"/>
      <c r="BS11" s="9"/>
      <c r="BT11" s="9"/>
      <c r="BU11" s="9"/>
      <c r="BV11" s="9"/>
      <c r="BW11" s="9">
        <v>0</v>
      </c>
      <c r="BX11" s="9">
        <v>45170.564398148148</v>
      </c>
      <c r="BY11" s="9">
        <v>45170.564398148148</v>
      </c>
      <c r="BZ11" s="9"/>
      <c r="CA11" s="9"/>
      <c r="CB11" s="9"/>
      <c r="CC11" s="9"/>
      <c r="CD11" s="9"/>
      <c r="CE11" s="9"/>
      <c r="CF11" s="9"/>
      <c r="CG11" s="9"/>
      <c r="CH11" s="9">
        <v>1</v>
      </c>
      <c r="CI11" s="9">
        <v>0</v>
      </c>
      <c r="CJ11" s="9"/>
      <c r="CK11" s="9"/>
      <c r="CL11" s="9"/>
      <c r="CM11" s="9"/>
      <c r="CN11" s="9">
        <v>0</v>
      </c>
      <c r="CO11" s="9"/>
      <c r="CP11" s="9"/>
      <c r="CQ11" s="9"/>
    </row>
    <row r="12" spans="1:95" x14ac:dyDescent="0.35">
      <c r="A12" s="9" t="b">
        <f>ISNUMBER(MATCH(Claude[[#This Row],[Id]],ChargentOrders[Id],0))</f>
        <v>1</v>
      </c>
      <c r="B12" t="b">
        <f>INDEX(ChargentOrders[VALIDO],MATCH(Claude[[#This Row],[Id]],ChargentOrders[Id],0))</f>
        <v>1</v>
      </c>
      <c r="C12">
        <f>INDEX(Contract[CB_Subscription__c],MATCH(Claude[[#This Row],[Contract__c]],Contract[Id],0))</f>
        <v>0</v>
      </c>
      <c r="D12" s="9" t="s">
        <v>131</v>
      </c>
      <c r="E12" s="9" t="s">
        <v>102</v>
      </c>
      <c r="F12" s="9">
        <v>0</v>
      </c>
      <c r="G12" s="9" t="s">
        <v>132</v>
      </c>
      <c r="H12" s="9">
        <v>45170.774097222224</v>
      </c>
      <c r="I12" s="9" t="s">
        <v>102</v>
      </c>
      <c r="J12" s="9">
        <v>46114.61824074074</v>
      </c>
      <c r="K12" s="9" t="s">
        <v>78</v>
      </c>
      <c r="L12" s="9">
        <v>46114.61824074074</v>
      </c>
      <c r="M12" s="9"/>
      <c r="N12" s="9"/>
      <c r="O12" s="9" t="s">
        <v>1923</v>
      </c>
      <c r="P12" s="9" t="s">
        <v>1924</v>
      </c>
      <c r="Q12" s="9" t="s">
        <v>1925</v>
      </c>
      <c r="R12" s="9" t="s">
        <v>1568</v>
      </c>
      <c r="S12" s="9" t="s">
        <v>1926</v>
      </c>
      <c r="T12" s="9" t="s">
        <v>1927</v>
      </c>
      <c r="U12" s="9" t="s">
        <v>1928</v>
      </c>
      <c r="V12" s="9">
        <v>94</v>
      </c>
      <c r="W12" s="9">
        <v>6</v>
      </c>
      <c r="X12" s="9">
        <v>2027</v>
      </c>
      <c r="Y12" s="9">
        <v>2473</v>
      </c>
      <c r="Z12" s="9">
        <v>6</v>
      </c>
      <c r="AA12" s="9">
        <v>4549542114082470</v>
      </c>
      <c r="AB12" s="9" t="s">
        <v>73</v>
      </c>
      <c r="AC12" s="9">
        <v>2027</v>
      </c>
      <c r="AD12" s="9" t="s">
        <v>93</v>
      </c>
      <c r="AE12" s="9"/>
      <c r="AF12" s="9" t="s">
        <v>1929</v>
      </c>
      <c r="AG12" s="9"/>
      <c r="AH12" s="9" t="s">
        <v>67</v>
      </c>
      <c r="AI12" s="9">
        <v>0</v>
      </c>
      <c r="AJ12" s="9"/>
      <c r="AK12" s="9">
        <v>0</v>
      </c>
      <c r="AL12" s="9" t="s">
        <v>1930</v>
      </c>
      <c r="AM12" s="9"/>
      <c r="AN12" s="9"/>
      <c r="AO12" s="9" t="s">
        <v>1931</v>
      </c>
      <c r="AP12" s="9" t="s">
        <v>69</v>
      </c>
      <c r="AQ12" s="9" t="s">
        <v>1932</v>
      </c>
      <c r="AR12" s="9"/>
      <c r="AS12" s="9"/>
      <c r="AT12" s="9"/>
      <c r="AU12" s="9" t="s">
        <v>92</v>
      </c>
      <c r="AV12" s="9">
        <v>0</v>
      </c>
      <c r="AW12" s="9"/>
      <c r="AX12" s="9"/>
      <c r="AY12" s="9">
        <v>0</v>
      </c>
      <c r="AZ12" s="9"/>
      <c r="BA12" s="9"/>
      <c r="BB12" s="9">
        <v>0</v>
      </c>
      <c r="BC12" s="9">
        <v>1</v>
      </c>
      <c r="BD12" s="9">
        <v>0</v>
      </c>
      <c r="BE12" s="9" t="s">
        <v>112</v>
      </c>
      <c r="BF12" s="9"/>
      <c r="BG12" s="9"/>
      <c r="BH12" s="9">
        <v>0</v>
      </c>
      <c r="BI12" s="9"/>
      <c r="BJ12" s="9">
        <v>1</v>
      </c>
      <c r="BK12" s="9"/>
      <c r="BL12" s="9"/>
      <c r="BM12" s="9" t="s">
        <v>75</v>
      </c>
      <c r="BN12" s="9"/>
      <c r="BO12" s="9">
        <v>0</v>
      </c>
      <c r="BP12" s="9"/>
      <c r="BQ12" s="9">
        <v>0</v>
      </c>
      <c r="BR12" s="9"/>
      <c r="BS12" s="9"/>
      <c r="BT12" s="9"/>
      <c r="BU12" s="9"/>
      <c r="BV12" s="9"/>
      <c r="BW12" s="9">
        <v>0</v>
      </c>
      <c r="BX12" s="9">
        <v>45170.77412037037</v>
      </c>
      <c r="BY12" s="9">
        <v>45170.77412037037</v>
      </c>
      <c r="BZ12" s="9"/>
      <c r="CA12" s="9"/>
      <c r="CB12" s="9"/>
      <c r="CC12" s="9"/>
      <c r="CD12" s="9"/>
      <c r="CE12" s="9"/>
      <c r="CF12" s="9"/>
      <c r="CG12" s="9"/>
      <c r="CH12" s="9">
        <v>1</v>
      </c>
      <c r="CI12" s="9">
        <v>0</v>
      </c>
      <c r="CJ12" s="9"/>
      <c r="CK12" s="9"/>
      <c r="CL12" s="9"/>
      <c r="CM12" s="9"/>
      <c r="CN12" s="9">
        <v>0</v>
      </c>
      <c r="CO12" s="9"/>
      <c r="CP12" s="9"/>
      <c r="CQ12" s="9"/>
    </row>
    <row r="13" spans="1:95" x14ac:dyDescent="0.35">
      <c r="A13" s="9" t="b">
        <f>ISNUMBER(MATCH(Claude[[#This Row],[Id]],ChargentOrders[Id],0))</f>
        <v>1</v>
      </c>
      <c r="B13" t="b">
        <f>INDEX(ChargentOrders[VALIDO],MATCH(Claude[[#This Row],[Id]],ChargentOrders[Id],0))</f>
        <v>1</v>
      </c>
      <c r="C13">
        <f>INDEX(Contract[CB_Subscription__c],MATCH(Claude[[#This Row],[Contract__c]],Contract[Id],0))</f>
        <v>0</v>
      </c>
      <c r="D13" s="9" t="s">
        <v>133</v>
      </c>
      <c r="E13" s="9" t="s">
        <v>102</v>
      </c>
      <c r="F13" s="9">
        <v>0</v>
      </c>
      <c r="G13" s="9" t="s">
        <v>134</v>
      </c>
      <c r="H13" s="9">
        <v>45170.77449074074</v>
      </c>
      <c r="I13" s="9" t="s">
        <v>102</v>
      </c>
      <c r="J13" s="9">
        <v>46114.61824074074</v>
      </c>
      <c r="K13" s="9" t="s">
        <v>78</v>
      </c>
      <c r="L13" s="9">
        <v>46114.61824074074</v>
      </c>
      <c r="M13" s="9"/>
      <c r="N13" s="9"/>
      <c r="O13" s="9" t="s">
        <v>1923</v>
      </c>
      <c r="P13" s="9" t="s">
        <v>1924</v>
      </c>
      <c r="Q13" s="9" t="s">
        <v>1925</v>
      </c>
      <c r="R13" s="9" t="s">
        <v>1568</v>
      </c>
      <c r="S13" s="9" t="s">
        <v>1926</v>
      </c>
      <c r="T13" s="9" t="s">
        <v>1927</v>
      </c>
      <c r="U13" s="9" t="s">
        <v>1928</v>
      </c>
      <c r="V13" s="9">
        <v>94</v>
      </c>
      <c r="W13" s="9">
        <v>6</v>
      </c>
      <c r="X13" s="9">
        <v>2027</v>
      </c>
      <c r="Y13" s="9">
        <v>2473</v>
      </c>
      <c r="Z13" s="9">
        <v>6</v>
      </c>
      <c r="AA13" s="9">
        <v>4549542114082470</v>
      </c>
      <c r="AB13" s="9" t="s">
        <v>73</v>
      </c>
      <c r="AC13" s="9">
        <v>2027</v>
      </c>
      <c r="AD13" s="9" t="s">
        <v>93</v>
      </c>
      <c r="AE13" s="9"/>
      <c r="AF13" s="9" t="s">
        <v>1929</v>
      </c>
      <c r="AG13" s="9"/>
      <c r="AH13" s="9" t="s">
        <v>67</v>
      </c>
      <c r="AI13" s="9">
        <v>0</v>
      </c>
      <c r="AJ13" s="9"/>
      <c r="AK13" s="9">
        <v>0</v>
      </c>
      <c r="AL13" s="9" t="s">
        <v>1930</v>
      </c>
      <c r="AM13" s="9"/>
      <c r="AN13" s="9"/>
      <c r="AO13" s="9" t="s">
        <v>1931</v>
      </c>
      <c r="AP13" s="9" t="s">
        <v>69</v>
      </c>
      <c r="AQ13" s="9" t="s">
        <v>1932</v>
      </c>
      <c r="AR13" s="9"/>
      <c r="AS13" s="9"/>
      <c r="AT13" s="9"/>
      <c r="AU13" s="9" t="s">
        <v>92</v>
      </c>
      <c r="AV13" s="9">
        <v>0</v>
      </c>
      <c r="AW13" s="9"/>
      <c r="AX13" s="9"/>
      <c r="AY13" s="9">
        <v>0</v>
      </c>
      <c r="AZ13" s="9"/>
      <c r="BA13" s="9"/>
      <c r="BB13" s="9">
        <v>0</v>
      </c>
      <c r="BC13" s="9">
        <v>1</v>
      </c>
      <c r="BD13" s="9">
        <v>0</v>
      </c>
      <c r="BE13" s="9" t="s">
        <v>112</v>
      </c>
      <c r="BF13" s="9"/>
      <c r="BG13" s="9"/>
      <c r="BH13" s="9">
        <v>0</v>
      </c>
      <c r="BI13" s="9"/>
      <c r="BJ13" s="9">
        <v>1</v>
      </c>
      <c r="BK13" s="9"/>
      <c r="BL13" s="9"/>
      <c r="BM13" s="9" t="s">
        <v>75</v>
      </c>
      <c r="BN13" s="9"/>
      <c r="BO13" s="9">
        <v>0</v>
      </c>
      <c r="BP13" s="9"/>
      <c r="BQ13" s="9">
        <v>0</v>
      </c>
      <c r="BR13" s="9"/>
      <c r="BS13" s="9"/>
      <c r="BT13" s="9"/>
      <c r="BU13" s="9"/>
      <c r="BV13" s="9"/>
      <c r="BW13" s="9">
        <v>0</v>
      </c>
      <c r="BX13" s="9">
        <v>45170.774502314816</v>
      </c>
      <c r="BY13" s="9">
        <v>45170.774502314816</v>
      </c>
      <c r="BZ13" s="9"/>
      <c r="CA13" s="9"/>
      <c r="CB13" s="9"/>
      <c r="CC13" s="9"/>
      <c r="CD13" s="9"/>
      <c r="CE13" s="9"/>
      <c r="CF13" s="9"/>
      <c r="CG13" s="9"/>
      <c r="CH13" s="9">
        <v>1</v>
      </c>
      <c r="CI13" s="9">
        <v>0</v>
      </c>
      <c r="CJ13" s="9"/>
      <c r="CK13" s="9"/>
      <c r="CL13" s="9"/>
      <c r="CM13" s="9"/>
      <c r="CN13" s="9">
        <v>0</v>
      </c>
      <c r="CO13" s="9"/>
      <c r="CP13" s="9"/>
      <c r="CQ13" s="9"/>
    </row>
    <row r="14" spans="1:95" x14ac:dyDescent="0.35">
      <c r="A14" s="9" t="b">
        <f>ISNUMBER(MATCH(Claude[[#This Row],[Id]],ChargentOrders[Id],0))</f>
        <v>1</v>
      </c>
      <c r="B14" t="b">
        <f>INDEX(ChargentOrders[VALIDO],MATCH(Claude[[#This Row],[Id]],ChargentOrders[Id],0))</f>
        <v>1</v>
      </c>
      <c r="C14">
        <f>INDEX(Contract[CB_Subscription__c],MATCH(Claude[[#This Row],[Contract__c]],Contract[Id],0))</f>
        <v>0</v>
      </c>
      <c r="D14" s="9" t="s">
        <v>135</v>
      </c>
      <c r="E14" s="9" t="s">
        <v>102</v>
      </c>
      <c r="F14" s="9">
        <v>0</v>
      </c>
      <c r="G14" s="9" t="s">
        <v>136</v>
      </c>
      <c r="H14" s="9">
        <v>45170.785381944443</v>
      </c>
      <c r="I14" s="9" t="s">
        <v>102</v>
      </c>
      <c r="J14" s="9">
        <v>46114.61824074074</v>
      </c>
      <c r="K14" s="9" t="s">
        <v>78</v>
      </c>
      <c r="L14" s="9">
        <v>46114.61824074074</v>
      </c>
      <c r="M14" s="9"/>
      <c r="N14" s="9"/>
      <c r="O14" s="9" t="s">
        <v>1923</v>
      </c>
      <c r="P14" s="9" t="s">
        <v>1924</v>
      </c>
      <c r="Q14" s="9" t="s">
        <v>1925</v>
      </c>
      <c r="R14" s="9" t="s">
        <v>1568</v>
      </c>
      <c r="S14" s="9" t="s">
        <v>1926</v>
      </c>
      <c r="T14" s="9" t="s">
        <v>1927</v>
      </c>
      <c r="U14" s="9" t="s">
        <v>1928</v>
      </c>
      <c r="V14" s="9">
        <v>94</v>
      </c>
      <c r="W14" s="9">
        <v>6</v>
      </c>
      <c r="X14" s="9">
        <v>2027</v>
      </c>
      <c r="Y14" s="9">
        <v>2473</v>
      </c>
      <c r="Z14" s="9">
        <v>6</v>
      </c>
      <c r="AA14" s="9">
        <v>4549542114082470</v>
      </c>
      <c r="AB14" s="9" t="s">
        <v>73</v>
      </c>
      <c r="AC14" s="9">
        <v>2027</v>
      </c>
      <c r="AD14" s="9" t="s">
        <v>93</v>
      </c>
      <c r="AE14" s="9"/>
      <c r="AF14" s="9" t="s">
        <v>1929</v>
      </c>
      <c r="AG14" s="9"/>
      <c r="AH14" s="9" t="s">
        <v>67</v>
      </c>
      <c r="AI14" s="9">
        <v>0</v>
      </c>
      <c r="AJ14" s="9"/>
      <c r="AK14" s="9">
        <v>0</v>
      </c>
      <c r="AL14" s="9" t="s">
        <v>1930</v>
      </c>
      <c r="AM14" s="9"/>
      <c r="AN14" s="9"/>
      <c r="AO14" s="9" t="s">
        <v>1931</v>
      </c>
      <c r="AP14" s="9" t="s">
        <v>69</v>
      </c>
      <c r="AQ14" s="9" t="s">
        <v>1932</v>
      </c>
      <c r="AR14" s="9"/>
      <c r="AS14" s="9"/>
      <c r="AT14" s="9"/>
      <c r="AU14" s="9" t="s">
        <v>92</v>
      </c>
      <c r="AV14" s="9">
        <v>0</v>
      </c>
      <c r="AW14" s="9"/>
      <c r="AX14" s="9"/>
      <c r="AY14" s="9">
        <v>0</v>
      </c>
      <c r="AZ14" s="9"/>
      <c r="BA14" s="9"/>
      <c r="BB14" s="9">
        <v>0</v>
      </c>
      <c r="BC14" s="9">
        <v>1</v>
      </c>
      <c r="BD14" s="9">
        <v>0</v>
      </c>
      <c r="BE14" s="9" t="s">
        <v>112</v>
      </c>
      <c r="BF14" s="9"/>
      <c r="BG14" s="9"/>
      <c r="BH14" s="9">
        <v>0</v>
      </c>
      <c r="BI14" s="9"/>
      <c r="BJ14" s="9">
        <v>1</v>
      </c>
      <c r="BK14" s="9"/>
      <c r="BL14" s="9"/>
      <c r="BM14" s="9" t="s">
        <v>75</v>
      </c>
      <c r="BN14" s="9"/>
      <c r="BO14" s="9">
        <v>0</v>
      </c>
      <c r="BP14" s="9"/>
      <c r="BQ14" s="9">
        <v>0</v>
      </c>
      <c r="BR14" s="9"/>
      <c r="BS14" s="9"/>
      <c r="BT14" s="9"/>
      <c r="BU14" s="9"/>
      <c r="BV14" s="9"/>
      <c r="BW14" s="9">
        <v>0</v>
      </c>
      <c r="BX14" s="9">
        <v>45170.785393518519</v>
      </c>
      <c r="BY14" s="9">
        <v>45170.785393518519</v>
      </c>
      <c r="BZ14" s="9"/>
      <c r="CA14" s="9"/>
      <c r="CB14" s="9"/>
      <c r="CC14" s="9"/>
      <c r="CD14" s="9"/>
      <c r="CE14" s="9"/>
      <c r="CF14" s="9"/>
      <c r="CG14" s="9"/>
      <c r="CH14" s="9">
        <v>1</v>
      </c>
      <c r="CI14" s="9">
        <v>0</v>
      </c>
      <c r="CJ14" s="9"/>
      <c r="CK14" s="9"/>
      <c r="CL14" s="9"/>
      <c r="CM14" s="9"/>
      <c r="CN14" s="9">
        <v>0</v>
      </c>
      <c r="CO14" s="9"/>
      <c r="CP14" s="9"/>
      <c r="CQ14" s="9"/>
    </row>
    <row r="15" spans="1:95" x14ac:dyDescent="0.35">
      <c r="A15" s="9" t="b">
        <f>ISNUMBER(MATCH(Claude[[#This Row],[Id]],ChargentOrders[Id],0))</f>
        <v>1</v>
      </c>
      <c r="B15" t="b">
        <f>INDEX(ChargentOrders[VALIDO],MATCH(Claude[[#This Row],[Id]],ChargentOrders[Id],0))</f>
        <v>1</v>
      </c>
      <c r="C15">
        <f>INDEX(Contract[CB_Subscription__c],MATCH(Claude[[#This Row],[Contract__c]],Contract[Id],0))</f>
        <v>0</v>
      </c>
      <c r="D15" s="9" t="s">
        <v>137</v>
      </c>
      <c r="E15" s="9" t="s">
        <v>102</v>
      </c>
      <c r="F15" s="9">
        <v>0</v>
      </c>
      <c r="G15" s="9" t="s">
        <v>138</v>
      </c>
      <c r="H15" s="9">
        <v>45170.78597222222</v>
      </c>
      <c r="I15" s="9" t="s">
        <v>102</v>
      </c>
      <c r="J15" s="9">
        <v>46114.61824074074</v>
      </c>
      <c r="K15" s="9" t="s">
        <v>78</v>
      </c>
      <c r="L15" s="9">
        <v>46114.61824074074</v>
      </c>
      <c r="M15" s="9"/>
      <c r="N15" s="9"/>
      <c r="O15" s="9" t="s">
        <v>1923</v>
      </c>
      <c r="P15" s="9" t="s">
        <v>1924</v>
      </c>
      <c r="Q15" s="9" t="s">
        <v>1925</v>
      </c>
      <c r="R15" s="9" t="s">
        <v>1568</v>
      </c>
      <c r="S15" s="9" t="s">
        <v>1926</v>
      </c>
      <c r="T15" s="9" t="s">
        <v>1927</v>
      </c>
      <c r="U15" s="9" t="s">
        <v>1928</v>
      </c>
      <c r="V15" s="9">
        <v>94</v>
      </c>
      <c r="W15" s="9">
        <v>6</v>
      </c>
      <c r="X15" s="9">
        <v>2027</v>
      </c>
      <c r="Y15" s="9">
        <v>2473</v>
      </c>
      <c r="Z15" s="9">
        <v>6</v>
      </c>
      <c r="AA15" s="9">
        <v>4549542114082470</v>
      </c>
      <c r="AB15" s="9" t="s">
        <v>73</v>
      </c>
      <c r="AC15" s="9">
        <v>2027</v>
      </c>
      <c r="AD15" s="9" t="s">
        <v>93</v>
      </c>
      <c r="AE15" s="9"/>
      <c r="AF15" s="9" t="s">
        <v>1929</v>
      </c>
      <c r="AG15" s="9"/>
      <c r="AH15" s="9" t="s">
        <v>67</v>
      </c>
      <c r="AI15" s="9">
        <v>0</v>
      </c>
      <c r="AJ15" s="9"/>
      <c r="AK15" s="9">
        <v>0</v>
      </c>
      <c r="AL15" s="9" t="s">
        <v>1930</v>
      </c>
      <c r="AM15" s="9"/>
      <c r="AN15" s="9"/>
      <c r="AO15" s="9" t="s">
        <v>1931</v>
      </c>
      <c r="AP15" s="9" t="s">
        <v>69</v>
      </c>
      <c r="AQ15" s="9" t="s">
        <v>1932</v>
      </c>
      <c r="AR15" s="9"/>
      <c r="AS15" s="9"/>
      <c r="AT15" s="9"/>
      <c r="AU15" s="9" t="s">
        <v>92</v>
      </c>
      <c r="AV15" s="9">
        <v>0</v>
      </c>
      <c r="AW15" s="9"/>
      <c r="AX15" s="9"/>
      <c r="AY15" s="9">
        <v>0</v>
      </c>
      <c r="AZ15" s="9"/>
      <c r="BA15" s="9"/>
      <c r="BB15" s="9">
        <v>0</v>
      </c>
      <c r="BC15" s="9">
        <v>1</v>
      </c>
      <c r="BD15" s="9">
        <v>0</v>
      </c>
      <c r="BE15" s="9" t="s">
        <v>112</v>
      </c>
      <c r="BF15" s="9"/>
      <c r="BG15" s="9"/>
      <c r="BH15" s="9">
        <v>0</v>
      </c>
      <c r="BI15" s="9"/>
      <c r="BJ15" s="9">
        <v>1</v>
      </c>
      <c r="BK15" s="9"/>
      <c r="BL15" s="9"/>
      <c r="BM15" s="9" t="s">
        <v>75</v>
      </c>
      <c r="BN15" s="9"/>
      <c r="BO15" s="9">
        <v>0</v>
      </c>
      <c r="BP15" s="9"/>
      <c r="BQ15" s="9">
        <v>0</v>
      </c>
      <c r="BR15" s="9"/>
      <c r="BS15" s="9"/>
      <c r="BT15" s="9"/>
      <c r="BU15" s="9"/>
      <c r="BV15" s="9"/>
      <c r="BW15" s="9">
        <v>0</v>
      </c>
      <c r="BX15" s="9">
        <v>45170.785983796297</v>
      </c>
      <c r="BY15" s="9">
        <v>45170.785983796297</v>
      </c>
      <c r="BZ15" s="9"/>
      <c r="CA15" s="9"/>
      <c r="CB15" s="9"/>
      <c r="CC15" s="9"/>
      <c r="CD15" s="9"/>
      <c r="CE15" s="9"/>
      <c r="CF15" s="9"/>
      <c r="CG15" s="9"/>
      <c r="CH15" s="9">
        <v>1</v>
      </c>
      <c r="CI15" s="9">
        <v>0</v>
      </c>
      <c r="CJ15" s="9"/>
      <c r="CK15" s="9"/>
      <c r="CL15" s="9"/>
      <c r="CM15" s="9"/>
      <c r="CN15" s="9">
        <v>0</v>
      </c>
      <c r="CO15" s="9"/>
      <c r="CP15" s="9"/>
      <c r="CQ15" s="9"/>
    </row>
    <row r="16" spans="1:95" x14ac:dyDescent="0.35">
      <c r="A16" s="9" t="b">
        <f>ISNUMBER(MATCH(Claude[[#This Row],[Id]],ChargentOrders[Id],0))</f>
        <v>1</v>
      </c>
      <c r="B16" t="b">
        <f>INDEX(ChargentOrders[VALIDO],MATCH(Claude[[#This Row],[Id]],ChargentOrders[Id],0))</f>
        <v>1</v>
      </c>
      <c r="C16">
        <f>INDEX(Contract[CB_Subscription__c],MATCH(Claude[[#This Row],[Contract__c]],Contract[Id],0))</f>
        <v>0</v>
      </c>
      <c r="D16" s="9" t="s">
        <v>139</v>
      </c>
      <c r="E16" s="9" t="s">
        <v>102</v>
      </c>
      <c r="F16" s="9">
        <v>0</v>
      </c>
      <c r="G16" s="9" t="s">
        <v>140</v>
      </c>
      <c r="H16" s="9">
        <v>45170.792696759258</v>
      </c>
      <c r="I16" s="9" t="s">
        <v>102</v>
      </c>
      <c r="J16" s="9">
        <v>46114.61824074074</v>
      </c>
      <c r="K16" s="9" t="s">
        <v>78</v>
      </c>
      <c r="L16" s="9">
        <v>46114.61824074074</v>
      </c>
      <c r="M16" s="9"/>
      <c r="N16" s="9"/>
      <c r="O16" s="9" t="s">
        <v>1923</v>
      </c>
      <c r="P16" s="9" t="s">
        <v>1924</v>
      </c>
      <c r="Q16" s="9" t="s">
        <v>1925</v>
      </c>
      <c r="R16" s="9" t="s">
        <v>1568</v>
      </c>
      <c r="S16" s="9" t="s">
        <v>1926</v>
      </c>
      <c r="T16" s="9" t="s">
        <v>1927</v>
      </c>
      <c r="U16" s="9" t="s">
        <v>1928</v>
      </c>
      <c r="V16" s="9">
        <v>94</v>
      </c>
      <c r="W16" s="9">
        <v>6</v>
      </c>
      <c r="X16" s="9">
        <v>2027</v>
      </c>
      <c r="Y16" s="9">
        <v>2473</v>
      </c>
      <c r="Z16" s="9">
        <v>6</v>
      </c>
      <c r="AA16" s="9">
        <v>4549542114082470</v>
      </c>
      <c r="AB16" s="9" t="s">
        <v>73</v>
      </c>
      <c r="AC16" s="9">
        <v>2027</v>
      </c>
      <c r="AD16" s="9" t="s">
        <v>93</v>
      </c>
      <c r="AE16" s="9"/>
      <c r="AF16" s="9" t="s">
        <v>1929</v>
      </c>
      <c r="AG16" s="9"/>
      <c r="AH16" s="9" t="s">
        <v>67</v>
      </c>
      <c r="AI16" s="9">
        <v>0</v>
      </c>
      <c r="AJ16" s="9"/>
      <c r="AK16" s="9">
        <v>0</v>
      </c>
      <c r="AL16" s="9" t="s">
        <v>1930</v>
      </c>
      <c r="AM16" s="9"/>
      <c r="AN16" s="9"/>
      <c r="AO16" s="9" t="s">
        <v>1931</v>
      </c>
      <c r="AP16" s="9" t="s">
        <v>69</v>
      </c>
      <c r="AQ16" s="9" t="s">
        <v>1932</v>
      </c>
      <c r="AR16" s="9"/>
      <c r="AS16" s="9"/>
      <c r="AT16" s="9"/>
      <c r="AU16" s="9" t="s">
        <v>92</v>
      </c>
      <c r="AV16" s="9">
        <v>0</v>
      </c>
      <c r="AW16" s="9"/>
      <c r="AX16" s="9"/>
      <c r="AY16" s="9">
        <v>0</v>
      </c>
      <c r="AZ16" s="9"/>
      <c r="BA16" s="9"/>
      <c r="BB16" s="9">
        <v>0</v>
      </c>
      <c r="BC16" s="9">
        <v>1</v>
      </c>
      <c r="BD16" s="9">
        <v>0</v>
      </c>
      <c r="BE16" s="9" t="s">
        <v>112</v>
      </c>
      <c r="BF16" s="9"/>
      <c r="BG16" s="9"/>
      <c r="BH16" s="9">
        <v>0</v>
      </c>
      <c r="BI16" s="9"/>
      <c r="BJ16" s="9">
        <v>1</v>
      </c>
      <c r="BK16" s="9"/>
      <c r="BL16" s="9"/>
      <c r="BM16" s="9" t="s">
        <v>75</v>
      </c>
      <c r="BN16" s="9"/>
      <c r="BO16" s="9">
        <v>0</v>
      </c>
      <c r="BP16" s="9"/>
      <c r="BQ16" s="9">
        <v>0</v>
      </c>
      <c r="BR16" s="9"/>
      <c r="BS16" s="9"/>
      <c r="BT16" s="9"/>
      <c r="BU16" s="9"/>
      <c r="BV16" s="9"/>
      <c r="BW16" s="9">
        <v>0</v>
      </c>
      <c r="BX16" s="9">
        <v>45170.792708333334</v>
      </c>
      <c r="BY16" s="9">
        <v>45170.792708333334</v>
      </c>
      <c r="BZ16" s="9"/>
      <c r="CA16" s="9"/>
      <c r="CB16" s="9"/>
      <c r="CC16" s="9"/>
      <c r="CD16" s="9"/>
      <c r="CE16" s="9"/>
      <c r="CF16" s="9"/>
      <c r="CG16" s="9"/>
      <c r="CH16" s="9">
        <v>1</v>
      </c>
      <c r="CI16" s="9">
        <v>0</v>
      </c>
      <c r="CJ16" s="9"/>
      <c r="CK16" s="9"/>
      <c r="CL16" s="9"/>
      <c r="CM16" s="9"/>
      <c r="CN16" s="9">
        <v>0</v>
      </c>
      <c r="CO16" s="9"/>
      <c r="CP16" s="9"/>
      <c r="CQ16" s="9"/>
    </row>
    <row r="17" spans="1:95" x14ac:dyDescent="0.35">
      <c r="A17" s="9" t="b">
        <f>ISNUMBER(MATCH(Claude[[#This Row],[Id]],ChargentOrders[Id],0))</f>
        <v>1</v>
      </c>
      <c r="B17" t="b">
        <f>INDEX(ChargentOrders[VALIDO],MATCH(Claude[[#This Row],[Id]],ChargentOrders[Id],0))</f>
        <v>1</v>
      </c>
      <c r="C17">
        <f>INDEX(Contract[CB_Subscription__c],MATCH(Claude[[#This Row],[Contract__c]],Contract[Id],0))</f>
        <v>0</v>
      </c>
      <c r="D17" s="9" t="s">
        <v>141</v>
      </c>
      <c r="E17" s="9" t="s">
        <v>102</v>
      </c>
      <c r="F17" s="9">
        <v>0</v>
      </c>
      <c r="G17" s="9" t="s">
        <v>142</v>
      </c>
      <c r="H17" s="9">
        <v>45170.859363425923</v>
      </c>
      <c r="I17" s="9" t="s">
        <v>102</v>
      </c>
      <c r="J17" s="9">
        <v>46114.61824074074</v>
      </c>
      <c r="K17" s="9" t="s">
        <v>78</v>
      </c>
      <c r="L17" s="9">
        <v>46114.61824074074</v>
      </c>
      <c r="M17" s="9"/>
      <c r="N17" s="9"/>
      <c r="O17" s="9" t="s">
        <v>1923</v>
      </c>
      <c r="P17" s="9" t="s">
        <v>1924</v>
      </c>
      <c r="Q17" s="9" t="s">
        <v>1925</v>
      </c>
      <c r="R17" s="9" t="s">
        <v>1568</v>
      </c>
      <c r="S17" s="9" t="s">
        <v>1926</v>
      </c>
      <c r="T17" s="9" t="s">
        <v>1927</v>
      </c>
      <c r="U17" s="9" t="s">
        <v>1928</v>
      </c>
      <c r="V17" s="9">
        <v>94</v>
      </c>
      <c r="W17" s="9">
        <v>6</v>
      </c>
      <c r="X17" s="9">
        <v>2027</v>
      </c>
      <c r="Y17" s="9">
        <v>2473</v>
      </c>
      <c r="Z17" s="9">
        <v>6</v>
      </c>
      <c r="AA17" s="9">
        <v>4549542114082470</v>
      </c>
      <c r="AB17" s="9" t="s">
        <v>73</v>
      </c>
      <c r="AC17" s="9">
        <v>2027</v>
      </c>
      <c r="AD17" s="9" t="s">
        <v>93</v>
      </c>
      <c r="AE17" s="9"/>
      <c r="AF17" s="9" t="s">
        <v>1929</v>
      </c>
      <c r="AG17" s="9"/>
      <c r="AH17" s="9" t="s">
        <v>67</v>
      </c>
      <c r="AI17" s="9">
        <v>0</v>
      </c>
      <c r="AJ17" s="9"/>
      <c r="AK17" s="9">
        <v>0</v>
      </c>
      <c r="AL17" s="9" t="s">
        <v>1930</v>
      </c>
      <c r="AM17" s="9"/>
      <c r="AN17" s="9"/>
      <c r="AO17" s="9" t="s">
        <v>1931</v>
      </c>
      <c r="AP17" s="9" t="s">
        <v>69</v>
      </c>
      <c r="AQ17" s="9" t="s">
        <v>1932</v>
      </c>
      <c r="AR17" s="9"/>
      <c r="AS17" s="9"/>
      <c r="AT17" s="9"/>
      <c r="AU17" s="9" t="s">
        <v>92</v>
      </c>
      <c r="AV17" s="9">
        <v>0</v>
      </c>
      <c r="AW17" s="9"/>
      <c r="AX17" s="9"/>
      <c r="AY17" s="9">
        <v>0</v>
      </c>
      <c r="AZ17" s="9"/>
      <c r="BA17" s="9"/>
      <c r="BB17" s="9">
        <v>0</v>
      </c>
      <c r="BC17" s="9">
        <v>1</v>
      </c>
      <c r="BD17" s="9">
        <v>0</v>
      </c>
      <c r="BE17" s="9" t="s">
        <v>112</v>
      </c>
      <c r="BF17" s="9"/>
      <c r="BG17" s="9"/>
      <c r="BH17" s="9">
        <v>0</v>
      </c>
      <c r="BI17" s="9"/>
      <c r="BJ17" s="9">
        <v>1</v>
      </c>
      <c r="BK17" s="9"/>
      <c r="BL17" s="9"/>
      <c r="BM17" s="9" t="s">
        <v>75</v>
      </c>
      <c r="BN17" s="9"/>
      <c r="BO17" s="9">
        <v>0</v>
      </c>
      <c r="BP17" s="9"/>
      <c r="BQ17" s="9">
        <v>0</v>
      </c>
      <c r="BR17" s="9"/>
      <c r="BS17" s="9"/>
      <c r="BT17" s="9"/>
      <c r="BU17" s="9"/>
      <c r="BV17" s="9"/>
      <c r="BW17" s="9">
        <v>0</v>
      </c>
      <c r="BX17" s="9">
        <v>45170.859386574077</v>
      </c>
      <c r="BY17" s="9">
        <v>45170.859386574077</v>
      </c>
      <c r="BZ17" s="9"/>
      <c r="CA17" s="9"/>
      <c r="CB17" s="9"/>
      <c r="CC17" s="9"/>
      <c r="CD17" s="9"/>
      <c r="CE17" s="9"/>
      <c r="CF17" s="9"/>
      <c r="CG17" s="9"/>
      <c r="CH17" s="9">
        <v>1</v>
      </c>
      <c r="CI17" s="9">
        <v>0</v>
      </c>
      <c r="CJ17" s="9"/>
      <c r="CK17" s="9"/>
      <c r="CL17" s="9"/>
      <c r="CM17" s="9"/>
      <c r="CN17" s="9">
        <v>0</v>
      </c>
      <c r="CO17" s="9"/>
      <c r="CP17" s="9"/>
      <c r="CQ17" s="9"/>
    </row>
    <row r="18" spans="1:95" x14ac:dyDescent="0.35">
      <c r="A18" s="9" t="b">
        <f>ISNUMBER(MATCH(Claude[[#This Row],[Id]],ChargentOrders[Id],0))</f>
        <v>1</v>
      </c>
      <c r="B18" t="b">
        <f>INDEX(ChargentOrders[VALIDO],MATCH(Claude[[#This Row],[Id]],ChargentOrders[Id],0))</f>
        <v>1</v>
      </c>
      <c r="C18">
        <f>INDEX(Contract[CB_Subscription__c],MATCH(Claude[[#This Row],[Contract__c]],Contract[Id],0))</f>
        <v>0</v>
      </c>
      <c r="D18" s="9" t="s">
        <v>143</v>
      </c>
      <c r="E18" s="9" t="s">
        <v>102</v>
      </c>
      <c r="F18" s="9">
        <v>0</v>
      </c>
      <c r="G18" s="9" t="s">
        <v>144</v>
      </c>
      <c r="H18" s="9">
        <v>45170.860185185185</v>
      </c>
      <c r="I18" s="9" t="s">
        <v>102</v>
      </c>
      <c r="J18" s="9">
        <v>46114.61824074074</v>
      </c>
      <c r="K18" s="9" t="s">
        <v>78</v>
      </c>
      <c r="L18" s="9">
        <v>46114.61824074074</v>
      </c>
      <c r="M18" s="9"/>
      <c r="N18" s="9"/>
      <c r="O18" s="9" t="s">
        <v>1923</v>
      </c>
      <c r="P18" s="9" t="s">
        <v>1924</v>
      </c>
      <c r="Q18" s="9" t="s">
        <v>1925</v>
      </c>
      <c r="R18" s="9" t="s">
        <v>1568</v>
      </c>
      <c r="S18" s="9" t="s">
        <v>1926</v>
      </c>
      <c r="T18" s="9" t="s">
        <v>1927</v>
      </c>
      <c r="U18" s="9" t="s">
        <v>1928</v>
      </c>
      <c r="V18" s="9">
        <v>949</v>
      </c>
      <c r="W18" s="9">
        <v>6</v>
      </c>
      <c r="X18" s="9">
        <v>2027</v>
      </c>
      <c r="Y18" s="9">
        <v>2473</v>
      </c>
      <c r="Z18" s="9">
        <v>6</v>
      </c>
      <c r="AA18" s="9">
        <v>4549542114082470</v>
      </c>
      <c r="AB18" s="9" t="s">
        <v>73</v>
      </c>
      <c r="AC18" s="9">
        <v>2027</v>
      </c>
      <c r="AD18" s="9" t="s">
        <v>93</v>
      </c>
      <c r="AE18" s="9"/>
      <c r="AF18" s="9" t="s">
        <v>1929</v>
      </c>
      <c r="AG18" s="9"/>
      <c r="AH18" s="9" t="s">
        <v>67</v>
      </c>
      <c r="AI18" s="9">
        <v>0</v>
      </c>
      <c r="AJ18" s="9"/>
      <c r="AK18" s="9">
        <v>0</v>
      </c>
      <c r="AL18" s="9" t="s">
        <v>1930</v>
      </c>
      <c r="AM18" s="9"/>
      <c r="AN18" s="9"/>
      <c r="AO18" s="9" t="s">
        <v>1931</v>
      </c>
      <c r="AP18" s="9" t="s">
        <v>69</v>
      </c>
      <c r="AQ18" s="9" t="s">
        <v>1932</v>
      </c>
      <c r="AR18" s="9"/>
      <c r="AS18" s="9"/>
      <c r="AT18" s="9"/>
      <c r="AU18" s="9" t="s">
        <v>92</v>
      </c>
      <c r="AV18" s="9">
        <v>0</v>
      </c>
      <c r="AW18" s="9"/>
      <c r="AX18" s="9" t="s">
        <v>125</v>
      </c>
      <c r="AY18" s="9">
        <v>0</v>
      </c>
      <c r="AZ18" s="9"/>
      <c r="BA18" s="9">
        <v>45170.860208333332</v>
      </c>
      <c r="BB18" s="9">
        <v>0</v>
      </c>
      <c r="BC18" s="9">
        <v>1</v>
      </c>
      <c r="BD18" s="9">
        <v>0</v>
      </c>
      <c r="BE18" s="9" t="s">
        <v>112</v>
      </c>
      <c r="BF18" s="9"/>
      <c r="BG18" s="9"/>
      <c r="BH18" s="9">
        <v>0</v>
      </c>
      <c r="BI18" s="9"/>
      <c r="BJ18" s="9">
        <v>1</v>
      </c>
      <c r="BK18" s="9"/>
      <c r="BL18" s="9"/>
      <c r="BM18" s="9" t="s">
        <v>75</v>
      </c>
      <c r="BN18" s="9"/>
      <c r="BO18" s="9">
        <v>0</v>
      </c>
      <c r="BP18" s="9"/>
      <c r="BQ18" s="9">
        <v>1</v>
      </c>
      <c r="BR18" s="9"/>
      <c r="BS18" s="9"/>
      <c r="BT18" s="9"/>
      <c r="BU18" s="9"/>
      <c r="BV18" s="9"/>
      <c r="BW18" s="9">
        <v>0</v>
      </c>
      <c r="BX18" s="9"/>
      <c r="BY18" s="9">
        <v>45170.860208333332</v>
      </c>
      <c r="BZ18" s="9"/>
      <c r="CA18" s="9"/>
      <c r="CB18" s="9"/>
      <c r="CC18" s="9"/>
      <c r="CD18" s="9"/>
      <c r="CE18" s="9"/>
      <c r="CF18" s="9"/>
      <c r="CG18" s="9"/>
      <c r="CH18" s="9">
        <v>1</v>
      </c>
      <c r="CI18" s="9">
        <v>0</v>
      </c>
      <c r="CJ18" s="9"/>
      <c r="CK18" s="9"/>
      <c r="CL18" s="9"/>
      <c r="CM18" s="9"/>
      <c r="CN18" s="9">
        <v>0</v>
      </c>
      <c r="CO18" s="9"/>
      <c r="CP18" s="9"/>
      <c r="CQ18" s="9"/>
    </row>
    <row r="19" spans="1:95" x14ac:dyDescent="0.35">
      <c r="A19" s="9" t="b">
        <f>ISNUMBER(MATCH(Claude[[#This Row],[Id]],ChargentOrders[Id],0))</f>
        <v>1</v>
      </c>
      <c r="B19" t="b">
        <f>INDEX(ChargentOrders[VALIDO],MATCH(Claude[[#This Row],[Id]],ChargentOrders[Id],0))</f>
        <v>1</v>
      </c>
      <c r="C19">
        <f>INDEX(Contract[CB_Subscription__c],MATCH(Claude[[#This Row],[Contract__c]],Contract[Id],0))</f>
        <v>0</v>
      </c>
      <c r="D19" s="9" t="s">
        <v>145</v>
      </c>
      <c r="E19" s="9" t="s">
        <v>102</v>
      </c>
      <c r="F19" s="9">
        <v>0</v>
      </c>
      <c r="G19" s="9" t="s">
        <v>146</v>
      </c>
      <c r="H19" s="9">
        <v>45170.864606481482</v>
      </c>
      <c r="I19" s="9" t="s">
        <v>102</v>
      </c>
      <c r="J19" s="9">
        <v>46217.738564814812</v>
      </c>
      <c r="K19" s="9" t="s">
        <v>78</v>
      </c>
      <c r="L19" s="9">
        <v>46217.738564814812</v>
      </c>
      <c r="M19" s="9"/>
      <c r="N19" s="9" t="s">
        <v>1570</v>
      </c>
      <c r="O19" s="9" t="s">
        <v>1923</v>
      </c>
      <c r="P19" s="9" t="s">
        <v>1924</v>
      </c>
      <c r="Q19" s="9" t="s">
        <v>1925</v>
      </c>
      <c r="R19" s="9" t="s">
        <v>1568</v>
      </c>
      <c r="S19" s="9" t="s">
        <v>1926</v>
      </c>
      <c r="T19" s="9" t="s">
        <v>1927</v>
      </c>
      <c r="U19" s="9" t="s">
        <v>1928</v>
      </c>
      <c r="V19" s="9">
        <v>949</v>
      </c>
      <c r="W19" s="9">
        <v>6</v>
      </c>
      <c r="X19" s="9">
        <v>2030</v>
      </c>
      <c r="Y19" s="9">
        <v>2774</v>
      </c>
      <c r="Z19" s="9">
        <v>6</v>
      </c>
      <c r="AA19" s="9">
        <v>2774</v>
      </c>
      <c r="AB19" s="9" t="s">
        <v>73</v>
      </c>
      <c r="AC19" s="9">
        <v>2030</v>
      </c>
      <c r="AD19" s="9" t="s">
        <v>1942</v>
      </c>
      <c r="AE19" s="9">
        <v>30</v>
      </c>
      <c r="AF19" s="9" t="s">
        <v>1929</v>
      </c>
      <c r="AG19" s="9"/>
      <c r="AH19" s="9" t="s">
        <v>67</v>
      </c>
      <c r="AI19" s="9">
        <v>0</v>
      </c>
      <c r="AJ19" s="9"/>
      <c r="AK19" s="9">
        <v>0</v>
      </c>
      <c r="AL19" s="9" t="s">
        <v>1930</v>
      </c>
      <c r="AM19" s="9"/>
      <c r="AN19" s="9"/>
      <c r="AO19" s="9" t="s">
        <v>1943</v>
      </c>
      <c r="AP19" s="9" t="s">
        <v>69</v>
      </c>
      <c r="AQ19" s="9" t="s">
        <v>1932</v>
      </c>
      <c r="AR19" s="9">
        <v>46233</v>
      </c>
      <c r="AS19" s="9" t="s">
        <v>84</v>
      </c>
      <c r="AT19" s="9" t="s">
        <v>1944</v>
      </c>
      <c r="AU19" s="9" t="s">
        <v>1942</v>
      </c>
      <c r="AV19" s="9">
        <v>0</v>
      </c>
      <c r="AW19" s="9" t="s">
        <v>92</v>
      </c>
      <c r="AX19" s="9" t="s">
        <v>147</v>
      </c>
      <c r="AY19" s="9">
        <v>0</v>
      </c>
      <c r="AZ19" s="9">
        <v>46171.41673611111</v>
      </c>
      <c r="BA19" s="9">
        <v>46171.41679398148</v>
      </c>
      <c r="BB19" s="9">
        <v>19</v>
      </c>
      <c r="BC19" s="9">
        <v>31</v>
      </c>
      <c r="BD19" s="9">
        <v>1554385</v>
      </c>
      <c r="BE19" s="9" t="s">
        <v>112</v>
      </c>
      <c r="BF19" s="9" t="s">
        <v>76</v>
      </c>
      <c r="BG19" s="9"/>
      <c r="BH19" s="9">
        <v>0</v>
      </c>
      <c r="BI19" s="9"/>
      <c r="BJ19" s="9">
        <v>32</v>
      </c>
      <c r="BK19" s="9" t="s">
        <v>92</v>
      </c>
      <c r="BL19" s="9" t="s">
        <v>92</v>
      </c>
      <c r="BM19" s="9" t="s">
        <v>75</v>
      </c>
      <c r="BN19" s="9"/>
      <c r="BO19" s="9">
        <v>0</v>
      </c>
      <c r="BP19" s="9"/>
      <c r="BQ19" s="9">
        <v>0</v>
      </c>
      <c r="BR19" s="9"/>
      <c r="BS19" s="9"/>
      <c r="BT19" s="9"/>
      <c r="BU19" s="9"/>
      <c r="BV19" s="9"/>
      <c r="BW19" s="9">
        <v>0</v>
      </c>
      <c r="BX19" s="9">
        <v>46203.416759259257</v>
      </c>
      <c r="BY19" s="9">
        <v>46203.416759259257</v>
      </c>
      <c r="BZ19" s="9"/>
      <c r="CA19" s="9"/>
      <c r="CB19" s="9"/>
      <c r="CC19" s="9"/>
      <c r="CD19" s="9"/>
      <c r="CE19" s="9"/>
      <c r="CF19" s="9"/>
      <c r="CG19" s="9"/>
      <c r="CH19" s="9">
        <v>1</v>
      </c>
      <c r="CI19" s="9">
        <v>0</v>
      </c>
      <c r="CJ19" s="9"/>
      <c r="CK19" s="9"/>
      <c r="CL19" s="9"/>
      <c r="CM19" s="9"/>
      <c r="CN19" s="9">
        <v>0</v>
      </c>
      <c r="CO19" s="9"/>
      <c r="CP19" s="9" t="s">
        <v>1945</v>
      </c>
      <c r="CQ19" s="9">
        <v>0</v>
      </c>
    </row>
    <row r="20" spans="1:95" x14ac:dyDescent="0.35">
      <c r="A20" s="9" t="b">
        <f>ISNUMBER(MATCH(Claude[[#This Row],[Id]],ChargentOrders[Id],0))</f>
        <v>1</v>
      </c>
      <c r="B20" t="b">
        <f>INDEX(ChargentOrders[VALIDO],MATCH(Claude[[#This Row],[Id]],ChargentOrders[Id],0))</f>
        <v>1</v>
      </c>
      <c r="C20">
        <f>INDEX(Contract[CB_Subscription__c],MATCH(Claude[[#This Row],[Contract__c]],Contract[Id],0))</f>
        <v>0</v>
      </c>
      <c r="D20" s="9" t="s">
        <v>151</v>
      </c>
      <c r="E20" s="9" t="s">
        <v>102</v>
      </c>
      <c r="F20" s="9">
        <v>0</v>
      </c>
      <c r="G20" s="9" t="s">
        <v>152</v>
      </c>
      <c r="H20" s="9">
        <v>45218.936585648145</v>
      </c>
      <c r="I20" s="9" t="s">
        <v>80</v>
      </c>
      <c r="J20" s="9">
        <v>46114.618958333333</v>
      </c>
      <c r="K20" s="9" t="s">
        <v>78</v>
      </c>
      <c r="L20" s="9">
        <v>46114.618958333333</v>
      </c>
      <c r="M20" s="9"/>
      <c r="N20" s="9" t="s">
        <v>1570</v>
      </c>
      <c r="O20" s="9" t="s">
        <v>1923</v>
      </c>
      <c r="P20" s="9" t="s">
        <v>1924</v>
      </c>
      <c r="Q20" s="9" t="s">
        <v>1925</v>
      </c>
      <c r="R20" s="9" t="s">
        <v>1568</v>
      </c>
      <c r="S20" s="9" t="s">
        <v>1926</v>
      </c>
      <c r="T20" s="9" t="s">
        <v>1927</v>
      </c>
      <c r="U20" s="9" t="s">
        <v>1928</v>
      </c>
      <c r="V20" s="9">
        <v>949</v>
      </c>
      <c r="W20" s="9">
        <v>10</v>
      </c>
      <c r="X20" s="9">
        <v>2026</v>
      </c>
      <c r="Y20" s="9">
        <v>2774</v>
      </c>
      <c r="Z20" s="9">
        <v>10</v>
      </c>
      <c r="AA20" s="9"/>
      <c r="AB20" s="9" t="s">
        <v>73</v>
      </c>
      <c r="AC20" s="9">
        <v>2026</v>
      </c>
      <c r="AD20" s="9" t="s">
        <v>149</v>
      </c>
      <c r="AE20" s="9"/>
      <c r="AF20" s="9" t="s">
        <v>1929</v>
      </c>
      <c r="AG20" s="9"/>
      <c r="AH20" s="9" t="s">
        <v>67</v>
      </c>
      <c r="AI20" s="9">
        <v>0</v>
      </c>
      <c r="AJ20" s="9"/>
      <c r="AK20" s="9">
        <v>0</v>
      </c>
      <c r="AL20" s="9" t="s">
        <v>1930</v>
      </c>
      <c r="AM20" s="9">
        <v>1</v>
      </c>
      <c r="AN20" s="9">
        <v>45219</v>
      </c>
      <c r="AO20" s="9" t="s">
        <v>1931</v>
      </c>
      <c r="AP20" s="9" t="s">
        <v>69</v>
      </c>
      <c r="AQ20" s="9" t="s">
        <v>1932</v>
      </c>
      <c r="AR20" s="9">
        <v>45222</v>
      </c>
      <c r="AS20" s="9" t="s">
        <v>74</v>
      </c>
      <c r="AT20" s="9" t="s">
        <v>1935</v>
      </c>
      <c r="AU20" s="9" t="s">
        <v>106</v>
      </c>
      <c r="AV20" s="9">
        <v>0</v>
      </c>
      <c r="AW20" s="9" t="s">
        <v>1946</v>
      </c>
      <c r="AX20" s="9" t="s">
        <v>118</v>
      </c>
      <c r="AY20" s="9">
        <v>0</v>
      </c>
      <c r="AZ20" s="9">
        <v>45219.672650462962</v>
      </c>
      <c r="BA20" s="9">
        <v>45219.672650462962</v>
      </c>
      <c r="BB20" s="9">
        <v>1</v>
      </c>
      <c r="BC20" s="9">
        <v>2</v>
      </c>
      <c r="BD20" s="9" t="s">
        <v>149</v>
      </c>
      <c r="BE20" s="9" t="s">
        <v>112</v>
      </c>
      <c r="BF20" s="9" t="s">
        <v>71</v>
      </c>
      <c r="BG20" s="9"/>
      <c r="BH20" s="9">
        <v>0</v>
      </c>
      <c r="BI20" s="9"/>
      <c r="BJ20" s="9">
        <v>2</v>
      </c>
      <c r="BK20" s="9" t="s">
        <v>1937</v>
      </c>
      <c r="BL20" s="9" t="s">
        <v>1938</v>
      </c>
      <c r="BM20" s="9" t="s">
        <v>72</v>
      </c>
      <c r="BN20" s="9"/>
      <c r="BO20" s="9">
        <v>0</v>
      </c>
      <c r="BP20" s="9" t="s">
        <v>153</v>
      </c>
      <c r="BQ20" s="9">
        <v>0</v>
      </c>
      <c r="BR20" s="9">
        <v>45218.943287037036</v>
      </c>
      <c r="BS20" s="9" t="s">
        <v>92</v>
      </c>
      <c r="BT20" s="9" t="s">
        <v>80</v>
      </c>
      <c r="BU20" s="9"/>
      <c r="BV20" s="9" t="s">
        <v>82</v>
      </c>
      <c r="BW20" s="9">
        <v>0</v>
      </c>
      <c r="BX20" s="9">
        <v>45218.944120370368</v>
      </c>
      <c r="BY20" s="9">
        <v>45219.672650462962</v>
      </c>
      <c r="BZ20" s="9"/>
      <c r="CA20" s="9"/>
      <c r="CB20" s="9"/>
      <c r="CC20" s="9"/>
      <c r="CD20" s="9"/>
      <c r="CE20" s="9"/>
      <c r="CF20" s="9"/>
      <c r="CG20" s="9"/>
      <c r="CH20" s="9">
        <v>1</v>
      </c>
      <c r="CI20" s="9">
        <v>0</v>
      </c>
      <c r="CJ20" s="9"/>
      <c r="CK20" s="9"/>
      <c r="CL20" s="9"/>
      <c r="CM20" s="9"/>
      <c r="CN20" s="9">
        <v>0</v>
      </c>
      <c r="CO20" s="9"/>
      <c r="CP20" s="9"/>
      <c r="CQ20" s="9"/>
    </row>
    <row r="21" spans="1:95" x14ac:dyDescent="0.35">
      <c r="A21" s="9" t="b">
        <f>ISNUMBER(MATCH(Claude[[#This Row],[Id]],ChargentOrders[Id],0))</f>
        <v>1</v>
      </c>
      <c r="B21" t="b">
        <f>INDEX(ChargentOrders[VALIDO],MATCH(Claude[[#This Row],[Id]],ChargentOrders[Id],0))</f>
        <v>1</v>
      </c>
      <c r="C21">
        <f>INDEX(Contract[CB_Subscription__c],MATCH(Claude[[#This Row],[Contract__c]],Contract[Id],0))</f>
        <v>0</v>
      </c>
      <c r="D21" s="9" t="s">
        <v>156</v>
      </c>
      <c r="E21" s="9" t="s">
        <v>79</v>
      </c>
      <c r="F21" s="9">
        <v>0</v>
      </c>
      <c r="G21" s="9" t="s">
        <v>157</v>
      </c>
      <c r="H21" s="9">
        <v>45392.86577546296</v>
      </c>
      <c r="I21" s="9" t="s">
        <v>79</v>
      </c>
      <c r="J21" s="9">
        <v>45860.032557870371</v>
      </c>
      <c r="K21" s="9" t="s">
        <v>78</v>
      </c>
      <c r="L21" s="9">
        <v>45860.032557870371</v>
      </c>
      <c r="M21" s="9"/>
      <c r="N21" s="9"/>
      <c r="O21" s="9" t="s">
        <v>1947</v>
      </c>
      <c r="P21" s="9" t="s">
        <v>1948</v>
      </c>
      <c r="Q21" s="9" t="s">
        <v>1925</v>
      </c>
      <c r="R21" s="9" t="s">
        <v>1574</v>
      </c>
      <c r="S21" s="9" t="s">
        <v>1949</v>
      </c>
      <c r="T21" s="9" t="s">
        <v>1950</v>
      </c>
      <c r="U21" s="9" t="s">
        <v>1928</v>
      </c>
      <c r="V21" s="9">
        <v>769</v>
      </c>
      <c r="W21" s="9">
        <v>7</v>
      </c>
      <c r="X21" s="9">
        <v>2028</v>
      </c>
      <c r="Y21" s="9">
        <v>1524</v>
      </c>
      <c r="Z21" s="9">
        <v>7</v>
      </c>
      <c r="AA21" s="9">
        <v>4549516625621520</v>
      </c>
      <c r="AB21" s="9" t="s">
        <v>73</v>
      </c>
      <c r="AC21" s="9">
        <v>2028</v>
      </c>
      <c r="AD21" s="9" t="s">
        <v>93</v>
      </c>
      <c r="AE21" s="9"/>
      <c r="AF21" s="9" t="s">
        <v>1929</v>
      </c>
      <c r="AG21" s="9"/>
      <c r="AH21" s="9" t="s">
        <v>67</v>
      </c>
      <c r="AI21" s="9">
        <v>0</v>
      </c>
      <c r="AJ21" s="9"/>
      <c r="AK21" s="9">
        <v>0</v>
      </c>
      <c r="AL21" s="9" t="s">
        <v>1930</v>
      </c>
      <c r="AM21" s="9"/>
      <c r="AN21" s="9"/>
      <c r="AO21" s="9" t="s">
        <v>1931</v>
      </c>
      <c r="AP21" s="9" t="s">
        <v>69</v>
      </c>
      <c r="AQ21" s="9" t="s">
        <v>1932</v>
      </c>
      <c r="AR21" s="9"/>
      <c r="AS21" s="9"/>
      <c r="AT21" s="9"/>
      <c r="AU21" s="9" t="s">
        <v>92</v>
      </c>
      <c r="AV21" s="9">
        <v>0</v>
      </c>
      <c r="AW21" s="9"/>
      <c r="AX21" s="9" t="s">
        <v>158</v>
      </c>
      <c r="AY21" s="9">
        <v>0</v>
      </c>
      <c r="AZ21" s="9"/>
      <c r="BA21" s="9">
        <v>45392.865810185183</v>
      </c>
      <c r="BB21" s="9">
        <v>0</v>
      </c>
      <c r="BC21" s="9">
        <v>1</v>
      </c>
      <c r="BD21" s="9">
        <v>0</v>
      </c>
      <c r="BE21" s="9" t="s">
        <v>159</v>
      </c>
      <c r="BF21" s="9"/>
      <c r="BG21" s="9"/>
      <c r="BH21" s="9">
        <v>0</v>
      </c>
      <c r="BI21" s="9"/>
      <c r="BJ21" s="9">
        <v>1</v>
      </c>
      <c r="BK21" s="9"/>
      <c r="BL21" s="9"/>
      <c r="BM21" s="9" t="s">
        <v>75</v>
      </c>
      <c r="BN21" s="9"/>
      <c r="BO21" s="9">
        <v>0</v>
      </c>
      <c r="BP21" s="9"/>
      <c r="BQ21" s="9">
        <v>1</v>
      </c>
      <c r="BR21" s="9"/>
      <c r="BS21" s="9"/>
      <c r="BT21" s="9"/>
      <c r="BU21" s="9"/>
      <c r="BV21" s="9"/>
      <c r="BW21" s="9">
        <v>0</v>
      </c>
      <c r="BX21" s="9"/>
      <c r="BY21" s="9">
        <v>45392.865810185183</v>
      </c>
      <c r="BZ21" s="9"/>
      <c r="CA21" s="9"/>
      <c r="CB21" s="9"/>
      <c r="CC21" s="9"/>
      <c r="CD21" s="9"/>
      <c r="CE21" s="9"/>
      <c r="CF21" s="9"/>
      <c r="CG21" s="9"/>
      <c r="CH21" s="9">
        <v>1</v>
      </c>
      <c r="CI21" s="9">
        <v>0</v>
      </c>
      <c r="CJ21" s="9"/>
      <c r="CK21" s="9"/>
      <c r="CL21" s="9"/>
      <c r="CM21" s="9"/>
      <c r="CN21" s="9">
        <v>0</v>
      </c>
      <c r="CO21" s="9"/>
      <c r="CP21" s="9"/>
      <c r="CQ21" s="9"/>
    </row>
    <row r="22" spans="1:95" x14ac:dyDescent="0.35">
      <c r="A22" s="9" t="b">
        <f>ISNUMBER(MATCH(Claude[[#This Row],[Id]],ChargentOrders[Id],0))</f>
        <v>1</v>
      </c>
      <c r="B22" t="b">
        <f>INDEX(ChargentOrders[VALIDO],MATCH(Claude[[#This Row],[Id]],ChargentOrders[Id],0))</f>
        <v>1</v>
      </c>
      <c r="C22">
        <f>INDEX(Contract[CB_Subscription__c],MATCH(Claude[[#This Row],[Contract__c]],Contract[Id],0))</f>
        <v>0</v>
      </c>
      <c r="D22" s="9" t="s">
        <v>160</v>
      </c>
      <c r="E22" s="9" t="s">
        <v>79</v>
      </c>
      <c r="F22" s="9">
        <v>0</v>
      </c>
      <c r="G22" s="9" t="s">
        <v>161</v>
      </c>
      <c r="H22" s="9">
        <v>45392.867743055554</v>
      </c>
      <c r="I22" s="9" t="s">
        <v>79</v>
      </c>
      <c r="J22" s="9">
        <v>45860.032557870371</v>
      </c>
      <c r="K22" s="9" t="s">
        <v>78</v>
      </c>
      <c r="L22" s="9">
        <v>45860.032557870371</v>
      </c>
      <c r="M22" s="9"/>
      <c r="N22" s="9" t="s">
        <v>1576</v>
      </c>
      <c r="O22" s="9" t="s">
        <v>1947</v>
      </c>
      <c r="P22" s="9" t="s">
        <v>1948</v>
      </c>
      <c r="Q22" s="9" t="s">
        <v>1925</v>
      </c>
      <c r="R22" s="9" t="s">
        <v>1574</v>
      </c>
      <c r="S22" s="9" t="s">
        <v>1949</v>
      </c>
      <c r="T22" s="9" t="s">
        <v>1950</v>
      </c>
      <c r="U22" s="9" t="s">
        <v>1928</v>
      </c>
      <c r="V22" s="9">
        <v>769</v>
      </c>
      <c r="W22" s="9">
        <v>7</v>
      </c>
      <c r="X22" s="9">
        <v>2028</v>
      </c>
      <c r="Y22" s="9">
        <v>1524</v>
      </c>
      <c r="Z22" s="9">
        <v>7</v>
      </c>
      <c r="AA22" s="9">
        <v>4549516625621520</v>
      </c>
      <c r="AB22" s="9" t="s">
        <v>73</v>
      </c>
      <c r="AC22" s="9">
        <v>2028</v>
      </c>
      <c r="AD22" s="9" t="s">
        <v>168</v>
      </c>
      <c r="AE22" s="9"/>
      <c r="AF22" s="9" t="s">
        <v>1929</v>
      </c>
      <c r="AG22" s="9"/>
      <c r="AH22" s="9" t="s">
        <v>67</v>
      </c>
      <c r="AI22" s="9">
        <v>0</v>
      </c>
      <c r="AJ22" s="9"/>
      <c r="AK22" s="9">
        <v>0</v>
      </c>
      <c r="AL22" s="9" t="s">
        <v>1930</v>
      </c>
      <c r="AM22" s="9">
        <v>1</v>
      </c>
      <c r="AN22" s="9"/>
      <c r="AO22" s="9" t="s">
        <v>1931</v>
      </c>
      <c r="AP22" s="9" t="s">
        <v>69</v>
      </c>
      <c r="AQ22" s="9" t="s">
        <v>1932</v>
      </c>
      <c r="AR22" s="9">
        <v>45392</v>
      </c>
      <c r="AS22" s="9" t="s">
        <v>74</v>
      </c>
      <c r="AT22" s="9" t="s">
        <v>1935</v>
      </c>
      <c r="AU22" s="9" t="s">
        <v>374</v>
      </c>
      <c r="AV22" s="9">
        <v>0</v>
      </c>
      <c r="AW22" s="9">
        <v>11385</v>
      </c>
      <c r="AX22" s="9" t="s">
        <v>158</v>
      </c>
      <c r="AY22" s="9">
        <v>0</v>
      </c>
      <c r="AZ22" s="9">
        <v>45392.867951388886</v>
      </c>
      <c r="BA22" s="9">
        <v>45392.867951388886</v>
      </c>
      <c r="BB22" s="9">
        <v>1</v>
      </c>
      <c r="BC22" s="9">
        <v>1</v>
      </c>
      <c r="BD22" s="9" t="s">
        <v>168</v>
      </c>
      <c r="BE22" s="9" t="s">
        <v>159</v>
      </c>
      <c r="BF22" s="9" t="s">
        <v>77</v>
      </c>
      <c r="BG22" s="9"/>
      <c r="BH22" s="9">
        <v>0</v>
      </c>
      <c r="BI22" s="9"/>
      <c r="BJ22" s="9">
        <v>1</v>
      </c>
      <c r="BK22" s="9" t="s">
        <v>1937</v>
      </c>
      <c r="BL22" s="9" t="s">
        <v>1938</v>
      </c>
      <c r="BM22" s="9" t="s">
        <v>75</v>
      </c>
      <c r="BN22" s="9"/>
      <c r="BO22" s="9">
        <v>0</v>
      </c>
      <c r="BP22" s="9"/>
      <c r="BQ22" s="9">
        <v>0</v>
      </c>
      <c r="BR22" s="9"/>
      <c r="BS22" s="9"/>
      <c r="BT22" s="9"/>
      <c r="BU22" s="9"/>
      <c r="BV22" s="9"/>
      <c r="BW22" s="9">
        <v>0</v>
      </c>
      <c r="BX22" s="9"/>
      <c r="BY22" s="9">
        <v>45392.867951388886</v>
      </c>
      <c r="BZ22" s="9"/>
      <c r="CA22" s="9"/>
      <c r="CB22" s="9"/>
      <c r="CC22" s="9"/>
      <c r="CD22" s="9"/>
      <c r="CE22" s="9"/>
      <c r="CF22" s="9"/>
      <c r="CG22" s="9"/>
      <c r="CH22" s="9">
        <v>1</v>
      </c>
      <c r="CI22" s="9">
        <v>0</v>
      </c>
      <c r="CJ22" s="9"/>
      <c r="CK22" s="9"/>
      <c r="CL22" s="9"/>
      <c r="CM22" s="9"/>
      <c r="CN22" s="9">
        <v>0</v>
      </c>
      <c r="CO22" s="9"/>
      <c r="CP22" s="9"/>
      <c r="CQ22" s="9"/>
    </row>
    <row r="23" spans="1:95" x14ac:dyDescent="0.35">
      <c r="A23" s="9" t="b">
        <f>ISNUMBER(MATCH(Claude[[#This Row],[Id]],ChargentOrders[Id],0))</f>
        <v>1</v>
      </c>
      <c r="B23" t="b">
        <f>INDEX(ChargentOrders[VALIDO],MATCH(Claude[[#This Row],[Id]],ChargentOrders[Id],0))</f>
        <v>1</v>
      </c>
      <c r="C23">
        <f>INDEX(Contract[CB_Subscription__c],MATCH(Claude[[#This Row],[Contract__c]],Contract[Id],0))</f>
        <v>0</v>
      </c>
      <c r="D23" s="9" t="s">
        <v>162</v>
      </c>
      <c r="E23" s="9" t="s">
        <v>79</v>
      </c>
      <c r="F23" s="9">
        <v>0</v>
      </c>
      <c r="G23" s="9" t="s">
        <v>163</v>
      </c>
      <c r="H23" s="9">
        <v>45392.867974537039</v>
      </c>
      <c r="I23" s="9" t="s">
        <v>79</v>
      </c>
      <c r="J23" s="9">
        <v>46217.738564814812</v>
      </c>
      <c r="K23" s="9" t="s">
        <v>78</v>
      </c>
      <c r="L23" s="9">
        <v>46217.738564814812</v>
      </c>
      <c r="M23" s="9"/>
      <c r="N23" s="9" t="s">
        <v>1576</v>
      </c>
      <c r="O23" s="9" t="s">
        <v>1947</v>
      </c>
      <c r="P23" s="9" t="s">
        <v>1948</v>
      </c>
      <c r="Q23" s="9" t="s">
        <v>1925</v>
      </c>
      <c r="R23" s="9" t="s">
        <v>1574</v>
      </c>
      <c r="S23" s="9" t="s">
        <v>1949</v>
      </c>
      <c r="T23" s="9" t="s">
        <v>1950</v>
      </c>
      <c r="U23" s="9" t="s">
        <v>1928</v>
      </c>
      <c r="V23" s="9">
        <v>769</v>
      </c>
      <c r="W23" s="9">
        <v>7</v>
      </c>
      <c r="X23" s="9">
        <v>2028</v>
      </c>
      <c r="Y23" s="9">
        <v>1524</v>
      </c>
      <c r="Z23" s="9">
        <v>7</v>
      </c>
      <c r="AA23" s="9">
        <v>4549516625621520</v>
      </c>
      <c r="AB23" s="9" t="s">
        <v>73</v>
      </c>
      <c r="AC23" s="9">
        <v>2028</v>
      </c>
      <c r="AD23" s="9" t="s">
        <v>473</v>
      </c>
      <c r="AE23" s="9">
        <v>30</v>
      </c>
      <c r="AF23" s="9" t="s">
        <v>1929</v>
      </c>
      <c r="AG23" s="9"/>
      <c r="AH23" s="9" t="s">
        <v>67</v>
      </c>
      <c r="AI23" s="9">
        <v>0</v>
      </c>
      <c r="AJ23" s="9"/>
      <c r="AK23" s="9">
        <v>0</v>
      </c>
      <c r="AL23" s="9" t="s">
        <v>1930</v>
      </c>
      <c r="AM23" s="9"/>
      <c r="AN23" s="9"/>
      <c r="AO23" s="9" t="s">
        <v>1943</v>
      </c>
      <c r="AP23" s="9" t="s">
        <v>69</v>
      </c>
      <c r="AQ23" s="9" t="s">
        <v>1932</v>
      </c>
      <c r="AR23" s="9">
        <v>46233</v>
      </c>
      <c r="AS23" s="9" t="s">
        <v>84</v>
      </c>
      <c r="AT23" s="9" t="s">
        <v>1944</v>
      </c>
      <c r="AU23" s="9" t="s">
        <v>473</v>
      </c>
      <c r="AV23" s="9">
        <v>0</v>
      </c>
      <c r="AW23" s="9" t="s">
        <v>92</v>
      </c>
      <c r="AX23" s="9" t="s">
        <v>158</v>
      </c>
      <c r="AY23" s="9">
        <v>0</v>
      </c>
      <c r="AZ23" s="9">
        <v>45898.418622685182</v>
      </c>
      <c r="BA23" s="9">
        <v>45898.418657407405</v>
      </c>
      <c r="BB23" s="9">
        <v>11</v>
      </c>
      <c r="BC23" s="9">
        <v>24</v>
      </c>
      <c r="BD23" s="9">
        <v>968945</v>
      </c>
      <c r="BE23" s="9" t="s">
        <v>159</v>
      </c>
      <c r="BF23" s="9" t="s">
        <v>76</v>
      </c>
      <c r="BG23" s="9"/>
      <c r="BH23" s="9">
        <v>0</v>
      </c>
      <c r="BI23" s="9"/>
      <c r="BJ23" s="9">
        <v>25</v>
      </c>
      <c r="BK23" s="9" t="s">
        <v>92</v>
      </c>
      <c r="BL23" s="9" t="s">
        <v>92</v>
      </c>
      <c r="BM23" s="9" t="s">
        <v>75</v>
      </c>
      <c r="BN23" s="9"/>
      <c r="BO23" s="9">
        <v>0</v>
      </c>
      <c r="BP23" s="9"/>
      <c r="BQ23" s="9">
        <v>0</v>
      </c>
      <c r="BR23" s="9"/>
      <c r="BS23" s="9"/>
      <c r="BT23" s="9"/>
      <c r="BU23" s="9"/>
      <c r="BV23" s="9"/>
      <c r="BW23" s="9">
        <v>0</v>
      </c>
      <c r="BX23" s="9">
        <v>46203.416805555556</v>
      </c>
      <c r="BY23" s="9">
        <v>46203.416805555556</v>
      </c>
      <c r="BZ23" s="9"/>
      <c r="CA23" s="9"/>
      <c r="CB23" s="9"/>
      <c r="CC23" s="9"/>
      <c r="CD23" s="9"/>
      <c r="CE23" s="9"/>
      <c r="CF23" s="9"/>
      <c r="CG23" s="9"/>
      <c r="CH23" s="9">
        <v>1</v>
      </c>
      <c r="CI23" s="9">
        <v>0</v>
      </c>
      <c r="CJ23" s="9"/>
      <c r="CK23" s="9"/>
      <c r="CL23" s="9"/>
      <c r="CM23" s="9"/>
      <c r="CN23" s="9">
        <v>0</v>
      </c>
      <c r="CO23" s="9"/>
      <c r="CP23" s="9" t="s">
        <v>1951</v>
      </c>
      <c r="CQ23" s="9">
        <v>0</v>
      </c>
    </row>
    <row r="24" spans="1:95" x14ac:dyDescent="0.35">
      <c r="A24" s="9" t="b">
        <f>ISNUMBER(MATCH(Claude[[#This Row],[Id]],ChargentOrders[Id],0))</f>
        <v>1</v>
      </c>
      <c r="B24" t="b">
        <f>INDEX(ChargentOrders[VALIDO],MATCH(Claude[[#This Row],[Id]],ChargentOrders[Id],0))</f>
        <v>1</v>
      </c>
      <c r="C24">
        <f>INDEX(Contract[CB_Subscription__c],MATCH(Claude[[#This Row],[Contract__c]],Contract[Id],0))</f>
        <v>0</v>
      </c>
      <c r="D24" s="9" t="s">
        <v>169</v>
      </c>
      <c r="E24" s="9" t="s">
        <v>79</v>
      </c>
      <c r="F24" s="9">
        <v>0</v>
      </c>
      <c r="G24" s="9" t="s">
        <v>170</v>
      </c>
      <c r="H24" s="9">
        <v>45499.649976851855</v>
      </c>
      <c r="I24" s="9" t="s">
        <v>65</v>
      </c>
      <c r="J24" s="9">
        <v>45860.032557870371</v>
      </c>
      <c r="K24" s="9" t="s">
        <v>78</v>
      </c>
      <c r="L24" s="9">
        <v>45860.032557870371</v>
      </c>
      <c r="M24" s="9"/>
      <c r="N24" s="9" t="s">
        <v>1576</v>
      </c>
      <c r="O24" s="9" t="s">
        <v>1947</v>
      </c>
      <c r="P24" s="9" t="s">
        <v>1948</v>
      </c>
      <c r="Q24" s="9" t="s">
        <v>1925</v>
      </c>
      <c r="R24" s="9" t="s">
        <v>1574</v>
      </c>
      <c r="S24" s="9" t="s">
        <v>1949</v>
      </c>
      <c r="T24" s="9" t="s">
        <v>1950</v>
      </c>
      <c r="U24" s="9" t="s">
        <v>1928</v>
      </c>
      <c r="V24" s="9">
        <v>769</v>
      </c>
      <c r="W24" s="9">
        <v>7</v>
      </c>
      <c r="X24" s="9">
        <v>2028</v>
      </c>
      <c r="Y24" s="9">
        <v>1524</v>
      </c>
      <c r="Z24" s="9">
        <v>7</v>
      </c>
      <c r="AA24" s="9">
        <v>4549516625621520</v>
      </c>
      <c r="AB24" s="9" t="s">
        <v>73</v>
      </c>
      <c r="AC24" s="9">
        <v>2028</v>
      </c>
      <c r="AD24" s="9" t="s">
        <v>104</v>
      </c>
      <c r="AE24" s="9"/>
      <c r="AF24" s="9" t="s">
        <v>1929</v>
      </c>
      <c r="AG24" s="9"/>
      <c r="AH24" s="9" t="s">
        <v>67</v>
      </c>
      <c r="AI24" s="9">
        <v>0</v>
      </c>
      <c r="AJ24" s="9"/>
      <c r="AK24" s="9">
        <v>0</v>
      </c>
      <c r="AL24" s="9" t="s">
        <v>1930</v>
      </c>
      <c r="AM24" s="9">
        <v>1</v>
      </c>
      <c r="AN24" s="9">
        <v>45502</v>
      </c>
      <c r="AO24" s="9" t="s">
        <v>1931</v>
      </c>
      <c r="AP24" s="9" t="s">
        <v>69</v>
      </c>
      <c r="AQ24" s="9" t="s">
        <v>1932</v>
      </c>
      <c r="AR24" s="9">
        <v>45502</v>
      </c>
      <c r="AS24" s="9" t="s">
        <v>74</v>
      </c>
      <c r="AT24" s="9" t="s">
        <v>1935</v>
      </c>
      <c r="AU24" s="9" t="s">
        <v>1952</v>
      </c>
      <c r="AV24" s="9">
        <v>0</v>
      </c>
      <c r="AW24" s="9" t="s">
        <v>1953</v>
      </c>
      <c r="AX24" s="9" t="s">
        <v>158</v>
      </c>
      <c r="AY24" s="9">
        <v>0</v>
      </c>
      <c r="AZ24" s="9">
        <v>45502.426562499997</v>
      </c>
      <c r="BA24" s="9">
        <v>45502.426562499997</v>
      </c>
      <c r="BB24" s="9">
        <v>1</v>
      </c>
      <c r="BC24" s="9">
        <v>1</v>
      </c>
      <c r="BD24" s="9" t="s">
        <v>104</v>
      </c>
      <c r="BE24" s="9" t="s">
        <v>159</v>
      </c>
      <c r="BF24" s="9" t="s">
        <v>71</v>
      </c>
      <c r="BG24" s="9"/>
      <c r="BH24" s="9">
        <v>0</v>
      </c>
      <c r="BI24" s="9"/>
      <c r="BJ24" s="9">
        <v>0</v>
      </c>
      <c r="BK24" s="9" t="s">
        <v>1937</v>
      </c>
      <c r="BL24" s="9" t="s">
        <v>1938</v>
      </c>
      <c r="BM24" s="9" t="s">
        <v>72</v>
      </c>
      <c r="BN24" s="9"/>
      <c r="BO24" s="9">
        <v>1</v>
      </c>
      <c r="BP24" s="9" t="s">
        <v>171</v>
      </c>
      <c r="BQ24" s="9">
        <v>0</v>
      </c>
      <c r="BR24" s="9">
        <v>45392.867974537039</v>
      </c>
      <c r="BS24" s="9" t="s">
        <v>109</v>
      </c>
      <c r="BT24" s="9" t="s">
        <v>65</v>
      </c>
      <c r="BU24" s="9"/>
      <c r="BV24" s="9"/>
      <c r="BW24" s="9">
        <v>0</v>
      </c>
      <c r="BX24" s="9"/>
      <c r="BY24" s="9">
        <v>45502.426562499997</v>
      </c>
      <c r="BZ24" s="9"/>
      <c r="CA24" s="9"/>
      <c r="CB24" s="9"/>
      <c r="CC24" s="9"/>
      <c r="CD24" s="9"/>
      <c r="CE24" s="9"/>
      <c r="CF24" s="9"/>
      <c r="CG24" s="9"/>
      <c r="CH24" s="9">
        <v>1</v>
      </c>
      <c r="CI24" s="9">
        <v>0</v>
      </c>
      <c r="CJ24" s="9"/>
      <c r="CK24" s="9"/>
      <c r="CL24" s="9"/>
      <c r="CM24" s="9"/>
      <c r="CN24" s="9">
        <v>0</v>
      </c>
      <c r="CO24" s="9"/>
      <c r="CP24" s="9"/>
      <c r="CQ24" s="9"/>
    </row>
    <row r="25" spans="1:95" x14ac:dyDescent="0.35">
      <c r="A25" s="9" t="b">
        <f>ISNUMBER(MATCH(Claude[[#This Row],[Id]],ChargentOrders[Id],0))</f>
        <v>1</v>
      </c>
      <c r="B25" t="b">
        <f>INDEX(ChargentOrders[VALIDO],MATCH(Claude[[#This Row],[Id]],ChargentOrders[Id],0))</f>
        <v>1</v>
      </c>
      <c r="C25">
        <f>INDEX(Contract[CB_Subscription__c],MATCH(Claude[[#This Row],[Contract__c]],Contract[Id],0))</f>
        <v>0</v>
      </c>
      <c r="D25" s="9" t="s">
        <v>173</v>
      </c>
      <c r="E25" s="9" t="s">
        <v>78</v>
      </c>
      <c r="F25" s="9">
        <v>0</v>
      </c>
      <c r="G25" s="9" t="s">
        <v>174</v>
      </c>
      <c r="H25" s="9">
        <v>45533.689050925925</v>
      </c>
      <c r="I25" s="9" t="s">
        <v>78</v>
      </c>
      <c r="J25" s="9">
        <v>46114.61928240741</v>
      </c>
      <c r="K25" s="9" t="s">
        <v>78</v>
      </c>
      <c r="L25" s="9">
        <v>46114.61928240741</v>
      </c>
      <c r="M25" s="9"/>
      <c r="N25" s="9" t="s">
        <v>1570</v>
      </c>
      <c r="O25" s="9" t="s">
        <v>1954</v>
      </c>
      <c r="P25" s="9" t="s">
        <v>1924</v>
      </c>
      <c r="Q25" s="9" t="s">
        <v>1925</v>
      </c>
      <c r="R25" s="9" t="s">
        <v>1568</v>
      </c>
      <c r="S25" s="9" t="s">
        <v>1926</v>
      </c>
      <c r="T25" s="9" t="s">
        <v>1927</v>
      </c>
      <c r="U25" s="9" t="s">
        <v>1928</v>
      </c>
      <c r="V25" s="9">
        <v>949</v>
      </c>
      <c r="W25" s="9">
        <v>10</v>
      </c>
      <c r="X25" s="9">
        <v>2026</v>
      </c>
      <c r="Y25" s="9">
        <v>2774</v>
      </c>
      <c r="Z25" s="9">
        <v>10</v>
      </c>
      <c r="AA25" s="9">
        <v>2774</v>
      </c>
      <c r="AB25" s="9" t="s">
        <v>73</v>
      </c>
      <c r="AC25" s="9">
        <v>2026</v>
      </c>
      <c r="AD25" s="9" t="s">
        <v>1955</v>
      </c>
      <c r="AE25" s="9"/>
      <c r="AF25" s="9"/>
      <c r="AG25" s="9"/>
      <c r="AH25" s="9" t="s">
        <v>67</v>
      </c>
      <c r="AI25" s="9">
        <v>0</v>
      </c>
      <c r="AJ25" s="9"/>
      <c r="AK25" s="9">
        <v>0</v>
      </c>
      <c r="AL25" s="9" t="s">
        <v>1930</v>
      </c>
      <c r="AM25" s="9">
        <v>1</v>
      </c>
      <c r="AN25" s="9">
        <v>45733</v>
      </c>
      <c r="AO25" s="9" t="s">
        <v>1931</v>
      </c>
      <c r="AP25" s="9" t="s">
        <v>69</v>
      </c>
      <c r="AQ25" s="9" t="s">
        <v>1932</v>
      </c>
      <c r="AR25" s="9">
        <v>45733</v>
      </c>
      <c r="AS25" s="9" t="s">
        <v>74</v>
      </c>
      <c r="AT25" s="9" t="s">
        <v>1935</v>
      </c>
      <c r="AU25" s="9" t="s">
        <v>1956</v>
      </c>
      <c r="AV25" s="9">
        <v>0</v>
      </c>
      <c r="AW25" s="9" t="s">
        <v>1957</v>
      </c>
      <c r="AX25" s="9" t="s">
        <v>175</v>
      </c>
      <c r="AY25" s="9">
        <v>0</v>
      </c>
      <c r="AZ25" s="9">
        <v>45730.696851851855</v>
      </c>
      <c r="BA25" s="9">
        <v>45730.696851851855</v>
      </c>
      <c r="BB25" s="9">
        <v>1</v>
      </c>
      <c r="BC25" s="9">
        <v>82</v>
      </c>
      <c r="BD25" s="9" t="s">
        <v>1955</v>
      </c>
      <c r="BE25" s="9" t="s">
        <v>112</v>
      </c>
      <c r="BF25" s="9" t="s">
        <v>71</v>
      </c>
      <c r="BG25" s="9" t="s">
        <v>172</v>
      </c>
      <c r="BH25" s="9">
        <v>0</v>
      </c>
      <c r="BI25" s="9">
        <v>45533.688807870371</v>
      </c>
      <c r="BJ25" s="9" t="s">
        <v>1958</v>
      </c>
      <c r="BK25" s="9" t="s">
        <v>1958</v>
      </c>
      <c r="BL25" s="9" t="s">
        <v>1959</v>
      </c>
      <c r="BM25" s="9" t="s">
        <v>75</v>
      </c>
      <c r="BN25" s="9"/>
      <c r="BO25" s="9">
        <v>1</v>
      </c>
      <c r="BP25" s="9"/>
      <c r="BQ25" s="9">
        <v>0</v>
      </c>
      <c r="BR25" s="9"/>
      <c r="BS25" s="9" t="s">
        <v>148</v>
      </c>
      <c r="BT25" s="9"/>
      <c r="BU25" s="9"/>
      <c r="BV25" s="9"/>
      <c r="BW25" s="9">
        <v>0</v>
      </c>
      <c r="BX25" s="9">
        <v>45730.422083333331</v>
      </c>
      <c r="BY25" s="9">
        <v>45730.696851851855</v>
      </c>
      <c r="BZ25" s="9"/>
      <c r="CA25" s="9"/>
      <c r="CB25" s="9"/>
      <c r="CC25" s="9"/>
      <c r="CD25" s="9"/>
      <c r="CE25" s="9"/>
      <c r="CF25" s="9"/>
      <c r="CG25" s="9"/>
      <c r="CH25" s="9">
        <v>1</v>
      </c>
      <c r="CI25" s="9">
        <v>0</v>
      </c>
      <c r="CJ25" s="9"/>
      <c r="CK25" s="9"/>
      <c r="CL25" s="9"/>
      <c r="CM25" s="9"/>
      <c r="CN25" s="9">
        <v>0</v>
      </c>
      <c r="CO25" s="9"/>
      <c r="CP25" s="9"/>
      <c r="CQ25" s="9"/>
    </row>
    <row r="26" spans="1:95" x14ac:dyDescent="0.35">
      <c r="A26" s="9" t="b">
        <f>ISNUMBER(MATCH(Claude[[#This Row],[Id]],ChargentOrders[Id],0))</f>
        <v>1</v>
      </c>
      <c r="B26" t="b">
        <f>INDEX(ChargentOrders[VALIDO],MATCH(Claude[[#This Row],[Id]],ChargentOrders[Id],0))</f>
        <v>1</v>
      </c>
      <c r="C26">
        <f>INDEX(Contract[CB_Subscription__c],MATCH(Claude[[#This Row],[Contract__c]],Contract[Id],0))</f>
        <v>0</v>
      </c>
      <c r="D26" s="9" t="s">
        <v>176</v>
      </c>
      <c r="E26" s="9" t="s">
        <v>79</v>
      </c>
      <c r="F26" s="9">
        <v>0</v>
      </c>
      <c r="G26" s="9" t="s">
        <v>177</v>
      </c>
      <c r="H26" s="9">
        <v>45546.770590277774</v>
      </c>
      <c r="I26" s="9" t="s">
        <v>79</v>
      </c>
      <c r="J26" s="9">
        <v>45860.032789351855</v>
      </c>
      <c r="K26" s="9" t="s">
        <v>78</v>
      </c>
      <c r="L26" s="9">
        <v>45860.032789351855</v>
      </c>
      <c r="M26" s="9"/>
      <c r="N26" s="9"/>
      <c r="O26" s="9" t="s">
        <v>1960</v>
      </c>
      <c r="P26" s="9" t="s">
        <v>1961</v>
      </c>
      <c r="Q26" s="9" t="s">
        <v>1925</v>
      </c>
      <c r="R26" s="9" t="s">
        <v>1579</v>
      </c>
      <c r="S26" s="9" t="s">
        <v>1962</v>
      </c>
      <c r="T26" s="9" t="s">
        <v>1963</v>
      </c>
      <c r="U26" s="9" t="s">
        <v>1928</v>
      </c>
      <c r="V26" s="9">
        <v>778</v>
      </c>
      <c r="W26" s="9">
        <v>3</v>
      </c>
      <c r="X26" s="9">
        <v>2027</v>
      </c>
      <c r="Y26" s="9">
        <v>4327</v>
      </c>
      <c r="Z26" s="9">
        <v>3</v>
      </c>
      <c r="AA26" s="9">
        <v>4549516808074320</v>
      </c>
      <c r="AB26" s="9" t="s">
        <v>73</v>
      </c>
      <c r="AC26" s="9">
        <v>2027</v>
      </c>
      <c r="AD26" s="9" t="s">
        <v>93</v>
      </c>
      <c r="AE26" s="9"/>
      <c r="AF26" s="9" t="s">
        <v>1929</v>
      </c>
      <c r="AG26" s="9"/>
      <c r="AH26" s="9" t="s">
        <v>67</v>
      </c>
      <c r="AI26" s="9">
        <v>0</v>
      </c>
      <c r="AJ26" s="9"/>
      <c r="AK26" s="9">
        <v>0</v>
      </c>
      <c r="AL26" s="9" t="s">
        <v>1930</v>
      </c>
      <c r="AM26" s="9"/>
      <c r="AN26" s="9"/>
      <c r="AO26" s="9" t="s">
        <v>1931</v>
      </c>
      <c r="AP26" s="9" t="s">
        <v>69</v>
      </c>
      <c r="AQ26" s="9" t="s">
        <v>1932</v>
      </c>
      <c r="AR26" s="9"/>
      <c r="AS26" s="9"/>
      <c r="AT26" s="9"/>
      <c r="AU26" s="9" t="s">
        <v>92</v>
      </c>
      <c r="AV26" s="9">
        <v>0</v>
      </c>
      <c r="AW26" s="9"/>
      <c r="AX26" s="9" t="s">
        <v>178</v>
      </c>
      <c r="AY26" s="9">
        <v>0</v>
      </c>
      <c r="AZ26" s="9"/>
      <c r="BA26" s="9">
        <v>45546.770613425928</v>
      </c>
      <c r="BB26" s="9">
        <v>0</v>
      </c>
      <c r="BC26" s="9">
        <v>1</v>
      </c>
      <c r="BD26" s="9">
        <v>0</v>
      </c>
      <c r="BE26" s="9" t="s">
        <v>179</v>
      </c>
      <c r="BF26" s="9"/>
      <c r="BG26" s="9"/>
      <c r="BH26" s="9">
        <v>0</v>
      </c>
      <c r="BI26" s="9"/>
      <c r="BJ26" s="9">
        <v>1</v>
      </c>
      <c r="BK26" s="9"/>
      <c r="BL26" s="9"/>
      <c r="BM26" s="9" t="s">
        <v>75</v>
      </c>
      <c r="BN26" s="9"/>
      <c r="BO26" s="9">
        <v>0</v>
      </c>
      <c r="BP26" s="9"/>
      <c r="BQ26" s="9">
        <v>1</v>
      </c>
      <c r="BR26" s="9"/>
      <c r="BS26" s="9"/>
      <c r="BT26" s="9"/>
      <c r="BU26" s="9"/>
      <c r="BV26" s="9"/>
      <c r="BW26" s="9">
        <v>0</v>
      </c>
      <c r="BX26" s="9"/>
      <c r="BY26" s="9">
        <v>45546.770613425928</v>
      </c>
      <c r="BZ26" s="9"/>
      <c r="CA26" s="9"/>
      <c r="CB26" s="9"/>
      <c r="CC26" s="9"/>
      <c r="CD26" s="9"/>
      <c r="CE26" s="9"/>
      <c r="CF26" s="9"/>
      <c r="CG26" s="9"/>
      <c r="CH26" s="9">
        <v>1</v>
      </c>
      <c r="CI26" s="9">
        <v>0</v>
      </c>
      <c r="CJ26" s="9"/>
      <c r="CK26" s="9"/>
      <c r="CL26" s="9" t="s">
        <v>1964</v>
      </c>
      <c r="CM26" s="9"/>
      <c r="CN26" s="9">
        <v>0</v>
      </c>
      <c r="CO26" s="9"/>
      <c r="CP26" s="9"/>
      <c r="CQ26" s="9"/>
    </row>
    <row r="27" spans="1:95" x14ac:dyDescent="0.35">
      <c r="A27" s="9" t="b">
        <f>ISNUMBER(MATCH(Claude[[#This Row],[Id]],ChargentOrders[Id],0))</f>
        <v>1</v>
      </c>
      <c r="B27" t="b">
        <f>INDEX(ChargentOrders[VALIDO],MATCH(Claude[[#This Row],[Id]],ChargentOrders[Id],0))</f>
        <v>1</v>
      </c>
      <c r="C27">
        <f>INDEX(Contract[CB_Subscription__c],MATCH(Claude[[#This Row],[Contract__c]],Contract[Id],0))</f>
        <v>0</v>
      </c>
      <c r="D27" s="9" t="s">
        <v>180</v>
      </c>
      <c r="E27" s="9" t="s">
        <v>79</v>
      </c>
      <c r="F27" s="9">
        <v>0</v>
      </c>
      <c r="G27" s="9" t="s">
        <v>181</v>
      </c>
      <c r="H27" s="9">
        <v>45546.777557870373</v>
      </c>
      <c r="I27" s="9" t="s">
        <v>79</v>
      </c>
      <c r="J27" s="9">
        <v>45860.032789351855</v>
      </c>
      <c r="K27" s="9" t="s">
        <v>78</v>
      </c>
      <c r="L27" s="9">
        <v>45860.032789351855</v>
      </c>
      <c r="M27" s="9"/>
      <c r="N27" s="9" t="s">
        <v>1581</v>
      </c>
      <c r="O27" s="9" t="s">
        <v>1960</v>
      </c>
      <c r="P27" s="9" t="s">
        <v>1961</v>
      </c>
      <c r="Q27" s="9" t="s">
        <v>1925</v>
      </c>
      <c r="R27" s="9" t="s">
        <v>1579</v>
      </c>
      <c r="S27" s="9" t="s">
        <v>1962</v>
      </c>
      <c r="T27" s="9" t="s">
        <v>1963</v>
      </c>
      <c r="U27" s="9" t="s">
        <v>1928</v>
      </c>
      <c r="V27" s="9">
        <v>778</v>
      </c>
      <c r="W27" s="9">
        <v>3</v>
      </c>
      <c r="X27" s="9">
        <v>2027</v>
      </c>
      <c r="Y27" s="9">
        <v>4327</v>
      </c>
      <c r="Z27" s="9">
        <v>3</v>
      </c>
      <c r="AA27" s="9">
        <v>4549516808074320</v>
      </c>
      <c r="AB27" s="9" t="s">
        <v>73</v>
      </c>
      <c r="AC27" s="9">
        <v>2027</v>
      </c>
      <c r="AD27" s="9" t="s">
        <v>168</v>
      </c>
      <c r="AE27" s="9"/>
      <c r="AF27" s="9" t="s">
        <v>1929</v>
      </c>
      <c r="AG27" s="9"/>
      <c r="AH27" s="9" t="s">
        <v>67</v>
      </c>
      <c r="AI27" s="9">
        <v>0</v>
      </c>
      <c r="AJ27" s="9"/>
      <c r="AK27" s="9">
        <v>0</v>
      </c>
      <c r="AL27" s="9" t="s">
        <v>1930</v>
      </c>
      <c r="AM27" s="9">
        <v>1</v>
      </c>
      <c r="AN27" s="9"/>
      <c r="AO27" s="9" t="s">
        <v>1931</v>
      </c>
      <c r="AP27" s="9" t="s">
        <v>69</v>
      </c>
      <c r="AQ27" s="9" t="s">
        <v>1932</v>
      </c>
      <c r="AR27" s="9">
        <v>45546</v>
      </c>
      <c r="AS27" s="9" t="s">
        <v>74</v>
      </c>
      <c r="AT27" s="9" t="s">
        <v>1935</v>
      </c>
      <c r="AU27" s="9" t="s">
        <v>374</v>
      </c>
      <c r="AV27" s="9">
        <v>0</v>
      </c>
      <c r="AW27" s="9">
        <v>11385</v>
      </c>
      <c r="AX27" s="9" t="s">
        <v>178</v>
      </c>
      <c r="AY27" s="9">
        <v>0</v>
      </c>
      <c r="AZ27" s="9">
        <v>45546.777858796297</v>
      </c>
      <c r="BA27" s="9">
        <v>45546.777858796297</v>
      </c>
      <c r="BB27" s="9">
        <v>1</v>
      </c>
      <c r="BC27" s="9">
        <v>1</v>
      </c>
      <c r="BD27" s="9" t="s">
        <v>168</v>
      </c>
      <c r="BE27" s="9" t="s">
        <v>179</v>
      </c>
      <c r="BF27" s="9" t="s">
        <v>77</v>
      </c>
      <c r="BG27" s="9"/>
      <c r="BH27" s="9">
        <v>0</v>
      </c>
      <c r="BI27" s="9"/>
      <c r="BJ27" s="9">
        <v>1</v>
      </c>
      <c r="BK27" s="9" t="s">
        <v>1937</v>
      </c>
      <c r="BL27" s="9" t="s">
        <v>1938</v>
      </c>
      <c r="BM27" s="9" t="s">
        <v>75</v>
      </c>
      <c r="BN27" s="9"/>
      <c r="BO27" s="9">
        <v>0</v>
      </c>
      <c r="BP27" s="9"/>
      <c r="BQ27" s="9">
        <v>0</v>
      </c>
      <c r="BR27" s="9"/>
      <c r="BS27" s="9"/>
      <c r="BT27" s="9"/>
      <c r="BU27" s="9"/>
      <c r="BV27" s="9"/>
      <c r="BW27" s="9">
        <v>0</v>
      </c>
      <c r="BX27" s="9"/>
      <c r="BY27" s="9">
        <v>45546.777858796297</v>
      </c>
      <c r="BZ27" s="9"/>
      <c r="CA27" s="9"/>
      <c r="CB27" s="9"/>
      <c r="CC27" s="9"/>
      <c r="CD27" s="9"/>
      <c r="CE27" s="9"/>
      <c r="CF27" s="9"/>
      <c r="CG27" s="9"/>
      <c r="CH27" s="9">
        <v>1</v>
      </c>
      <c r="CI27" s="9">
        <v>0</v>
      </c>
      <c r="CJ27" s="9"/>
      <c r="CK27" s="9"/>
      <c r="CL27" s="9" t="s">
        <v>1964</v>
      </c>
      <c r="CM27" s="9"/>
      <c r="CN27" s="9">
        <v>0</v>
      </c>
      <c r="CO27" s="9"/>
      <c r="CP27" s="9"/>
      <c r="CQ27" s="9"/>
    </row>
    <row r="28" spans="1:95" x14ac:dyDescent="0.35">
      <c r="A28" s="9" t="b">
        <f>ISNUMBER(MATCH(Claude[[#This Row],[Id]],ChargentOrders[Id],0))</f>
        <v>1</v>
      </c>
      <c r="B28" t="b">
        <f>INDEX(ChargentOrders[VALIDO],MATCH(Claude[[#This Row],[Id]],ChargentOrders[Id],0))</f>
        <v>1</v>
      </c>
      <c r="C28">
        <f>INDEX(Contract[CB_Subscription__c],MATCH(Claude[[#This Row],[Contract__c]],Contract[Id],0))</f>
        <v>0</v>
      </c>
      <c r="D28" s="9" t="s">
        <v>182</v>
      </c>
      <c r="E28" s="9" t="s">
        <v>79</v>
      </c>
      <c r="F28" s="9">
        <v>0</v>
      </c>
      <c r="G28" s="9" t="s">
        <v>183</v>
      </c>
      <c r="H28" s="9">
        <v>45546.777881944443</v>
      </c>
      <c r="I28" s="9" t="s">
        <v>79</v>
      </c>
      <c r="J28" s="9">
        <v>46217.738564814812</v>
      </c>
      <c r="K28" s="9" t="s">
        <v>78</v>
      </c>
      <c r="L28" s="9">
        <v>46217.738564814812</v>
      </c>
      <c r="M28" s="9"/>
      <c r="N28" s="9" t="s">
        <v>1581</v>
      </c>
      <c r="O28" s="9" t="s">
        <v>1960</v>
      </c>
      <c r="P28" s="9" t="s">
        <v>1961</v>
      </c>
      <c r="Q28" s="9" t="s">
        <v>1925</v>
      </c>
      <c r="R28" s="9" t="s">
        <v>1579</v>
      </c>
      <c r="S28" s="9" t="s">
        <v>1962</v>
      </c>
      <c r="T28" s="9" t="s">
        <v>1963</v>
      </c>
      <c r="U28" s="9" t="s">
        <v>1928</v>
      </c>
      <c r="V28" s="9">
        <v>778</v>
      </c>
      <c r="W28" s="9">
        <v>3</v>
      </c>
      <c r="X28" s="9">
        <v>2027</v>
      </c>
      <c r="Y28" s="9">
        <v>4327</v>
      </c>
      <c r="Z28" s="9">
        <v>3</v>
      </c>
      <c r="AA28" s="9">
        <v>4327</v>
      </c>
      <c r="AB28" s="9" t="s">
        <v>73</v>
      </c>
      <c r="AC28" s="9">
        <v>2027</v>
      </c>
      <c r="AD28" s="9" t="s">
        <v>473</v>
      </c>
      <c r="AE28" s="9">
        <v>30</v>
      </c>
      <c r="AF28" s="9" t="s">
        <v>1929</v>
      </c>
      <c r="AG28" s="9"/>
      <c r="AH28" s="9" t="s">
        <v>67</v>
      </c>
      <c r="AI28" s="9">
        <v>0</v>
      </c>
      <c r="AJ28" s="9"/>
      <c r="AK28" s="9">
        <v>0</v>
      </c>
      <c r="AL28" s="9" t="s">
        <v>1930</v>
      </c>
      <c r="AM28" s="9"/>
      <c r="AN28" s="9"/>
      <c r="AO28" s="9" t="s">
        <v>1943</v>
      </c>
      <c r="AP28" s="9" t="s">
        <v>69</v>
      </c>
      <c r="AQ28" s="9" t="s">
        <v>1932</v>
      </c>
      <c r="AR28" s="9">
        <v>46233</v>
      </c>
      <c r="AS28" s="9" t="s">
        <v>84</v>
      </c>
      <c r="AT28" s="9" t="s">
        <v>1944</v>
      </c>
      <c r="AU28" s="9" t="s">
        <v>473</v>
      </c>
      <c r="AV28" s="9">
        <v>0</v>
      </c>
      <c r="AW28" s="9" t="s">
        <v>92</v>
      </c>
      <c r="AX28" s="9" t="s">
        <v>165</v>
      </c>
      <c r="AY28" s="9">
        <v>0</v>
      </c>
      <c r="AZ28" s="9">
        <v>45960.419027777774</v>
      </c>
      <c r="BA28" s="9">
        <v>45960.419050925928</v>
      </c>
      <c r="BB28" s="9">
        <v>6</v>
      </c>
      <c r="BC28" s="9">
        <v>20</v>
      </c>
      <c r="BD28" s="9" t="s">
        <v>1965</v>
      </c>
      <c r="BE28" s="9" t="s">
        <v>179</v>
      </c>
      <c r="BF28" s="9" t="s">
        <v>76</v>
      </c>
      <c r="BG28" s="9"/>
      <c r="BH28" s="9">
        <v>0</v>
      </c>
      <c r="BI28" s="9"/>
      <c r="BJ28" s="9">
        <v>21</v>
      </c>
      <c r="BK28" s="9" t="s">
        <v>92</v>
      </c>
      <c r="BL28" s="9" t="s">
        <v>92</v>
      </c>
      <c r="BM28" s="9" t="s">
        <v>75</v>
      </c>
      <c r="BN28" s="9"/>
      <c r="BO28" s="9">
        <v>0</v>
      </c>
      <c r="BP28" s="9"/>
      <c r="BQ28" s="9">
        <v>0</v>
      </c>
      <c r="BR28" s="9"/>
      <c r="BS28" s="9"/>
      <c r="BT28" s="9"/>
      <c r="BU28" s="9"/>
      <c r="BV28" s="9"/>
      <c r="BW28" s="9">
        <v>0</v>
      </c>
      <c r="BX28" s="9">
        <v>46203.416851851849</v>
      </c>
      <c r="BY28" s="9">
        <v>46203.416851851849</v>
      </c>
      <c r="BZ28" s="9"/>
      <c r="CA28" s="9"/>
      <c r="CB28" s="9"/>
      <c r="CC28" s="9"/>
      <c r="CD28" s="9"/>
      <c r="CE28" s="9"/>
      <c r="CF28" s="9"/>
      <c r="CG28" s="9"/>
      <c r="CH28" s="9">
        <v>1</v>
      </c>
      <c r="CI28" s="9">
        <v>0</v>
      </c>
      <c r="CJ28" s="9"/>
      <c r="CK28" s="9"/>
      <c r="CL28" s="9" t="s">
        <v>1964</v>
      </c>
      <c r="CM28" s="9"/>
      <c r="CN28" s="9">
        <v>0</v>
      </c>
      <c r="CO28" s="9"/>
      <c r="CP28" s="9" t="s">
        <v>1966</v>
      </c>
      <c r="CQ28" s="9">
        <v>0</v>
      </c>
    </row>
    <row r="29" spans="1:95" x14ac:dyDescent="0.35">
      <c r="A29" s="9" t="b">
        <f>ISNUMBER(MATCH(Claude[[#This Row],[Id]],ChargentOrders[Id],0))</f>
        <v>1</v>
      </c>
      <c r="B29" t="b">
        <f>INDEX(ChargentOrders[VALIDO],MATCH(Claude[[#This Row],[Id]],ChargentOrders[Id],0))</f>
        <v>1</v>
      </c>
      <c r="C29">
        <f>INDEX(Contract[CB_Subscription__c],MATCH(Claude[[#This Row],[Contract__c]],Contract[Id],0))</f>
        <v>0</v>
      </c>
      <c r="D29" s="9" t="s">
        <v>184</v>
      </c>
      <c r="E29" s="9" t="s">
        <v>101</v>
      </c>
      <c r="F29" s="9">
        <v>0</v>
      </c>
      <c r="G29" s="9" t="s">
        <v>185</v>
      </c>
      <c r="H29" s="9">
        <v>45561.835555555554</v>
      </c>
      <c r="I29" s="9" t="s">
        <v>101</v>
      </c>
      <c r="J29" s="9">
        <v>46114.61928240741</v>
      </c>
      <c r="K29" s="9" t="s">
        <v>78</v>
      </c>
      <c r="L29" s="9">
        <v>46114.61928240741</v>
      </c>
      <c r="M29" s="9"/>
      <c r="N29" s="9"/>
      <c r="O29" s="9" t="s">
        <v>1923</v>
      </c>
      <c r="P29" s="9" t="s">
        <v>1924</v>
      </c>
      <c r="Q29" s="9" t="s">
        <v>1925</v>
      </c>
      <c r="R29" s="9" t="s">
        <v>1568</v>
      </c>
      <c r="S29" s="9" t="s">
        <v>1926</v>
      </c>
      <c r="T29" s="9" t="s">
        <v>1927</v>
      </c>
      <c r="U29" s="9" t="s">
        <v>1928</v>
      </c>
      <c r="V29" s="9">
        <v>94</v>
      </c>
      <c r="W29" s="9">
        <v>10</v>
      </c>
      <c r="X29" s="9">
        <v>2026</v>
      </c>
      <c r="Y29" s="9">
        <v>2774</v>
      </c>
      <c r="Z29" s="9">
        <v>10</v>
      </c>
      <c r="AA29" s="9">
        <v>4549516985532770</v>
      </c>
      <c r="AB29" s="9" t="s">
        <v>73</v>
      </c>
      <c r="AC29" s="9">
        <v>2026</v>
      </c>
      <c r="AD29" s="9" t="s">
        <v>93</v>
      </c>
      <c r="AE29" s="9"/>
      <c r="AF29" s="9" t="s">
        <v>1929</v>
      </c>
      <c r="AG29" s="9"/>
      <c r="AH29" s="9" t="s">
        <v>67</v>
      </c>
      <c r="AI29" s="9">
        <v>0</v>
      </c>
      <c r="AJ29" s="9"/>
      <c r="AK29" s="9">
        <v>0</v>
      </c>
      <c r="AL29" s="9" t="s">
        <v>1930</v>
      </c>
      <c r="AM29" s="9"/>
      <c r="AN29" s="9"/>
      <c r="AO29" s="9" t="s">
        <v>1931</v>
      </c>
      <c r="AP29" s="9" t="s">
        <v>69</v>
      </c>
      <c r="AQ29" s="9" t="s">
        <v>1932</v>
      </c>
      <c r="AR29" s="9"/>
      <c r="AS29" s="9"/>
      <c r="AT29" s="9"/>
      <c r="AU29" s="9" t="s">
        <v>92</v>
      </c>
      <c r="AV29" s="9">
        <v>0</v>
      </c>
      <c r="AW29" s="9"/>
      <c r="AX29" s="9"/>
      <c r="AY29" s="9">
        <v>0</v>
      </c>
      <c r="AZ29" s="9"/>
      <c r="BA29" s="9"/>
      <c r="BB29" s="9">
        <v>0</v>
      </c>
      <c r="BC29" s="9">
        <v>1</v>
      </c>
      <c r="BD29" s="9">
        <v>0</v>
      </c>
      <c r="BE29" s="9" t="s">
        <v>112</v>
      </c>
      <c r="BF29" s="9"/>
      <c r="BG29" s="9"/>
      <c r="BH29" s="9">
        <v>0</v>
      </c>
      <c r="BI29" s="9"/>
      <c r="BJ29" s="9">
        <v>1</v>
      </c>
      <c r="BK29" s="9"/>
      <c r="BL29" s="9"/>
      <c r="BM29" s="9" t="s">
        <v>75</v>
      </c>
      <c r="BN29" s="9"/>
      <c r="BO29" s="9">
        <v>0</v>
      </c>
      <c r="BP29" s="9"/>
      <c r="BQ29" s="9">
        <v>1</v>
      </c>
      <c r="BR29" s="9"/>
      <c r="BS29" s="9"/>
      <c r="BT29" s="9"/>
      <c r="BU29" s="9"/>
      <c r="BV29" s="9"/>
      <c r="BW29" s="9">
        <v>0</v>
      </c>
      <c r="BX29" s="9">
        <v>45561.835578703707</v>
      </c>
      <c r="BY29" s="9">
        <v>45561.835578703707</v>
      </c>
      <c r="BZ29" s="9"/>
      <c r="CA29" s="9"/>
      <c r="CB29" s="9"/>
      <c r="CC29" s="9"/>
      <c r="CD29" s="9"/>
      <c r="CE29" s="9"/>
      <c r="CF29" s="9"/>
      <c r="CG29" s="9"/>
      <c r="CH29" s="9">
        <v>1</v>
      </c>
      <c r="CI29" s="9">
        <v>0</v>
      </c>
      <c r="CJ29" s="9"/>
      <c r="CK29" s="9"/>
      <c r="CL29" s="9" t="s">
        <v>1967</v>
      </c>
      <c r="CM29" s="9"/>
      <c r="CN29" s="9">
        <v>0</v>
      </c>
      <c r="CO29" s="9"/>
      <c r="CP29" s="9"/>
      <c r="CQ29" s="9"/>
    </row>
    <row r="30" spans="1:95" x14ac:dyDescent="0.35">
      <c r="A30" s="9" t="b">
        <f>ISNUMBER(MATCH(Claude[[#This Row],[Id]],ChargentOrders[Id],0))</f>
        <v>1</v>
      </c>
      <c r="B30" t="b">
        <f>INDEX(ChargentOrders[VALIDO],MATCH(Claude[[#This Row],[Id]],ChargentOrders[Id],0))</f>
        <v>1</v>
      </c>
      <c r="C30">
        <f>INDEX(Contract[CB_Subscription__c],MATCH(Claude[[#This Row],[Contract__c]],Contract[Id],0))</f>
        <v>0</v>
      </c>
      <c r="D30" s="9" t="s">
        <v>186</v>
      </c>
      <c r="E30" s="9" t="s">
        <v>101</v>
      </c>
      <c r="F30" s="9">
        <v>0</v>
      </c>
      <c r="G30" s="9" t="s">
        <v>187</v>
      </c>
      <c r="H30" s="9">
        <v>45561.838599537034</v>
      </c>
      <c r="I30" s="9" t="s">
        <v>101</v>
      </c>
      <c r="J30" s="9">
        <v>45860.032418981478</v>
      </c>
      <c r="K30" s="9" t="s">
        <v>78</v>
      </c>
      <c r="L30" s="9">
        <v>45860.032418981478</v>
      </c>
      <c r="M30" s="9"/>
      <c r="N30" s="9"/>
      <c r="O30" s="9" t="s">
        <v>1968</v>
      </c>
      <c r="P30" s="9" t="s">
        <v>1924</v>
      </c>
      <c r="Q30" s="9" t="s">
        <v>1925</v>
      </c>
      <c r="R30" s="9" t="s">
        <v>1568</v>
      </c>
      <c r="S30" s="9" t="s">
        <v>1926</v>
      </c>
      <c r="T30" s="9" t="s">
        <v>1927</v>
      </c>
      <c r="U30" s="9" t="s">
        <v>1928</v>
      </c>
      <c r="V30" s="9">
        <v>949</v>
      </c>
      <c r="W30" s="9">
        <v>10</v>
      </c>
      <c r="X30" s="9">
        <v>2026</v>
      </c>
      <c r="Y30" s="9">
        <v>2774</v>
      </c>
      <c r="Z30" s="9">
        <v>10</v>
      </c>
      <c r="AA30" s="9">
        <v>4549516985532770</v>
      </c>
      <c r="AB30" s="9" t="s">
        <v>73</v>
      </c>
      <c r="AC30" s="9">
        <v>2026</v>
      </c>
      <c r="AD30" s="9" t="s">
        <v>93</v>
      </c>
      <c r="AE30" s="9"/>
      <c r="AF30" s="9" t="s">
        <v>1929</v>
      </c>
      <c r="AG30" s="9"/>
      <c r="AH30" s="9" t="s">
        <v>67</v>
      </c>
      <c r="AI30" s="9">
        <v>0</v>
      </c>
      <c r="AJ30" s="9"/>
      <c r="AK30" s="9">
        <v>0</v>
      </c>
      <c r="AL30" s="9" t="s">
        <v>1930</v>
      </c>
      <c r="AM30" s="9"/>
      <c r="AN30" s="9"/>
      <c r="AO30" s="9" t="s">
        <v>1931</v>
      </c>
      <c r="AP30" s="9" t="s">
        <v>69</v>
      </c>
      <c r="AQ30" s="9" t="s">
        <v>1932</v>
      </c>
      <c r="AR30" s="9"/>
      <c r="AS30" s="9"/>
      <c r="AT30" s="9"/>
      <c r="AU30" s="9" t="s">
        <v>92</v>
      </c>
      <c r="AV30" s="9">
        <v>0</v>
      </c>
      <c r="AW30" s="9"/>
      <c r="AX30" s="9" t="s">
        <v>188</v>
      </c>
      <c r="AY30" s="9">
        <v>0</v>
      </c>
      <c r="AZ30" s="9"/>
      <c r="BA30" s="9">
        <v>45561.838634259257</v>
      </c>
      <c r="BB30" s="9">
        <v>0</v>
      </c>
      <c r="BC30" s="9">
        <v>1</v>
      </c>
      <c r="BD30" s="9">
        <v>0</v>
      </c>
      <c r="BE30" s="9" t="s">
        <v>112</v>
      </c>
      <c r="BF30" s="9"/>
      <c r="BG30" s="9"/>
      <c r="BH30" s="9">
        <v>0</v>
      </c>
      <c r="BI30" s="9"/>
      <c r="BJ30" s="9">
        <v>1</v>
      </c>
      <c r="BK30" s="9"/>
      <c r="BL30" s="9"/>
      <c r="BM30" s="9" t="s">
        <v>75</v>
      </c>
      <c r="BN30" s="9"/>
      <c r="BO30" s="9">
        <v>0</v>
      </c>
      <c r="BP30" s="9"/>
      <c r="BQ30" s="9">
        <v>1</v>
      </c>
      <c r="BR30" s="9"/>
      <c r="BS30" s="9"/>
      <c r="BT30" s="9"/>
      <c r="BU30" s="9"/>
      <c r="BV30" s="9"/>
      <c r="BW30" s="9">
        <v>0</v>
      </c>
      <c r="BX30" s="9"/>
      <c r="BY30" s="9">
        <v>45561.838634259257</v>
      </c>
      <c r="BZ30" s="9"/>
      <c r="CA30" s="9"/>
      <c r="CB30" s="9"/>
      <c r="CC30" s="9"/>
      <c r="CD30" s="9"/>
      <c r="CE30" s="9"/>
      <c r="CF30" s="9"/>
      <c r="CG30" s="9"/>
      <c r="CH30" s="9">
        <v>1</v>
      </c>
      <c r="CI30" s="9">
        <v>0</v>
      </c>
      <c r="CJ30" s="9"/>
      <c r="CK30" s="9"/>
      <c r="CL30" s="9" t="s">
        <v>1967</v>
      </c>
      <c r="CM30" s="9"/>
      <c r="CN30" s="9">
        <v>0</v>
      </c>
      <c r="CO30" s="9"/>
      <c r="CP30" s="9"/>
      <c r="CQ30" s="9"/>
    </row>
    <row r="31" spans="1:95" x14ac:dyDescent="0.35">
      <c r="A31" s="9" t="b">
        <f>ISNUMBER(MATCH(Claude[[#This Row],[Id]],ChargentOrders[Id],0))</f>
        <v>1</v>
      </c>
      <c r="B31" t="b">
        <f>INDEX(ChargentOrders[VALIDO],MATCH(Claude[[#This Row],[Id]],ChargentOrders[Id],0))</f>
        <v>1</v>
      </c>
      <c r="C31">
        <f>INDEX(Contract[CB_Subscription__c],MATCH(Claude[[#This Row],[Contract__c]],Contract[Id],0))</f>
        <v>0</v>
      </c>
      <c r="D31" s="9" t="s">
        <v>189</v>
      </c>
      <c r="E31" s="9" t="s">
        <v>102</v>
      </c>
      <c r="F31" s="9">
        <v>0</v>
      </c>
      <c r="G31" s="9" t="s">
        <v>190</v>
      </c>
      <c r="H31" s="9">
        <v>45562.61309027778</v>
      </c>
      <c r="I31" s="9" t="s">
        <v>65</v>
      </c>
      <c r="J31" s="9">
        <v>46114.61928240741</v>
      </c>
      <c r="K31" s="9" t="s">
        <v>78</v>
      </c>
      <c r="L31" s="9">
        <v>46114.61928240741</v>
      </c>
      <c r="M31" s="9"/>
      <c r="N31" s="9" t="s">
        <v>1570</v>
      </c>
      <c r="O31" s="9" t="s">
        <v>1923</v>
      </c>
      <c r="P31" s="9" t="s">
        <v>1924</v>
      </c>
      <c r="Q31" s="9" t="s">
        <v>1925</v>
      </c>
      <c r="R31" s="9" t="s">
        <v>1568</v>
      </c>
      <c r="S31" s="9" t="s">
        <v>1926</v>
      </c>
      <c r="T31" s="9" t="s">
        <v>1927</v>
      </c>
      <c r="U31" s="9" t="s">
        <v>1928</v>
      </c>
      <c r="V31" s="9">
        <v>949</v>
      </c>
      <c r="W31" s="9">
        <v>10</v>
      </c>
      <c r="X31" s="9">
        <v>2026</v>
      </c>
      <c r="Y31" s="9">
        <v>2774</v>
      </c>
      <c r="Z31" s="9">
        <v>10</v>
      </c>
      <c r="AA31" s="9"/>
      <c r="AB31" s="9" t="s">
        <v>73</v>
      </c>
      <c r="AC31" s="9">
        <v>2026</v>
      </c>
      <c r="AD31" s="9" t="s">
        <v>1969</v>
      </c>
      <c r="AE31" s="9"/>
      <c r="AF31" s="9" t="s">
        <v>1929</v>
      </c>
      <c r="AG31" s="9"/>
      <c r="AH31" s="9" t="s">
        <v>67</v>
      </c>
      <c r="AI31" s="9">
        <v>0</v>
      </c>
      <c r="AJ31" s="9"/>
      <c r="AK31" s="9">
        <v>0</v>
      </c>
      <c r="AL31" s="9" t="s">
        <v>1930</v>
      </c>
      <c r="AM31" s="9">
        <v>1</v>
      </c>
      <c r="AN31" s="9">
        <v>45568</v>
      </c>
      <c r="AO31" s="9" t="s">
        <v>1931</v>
      </c>
      <c r="AP31" s="9" t="s">
        <v>69</v>
      </c>
      <c r="AQ31" s="9" t="s">
        <v>1932</v>
      </c>
      <c r="AR31" s="9">
        <v>45568</v>
      </c>
      <c r="AS31" s="9" t="s">
        <v>74</v>
      </c>
      <c r="AT31" s="9" t="s">
        <v>1935</v>
      </c>
      <c r="AU31" s="9" t="s">
        <v>1970</v>
      </c>
      <c r="AV31" s="9">
        <v>0</v>
      </c>
      <c r="AW31" s="9" t="s">
        <v>1971</v>
      </c>
      <c r="AX31" s="9" t="s">
        <v>188</v>
      </c>
      <c r="AY31" s="9">
        <v>0</v>
      </c>
      <c r="AZ31" s="9">
        <v>45568.428530092591</v>
      </c>
      <c r="BA31" s="9">
        <v>45568.428576388891</v>
      </c>
      <c r="BB31" s="9">
        <v>1</v>
      </c>
      <c r="BC31" s="9">
        <v>2</v>
      </c>
      <c r="BD31" s="9" t="s">
        <v>1972</v>
      </c>
      <c r="BE31" s="9" t="s">
        <v>112</v>
      </c>
      <c r="BF31" s="9" t="s">
        <v>71</v>
      </c>
      <c r="BG31" s="9"/>
      <c r="BH31" s="9">
        <v>0</v>
      </c>
      <c r="BI31" s="9"/>
      <c r="BJ31" s="9">
        <v>0</v>
      </c>
      <c r="BK31" s="9" t="s">
        <v>1937</v>
      </c>
      <c r="BL31" s="9" t="s">
        <v>1938</v>
      </c>
      <c r="BM31" s="9" t="s">
        <v>72</v>
      </c>
      <c r="BN31" s="9"/>
      <c r="BO31" s="9">
        <v>1</v>
      </c>
      <c r="BP31" s="9" t="s">
        <v>191</v>
      </c>
      <c r="BQ31" s="9">
        <v>0</v>
      </c>
      <c r="BR31" s="9">
        <v>45170.864606481482</v>
      </c>
      <c r="BS31" s="9" t="s">
        <v>109</v>
      </c>
      <c r="BT31" s="9" t="s">
        <v>65</v>
      </c>
      <c r="BU31" s="9"/>
      <c r="BV31" s="9"/>
      <c r="BW31" s="9">
        <v>0</v>
      </c>
      <c r="BX31" s="9">
        <v>45565.429444444446</v>
      </c>
      <c r="BY31" s="9">
        <v>45568.428530092591</v>
      </c>
      <c r="BZ31" s="9"/>
      <c r="CA31" s="9"/>
      <c r="CB31" s="9"/>
      <c r="CC31" s="9"/>
      <c r="CD31" s="9"/>
      <c r="CE31" s="9"/>
      <c r="CF31" s="9"/>
      <c r="CG31" s="9"/>
      <c r="CH31" s="9">
        <v>1</v>
      </c>
      <c r="CI31" s="9">
        <v>0</v>
      </c>
      <c r="CJ31" s="9"/>
      <c r="CK31" s="9"/>
      <c r="CL31" s="9"/>
      <c r="CM31" s="9"/>
      <c r="CN31" s="9">
        <v>0</v>
      </c>
      <c r="CO31" s="9"/>
      <c r="CP31" s="9"/>
      <c r="CQ31" s="9"/>
    </row>
    <row r="32" spans="1:95" x14ac:dyDescent="0.35">
      <c r="A32" s="9" t="b">
        <f>ISNUMBER(MATCH(Claude[[#This Row],[Id]],ChargentOrders[Id],0))</f>
        <v>1</v>
      </c>
      <c r="B32" t="b">
        <f>INDEX(ChargentOrders[VALIDO],MATCH(Claude[[#This Row],[Id]],ChargentOrders[Id],0))</f>
        <v>1</v>
      </c>
      <c r="C32">
        <f>INDEX(Contract[CB_Subscription__c],MATCH(Claude[[#This Row],[Contract__c]],Contract[Id],0))</f>
        <v>0</v>
      </c>
      <c r="D32" s="9" t="s">
        <v>194</v>
      </c>
      <c r="E32" s="9" t="s">
        <v>79</v>
      </c>
      <c r="F32" s="9">
        <v>0</v>
      </c>
      <c r="G32" s="9" t="s">
        <v>195</v>
      </c>
      <c r="H32" s="9">
        <v>45589.950787037036</v>
      </c>
      <c r="I32" s="9" t="s">
        <v>79</v>
      </c>
      <c r="J32" s="9">
        <v>45860.032870370371</v>
      </c>
      <c r="K32" s="9" t="s">
        <v>78</v>
      </c>
      <c r="L32" s="9">
        <v>45860.032870370371</v>
      </c>
      <c r="M32" s="9"/>
      <c r="N32" s="9"/>
      <c r="O32" s="9" t="s">
        <v>1973</v>
      </c>
      <c r="P32" s="9" t="s">
        <v>1974</v>
      </c>
      <c r="Q32" s="9" t="s">
        <v>1925</v>
      </c>
      <c r="R32" s="9" t="s">
        <v>1584</v>
      </c>
      <c r="S32" s="9" t="s">
        <v>1975</v>
      </c>
      <c r="T32" s="9" t="s">
        <v>1976</v>
      </c>
      <c r="U32" s="9" t="s">
        <v>1928</v>
      </c>
      <c r="V32" s="9">
        <v>969</v>
      </c>
      <c r="W32" s="9">
        <v>7</v>
      </c>
      <c r="X32" s="9">
        <v>2028</v>
      </c>
      <c r="Y32" s="9">
        <v>5666</v>
      </c>
      <c r="Z32" s="9">
        <v>7</v>
      </c>
      <c r="AA32" s="9">
        <v>4870389490805660</v>
      </c>
      <c r="AB32" s="9" t="s">
        <v>73</v>
      </c>
      <c r="AC32" s="9">
        <v>2028</v>
      </c>
      <c r="AD32" s="9" t="s">
        <v>93</v>
      </c>
      <c r="AE32" s="9"/>
      <c r="AF32" s="9" t="s">
        <v>1929</v>
      </c>
      <c r="AG32" s="9"/>
      <c r="AH32" s="9" t="s">
        <v>67</v>
      </c>
      <c r="AI32" s="9">
        <v>0</v>
      </c>
      <c r="AJ32" s="9"/>
      <c r="AK32" s="9">
        <v>0</v>
      </c>
      <c r="AL32" s="9" t="s">
        <v>1930</v>
      </c>
      <c r="AM32" s="9"/>
      <c r="AN32" s="9"/>
      <c r="AO32" s="9" t="s">
        <v>1931</v>
      </c>
      <c r="AP32" s="9" t="s">
        <v>69</v>
      </c>
      <c r="AQ32" s="9" t="s">
        <v>1932</v>
      </c>
      <c r="AR32" s="9"/>
      <c r="AS32" s="9"/>
      <c r="AT32" s="9"/>
      <c r="AU32" s="9" t="s">
        <v>92</v>
      </c>
      <c r="AV32" s="9">
        <v>0</v>
      </c>
      <c r="AW32" s="9"/>
      <c r="AX32" s="9" t="s">
        <v>196</v>
      </c>
      <c r="AY32" s="9">
        <v>0</v>
      </c>
      <c r="AZ32" s="9"/>
      <c r="BA32" s="9">
        <v>45589.950821759259</v>
      </c>
      <c r="BB32" s="9">
        <v>0</v>
      </c>
      <c r="BC32" s="9">
        <v>1</v>
      </c>
      <c r="BD32" s="9">
        <v>0</v>
      </c>
      <c r="BE32" s="9" t="s">
        <v>197</v>
      </c>
      <c r="BF32" s="9"/>
      <c r="BG32" s="9"/>
      <c r="BH32" s="9">
        <v>0</v>
      </c>
      <c r="BI32" s="9"/>
      <c r="BJ32" s="9">
        <v>1</v>
      </c>
      <c r="BK32" s="9"/>
      <c r="BL32" s="9"/>
      <c r="BM32" s="9" t="s">
        <v>75</v>
      </c>
      <c r="BN32" s="9"/>
      <c r="BO32" s="9">
        <v>0</v>
      </c>
      <c r="BP32" s="9"/>
      <c r="BQ32" s="9">
        <v>1</v>
      </c>
      <c r="BR32" s="9"/>
      <c r="BS32" s="9"/>
      <c r="BT32" s="9"/>
      <c r="BU32" s="9"/>
      <c r="BV32" s="9"/>
      <c r="BW32" s="9">
        <v>0</v>
      </c>
      <c r="BX32" s="9"/>
      <c r="BY32" s="9">
        <v>45589.950810185182</v>
      </c>
      <c r="BZ32" s="9"/>
      <c r="CA32" s="9"/>
      <c r="CB32" s="9"/>
      <c r="CC32" s="9"/>
      <c r="CD32" s="9"/>
      <c r="CE32" s="9"/>
      <c r="CF32" s="9"/>
      <c r="CG32" s="9"/>
      <c r="CH32" s="9">
        <v>1</v>
      </c>
      <c r="CI32" s="9">
        <v>0</v>
      </c>
      <c r="CJ32" s="9"/>
      <c r="CK32" s="9"/>
      <c r="CL32" s="9" t="s">
        <v>1977</v>
      </c>
      <c r="CM32" s="9"/>
      <c r="CN32" s="9">
        <v>0</v>
      </c>
      <c r="CO32" s="9"/>
      <c r="CP32" s="9"/>
      <c r="CQ32" s="9"/>
    </row>
    <row r="33" spans="1:95" x14ac:dyDescent="0.35">
      <c r="A33" s="9" t="b">
        <f>ISNUMBER(MATCH(Claude[[#This Row],[Id]],ChargentOrders[Id],0))</f>
        <v>1</v>
      </c>
      <c r="B33" t="b">
        <f>INDEX(ChargentOrders[VALIDO],MATCH(Claude[[#This Row],[Id]],ChargentOrders[Id],0))</f>
        <v>1</v>
      </c>
      <c r="C33">
        <f>INDEX(Contract[CB_Subscription__c],MATCH(Claude[[#This Row],[Contract__c]],Contract[Id],0))</f>
        <v>0</v>
      </c>
      <c r="D33" s="9" t="s">
        <v>198</v>
      </c>
      <c r="E33" s="9" t="s">
        <v>79</v>
      </c>
      <c r="F33" s="9">
        <v>0</v>
      </c>
      <c r="G33" s="9" t="s">
        <v>199</v>
      </c>
      <c r="H33" s="9">
        <v>45589.952013888891</v>
      </c>
      <c r="I33" s="9" t="s">
        <v>79</v>
      </c>
      <c r="J33" s="9">
        <v>45860.032870370371</v>
      </c>
      <c r="K33" s="9" t="s">
        <v>78</v>
      </c>
      <c r="L33" s="9">
        <v>45860.032870370371</v>
      </c>
      <c r="M33" s="9"/>
      <c r="N33" s="9" t="s">
        <v>1586</v>
      </c>
      <c r="O33" s="9" t="s">
        <v>1973</v>
      </c>
      <c r="P33" s="9" t="s">
        <v>1974</v>
      </c>
      <c r="Q33" s="9" t="s">
        <v>1925</v>
      </c>
      <c r="R33" s="9" t="s">
        <v>1584</v>
      </c>
      <c r="S33" s="9" t="s">
        <v>1975</v>
      </c>
      <c r="T33" s="9" t="s">
        <v>1976</v>
      </c>
      <c r="U33" s="9" t="s">
        <v>1928</v>
      </c>
      <c r="V33" s="9">
        <v>969</v>
      </c>
      <c r="W33" s="9">
        <v>7</v>
      </c>
      <c r="X33" s="9">
        <v>2028</v>
      </c>
      <c r="Y33" s="9">
        <v>5666</v>
      </c>
      <c r="Z33" s="9">
        <v>7</v>
      </c>
      <c r="AA33" s="9">
        <v>4870389490805660</v>
      </c>
      <c r="AB33" s="9" t="s">
        <v>73</v>
      </c>
      <c r="AC33" s="9">
        <v>2028</v>
      </c>
      <c r="AD33" s="9" t="s">
        <v>1978</v>
      </c>
      <c r="AE33" s="9"/>
      <c r="AF33" s="9" t="s">
        <v>1929</v>
      </c>
      <c r="AG33" s="9"/>
      <c r="AH33" s="9" t="s">
        <v>67</v>
      </c>
      <c r="AI33" s="9">
        <v>0</v>
      </c>
      <c r="AJ33" s="9"/>
      <c r="AK33" s="9">
        <v>0</v>
      </c>
      <c r="AL33" s="9" t="s">
        <v>1930</v>
      </c>
      <c r="AM33" s="9">
        <v>1</v>
      </c>
      <c r="AN33" s="9"/>
      <c r="AO33" s="9" t="s">
        <v>1931</v>
      </c>
      <c r="AP33" s="9" t="s">
        <v>69</v>
      </c>
      <c r="AQ33" s="9" t="s">
        <v>1932</v>
      </c>
      <c r="AR33" s="9">
        <v>45589</v>
      </c>
      <c r="AS33" s="9" t="s">
        <v>74</v>
      </c>
      <c r="AT33" s="9" t="s">
        <v>1935</v>
      </c>
      <c r="AU33" s="9" t="s">
        <v>1979</v>
      </c>
      <c r="AV33" s="9">
        <v>0</v>
      </c>
      <c r="AW33" s="9">
        <v>13685</v>
      </c>
      <c r="AX33" s="9" t="s">
        <v>196</v>
      </c>
      <c r="AY33" s="9">
        <v>0</v>
      </c>
      <c r="AZ33" s="9">
        <v>45589.952314814815</v>
      </c>
      <c r="BA33" s="9">
        <v>45589.952314814815</v>
      </c>
      <c r="BB33" s="9">
        <v>1</v>
      </c>
      <c r="BC33" s="9">
        <v>1</v>
      </c>
      <c r="BD33" s="9" t="s">
        <v>1978</v>
      </c>
      <c r="BE33" s="9" t="s">
        <v>197</v>
      </c>
      <c r="BF33" s="9" t="s">
        <v>77</v>
      </c>
      <c r="BG33" s="9"/>
      <c r="BH33" s="9">
        <v>0</v>
      </c>
      <c r="BI33" s="9"/>
      <c r="BJ33" s="9">
        <v>1</v>
      </c>
      <c r="BK33" s="9" t="s">
        <v>1937</v>
      </c>
      <c r="BL33" s="9" t="s">
        <v>1938</v>
      </c>
      <c r="BM33" s="9" t="s">
        <v>75</v>
      </c>
      <c r="BN33" s="9"/>
      <c r="BO33" s="9">
        <v>0</v>
      </c>
      <c r="BP33" s="9"/>
      <c r="BQ33" s="9">
        <v>0</v>
      </c>
      <c r="BR33" s="9"/>
      <c r="BS33" s="9"/>
      <c r="BT33" s="9"/>
      <c r="BU33" s="9"/>
      <c r="BV33" s="9"/>
      <c r="BW33" s="9">
        <v>0</v>
      </c>
      <c r="BX33" s="9"/>
      <c r="BY33" s="9">
        <v>45589.952314814815</v>
      </c>
      <c r="BZ33" s="9"/>
      <c r="CA33" s="9"/>
      <c r="CB33" s="9"/>
      <c r="CC33" s="9"/>
      <c r="CD33" s="9"/>
      <c r="CE33" s="9"/>
      <c r="CF33" s="9"/>
      <c r="CG33" s="9"/>
      <c r="CH33" s="9">
        <v>1</v>
      </c>
      <c r="CI33" s="9">
        <v>0</v>
      </c>
      <c r="CJ33" s="9"/>
      <c r="CK33" s="9"/>
      <c r="CL33" s="9" t="s">
        <v>1977</v>
      </c>
      <c r="CM33" s="9"/>
      <c r="CN33" s="9">
        <v>0</v>
      </c>
      <c r="CO33" s="9"/>
      <c r="CP33" s="9"/>
      <c r="CQ33" s="9"/>
    </row>
    <row r="34" spans="1:95" x14ac:dyDescent="0.35">
      <c r="A34" s="9" t="b">
        <f>ISNUMBER(MATCH(Claude[[#This Row],[Id]],ChargentOrders[Id],0))</f>
        <v>1</v>
      </c>
      <c r="B34" t="b">
        <f>INDEX(ChargentOrders[VALIDO],MATCH(Claude[[#This Row],[Id]],ChargentOrders[Id],0))</f>
        <v>1</v>
      </c>
      <c r="C34">
        <f>INDEX(Contract[CB_Subscription__c],MATCH(Claude[[#This Row],[Contract__c]],Contract[Id],0))</f>
        <v>0</v>
      </c>
      <c r="D34" s="9" t="s">
        <v>200</v>
      </c>
      <c r="E34" s="9" t="s">
        <v>79</v>
      </c>
      <c r="F34" s="9">
        <v>0</v>
      </c>
      <c r="G34" s="9" t="s">
        <v>201</v>
      </c>
      <c r="H34" s="9">
        <v>45589.952337962961</v>
      </c>
      <c r="I34" s="9" t="s">
        <v>79</v>
      </c>
      <c r="J34" s="9">
        <v>46217.738564814812</v>
      </c>
      <c r="K34" s="9" t="s">
        <v>78</v>
      </c>
      <c r="L34" s="9">
        <v>46217.738564814812</v>
      </c>
      <c r="M34" s="9"/>
      <c r="N34" s="9" t="s">
        <v>1586</v>
      </c>
      <c r="O34" s="9" t="s">
        <v>1973</v>
      </c>
      <c r="P34" s="9" t="s">
        <v>1974</v>
      </c>
      <c r="Q34" s="9" t="s">
        <v>1925</v>
      </c>
      <c r="R34" s="9" t="s">
        <v>1584</v>
      </c>
      <c r="S34" s="9" t="s">
        <v>1975</v>
      </c>
      <c r="T34" s="9" t="s">
        <v>1976</v>
      </c>
      <c r="U34" s="9" t="s">
        <v>1928</v>
      </c>
      <c r="V34" s="9">
        <v>969</v>
      </c>
      <c r="W34" s="9">
        <v>8</v>
      </c>
      <c r="X34" s="9">
        <v>2028</v>
      </c>
      <c r="Y34" s="9">
        <v>5191</v>
      </c>
      <c r="Z34" s="9">
        <v>8</v>
      </c>
      <c r="AA34" s="9">
        <v>5191</v>
      </c>
      <c r="AB34" s="9" t="s">
        <v>73</v>
      </c>
      <c r="AC34" s="9">
        <v>2028</v>
      </c>
      <c r="AD34" s="9" t="s">
        <v>1942</v>
      </c>
      <c r="AE34" s="9">
        <v>30</v>
      </c>
      <c r="AF34" s="9" t="s">
        <v>1929</v>
      </c>
      <c r="AG34" s="9"/>
      <c r="AH34" s="9" t="s">
        <v>67</v>
      </c>
      <c r="AI34" s="9">
        <v>0</v>
      </c>
      <c r="AJ34" s="9"/>
      <c r="AK34" s="9">
        <v>0</v>
      </c>
      <c r="AL34" s="9" t="s">
        <v>1930</v>
      </c>
      <c r="AM34" s="9"/>
      <c r="AN34" s="9"/>
      <c r="AO34" s="9" t="s">
        <v>1943</v>
      </c>
      <c r="AP34" s="9" t="s">
        <v>69</v>
      </c>
      <c r="AQ34" s="9" t="s">
        <v>1932</v>
      </c>
      <c r="AR34" s="9">
        <v>46233</v>
      </c>
      <c r="AS34" s="9" t="s">
        <v>84</v>
      </c>
      <c r="AT34" s="9" t="s">
        <v>1944</v>
      </c>
      <c r="AU34" s="9" t="s">
        <v>1942</v>
      </c>
      <c r="AV34" s="9">
        <v>0</v>
      </c>
      <c r="AW34" s="9" t="s">
        <v>92</v>
      </c>
      <c r="AX34" s="9" t="s">
        <v>202</v>
      </c>
      <c r="AY34" s="9">
        <v>0</v>
      </c>
      <c r="AZ34" s="9">
        <v>46048.417812500003</v>
      </c>
      <c r="BA34" s="9">
        <v>46048.417812500003</v>
      </c>
      <c r="BB34" s="9">
        <v>11</v>
      </c>
      <c r="BC34" s="9">
        <v>20</v>
      </c>
      <c r="BD34" s="9" t="s">
        <v>1980</v>
      </c>
      <c r="BE34" s="9" t="s">
        <v>197</v>
      </c>
      <c r="BF34" s="9" t="s">
        <v>76</v>
      </c>
      <c r="BG34" s="9"/>
      <c r="BH34" s="9">
        <v>0</v>
      </c>
      <c r="BI34" s="9"/>
      <c r="BJ34" s="9">
        <v>21</v>
      </c>
      <c r="BK34" s="9" t="s">
        <v>92</v>
      </c>
      <c r="BL34" s="9" t="s">
        <v>92</v>
      </c>
      <c r="BM34" s="9" t="s">
        <v>75</v>
      </c>
      <c r="BN34" s="9"/>
      <c r="BO34" s="9">
        <v>0</v>
      </c>
      <c r="BP34" s="9"/>
      <c r="BQ34" s="9">
        <v>0</v>
      </c>
      <c r="BR34" s="9"/>
      <c r="BS34" s="9"/>
      <c r="BT34" s="9"/>
      <c r="BU34" s="9"/>
      <c r="BV34" s="9"/>
      <c r="BW34" s="9">
        <v>0</v>
      </c>
      <c r="BX34" s="9">
        <v>46203.416863425926</v>
      </c>
      <c r="BY34" s="9">
        <v>46203.416863425926</v>
      </c>
      <c r="BZ34" s="9"/>
      <c r="CA34" s="9"/>
      <c r="CB34" s="9"/>
      <c r="CC34" s="9"/>
      <c r="CD34" s="9"/>
      <c r="CE34" s="9"/>
      <c r="CF34" s="9"/>
      <c r="CG34" s="9"/>
      <c r="CH34" s="9">
        <v>1</v>
      </c>
      <c r="CI34" s="9">
        <v>0</v>
      </c>
      <c r="CJ34" s="9"/>
      <c r="CK34" s="9"/>
      <c r="CL34" s="9" t="s">
        <v>1977</v>
      </c>
      <c r="CM34" s="9"/>
      <c r="CN34" s="9">
        <v>0</v>
      </c>
      <c r="CO34" s="9"/>
      <c r="CP34" s="9" t="s">
        <v>1981</v>
      </c>
      <c r="CQ34" s="9">
        <v>0</v>
      </c>
    </row>
    <row r="35" spans="1:95" x14ac:dyDescent="0.35">
      <c r="A35" s="9" t="b">
        <f>ISNUMBER(MATCH(Claude[[#This Row],[Id]],ChargentOrders[Id],0))</f>
        <v>1</v>
      </c>
      <c r="B35" t="b">
        <f>INDEX(ChargentOrders[VALIDO],MATCH(Claude[[#This Row],[Id]],ChargentOrders[Id],0))</f>
        <v>1</v>
      </c>
      <c r="C35">
        <f>INDEX(Contract[CB_Subscription__c],MATCH(Claude[[#This Row],[Contract__c]],Contract[Id],0))</f>
        <v>0</v>
      </c>
      <c r="D35" s="9" t="s">
        <v>203</v>
      </c>
      <c r="E35" s="9" t="s">
        <v>102</v>
      </c>
      <c r="F35" s="9">
        <v>0</v>
      </c>
      <c r="G35" s="9" t="s">
        <v>204</v>
      </c>
      <c r="H35" s="9">
        <v>45595.421435185184</v>
      </c>
      <c r="I35" s="9" t="s">
        <v>65</v>
      </c>
      <c r="J35" s="9">
        <v>46114.619305555556</v>
      </c>
      <c r="K35" s="9" t="s">
        <v>78</v>
      </c>
      <c r="L35" s="9">
        <v>46114.619305555556</v>
      </c>
      <c r="M35" s="9"/>
      <c r="N35" s="9" t="s">
        <v>1570</v>
      </c>
      <c r="O35" s="9" t="s">
        <v>1923</v>
      </c>
      <c r="P35" s="9" t="s">
        <v>1924</v>
      </c>
      <c r="Q35" s="9" t="s">
        <v>1925</v>
      </c>
      <c r="R35" s="9" t="s">
        <v>1568</v>
      </c>
      <c r="S35" s="9" t="s">
        <v>1926</v>
      </c>
      <c r="T35" s="9" t="s">
        <v>1927</v>
      </c>
      <c r="U35" s="9" t="s">
        <v>1928</v>
      </c>
      <c r="V35" s="9">
        <v>949</v>
      </c>
      <c r="W35" s="9">
        <v>10</v>
      </c>
      <c r="X35" s="9">
        <v>2026</v>
      </c>
      <c r="Y35" s="9">
        <v>2774</v>
      </c>
      <c r="Z35" s="9">
        <v>10</v>
      </c>
      <c r="AA35" s="9"/>
      <c r="AB35" s="9" t="s">
        <v>73</v>
      </c>
      <c r="AC35" s="9">
        <v>2026</v>
      </c>
      <c r="AD35" s="9" t="s">
        <v>1972</v>
      </c>
      <c r="AE35" s="9"/>
      <c r="AF35" s="9" t="s">
        <v>1929</v>
      </c>
      <c r="AG35" s="9"/>
      <c r="AH35" s="9" t="s">
        <v>67</v>
      </c>
      <c r="AI35" s="9">
        <v>0</v>
      </c>
      <c r="AJ35" s="9"/>
      <c r="AK35" s="9">
        <v>0</v>
      </c>
      <c r="AL35" s="9" t="s">
        <v>1930</v>
      </c>
      <c r="AM35" s="9">
        <v>1</v>
      </c>
      <c r="AN35" s="9">
        <v>45597</v>
      </c>
      <c r="AO35" s="9" t="s">
        <v>1931</v>
      </c>
      <c r="AP35" s="9" t="s">
        <v>69</v>
      </c>
      <c r="AQ35" s="9" t="s">
        <v>1932</v>
      </c>
      <c r="AR35" s="9">
        <v>45597</v>
      </c>
      <c r="AS35" s="9" t="s">
        <v>74</v>
      </c>
      <c r="AT35" s="9" t="s">
        <v>1935</v>
      </c>
      <c r="AU35" s="9" t="s">
        <v>1970</v>
      </c>
      <c r="AV35" s="9">
        <v>0</v>
      </c>
      <c r="AW35" s="9" t="s">
        <v>1957</v>
      </c>
      <c r="AX35" s="9" t="s">
        <v>188</v>
      </c>
      <c r="AY35" s="9">
        <v>0</v>
      </c>
      <c r="AZ35" s="9">
        <v>45596.658541666664</v>
      </c>
      <c r="BA35" s="9">
        <v>45596.658541666664</v>
      </c>
      <c r="BB35" s="9">
        <v>1</v>
      </c>
      <c r="BC35" s="9">
        <v>2</v>
      </c>
      <c r="BD35" s="9" t="s">
        <v>1972</v>
      </c>
      <c r="BE35" s="9" t="s">
        <v>112</v>
      </c>
      <c r="BF35" s="9" t="s">
        <v>71</v>
      </c>
      <c r="BG35" s="9"/>
      <c r="BH35" s="9">
        <v>0</v>
      </c>
      <c r="BI35" s="9"/>
      <c r="BJ35" s="9">
        <v>0</v>
      </c>
      <c r="BK35" s="9" t="s">
        <v>1937</v>
      </c>
      <c r="BL35" s="9" t="s">
        <v>1938</v>
      </c>
      <c r="BM35" s="9" t="s">
        <v>72</v>
      </c>
      <c r="BN35" s="9"/>
      <c r="BO35" s="9">
        <v>1</v>
      </c>
      <c r="BP35" s="9" t="s">
        <v>205</v>
      </c>
      <c r="BQ35" s="9">
        <v>0</v>
      </c>
      <c r="BR35" s="9">
        <v>45170.864606481482</v>
      </c>
      <c r="BS35" s="9" t="s">
        <v>109</v>
      </c>
      <c r="BT35" s="9" t="s">
        <v>65</v>
      </c>
      <c r="BU35" s="9"/>
      <c r="BV35" s="9"/>
      <c r="BW35" s="9">
        <v>0</v>
      </c>
      <c r="BX35" s="9">
        <v>45595.956446759257</v>
      </c>
      <c r="BY35" s="9">
        <v>45596.658541666664</v>
      </c>
      <c r="BZ35" s="9"/>
      <c r="CA35" s="9"/>
      <c r="CB35" s="9"/>
      <c r="CC35" s="9"/>
      <c r="CD35" s="9"/>
      <c r="CE35" s="9"/>
      <c r="CF35" s="9"/>
      <c r="CG35" s="9"/>
      <c r="CH35" s="9">
        <v>1</v>
      </c>
      <c r="CI35" s="9">
        <v>0</v>
      </c>
      <c r="CJ35" s="9"/>
      <c r="CK35" s="9"/>
      <c r="CL35" s="9"/>
      <c r="CM35" s="9"/>
      <c r="CN35" s="9">
        <v>0</v>
      </c>
      <c r="CO35" s="9"/>
      <c r="CP35" s="9"/>
      <c r="CQ35" s="9"/>
    </row>
    <row r="36" spans="1:95" x14ac:dyDescent="0.35">
      <c r="A36" s="9" t="b">
        <f>ISNUMBER(MATCH(Claude[[#This Row],[Id]],ChargentOrders[Id],0))</f>
        <v>1</v>
      </c>
      <c r="B36" t="b">
        <f>INDEX(ChargentOrders[VALIDO],MATCH(Claude[[#This Row],[Id]],ChargentOrders[Id],0))</f>
        <v>1</v>
      </c>
      <c r="C36">
        <f>INDEX(Contract[CB_Subscription__c],MATCH(Claude[[#This Row],[Contract__c]],Contract[Id],0))</f>
        <v>0</v>
      </c>
      <c r="D36" s="9" t="s">
        <v>206</v>
      </c>
      <c r="E36" s="9" t="s">
        <v>79</v>
      </c>
      <c r="F36" s="9">
        <v>0</v>
      </c>
      <c r="G36" s="9" t="s">
        <v>207</v>
      </c>
      <c r="H36" s="9">
        <v>45595.423657407409</v>
      </c>
      <c r="I36" s="9" t="s">
        <v>65</v>
      </c>
      <c r="J36" s="9">
        <v>45860.032557870371</v>
      </c>
      <c r="K36" s="9" t="s">
        <v>78</v>
      </c>
      <c r="L36" s="9">
        <v>45860.032557870371</v>
      </c>
      <c r="M36" s="9"/>
      <c r="N36" s="9" t="s">
        <v>1576</v>
      </c>
      <c r="O36" s="9" t="s">
        <v>1947</v>
      </c>
      <c r="P36" s="9" t="s">
        <v>1948</v>
      </c>
      <c r="Q36" s="9" t="s">
        <v>1925</v>
      </c>
      <c r="R36" s="9" t="s">
        <v>1574</v>
      </c>
      <c r="S36" s="9" t="s">
        <v>1949</v>
      </c>
      <c r="T36" s="9" t="s">
        <v>1950</v>
      </c>
      <c r="U36" s="9" t="s">
        <v>1928</v>
      </c>
      <c r="V36" s="9">
        <v>769</v>
      </c>
      <c r="W36" s="9">
        <v>7</v>
      </c>
      <c r="X36" s="9">
        <v>2028</v>
      </c>
      <c r="Y36" s="9">
        <v>1524</v>
      </c>
      <c r="Z36" s="9">
        <v>7</v>
      </c>
      <c r="AA36" s="9">
        <v>4549516625621520</v>
      </c>
      <c r="AB36" s="9" t="s">
        <v>73</v>
      </c>
      <c r="AC36" s="9">
        <v>2028</v>
      </c>
      <c r="AD36" s="9" t="s">
        <v>104</v>
      </c>
      <c r="AE36" s="9"/>
      <c r="AF36" s="9" t="s">
        <v>1929</v>
      </c>
      <c r="AG36" s="9"/>
      <c r="AH36" s="9" t="s">
        <v>67</v>
      </c>
      <c r="AI36" s="9">
        <v>0</v>
      </c>
      <c r="AJ36" s="9"/>
      <c r="AK36" s="9">
        <v>0</v>
      </c>
      <c r="AL36" s="9" t="s">
        <v>1930</v>
      </c>
      <c r="AM36" s="9">
        <v>1</v>
      </c>
      <c r="AN36" s="9">
        <v>45597</v>
      </c>
      <c r="AO36" s="9" t="s">
        <v>1931</v>
      </c>
      <c r="AP36" s="9" t="s">
        <v>69</v>
      </c>
      <c r="AQ36" s="9" t="s">
        <v>1932</v>
      </c>
      <c r="AR36" s="9">
        <v>45597</v>
      </c>
      <c r="AS36" s="9" t="s">
        <v>74</v>
      </c>
      <c r="AT36" s="9" t="s">
        <v>1935</v>
      </c>
      <c r="AU36" s="9" t="s">
        <v>1952</v>
      </c>
      <c r="AV36" s="9">
        <v>0</v>
      </c>
      <c r="AW36" s="9" t="s">
        <v>1953</v>
      </c>
      <c r="AX36" s="9" t="s">
        <v>158</v>
      </c>
      <c r="AY36" s="9">
        <v>0</v>
      </c>
      <c r="AZ36" s="9">
        <v>45597.429537037038</v>
      </c>
      <c r="BA36" s="9">
        <v>45597.429606481484</v>
      </c>
      <c r="BB36" s="9">
        <v>1</v>
      </c>
      <c r="BC36" s="9">
        <v>1</v>
      </c>
      <c r="BD36" s="9" t="s">
        <v>104</v>
      </c>
      <c r="BE36" s="9" t="s">
        <v>159</v>
      </c>
      <c r="BF36" s="9" t="s">
        <v>71</v>
      </c>
      <c r="BG36" s="9"/>
      <c r="BH36" s="9">
        <v>0</v>
      </c>
      <c r="BI36" s="9"/>
      <c r="BJ36" s="9">
        <v>0</v>
      </c>
      <c r="BK36" s="9" t="s">
        <v>1937</v>
      </c>
      <c r="BL36" s="9" t="s">
        <v>1938</v>
      </c>
      <c r="BM36" s="9" t="s">
        <v>72</v>
      </c>
      <c r="BN36" s="9"/>
      <c r="BO36" s="9">
        <v>1</v>
      </c>
      <c r="BP36" s="9" t="s">
        <v>208</v>
      </c>
      <c r="BQ36" s="9">
        <v>0</v>
      </c>
      <c r="BR36" s="9">
        <v>45392.867974537039</v>
      </c>
      <c r="BS36" s="9" t="s">
        <v>109</v>
      </c>
      <c r="BT36" s="9" t="s">
        <v>65</v>
      </c>
      <c r="BU36" s="9"/>
      <c r="BV36" s="9"/>
      <c r="BW36" s="9">
        <v>0</v>
      </c>
      <c r="BX36" s="9"/>
      <c r="BY36" s="9">
        <v>45597.429537037038</v>
      </c>
      <c r="BZ36" s="9"/>
      <c r="CA36" s="9"/>
      <c r="CB36" s="9"/>
      <c r="CC36" s="9"/>
      <c r="CD36" s="9"/>
      <c r="CE36" s="9"/>
      <c r="CF36" s="9"/>
      <c r="CG36" s="9"/>
      <c r="CH36" s="9">
        <v>1</v>
      </c>
      <c r="CI36" s="9">
        <v>0</v>
      </c>
      <c r="CJ36" s="9"/>
      <c r="CK36" s="9"/>
      <c r="CL36" s="9"/>
      <c r="CM36" s="9"/>
      <c r="CN36" s="9">
        <v>0</v>
      </c>
      <c r="CO36" s="9"/>
      <c r="CP36" s="9"/>
      <c r="CQ36" s="9"/>
    </row>
    <row r="37" spans="1:95" x14ac:dyDescent="0.35">
      <c r="A37" s="9" t="b">
        <f>ISNUMBER(MATCH(Claude[[#This Row],[Id]],ChargentOrders[Id],0))</f>
        <v>1</v>
      </c>
      <c r="B37" t="b">
        <f>INDEX(ChargentOrders[VALIDO],MATCH(Claude[[#This Row],[Id]],ChargentOrders[Id],0))</f>
        <v>1</v>
      </c>
      <c r="C37">
        <f>INDEX(Contract[CB_Subscription__c],MATCH(Claude[[#This Row],[Contract__c]],Contract[Id],0))</f>
        <v>0</v>
      </c>
      <c r="D37" s="9" t="s">
        <v>209</v>
      </c>
      <c r="E37" s="9" t="s">
        <v>79</v>
      </c>
      <c r="F37" s="9">
        <v>0</v>
      </c>
      <c r="G37" s="9" t="s">
        <v>210</v>
      </c>
      <c r="H37" s="9">
        <v>45595.4296875</v>
      </c>
      <c r="I37" s="9" t="s">
        <v>65</v>
      </c>
      <c r="J37" s="9">
        <v>45860.032789351855</v>
      </c>
      <c r="K37" s="9" t="s">
        <v>78</v>
      </c>
      <c r="L37" s="9">
        <v>45860.032789351855</v>
      </c>
      <c r="M37" s="9"/>
      <c r="N37" s="9" t="s">
        <v>1581</v>
      </c>
      <c r="O37" s="9" t="s">
        <v>1960</v>
      </c>
      <c r="P37" s="9" t="s">
        <v>1961</v>
      </c>
      <c r="Q37" s="9" t="s">
        <v>1925</v>
      </c>
      <c r="R37" s="9" t="s">
        <v>1579</v>
      </c>
      <c r="S37" s="9" t="s">
        <v>1962</v>
      </c>
      <c r="T37" s="9" t="s">
        <v>1963</v>
      </c>
      <c r="U37" s="9" t="s">
        <v>1928</v>
      </c>
      <c r="V37" s="9">
        <v>778</v>
      </c>
      <c r="W37" s="9">
        <v>3</v>
      </c>
      <c r="X37" s="9">
        <v>2027</v>
      </c>
      <c r="Y37" s="9">
        <v>4327</v>
      </c>
      <c r="Z37" s="9">
        <v>3</v>
      </c>
      <c r="AA37" s="9">
        <v>4549516808074320</v>
      </c>
      <c r="AB37" s="9" t="s">
        <v>73</v>
      </c>
      <c r="AC37" s="9">
        <v>2027</v>
      </c>
      <c r="AD37" s="9" t="s">
        <v>104</v>
      </c>
      <c r="AE37" s="9"/>
      <c r="AF37" s="9" t="s">
        <v>1929</v>
      </c>
      <c r="AG37" s="9"/>
      <c r="AH37" s="9" t="s">
        <v>67</v>
      </c>
      <c r="AI37" s="9">
        <v>0</v>
      </c>
      <c r="AJ37" s="9"/>
      <c r="AK37" s="9">
        <v>0</v>
      </c>
      <c r="AL37" s="9" t="s">
        <v>1930</v>
      </c>
      <c r="AM37" s="9">
        <v>1</v>
      </c>
      <c r="AN37" s="9">
        <v>45607</v>
      </c>
      <c r="AO37" s="9" t="s">
        <v>1931</v>
      </c>
      <c r="AP37" s="9" t="s">
        <v>69</v>
      </c>
      <c r="AQ37" s="9" t="s">
        <v>1932</v>
      </c>
      <c r="AR37" s="9">
        <v>45607</v>
      </c>
      <c r="AS37" s="9" t="s">
        <v>74</v>
      </c>
      <c r="AT37" s="9" t="s">
        <v>1935</v>
      </c>
      <c r="AU37" s="9" t="s">
        <v>1952</v>
      </c>
      <c r="AV37" s="9">
        <v>0</v>
      </c>
      <c r="AW37" s="9" t="s">
        <v>1953</v>
      </c>
      <c r="AX37" s="9" t="s">
        <v>165</v>
      </c>
      <c r="AY37" s="9">
        <v>0</v>
      </c>
      <c r="AZ37" s="9">
        <v>45607.42832175926</v>
      </c>
      <c r="BA37" s="9">
        <v>45607.428402777776</v>
      </c>
      <c r="BB37" s="9">
        <v>1</v>
      </c>
      <c r="BC37" s="9">
        <v>5</v>
      </c>
      <c r="BD37" s="9" t="s">
        <v>104</v>
      </c>
      <c r="BE37" s="9" t="s">
        <v>179</v>
      </c>
      <c r="BF37" s="9" t="s">
        <v>71</v>
      </c>
      <c r="BG37" s="9"/>
      <c r="BH37" s="9">
        <v>0</v>
      </c>
      <c r="BI37" s="9"/>
      <c r="BJ37" s="9">
        <v>0</v>
      </c>
      <c r="BK37" s="9" t="s">
        <v>1937</v>
      </c>
      <c r="BL37" s="9" t="s">
        <v>1938</v>
      </c>
      <c r="BM37" s="9" t="s">
        <v>72</v>
      </c>
      <c r="BN37" s="9"/>
      <c r="BO37" s="9">
        <v>1</v>
      </c>
      <c r="BP37" s="9" t="s">
        <v>211</v>
      </c>
      <c r="BQ37" s="9">
        <v>0</v>
      </c>
      <c r="BR37" s="9">
        <v>45546.777881944443</v>
      </c>
      <c r="BS37" s="9" t="s">
        <v>109</v>
      </c>
      <c r="BT37" s="9" t="s">
        <v>65</v>
      </c>
      <c r="BU37" s="9"/>
      <c r="BV37" s="9"/>
      <c r="BW37" s="9">
        <v>0</v>
      </c>
      <c r="BX37" s="9">
        <v>45604.4296875</v>
      </c>
      <c r="BY37" s="9">
        <v>45607.42832175926</v>
      </c>
      <c r="BZ37" s="9"/>
      <c r="CA37" s="9"/>
      <c r="CB37" s="9"/>
      <c r="CC37" s="9"/>
      <c r="CD37" s="9"/>
      <c r="CE37" s="9"/>
      <c r="CF37" s="9"/>
      <c r="CG37" s="9"/>
      <c r="CH37" s="9">
        <v>1</v>
      </c>
      <c r="CI37" s="9">
        <v>0</v>
      </c>
      <c r="CJ37" s="9"/>
      <c r="CK37" s="9"/>
      <c r="CL37" s="9" t="s">
        <v>1964</v>
      </c>
      <c r="CM37" s="9"/>
      <c r="CN37" s="9">
        <v>0</v>
      </c>
      <c r="CO37" s="9"/>
      <c r="CP37" s="9"/>
      <c r="CQ37" s="9"/>
    </row>
    <row r="38" spans="1:95" x14ac:dyDescent="0.35">
      <c r="A38" s="9" t="b">
        <f>ISNUMBER(MATCH(Claude[[#This Row],[Id]],ChargentOrders[Id],0))</f>
        <v>1</v>
      </c>
      <c r="B38" t="b">
        <f>INDEX(ChargentOrders[VALIDO],MATCH(Claude[[#This Row],[Id]],ChargentOrders[Id],0))</f>
        <v>1</v>
      </c>
      <c r="C38">
        <f>INDEX(Contract[CB_Subscription__c],MATCH(Claude[[#This Row],[Contract__c]],Contract[Id],0))</f>
        <v>0</v>
      </c>
      <c r="D38" s="9" t="s">
        <v>213</v>
      </c>
      <c r="E38" s="9" t="s">
        <v>79</v>
      </c>
      <c r="F38" s="9">
        <v>0</v>
      </c>
      <c r="G38" s="9" t="s">
        <v>214</v>
      </c>
      <c r="H38" s="9">
        <v>45656.427118055559</v>
      </c>
      <c r="I38" s="9" t="s">
        <v>65</v>
      </c>
      <c r="J38" s="9">
        <v>45860.032870370371</v>
      </c>
      <c r="K38" s="9" t="s">
        <v>78</v>
      </c>
      <c r="L38" s="9">
        <v>45860.032870370371</v>
      </c>
      <c r="M38" s="9"/>
      <c r="N38" s="9" t="s">
        <v>1586</v>
      </c>
      <c r="O38" s="9" t="s">
        <v>1973</v>
      </c>
      <c r="P38" s="9" t="s">
        <v>1974</v>
      </c>
      <c r="Q38" s="9" t="s">
        <v>1925</v>
      </c>
      <c r="R38" s="9" t="s">
        <v>1584</v>
      </c>
      <c r="S38" s="9" t="s">
        <v>1975</v>
      </c>
      <c r="T38" s="9" t="s">
        <v>1976</v>
      </c>
      <c r="U38" s="9" t="s">
        <v>1928</v>
      </c>
      <c r="V38" s="9">
        <v>969</v>
      </c>
      <c r="W38" s="9">
        <v>7</v>
      </c>
      <c r="X38" s="9">
        <v>2028</v>
      </c>
      <c r="Y38" s="9">
        <v>5666</v>
      </c>
      <c r="Z38" s="9">
        <v>7</v>
      </c>
      <c r="AA38" s="9">
        <v>4870389490805660</v>
      </c>
      <c r="AB38" s="9" t="s">
        <v>73</v>
      </c>
      <c r="AC38" s="9">
        <v>2028</v>
      </c>
      <c r="AD38" s="9" t="s">
        <v>1969</v>
      </c>
      <c r="AE38" s="9"/>
      <c r="AF38" s="9" t="s">
        <v>1929</v>
      </c>
      <c r="AG38" s="9"/>
      <c r="AH38" s="9" t="s">
        <v>67</v>
      </c>
      <c r="AI38" s="9">
        <v>0</v>
      </c>
      <c r="AJ38" s="9"/>
      <c r="AK38" s="9">
        <v>0</v>
      </c>
      <c r="AL38" s="9" t="s">
        <v>1930</v>
      </c>
      <c r="AM38" s="9">
        <v>1</v>
      </c>
      <c r="AN38" s="9">
        <v>45659</v>
      </c>
      <c r="AO38" s="9" t="s">
        <v>1931</v>
      </c>
      <c r="AP38" s="9" t="s">
        <v>69</v>
      </c>
      <c r="AQ38" s="9" t="s">
        <v>1932</v>
      </c>
      <c r="AR38" s="9">
        <v>45659</v>
      </c>
      <c r="AS38" s="9" t="s">
        <v>74</v>
      </c>
      <c r="AT38" s="9" t="s">
        <v>1935</v>
      </c>
      <c r="AU38" s="9" t="s">
        <v>1970</v>
      </c>
      <c r="AV38" s="9">
        <v>0</v>
      </c>
      <c r="AW38" s="9" t="s">
        <v>1971</v>
      </c>
      <c r="AX38" s="9" t="s">
        <v>196</v>
      </c>
      <c r="AY38" s="9">
        <v>0</v>
      </c>
      <c r="AZ38" s="9">
        <v>45659.428888888891</v>
      </c>
      <c r="BA38" s="9">
        <v>45659.428923611114</v>
      </c>
      <c r="BB38" s="9">
        <v>1</v>
      </c>
      <c r="BC38" s="9">
        <v>1</v>
      </c>
      <c r="BD38" s="9" t="s">
        <v>1972</v>
      </c>
      <c r="BE38" s="9" t="s">
        <v>197</v>
      </c>
      <c r="BF38" s="9" t="s">
        <v>71</v>
      </c>
      <c r="BG38" s="9"/>
      <c r="BH38" s="9">
        <v>0</v>
      </c>
      <c r="BI38" s="9"/>
      <c r="BJ38" s="9">
        <v>0</v>
      </c>
      <c r="BK38" s="9" t="s">
        <v>1937</v>
      </c>
      <c r="BL38" s="9" t="s">
        <v>1938</v>
      </c>
      <c r="BM38" s="9" t="s">
        <v>72</v>
      </c>
      <c r="BN38" s="9"/>
      <c r="BO38" s="9">
        <v>1</v>
      </c>
      <c r="BP38" s="9" t="s">
        <v>215</v>
      </c>
      <c r="BQ38" s="9">
        <v>0</v>
      </c>
      <c r="BR38" s="9">
        <v>45589.952337962961</v>
      </c>
      <c r="BS38" s="9" t="s">
        <v>109</v>
      </c>
      <c r="BT38" s="9" t="s">
        <v>65</v>
      </c>
      <c r="BU38" s="9"/>
      <c r="BV38" s="9"/>
      <c r="BW38" s="9">
        <v>0</v>
      </c>
      <c r="BX38" s="9"/>
      <c r="BY38" s="9">
        <v>45659.428888888891</v>
      </c>
      <c r="BZ38" s="9"/>
      <c r="CA38" s="9"/>
      <c r="CB38" s="9"/>
      <c r="CC38" s="9"/>
      <c r="CD38" s="9"/>
      <c r="CE38" s="9"/>
      <c r="CF38" s="9"/>
      <c r="CG38" s="9"/>
      <c r="CH38" s="9">
        <v>1</v>
      </c>
      <c r="CI38" s="9">
        <v>0</v>
      </c>
      <c r="CJ38" s="9"/>
      <c r="CK38" s="9"/>
      <c r="CL38" s="9" t="s">
        <v>1977</v>
      </c>
      <c r="CM38" s="9"/>
      <c r="CN38" s="9">
        <v>0</v>
      </c>
      <c r="CO38" s="9"/>
      <c r="CP38" s="9"/>
      <c r="CQ38" s="9"/>
    </row>
    <row r="39" spans="1:95" x14ac:dyDescent="0.35">
      <c r="A39" s="9" t="b">
        <f>ISNUMBER(MATCH(Claude[[#This Row],[Id]],ChargentOrders[Id],0))</f>
        <v>1</v>
      </c>
      <c r="B39" t="b">
        <f>INDEX(ChargentOrders[VALIDO],MATCH(Claude[[#This Row],[Id]],ChargentOrders[Id],0))</f>
        <v>1</v>
      </c>
      <c r="C39">
        <f>INDEX(Contract[CB_Subscription__c],MATCH(Claude[[#This Row],[Contract__c]],Contract[Id],0))</f>
        <v>0</v>
      </c>
      <c r="D39" s="9" t="s">
        <v>216</v>
      </c>
      <c r="E39" s="9" t="s">
        <v>79</v>
      </c>
      <c r="F39" s="9">
        <v>0</v>
      </c>
      <c r="G39" s="9" t="s">
        <v>217</v>
      </c>
      <c r="H39" s="9">
        <v>45679.618900462963</v>
      </c>
      <c r="I39" s="9" t="s">
        <v>79</v>
      </c>
      <c r="J39" s="9">
        <v>46204.660902777781</v>
      </c>
      <c r="K39" s="9" t="s">
        <v>78</v>
      </c>
      <c r="L39" s="9">
        <v>46204.660902777781</v>
      </c>
      <c r="M39" s="9"/>
      <c r="N39" s="9"/>
      <c r="O39" s="9" t="s">
        <v>1982</v>
      </c>
      <c r="P39" s="9" t="s">
        <v>1983</v>
      </c>
      <c r="Q39" s="9" t="s">
        <v>1925</v>
      </c>
      <c r="R39" s="9" t="s">
        <v>1984</v>
      </c>
      <c r="S39" s="9" t="s">
        <v>1985</v>
      </c>
      <c r="T39" s="9" t="s">
        <v>1986</v>
      </c>
      <c r="U39" s="9" t="s">
        <v>1928</v>
      </c>
      <c r="V39" s="9">
        <v>771</v>
      </c>
      <c r="W39" s="9">
        <v>7</v>
      </c>
      <c r="X39" s="9">
        <v>2029</v>
      </c>
      <c r="Y39" s="9">
        <v>4040</v>
      </c>
      <c r="Z39" s="9">
        <v>7</v>
      </c>
      <c r="AA39" s="9">
        <v>5392871341924040</v>
      </c>
      <c r="AB39" s="9" t="s">
        <v>66</v>
      </c>
      <c r="AC39" s="9">
        <v>2029</v>
      </c>
      <c r="AD39" s="9" t="s">
        <v>93</v>
      </c>
      <c r="AE39" s="9"/>
      <c r="AF39" s="9" t="s">
        <v>1929</v>
      </c>
      <c r="AG39" s="9"/>
      <c r="AH39" s="9" t="s">
        <v>67</v>
      </c>
      <c r="AI39" s="9">
        <v>0</v>
      </c>
      <c r="AJ39" s="9"/>
      <c r="AK39" s="9">
        <v>0</v>
      </c>
      <c r="AL39" s="9" t="s">
        <v>1930</v>
      </c>
      <c r="AM39" s="9"/>
      <c r="AN39" s="9"/>
      <c r="AO39" s="9" t="s">
        <v>1931</v>
      </c>
      <c r="AP39" s="9" t="s">
        <v>69</v>
      </c>
      <c r="AQ39" s="9" t="s">
        <v>1932</v>
      </c>
      <c r="AR39" s="9"/>
      <c r="AS39" s="9" t="s">
        <v>218</v>
      </c>
      <c r="AT39" s="9"/>
      <c r="AU39" s="9" t="s">
        <v>92</v>
      </c>
      <c r="AV39" s="9">
        <v>0</v>
      </c>
      <c r="AW39" s="9"/>
      <c r="AX39" s="9" t="s">
        <v>219</v>
      </c>
      <c r="AY39" s="9">
        <v>0</v>
      </c>
      <c r="AZ39" s="9"/>
      <c r="BA39" s="9">
        <v>45679.618935185186</v>
      </c>
      <c r="BB39" s="9">
        <v>0</v>
      </c>
      <c r="BC39" s="9">
        <v>1</v>
      </c>
      <c r="BD39" s="9">
        <v>0</v>
      </c>
      <c r="BE39" s="9" t="s">
        <v>220</v>
      </c>
      <c r="BF39" s="9"/>
      <c r="BG39" s="9"/>
      <c r="BH39" s="9">
        <v>0</v>
      </c>
      <c r="BI39" s="9"/>
      <c r="BJ39" s="9">
        <v>1</v>
      </c>
      <c r="BK39" s="9"/>
      <c r="BL39" s="9"/>
      <c r="BM39" s="9" t="s">
        <v>75</v>
      </c>
      <c r="BN39" s="9"/>
      <c r="BO39" s="9">
        <v>0</v>
      </c>
      <c r="BP39" s="9"/>
      <c r="BQ39" s="9">
        <v>1</v>
      </c>
      <c r="BR39" s="9"/>
      <c r="BS39" s="9"/>
      <c r="BT39" s="9"/>
      <c r="BU39" s="9"/>
      <c r="BV39" s="9"/>
      <c r="BW39" s="9">
        <v>0</v>
      </c>
      <c r="BX39" s="9"/>
      <c r="BY39" s="9">
        <v>45679.618935185186</v>
      </c>
      <c r="BZ39" s="9"/>
      <c r="CA39" s="9"/>
      <c r="CB39" s="9"/>
      <c r="CC39" s="9"/>
      <c r="CD39" s="9"/>
      <c r="CE39" s="9"/>
      <c r="CF39" s="9"/>
      <c r="CG39" s="9"/>
      <c r="CH39" s="9">
        <v>1</v>
      </c>
      <c r="CI39" s="9">
        <v>0</v>
      </c>
      <c r="CJ39" s="9"/>
      <c r="CK39" s="9"/>
      <c r="CL39" s="9" t="s">
        <v>1987</v>
      </c>
      <c r="CM39" s="9"/>
      <c r="CN39" s="9">
        <v>0</v>
      </c>
      <c r="CO39" s="9"/>
      <c r="CP39" s="9"/>
      <c r="CQ39" s="9">
        <v>0</v>
      </c>
    </row>
    <row r="40" spans="1:95" x14ac:dyDescent="0.35">
      <c r="A40" s="9" t="b">
        <f>ISNUMBER(MATCH(Claude[[#This Row],[Id]],ChargentOrders[Id],0))</f>
        <v>1</v>
      </c>
      <c r="B40" t="b">
        <f>INDEX(ChargentOrders[VALIDO],MATCH(Claude[[#This Row],[Id]],ChargentOrders[Id],0))</f>
        <v>1</v>
      </c>
      <c r="C40">
        <f>INDEX(Contract[CB_Subscription__c],MATCH(Claude[[#This Row],[Contract__c]],Contract[Id],0))</f>
        <v>0</v>
      </c>
      <c r="D40" s="9" t="s">
        <v>221</v>
      </c>
      <c r="E40" s="9" t="s">
        <v>79</v>
      </c>
      <c r="F40" s="9">
        <v>0</v>
      </c>
      <c r="G40" s="9" t="s">
        <v>222</v>
      </c>
      <c r="H40" s="9">
        <v>45679.619479166664</v>
      </c>
      <c r="I40" s="9" t="s">
        <v>79</v>
      </c>
      <c r="J40" s="9">
        <v>45860.033043981479</v>
      </c>
      <c r="K40" s="9" t="s">
        <v>78</v>
      </c>
      <c r="L40" s="9">
        <v>45860.033043981479</v>
      </c>
      <c r="M40" s="9"/>
      <c r="N40" s="9" t="s">
        <v>1988</v>
      </c>
      <c r="O40" s="9" t="s">
        <v>1982</v>
      </c>
      <c r="P40" s="9" t="s">
        <v>1983</v>
      </c>
      <c r="Q40" s="9" t="s">
        <v>1925</v>
      </c>
      <c r="R40" s="9" t="s">
        <v>1984</v>
      </c>
      <c r="S40" s="9" t="s">
        <v>1985</v>
      </c>
      <c r="T40" s="9" t="s">
        <v>1986</v>
      </c>
      <c r="U40" s="9" t="s">
        <v>1928</v>
      </c>
      <c r="V40" s="9">
        <v>771</v>
      </c>
      <c r="W40" s="9">
        <v>7</v>
      </c>
      <c r="X40" s="9">
        <v>2029</v>
      </c>
      <c r="Y40" s="9">
        <v>4040</v>
      </c>
      <c r="Z40" s="9">
        <v>7</v>
      </c>
      <c r="AA40" s="9">
        <v>5392871341924040</v>
      </c>
      <c r="AB40" s="9" t="s">
        <v>66</v>
      </c>
      <c r="AC40" s="9">
        <v>2029</v>
      </c>
      <c r="AD40" s="9" t="s">
        <v>1933</v>
      </c>
      <c r="AE40" s="9"/>
      <c r="AF40" s="9" t="s">
        <v>1929</v>
      </c>
      <c r="AG40" s="9"/>
      <c r="AH40" s="9" t="s">
        <v>67</v>
      </c>
      <c r="AI40" s="9">
        <v>0</v>
      </c>
      <c r="AJ40" s="9"/>
      <c r="AK40" s="9">
        <v>0</v>
      </c>
      <c r="AL40" s="9" t="s">
        <v>1930</v>
      </c>
      <c r="AM40" s="9">
        <v>1</v>
      </c>
      <c r="AN40" s="9"/>
      <c r="AO40" s="9" t="s">
        <v>1931</v>
      </c>
      <c r="AP40" s="9" t="s">
        <v>69</v>
      </c>
      <c r="AQ40" s="9" t="s">
        <v>1934</v>
      </c>
      <c r="AR40" s="9">
        <v>45702</v>
      </c>
      <c r="AS40" s="9" t="s">
        <v>74</v>
      </c>
      <c r="AT40" s="9" t="s">
        <v>1935</v>
      </c>
      <c r="AU40" s="9" t="s">
        <v>1939</v>
      </c>
      <c r="AV40" s="9">
        <v>0</v>
      </c>
      <c r="AW40" s="9">
        <v>5692</v>
      </c>
      <c r="AX40" s="9" t="s">
        <v>219</v>
      </c>
      <c r="AY40" s="9">
        <v>0</v>
      </c>
      <c r="AZ40" s="9">
        <v>45702.427939814814</v>
      </c>
      <c r="BA40" s="9">
        <v>45702.42796296296</v>
      </c>
      <c r="BB40" s="9">
        <v>1</v>
      </c>
      <c r="BC40" s="9">
        <v>1</v>
      </c>
      <c r="BD40" s="9" t="s">
        <v>1933</v>
      </c>
      <c r="BE40" s="9" t="s">
        <v>220</v>
      </c>
      <c r="BF40" s="9" t="s">
        <v>77</v>
      </c>
      <c r="BG40" s="9"/>
      <c r="BH40" s="9">
        <v>0</v>
      </c>
      <c r="BI40" s="9"/>
      <c r="BJ40" s="9">
        <v>1</v>
      </c>
      <c r="BK40" s="9" t="s">
        <v>1937</v>
      </c>
      <c r="BL40" s="9" t="s">
        <v>1938</v>
      </c>
      <c r="BM40" s="9" t="s">
        <v>75</v>
      </c>
      <c r="BN40" s="9"/>
      <c r="BO40" s="9">
        <v>0</v>
      </c>
      <c r="BP40" s="9"/>
      <c r="BQ40" s="9">
        <v>0</v>
      </c>
      <c r="BR40" s="9"/>
      <c r="BS40" s="9"/>
      <c r="BT40" s="9"/>
      <c r="BU40" s="9"/>
      <c r="BV40" s="9"/>
      <c r="BW40" s="9">
        <v>0</v>
      </c>
      <c r="BX40" s="9"/>
      <c r="BY40" s="9">
        <v>45702.427939814814</v>
      </c>
      <c r="BZ40" s="9"/>
      <c r="CA40" s="9"/>
      <c r="CB40" s="9"/>
      <c r="CC40" s="9"/>
      <c r="CD40" s="9"/>
      <c r="CE40" s="9"/>
      <c r="CF40" s="9"/>
      <c r="CG40" s="9"/>
      <c r="CH40" s="9">
        <v>1</v>
      </c>
      <c r="CI40" s="9">
        <v>0</v>
      </c>
      <c r="CJ40" s="9"/>
      <c r="CK40" s="9"/>
      <c r="CL40" s="9" t="s">
        <v>1987</v>
      </c>
      <c r="CM40" s="9"/>
      <c r="CN40" s="9">
        <v>0</v>
      </c>
      <c r="CO40" s="9"/>
      <c r="CP40" s="9"/>
      <c r="CQ40" s="9"/>
    </row>
    <row r="41" spans="1:95" x14ac:dyDescent="0.35">
      <c r="A41" s="9" t="b">
        <f>ISNUMBER(MATCH(Claude[[#This Row],[Id]],ChargentOrders[Id],0))</f>
        <v>1</v>
      </c>
      <c r="B41" t="b">
        <f>INDEX(ChargentOrders[VALIDO],MATCH(Claude[[#This Row],[Id]],ChargentOrders[Id],0))</f>
        <v>1</v>
      </c>
      <c r="C41">
        <f>INDEX(Contract[CB_Subscription__c],MATCH(Claude[[#This Row],[Contract__c]],Contract[Id],0))</f>
        <v>0</v>
      </c>
      <c r="D41" s="9" t="s">
        <v>223</v>
      </c>
      <c r="E41" s="9" t="s">
        <v>79</v>
      </c>
      <c r="F41" s="9">
        <v>0</v>
      </c>
      <c r="G41" s="9" t="s">
        <v>224</v>
      </c>
      <c r="H41" s="9">
        <v>45679.619479166664</v>
      </c>
      <c r="I41" s="9" t="s">
        <v>79</v>
      </c>
      <c r="J41" s="9">
        <v>45860.033043981479</v>
      </c>
      <c r="K41" s="9" t="s">
        <v>78</v>
      </c>
      <c r="L41" s="9">
        <v>45860.033043981479</v>
      </c>
      <c r="M41" s="9"/>
      <c r="N41" s="9" t="s">
        <v>1988</v>
      </c>
      <c r="O41" s="9" t="s">
        <v>1982</v>
      </c>
      <c r="P41" s="9" t="s">
        <v>1983</v>
      </c>
      <c r="Q41" s="9" t="s">
        <v>1925</v>
      </c>
      <c r="R41" s="9" t="s">
        <v>1984</v>
      </c>
      <c r="S41" s="9" t="s">
        <v>1985</v>
      </c>
      <c r="T41" s="9" t="s">
        <v>1986</v>
      </c>
      <c r="U41" s="9" t="s">
        <v>1928</v>
      </c>
      <c r="V41" s="9">
        <v>771</v>
      </c>
      <c r="W41" s="9">
        <v>7</v>
      </c>
      <c r="X41" s="9">
        <v>2029</v>
      </c>
      <c r="Y41" s="9">
        <v>4040</v>
      </c>
      <c r="Z41" s="9">
        <v>7</v>
      </c>
      <c r="AA41" s="9">
        <v>5392871341924040</v>
      </c>
      <c r="AB41" s="9" t="s">
        <v>66</v>
      </c>
      <c r="AC41" s="9">
        <v>2029</v>
      </c>
      <c r="AD41" s="9" t="s">
        <v>1933</v>
      </c>
      <c r="AE41" s="9"/>
      <c r="AF41" s="9" t="s">
        <v>1929</v>
      </c>
      <c r="AG41" s="9"/>
      <c r="AH41" s="9" t="s">
        <v>67</v>
      </c>
      <c r="AI41" s="9">
        <v>0</v>
      </c>
      <c r="AJ41" s="9"/>
      <c r="AK41" s="9">
        <v>0</v>
      </c>
      <c r="AL41" s="9" t="s">
        <v>1930</v>
      </c>
      <c r="AM41" s="9">
        <v>1</v>
      </c>
      <c r="AN41" s="9"/>
      <c r="AO41" s="9" t="s">
        <v>1931</v>
      </c>
      <c r="AP41" s="9" t="s">
        <v>69</v>
      </c>
      <c r="AQ41" s="9" t="s">
        <v>1934</v>
      </c>
      <c r="AR41" s="9">
        <v>45716</v>
      </c>
      <c r="AS41" s="9" t="s">
        <v>74</v>
      </c>
      <c r="AT41" s="9" t="s">
        <v>1935</v>
      </c>
      <c r="AU41" s="9" t="s">
        <v>1939</v>
      </c>
      <c r="AV41" s="9">
        <v>0</v>
      </c>
      <c r="AW41" s="9">
        <v>5692</v>
      </c>
      <c r="AX41" s="9" t="s">
        <v>219</v>
      </c>
      <c r="AY41" s="9">
        <v>0</v>
      </c>
      <c r="AZ41" s="9">
        <v>45716.429664351854</v>
      </c>
      <c r="BA41" s="9">
        <v>45716.429664351854</v>
      </c>
      <c r="BB41" s="9">
        <v>1</v>
      </c>
      <c r="BC41" s="9">
        <v>1</v>
      </c>
      <c r="BD41" s="9" t="s">
        <v>1933</v>
      </c>
      <c r="BE41" s="9" t="s">
        <v>220</v>
      </c>
      <c r="BF41" s="9" t="s">
        <v>77</v>
      </c>
      <c r="BG41" s="9"/>
      <c r="BH41" s="9">
        <v>0</v>
      </c>
      <c r="BI41" s="9"/>
      <c r="BJ41" s="9">
        <v>1</v>
      </c>
      <c r="BK41" s="9" t="s">
        <v>1937</v>
      </c>
      <c r="BL41" s="9" t="s">
        <v>1938</v>
      </c>
      <c r="BM41" s="9" t="s">
        <v>75</v>
      </c>
      <c r="BN41" s="9"/>
      <c r="BO41" s="9">
        <v>0</v>
      </c>
      <c r="BP41" s="9"/>
      <c r="BQ41" s="9">
        <v>0</v>
      </c>
      <c r="BR41" s="9"/>
      <c r="BS41" s="9"/>
      <c r="BT41" s="9"/>
      <c r="BU41" s="9"/>
      <c r="BV41" s="9"/>
      <c r="BW41" s="9">
        <v>0</v>
      </c>
      <c r="BX41" s="9"/>
      <c r="BY41" s="9">
        <v>45716.429664351854</v>
      </c>
      <c r="BZ41" s="9"/>
      <c r="CA41" s="9"/>
      <c r="CB41" s="9"/>
      <c r="CC41" s="9"/>
      <c r="CD41" s="9"/>
      <c r="CE41" s="9"/>
      <c r="CF41" s="9"/>
      <c r="CG41" s="9"/>
      <c r="CH41" s="9">
        <v>1</v>
      </c>
      <c r="CI41" s="9">
        <v>0</v>
      </c>
      <c r="CJ41" s="9"/>
      <c r="CK41" s="9"/>
      <c r="CL41" s="9" t="s">
        <v>1987</v>
      </c>
      <c r="CM41" s="9"/>
      <c r="CN41" s="9">
        <v>0</v>
      </c>
      <c r="CO41" s="9"/>
      <c r="CP41" s="9"/>
      <c r="CQ41" s="9"/>
    </row>
    <row r="42" spans="1:95" x14ac:dyDescent="0.35">
      <c r="A42" s="9" t="b">
        <f>ISNUMBER(MATCH(Claude[[#This Row],[Id]],ChargentOrders[Id],0))</f>
        <v>1</v>
      </c>
      <c r="B42" t="b">
        <f>INDEX(ChargentOrders[VALIDO],MATCH(Claude[[#This Row],[Id]],ChargentOrders[Id],0))</f>
        <v>1</v>
      </c>
      <c r="C42">
        <f>INDEX(Contract[CB_Subscription__c],MATCH(Claude[[#This Row],[Contract__c]],Contract[Id],0))</f>
        <v>0</v>
      </c>
      <c r="D42" s="9" t="s">
        <v>225</v>
      </c>
      <c r="E42" s="9" t="s">
        <v>102</v>
      </c>
      <c r="F42" s="9">
        <v>0</v>
      </c>
      <c r="G42" s="9" t="s">
        <v>226</v>
      </c>
      <c r="H42" s="9">
        <v>45687.421261574076</v>
      </c>
      <c r="I42" s="9" t="s">
        <v>65</v>
      </c>
      <c r="J42" s="9">
        <v>46114.619351851848</v>
      </c>
      <c r="K42" s="9" t="s">
        <v>78</v>
      </c>
      <c r="L42" s="9">
        <v>46114.619351851848</v>
      </c>
      <c r="M42" s="9"/>
      <c r="N42" s="9" t="s">
        <v>1570</v>
      </c>
      <c r="O42" s="9" t="s">
        <v>1923</v>
      </c>
      <c r="P42" s="9" t="s">
        <v>1924</v>
      </c>
      <c r="Q42" s="9" t="s">
        <v>1925</v>
      </c>
      <c r="R42" s="9" t="s">
        <v>1568</v>
      </c>
      <c r="S42" s="9" t="s">
        <v>1926</v>
      </c>
      <c r="T42" s="9" t="s">
        <v>1927</v>
      </c>
      <c r="U42" s="9" t="s">
        <v>1928</v>
      </c>
      <c r="V42" s="9">
        <v>949</v>
      </c>
      <c r="W42" s="9">
        <v>10</v>
      </c>
      <c r="X42" s="9">
        <v>2026</v>
      </c>
      <c r="Y42" s="9">
        <v>2774</v>
      </c>
      <c r="Z42" s="9">
        <v>10</v>
      </c>
      <c r="AA42" s="9"/>
      <c r="AB42" s="9" t="s">
        <v>73</v>
      </c>
      <c r="AC42" s="9">
        <v>2026</v>
      </c>
      <c r="AD42" s="9" t="s">
        <v>1969</v>
      </c>
      <c r="AE42" s="9"/>
      <c r="AF42" s="9" t="s">
        <v>1929</v>
      </c>
      <c r="AG42" s="9"/>
      <c r="AH42" s="9" t="s">
        <v>67</v>
      </c>
      <c r="AI42" s="9">
        <v>0</v>
      </c>
      <c r="AJ42" s="9"/>
      <c r="AK42" s="9">
        <v>0</v>
      </c>
      <c r="AL42" s="9" t="s">
        <v>1930</v>
      </c>
      <c r="AM42" s="9">
        <v>1</v>
      </c>
      <c r="AN42" s="9">
        <v>45702</v>
      </c>
      <c r="AO42" s="9" t="s">
        <v>1931</v>
      </c>
      <c r="AP42" s="9" t="s">
        <v>69</v>
      </c>
      <c r="AQ42" s="9" t="s">
        <v>1932</v>
      </c>
      <c r="AR42" s="9">
        <v>45708</v>
      </c>
      <c r="AS42" s="9" t="s">
        <v>74</v>
      </c>
      <c r="AT42" s="9" t="s">
        <v>1935</v>
      </c>
      <c r="AU42" s="9" t="s">
        <v>1970</v>
      </c>
      <c r="AV42" s="9">
        <v>0</v>
      </c>
      <c r="AW42" s="9" t="s">
        <v>1971</v>
      </c>
      <c r="AX42" s="9" t="s">
        <v>188</v>
      </c>
      <c r="AY42" s="9">
        <v>0</v>
      </c>
      <c r="AZ42" s="9">
        <v>45708.426388888889</v>
      </c>
      <c r="BA42" s="9">
        <v>45708.426423611112</v>
      </c>
      <c r="BB42" s="9">
        <v>1</v>
      </c>
      <c r="BC42" s="9">
        <v>13</v>
      </c>
      <c r="BD42" s="9" t="s">
        <v>1972</v>
      </c>
      <c r="BE42" s="9" t="s">
        <v>112</v>
      </c>
      <c r="BF42" s="9" t="s">
        <v>71</v>
      </c>
      <c r="BG42" s="9"/>
      <c r="BH42" s="9">
        <v>0</v>
      </c>
      <c r="BI42" s="9"/>
      <c r="BJ42" s="9">
        <v>0</v>
      </c>
      <c r="BK42" s="9" t="s">
        <v>1937</v>
      </c>
      <c r="BL42" s="9" t="s">
        <v>1938</v>
      </c>
      <c r="BM42" s="9" t="s">
        <v>72</v>
      </c>
      <c r="BN42" s="9"/>
      <c r="BO42" s="9">
        <v>1</v>
      </c>
      <c r="BP42" s="9" t="s">
        <v>227</v>
      </c>
      <c r="BQ42" s="9">
        <v>0</v>
      </c>
      <c r="BR42" s="9">
        <v>45170.864606481482</v>
      </c>
      <c r="BS42" s="9" t="s">
        <v>109</v>
      </c>
      <c r="BT42" s="9" t="s">
        <v>65</v>
      </c>
      <c r="BU42" s="9"/>
      <c r="BV42" s="9"/>
      <c r="BW42" s="9">
        <v>0</v>
      </c>
      <c r="BX42" s="9">
        <v>45700.948055555556</v>
      </c>
      <c r="BY42" s="9">
        <v>45708.426388888889</v>
      </c>
      <c r="BZ42" s="9"/>
      <c r="CA42" s="9"/>
      <c r="CB42" s="9"/>
      <c r="CC42" s="9"/>
      <c r="CD42" s="9"/>
      <c r="CE42" s="9"/>
      <c r="CF42" s="9"/>
      <c r="CG42" s="9"/>
      <c r="CH42" s="9">
        <v>1</v>
      </c>
      <c r="CI42" s="9">
        <v>0</v>
      </c>
      <c r="CJ42" s="9"/>
      <c r="CK42" s="9"/>
      <c r="CL42" s="9"/>
      <c r="CM42" s="9"/>
      <c r="CN42" s="9">
        <v>0</v>
      </c>
      <c r="CO42" s="9"/>
      <c r="CP42" s="9"/>
      <c r="CQ42" s="9"/>
    </row>
    <row r="43" spans="1:95" x14ac:dyDescent="0.35">
      <c r="A43" s="9" t="b">
        <f>ISNUMBER(MATCH(Claude[[#This Row],[Id]],ChargentOrders[Id],0))</f>
        <v>1</v>
      </c>
      <c r="B43" t="b">
        <f>INDEX(ChargentOrders[VALIDO],MATCH(Claude[[#This Row],[Id]],ChargentOrders[Id],0))</f>
        <v>1</v>
      </c>
      <c r="C43">
        <f>INDEX(Contract[CB_Subscription__c],MATCH(Claude[[#This Row],[Contract__c]],Contract[Id],0))</f>
        <v>0</v>
      </c>
      <c r="D43" s="9" t="s">
        <v>228</v>
      </c>
      <c r="E43" s="9" t="s">
        <v>79</v>
      </c>
      <c r="F43" s="9">
        <v>0</v>
      </c>
      <c r="G43" s="9" t="s">
        <v>229</v>
      </c>
      <c r="H43" s="9">
        <v>45687.422719907408</v>
      </c>
      <c r="I43" s="9" t="s">
        <v>65</v>
      </c>
      <c r="J43" s="9">
        <v>45860.032557870371</v>
      </c>
      <c r="K43" s="9" t="s">
        <v>78</v>
      </c>
      <c r="L43" s="9">
        <v>45860.032557870371</v>
      </c>
      <c r="M43" s="9"/>
      <c r="N43" s="9" t="s">
        <v>1576</v>
      </c>
      <c r="O43" s="9" t="s">
        <v>1947</v>
      </c>
      <c r="P43" s="9" t="s">
        <v>1948</v>
      </c>
      <c r="Q43" s="9" t="s">
        <v>1925</v>
      </c>
      <c r="R43" s="9" t="s">
        <v>1574</v>
      </c>
      <c r="S43" s="9" t="s">
        <v>1949</v>
      </c>
      <c r="T43" s="9" t="s">
        <v>1950</v>
      </c>
      <c r="U43" s="9" t="s">
        <v>1928</v>
      </c>
      <c r="V43" s="9">
        <v>769</v>
      </c>
      <c r="W43" s="9">
        <v>7</v>
      </c>
      <c r="X43" s="9">
        <v>2028</v>
      </c>
      <c r="Y43" s="9">
        <v>1524</v>
      </c>
      <c r="Z43" s="9">
        <v>7</v>
      </c>
      <c r="AA43" s="9">
        <v>4549516625621520</v>
      </c>
      <c r="AB43" s="9" t="s">
        <v>73</v>
      </c>
      <c r="AC43" s="9">
        <v>2028</v>
      </c>
      <c r="AD43" s="9" t="s">
        <v>104</v>
      </c>
      <c r="AE43" s="9"/>
      <c r="AF43" s="9" t="s">
        <v>1929</v>
      </c>
      <c r="AG43" s="9"/>
      <c r="AH43" s="9" t="s">
        <v>67</v>
      </c>
      <c r="AI43" s="9">
        <v>0</v>
      </c>
      <c r="AJ43" s="9"/>
      <c r="AK43" s="9">
        <v>0</v>
      </c>
      <c r="AL43" s="9" t="s">
        <v>1930</v>
      </c>
      <c r="AM43" s="9">
        <v>1</v>
      </c>
      <c r="AN43" s="9">
        <v>45688</v>
      </c>
      <c r="AO43" s="9" t="s">
        <v>1931</v>
      </c>
      <c r="AP43" s="9" t="s">
        <v>69</v>
      </c>
      <c r="AQ43" s="9" t="s">
        <v>1932</v>
      </c>
      <c r="AR43" s="9">
        <v>45688</v>
      </c>
      <c r="AS43" s="9" t="s">
        <v>74</v>
      </c>
      <c r="AT43" s="9" t="s">
        <v>1935</v>
      </c>
      <c r="AU43" s="9" t="s">
        <v>1952</v>
      </c>
      <c r="AV43" s="9">
        <v>0</v>
      </c>
      <c r="AW43" s="9" t="s">
        <v>1953</v>
      </c>
      <c r="AX43" s="9" t="s">
        <v>158</v>
      </c>
      <c r="AY43" s="9">
        <v>0</v>
      </c>
      <c r="AZ43" s="9">
        <v>45688.429571759261</v>
      </c>
      <c r="BA43" s="9">
        <v>45688.429583333331</v>
      </c>
      <c r="BB43" s="9">
        <v>1</v>
      </c>
      <c r="BC43" s="9">
        <v>1</v>
      </c>
      <c r="BD43" s="9" t="s">
        <v>104</v>
      </c>
      <c r="BE43" s="9" t="s">
        <v>159</v>
      </c>
      <c r="BF43" s="9" t="s">
        <v>71</v>
      </c>
      <c r="BG43" s="9"/>
      <c r="BH43" s="9">
        <v>0</v>
      </c>
      <c r="BI43" s="9"/>
      <c r="BJ43" s="9">
        <v>0</v>
      </c>
      <c r="BK43" s="9" t="s">
        <v>1937</v>
      </c>
      <c r="BL43" s="9" t="s">
        <v>1938</v>
      </c>
      <c r="BM43" s="9" t="s">
        <v>72</v>
      </c>
      <c r="BN43" s="9"/>
      <c r="BO43" s="9">
        <v>1</v>
      </c>
      <c r="BP43" s="9" t="s">
        <v>230</v>
      </c>
      <c r="BQ43" s="9">
        <v>0</v>
      </c>
      <c r="BR43" s="9">
        <v>45392.867974537039</v>
      </c>
      <c r="BS43" s="9" t="s">
        <v>109</v>
      </c>
      <c r="BT43" s="9" t="s">
        <v>65</v>
      </c>
      <c r="BU43" s="9"/>
      <c r="BV43" s="9"/>
      <c r="BW43" s="9">
        <v>0</v>
      </c>
      <c r="BX43" s="9"/>
      <c r="BY43" s="9">
        <v>45688.429571759261</v>
      </c>
      <c r="BZ43" s="9"/>
      <c r="CA43" s="9"/>
      <c r="CB43" s="9"/>
      <c r="CC43" s="9"/>
      <c r="CD43" s="9"/>
      <c r="CE43" s="9"/>
      <c r="CF43" s="9"/>
      <c r="CG43" s="9"/>
      <c r="CH43" s="9">
        <v>1</v>
      </c>
      <c r="CI43" s="9">
        <v>0</v>
      </c>
      <c r="CJ43" s="9"/>
      <c r="CK43" s="9"/>
      <c r="CL43" s="9"/>
      <c r="CM43" s="9"/>
      <c r="CN43" s="9">
        <v>0</v>
      </c>
      <c r="CO43" s="9"/>
      <c r="CP43" s="9"/>
      <c r="CQ43" s="9"/>
    </row>
    <row r="44" spans="1:95" x14ac:dyDescent="0.35">
      <c r="A44" s="9" t="b">
        <f>ISNUMBER(MATCH(Claude[[#This Row],[Id]],ChargentOrders[Id],0))</f>
        <v>1</v>
      </c>
      <c r="B44" t="b">
        <f>INDEX(ChargentOrders[VALIDO],MATCH(Claude[[#This Row],[Id]],ChargentOrders[Id],0))</f>
        <v>1</v>
      </c>
      <c r="C44">
        <f>INDEX(Contract[CB_Subscription__c],MATCH(Claude[[#This Row],[Contract__c]],Contract[Id],0))</f>
        <v>0</v>
      </c>
      <c r="D44" s="9" t="s">
        <v>232</v>
      </c>
      <c r="E44" s="9" t="s">
        <v>79</v>
      </c>
      <c r="F44" s="9">
        <v>0</v>
      </c>
      <c r="G44" s="9" t="s">
        <v>233</v>
      </c>
      <c r="H44" s="9">
        <v>45702.827025462961</v>
      </c>
      <c r="I44" s="9" t="s">
        <v>79</v>
      </c>
      <c r="J44" s="9">
        <v>45860.033125000002</v>
      </c>
      <c r="K44" s="9" t="s">
        <v>78</v>
      </c>
      <c r="L44" s="9">
        <v>45860.033125000002</v>
      </c>
      <c r="M44" s="9"/>
      <c r="N44" s="9"/>
      <c r="O44" s="9" t="s">
        <v>1989</v>
      </c>
      <c r="P44" s="9" t="s">
        <v>1990</v>
      </c>
      <c r="Q44" s="9" t="s">
        <v>1925</v>
      </c>
      <c r="R44" s="9" t="s">
        <v>1589</v>
      </c>
      <c r="S44" s="9" t="s">
        <v>1991</v>
      </c>
      <c r="T44" s="9" t="s">
        <v>1992</v>
      </c>
      <c r="U44" s="9" t="s">
        <v>1928</v>
      </c>
      <c r="V44" s="9">
        <v>915</v>
      </c>
      <c r="W44" s="9">
        <v>2</v>
      </c>
      <c r="X44" s="9">
        <v>2030</v>
      </c>
      <c r="Y44" s="9">
        <v>1962</v>
      </c>
      <c r="Z44" s="9">
        <v>2</v>
      </c>
      <c r="AA44" s="9">
        <v>4549516910811960</v>
      </c>
      <c r="AB44" s="9" t="s">
        <v>73</v>
      </c>
      <c r="AC44" s="9">
        <v>2030</v>
      </c>
      <c r="AD44" s="9" t="s">
        <v>93</v>
      </c>
      <c r="AE44" s="9"/>
      <c r="AF44" s="9" t="s">
        <v>1929</v>
      </c>
      <c r="AG44" s="9"/>
      <c r="AH44" s="9" t="s">
        <v>67</v>
      </c>
      <c r="AI44" s="9">
        <v>0</v>
      </c>
      <c r="AJ44" s="9"/>
      <c r="AK44" s="9">
        <v>0</v>
      </c>
      <c r="AL44" s="9" t="s">
        <v>1930</v>
      </c>
      <c r="AM44" s="9"/>
      <c r="AN44" s="9"/>
      <c r="AO44" s="9" t="s">
        <v>1931</v>
      </c>
      <c r="AP44" s="9" t="s">
        <v>69</v>
      </c>
      <c r="AQ44" s="9" t="s">
        <v>1932</v>
      </c>
      <c r="AR44" s="9"/>
      <c r="AS44" s="9"/>
      <c r="AT44" s="9"/>
      <c r="AU44" s="9" t="s">
        <v>92</v>
      </c>
      <c r="AV44" s="9">
        <v>0</v>
      </c>
      <c r="AW44" s="9"/>
      <c r="AX44" s="9" t="s">
        <v>234</v>
      </c>
      <c r="AY44" s="9">
        <v>0</v>
      </c>
      <c r="AZ44" s="9"/>
      <c r="BA44" s="9">
        <v>45702.827060185184</v>
      </c>
      <c r="BB44" s="9">
        <v>0</v>
      </c>
      <c r="BC44" s="9">
        <v>1</v>
      </c>
      <c r="BD44" s="9">
        <v>0</v>
      </c>
      <c r="BE44" s="9" t="s">
        <v>235</v>
      </c>
      <c r="BF44" s="9"/>
      <c r="BG44" s="9"/>
      <c r="BH44" s="9">
        <v>0</v>
      </c>
      <c r="BI44" s="9"/>
      <c r="BJ44" s="9">
        <v>1</v>
      </c>
      <c r="BK44" s="9"/>
      <c r="BL44" s="9"/>
      <c r="BM44" s="9" t="s">
        <v>75</v>
      </c>
      <c r="BN44" s="9"/>
      <c r="BO44" s="9">
        <v>0</v>
      </c>
      <c r="BP44" s="9"/>
      <c r="BQ44" s="9">
        <v>1</v>
      </c>
      <c r="BR44" s="9"/>
      <c r="BS44" s="9"/>
      <c r="BT44" s="9"/>
      <c r="BU44" s="9"/>
      <c r="BV44" s="9"/>
      <c r="BW44" s="9">
        <v>0</v>
      </c>
      <c r="BX44" s="9"/>
      <c r="BY44" s="9">
        <v>45702.827048611114</v>
      </c>
      <c r="BZ44" s="9"/>
      <c r="CA44" s="9"/>
      <c r="CB44" s="9"/>
      <c r="CC44" s="9"/>
      <c r="CD44" s="9"/>
      <c r="CE44" s="9"/>
      <c r="CF44" s="9"/>
      <c r="CG44" s="9"/>
      <c r="CH44" s="9">
        <v>1</v>
      </c>
      <c r="CI44" s="9">
        <v>0</v>
      </c>
      <c r="CJ44" s="9"/>
      <c r="CK44" s="9"/>
      <c r="CL44" s="9" t="s">
        <v>1993</v>
      </c>
      <c r="CM44" s="9"/>
      <c r="CN44" s="9">
        <v>0</v>
      </c>
      <c r="CO44" s="9"/>
      <c r="CP44" s="9"/>
      <c r="CQ44" s="9"/>
    </row>
    <row r="45" spans="1:95" x14ac:dyDescent="0.35">
      <c r="A45" s="9" t="b">
        <f>ISNUMBER(MATCH(Claude[[#This Row],[Id]],ChargentOrders[Id],0))</f>
        <v>1</v>
      </c>
      <c r="B45" t="b">
        <f>INDEX(ChargentOrders[VALIDO],MATCH(Claude[[#This Row],[Id]],ChargentOrders[Id],0))</f>
        <v>1</v>
      </c>
      <c r="C45">
        <f>INDEX(Contract[CB_Subscription__c],MATCH(Claude[[#This Row],[Contract__c]],Contract[Id],0))</f>
        <v>0</v>
      </c>
      <c r="D45" s="9" t="s">
        <v>236</v>
      </c>
      <c r="E45" s="9" t="s">
        <v>79</v>
      </c>
      <c r="F45" s="9">
        <v>0</v>
      </c>
      <c r="G45" s="9" t="s">
        <v>237</v>
      </c>
      <c r="H45" s="9">
        <v>45702.827777777777</v>
      </c>
      <c r="I45" s="9" t="s">
        <v>79</v>
      </c>
      <c r="J45" s="9">
        <v>45860.033125000002</v>
      </c>
      <c r="K45" s="9" t="s">
        <v>78</v>
      </c>
      <c r="L45" s="9">
        <v>45860.033125000002</v>
      </c>
      <c r="M45" s="9"/>
      <c r="N45" s="9" t="s">
        <v>1591</v>
      </c>
      <c r="O45" s="9" t="s">
        <v>1989</v>
      </c>
      <c r="P45" s="9" t="s">
        <v>1990</v>
      </c>
      <c r="Q45" s="9" t="s">
        <v>1925</v>
      </c>
      <c r="R45" s="9" t="s">
        <v>1589</v>
      </c>
      <c r="S45" s="9" t="s">
        <v>1991</v>
      </c>
      <c r="T45" s="9" t="s">
        <v>1992</v>
      </c>
      <c r="U45" s="9" t="s">
        <v>1928</v>
      </c>
      <c r="V45" s="9">
        <v>915</v>
      </c>
      <c r="W45" s="9">
        <v>2</v>
      </c>
      <c r="X45" s="9">
        <v>2030</v>
      </c>
      <c r="Y45" s="9">
        <v>1962</v>
      </c>
      <c r="Z45" s="9">
        <v>2</v>
      </c>
      <c r="AA45" s="9">
        <v>4549516910811960</v>
      </c>
      <c r="AB45" s="9" t="s">
        <v>73</v>
      </c>
      <c r="AC45" s="9">
        <v>2030</v>
      </c>
      <c r="AD45" s="9" t="s">
        <v>168</v>
      </c>
      <c r="AE45" s="9"/>
      <c r="AF45" s="9" t="s">
        <v>1929</v>
      </c>
      <c r="AG45" s="9"/>
      <c r="AH45" s="9" t="s">
        <v>67</v>
      </c>
      <c r="AI45" s="9">
        <v>0</v>
      </c>
      <c r="AJ45" s="9"/>
      <c r="AK45" s="9">
        <v>0</v>
      </c>
      <c r="AL45" s="9" t="s">
        <v>1930</v>
      </c>
      <c r="AM45" s="9">
        <v>1</v>
      </c>
      <c r="AN45" s="9"/>
      <c r="AO45" s="9" t="s">
        <v>1931</v>
      </c>
      <c r="AP45" s="9" t="s">
        <v>69</v>
      </c>
      <c r="AQ45" s="9" t="s">
        <v>1932</v>
      </c>
      <c r="AR45" s="9">
        <v>45702</v>
      </c>
      <c r="AS45" s="9" t="s">
        <v>74</v>
      </c>
      <c r="AT45" s="9" t="s">
        <v>1935</v>
      </c>
      <c r="AU45" s="9" t="s">
        <v>374</v>
      </c>
      <c r="AV45" s="9">
        <v>0</v>
      </c>
      <c r="AW45" s="9">
        <v>11385</v>
      </c>
      <c r="AX45" s="9" t="s">
        <v>234</v>
      </c>
      <c r="AY45" s="9">
        <v>0</v>
      </c>
      <c r="AZ45" s="9">
        <v>45702.827974537038</v>
      </c>
      <c r="BA45" s="9">
        <v>45702.827974537038</v>
      </c>
      <c r="BB45" s="9">
        <v>1</v>
      </c>
      <c r="BC45" s="9">
        <v>1</v>
      </c>
      <c r="BD45" s="9" t="s">
        <v>168</v>
      </c>
      <c r="BE45" s="9" t="s">
        <v>235</v>
      </c>
      <c r="BF45" s="9" t="s">
        <v>77</v>
      </c>
      <c r="BG45" s="9"/>
      <c r="BH45" s="9">
        <v>0</v>
      </c>
      <c r="BI45" s="9"/>
      <c r="BJ45" s="9">
        <v>1</v>
      </c>
      <c r="BK45" s="9" t="s">
        <v>1937</v>
      </c>
      <c r="BL45" s="9" t="s">
        <v>1938</v>
      </c>
      <c r="BM45" s="9" t="s">
        <v>75</v>
      </c>
      <c r="BN45" s="9"/>
      <c r="BO45" s="9">
        <v>0</v>
      </c>
      <c r="BP45" s="9"/>
      <c r="BQ45" s="9">
        <v>0</v>
      </c>
      <c r="BR45" s="9"/>
      <c r="BS45" s="9"/>
      <c r="BT45" s="9"/>
      <c r="BU45" s="9"/>
      <c r="BV45" s="9"/>
      <c r="BW45" s="9">
        <v>0</v>
      </c>
      <c r="BX45" s="9"/>
      <c r="BY45" s="9">
        <v>45702.827974537038</v>
      </c>
      <c r="BZ45" s="9"/>
      <c r="CA45" s="9"/>
      <c r="CB45" s="9"/>
      <c r="CC45" s="9"/>
      <c r="CD45" s="9"/>
      <c r="CE45" s="9"/>
      <c r="CF45" s="9"/>
      <c r="CG45" s="9"/>
      <c r="CH45" s="9">
        <v>1</v>
      </c>
      <c r="CI45" s="9">
        <v>0</v>
      </c>
      <c r="CJ45" s="9"/>
      <c r="CK45" s="9"/>
      <c r="CL45" s="9" t="s">
        <v>1993</v>
      </c>
      <c r="CM45" s="9"/>
      <c r="CN45" s="9">
        <v>0</v>
      </c>
      <c r="CO45" s="9"/>
      <c r="CP45" s="9"/>
      <c r="CQ45" s="9"/>
    </row>
    <row r="46" spans="1:95" x14ac:dyDescent="0.35">
      <c r="A46" s="9" t="b">
        <f>ISNUMBER(MATCH(Claude[[#This Row],[Id]],ChargentOrders[Id],0))</f>
        <v>1</v>
      </c>
      <c r="B46" t="b">
        <f>INDEX(ChargentOrders[VALIDO],MATCH(Claude[[#This Row],[Id]],ChargentOrders[Id],0))</f>
        <v>1</v>
      </c>
      <c r="C46">
        <f>INDEX(Contract[CB_Subscription__c],MATCH(Claude[[#This Row],[Contract__c]],Contract[Id],0))</f>
        <v>0</v>
      </c>
      <c r="D46" s="9" t="s">
        <v>238</v>
      </c>
      <c r="E46" s="9" t="s">
        <v>79</v>
      </c>
      <c r="F46" s="9">
        <v>0</v>
      </c>
      <c r="G46" s="9" t="s">
        <v>239</v>
      </c>
      <c r="H46" s="9">
        <v>45702.827997685185</v>
      </c>
      <c r="I46" s="9" t="s">
        <v>79</v>
      </c>
      <c r="J46" s="9">
        <v>46217.738564814812</v>
      </c>
      <c r="K46" s="9" t="s">
        <v>78</v>
      </c>
      <c r="L46" s="9">
        <v>46217.738564814812</v>
      </c>
      <c r="M46" s="9"/>
      <c r="N46" s="9" t="s">
        <v>1591</v>
      </c>
      <c r="O46" s="9" t="s">
        <v>1989</v>
      </c>
      <c r="P46" s="9" t="s">
        <v>1990</v>
      </c>
      <c r="Q46" s="9" t="s">
        <v>1925</v>
      </c>
      <c r="R46" s="9" t="s">
        <v>1589</v>
      </c>
      <c r="S46" s="9" t="s">
        <v>1991</v>
      </c>
      <c r="T46" s="9" t="s">
        <v>1992</v>
      </c>
      <c r="U46" s="9" t="s">
        <v>1928</v>
      </c>
      <c r="V46" s="9">
        <v>915</v>
      </c>
      <c r="W46" s="9">
        <v>2</v>
      </c>
      <c r="X46" s="9">
        <v>2030</v>
      </c>
      <c r="Y46" s="9">
        <v>1962</v>
      </c>
      <c r="Z46" s="9">
        <v>2</v>
      </c>
      <c r="AA46" s="9">
        <v>1962</v>
      </c>
      <c r="AB46" s="9" t="s">
        <v>73</v>
      </c>
      <c r="AC46" s="9">
        <v>2030</v>
      </c>
      <c r="AD46" s="9" t="s">
        <v>91</v>
      </c>
      <c r="AE46" s="9">
        <v>30</v>
      </c>
      <c r="AF46" s="9" t="s">
        <v>1929</v>
      </c>
      <c r="AG46" s="9"/>
      <c r="AH46" s="9" t="s">
        <v>67</v>
      </c>
      <c r="AI46" s="9">
        <v>0</v>
      </c>
      <c r="AJ46" s="9"/>
      <c r="AK46" s="9">
        <v>0</v>
      </c>
      <c r="AL46" s="9" t="s">
        <v>1930</v>
      </c>
      <c r="AM46" s="9"/>
      <c r="AN46" s="9"/>
      <c r="AO46" s="9" t="s">
        <v>1943</v>
      </c>
      <c r="AP46" s="9" t="s">
        <v>69</v>
      </c>
      <c r="AQ46" s="9" t="s">
        <v>1932</v>
      </c>
      <c r="AR46" s="9">
        <v>46233</v>
      </c>
      <c r="AS46" s="9" t="s">
        <v>84</v>
      </c>
      <c r="AT46" s="9" t="s">
        <v>1944</v>
      </c>
      <c r="AU46" s="9" t="s">
        <v>91</v>
      </c>
      <c r="AV46" s="9">
        <v>0</v>
      </c>
      <c r="AW46" s="9" t="s">
        <v>93</v>
      </c>
      <c r="AX46" s="9" t="s">
        <v>240</v>
      </c>
      <c r="AY46" s="9">
        <v>0</v>
      </c>
      <c r="AZ46" s="9">
        <v>45930.42050925926</v>
      </c>
      <c r="BA46" s="9">
        <v>45930.420555555553</v>
      </c>
      <c r="BB46" s="9">
        <v>3</v>
      </c>
      <c r="BC46" s="9">
        <v>15</v>
      </c>
      <c r="BD46" s="9" t="s">
        <v>1994</v>
      </c>
      <c r="BE46" s="9" t="s">
        <v>235</v>
      </c>
      <c r="BF46" s="9" t="s">
        <v>76</v>
      </c>
      <c r="BG46" s="9"/>
      <c r="BH46" s="9">
        <v>0</v>
      </c>
      <c r="BI46" s="9"/>
      <c r="BJ46" s="9">
        <v>16</v>
      </c>
      <c r="BK46" s="9" t="s">
        <v>92</v>
      </c>
      <c r="BL46" s="9" t="s">
        <v>92</v>
      </c>
      <c r="BM46" s="9" t="s">
        <v>75</v>
      </c>
      <c r="BN46" s="9"/>
      <c r="BO46" s="9">
        <v>0</v>
      </c>
      <c r="BP46" s="9"/>
      <c r="BQ46" s="9">
        <v>0</v>
      </c>
      <c r="BR46" s="9"/>
      <c r="BS46" s="9"/>
      <c r="BT46" s="9"/>
      <c r="BU46" s="9"/>
      <c r="BV46" s="9"/>
      <c r="BW46" s="9">
        <v>0</v>
      </c>
      <c r="BX46" s="9">
        <v>46202.867546296293</v>
      </c>
      <c r="BY46" s="9">
        <v>46202.867546296293</v>
      </c>
      <c r="BZ46" s="9"/>
      <c r="CA46" s="9"/>
      <c r="CB46" s="9"/>
      <c r="CC46" s="9"/>
      <c r="CD46" s="9"/>
      <c r="CE46" s="9"/>
      <c r="CF46" s="9"/>
      <c r="CG46" s="9"/>
      <c r="CH46" s="9">
        <v>1</v>
      </c>
      <c r="CI46" s="9">
        <v>0</v>
      </c>
      <c r="CJ46" s="9"/>
      <c r="CK46" s="9"/>
      <c r="CL46" s="9" t="s">
        <v>1993</v>
      </c>
      <c r="CM46" s="9"/>
      <c r="CN46" s="9">
        <v>0</v>
      </c>
      <c r="CO46" s="9"/>
      <c r="CP46" s="9" t="s">
        <v>1995</v>
      </c>
      <c r="CQ46" s="9">
        <v>0</v>
      </c>
    </row>
    <row r="47" spans="1:95" x14ac:dyDescent="0.35">
      <c r="A47" s="9" t="b">
        <f>ISNUMBER(MATCH(Claude[[#This Row],[Id]],ChargentOrders[Id],0))</f>
        <v>1</v>
      </c>
      <c r="B47" t="b">
        <f>INDEX(ChargentOrders[VALIDO],MATCH(Claude[[#This Row],[Id]],ChargentOrders[Id],0))</f>
        <v>1</v>
      </c>
      <c r="C47">
        <f>INDEX(Contract[CB_Subscription__c],MATCH(Claude[[#This Row],[Contract__c]],Contract[Id],0))</f>
        <v>0</v>
      </c>
      <c r="D47" s="9" t="s">
        <v>241</v>
      </c>
      <c r="E47" s="9" t="s">
        <v>79</v>
      </c>
      <c r="F47" s="9">
        <v>0</v>
      </c>
      <c r="G47" s="9" t="s">
        <v>242</v>
      </c>
      <c r="H47" s="9">
        <v>45716.423379629632</v>
      </c>
      <c r="I47" s="9" t="s">
        <v>65</v>
      </c>
      <c r="J47" s="9">
        <v>45860.032789351855</v>
      </c>
      <c r="K47" s="9" t="s">
        <v>78</v>
      </c>
      <c r="L47" s="9">
        <v>45860.032789351855</v>
      </c>
      <c r="M47" s="9"/>
      <c r="N47" s="9" t="s">
        <v>1581</v>
      </c>
      <c r="O47" s="9" t="s">
        <v>1960</v>
      </c>
      <c r="P47" s="9" t="s">
        <v>1961</v>
      </c>
      <c r="Q47" s="9" t="s">
        <v>1925</v>
      </c>
      <c r="R47" s="9" t="s">
        <v>1579</v>
      </c>
      <c r="S47" s="9" t="s">
        <v>1962</v>
      </c>
      <c r="T47" s="9" t="s">
        <v>1963</v>
      </c>
      <c r="U47" s="9" t="s">
        <v>1928</v>
      </c>
      <c r="V47" s="9">
        <v>778</v>
      </c>
      <c r="W47" s="9">
        <v>3</v>
      </c>
      <c r="X47" s="9">
        <v>2027</v>
      </c>
      <c r="Y47" s="9">
        <v>4327</v>
      </c>
      <c r="Z47" s="9">
        <v>3</v>
      </c>
      <c r="AA47" s="9">
        <v>4549516808074320</v>
      </c>
      <c r="AB47" s="9" t="s">
        <v>73</v>
      </c>
      <c r="AC47" s="9">
        <v>2027</v>
      </c>
      <c r="AD47" s="9" t="s">
        <v>104</v>
      </c>
      <c r="AE47" s="9"/>
      <c r="AF47" s="9" t="s">
        <v>1929</v>
      </c>
      <c r="AG47" s="9"/>
      <c r="AH47" s="9" t="s">
        <v>67</v>
      </c>
      <c r="AI47" s="9">
        <v>0</v>
      </c>
      <c r="AJ47" s="9"/>
      <c r="AK47" s="9">
        <v>0</v>
      </c>
      <c r="AL47" s="9" t="s">
        <v>1930</v>
      </c>
      <c r="AM47" s="9">
        <v>1</v>
      </c>
      <c r="AN47" s="9">
        <v>45729</v>
      </c>
      <c r="AO47" s="9" t="s">
        <v>1931</v>
      </c>
      <c r="AP47" s="9" t="s">
        <v>69</v>
      </c>
      <c r="AQ47" s="9" t="s">
        <v>1932</v>
      </c>
      <c r="AR47" s="9">
        <v>45729</v>
      </c>
      <c r="AS47" s="9" t="s">
        <v>74</v>
      </c>
      <c r="AT47" s="9" t="s">
        <v>1935</v>
      </c>
      <c r="AU47" s="9" t="s">
        <v>1952</v>
      </c>
      <c r="AV47" s="9">
        <v>0</v>
      </c>
      <c r="AW47" s="9" t="s">
        <v>1953</v>
      </c>
      <c r="AX47" s="9" t="s">
        <v>165</v>
      </c>
      <c r="AY47" s="9">
        <v>0</v>
      </c>
      <c r="AZ47" s="9">
        <v>45727.987627314818</v>
      </c>
      <c r="BA47" s="9">
        <v>45727.987627314818</v>
      </c>
      <c r="BB47" s="9">
        <v>1</v>
      </c>
      <c r="BC47" s="9">
        <v>5</v>
      </c>
      <c r="BD47" s="9" t="s">
        <v>104</v>
      </c>
      <c r="BE47" s="9" t="s">
        <v>179</v>
      </c>
      <c r="BF47" s="9" t="s">
        <v>71</v>
      </c>
      <c r="BG47" s="9"/>
      <c r="BH47" s="9">
        <v>0</v>
      </c>
      <c r="BI47" s="9"/>
      <c r="BJ47" s="9">
        <v>0</v>
      </c>
      <c r="BK47" s="9" t="s">
        <v>1937</v>
      </c>
      <c r="BL47" s="9" t="s">
        <v>1938</v>
      </c>
      <c r="BM47" s="9" t="s">
        <v>72</v>
      </c>
      <c r="BN47" s="9"/>
      <c r="BO47" s="9">
        <v>1</v>
      </c>
      <c r="BP47" s="9" t="s">
        <v>243</v>
      </c>
      <c r="BQ47" s="9">
        <v>0</v>
      </c>
      <c r="BR47" s="9">
        <v>45546.777881944443</v>
      </c>
      <c r="BS47" s="9" t="s">
        <v>109</v>
      </c>
      <c r="BT47" s="9" t="s">
        <v>65</v>
      </c>
      <c r="BU47" s="9"/>
      <c r="BV47" s="9"/>
      <c r="BW47" s="9">
        <v>0</v>
      </c>
      <c r="BX47" s="9">
        <v>45726.425775462965</v>
      </c>
      <c r="BY47" s="9">
        <v>45727.987627314818</v>
      </c>
      <c r="BZ47" s="9"/>
      <c r="CA47" s="9"/>
      <c r="CB47" s="9"/>
      <c r="CC47" s="9"/>
      <c r="CD47" s="9"/>
      <c r="CE47" s="9"/>
      <c r="CF47" s="9"/>
      <c r="CG47" s="9"/>
      <c r="CH47" s="9">
        <v>1</v>
      </c>
      <c r="CI47" s="9">
        <v>0</v>
      </c>
      <c r="CJ47" s="9"/>
      <c r="CK47" s="9"/>
      <c r="CL47" s="9" t="s">
        <v>1964</v>
      </c>
      <c r="CM47" s="9"/>
      <c r="CN47" s="9">
        <v>0</v>
      </c>
      <c r="CO47" s="9"/>
      <c r="CP47" s="9"/>
      <c r="CQ47" s="9"/>
    </row>
    <row r="48" spans="1:95" x14ac:dyDescent="0.35">
      <c r="A48" s="9" t="b">
        <f>ISNUMBER(MATCH(Claude[[#This Row],[Id]],ChargentOrders[Id],0))</f>
        <v>1</v>
      </c>
      <c r="B48" t="b">
        <f>INDEX(ChargentOrders[VALIDO],MATCH(Claude[[#This Row],[Id]],ChargentOrders[Id],0))</f>
        <v>1</v>
      </c>
      <c r="C48">
        <f>INDEX(Contract[CB_Subscription__c],MATCH(Claude[[#This Row],[Contract__c]],Contract[Id],0))</f>
        <v>0</v>
      </c>
      <c r="D48" s="9" t="s">
        <v>244</v>
      </c>
      <c r="E48" s="9" t="s">
        <v>79</v>
      </c>
      <c r="F48" s="9">
        <v>0</v>
      </c>
      <c r="G48" s="9" t="s">
        <v>245</v>
      </c>
      <c r="H48" s="9">
        <v>45716.424016203702</v>
      </c>
      <c r="I48" s="9" t="s">
        <v>65</v>
      </c>
      <c r="J48" s="9">
        <v>45860.032870370371</v>
      </c>
      <c r="K48" s="9" t="s">
        <v>78</v>
      </c>
      <c r="L48" s="9">
        <v>45860.032870370371</v>
      </c>
      <c r="M48" s="9"/>
      <c r="N48" s="9" t="s">
        <v>1586</v>
      </c>
      <c r="O48" s="9" t="s">
        <v>1973</v>
      </c>
      <c r="P48" s="9" t="s">
        <v>1974</v>
      </c>
      <c r="Q48" s="9" t="s">
        <v>1925</v>
      </c>
      <c r="R48" s="9" t="s">
        <v>1584</v>
      </c>
      <c r="S48" s="9" t="s">
        <v>1975</v>
      </c>
      <c r="T48" s="9" t="s">
        <v>1976</v>
      </c>
      <c r="U48" s="9" t="s">
        <v>1928</v>
      </c>
      <c r="V48" s="9">
        <v>969</v>
      </c>
      <c r="W48" s="9">
        <v>7</v>
      </c>
      <c r="X48" s="9">
        <v>2028</v>
      </c>
      <c r="Y48" s="9">
        <v>5666</v>
      </c>
      <c r="Z48" s="9">
        <v>7</v>
      </c>
      <c r="AA48" s="9">
        <v>4870389490805660</v>
      </c>
      <c r="AB48" s="9" t="s">
        <v>73</v>
      </c>
      <c r="AC48" s="9">
        <v>2028</v>
      </c>
      <c r="AD48" s="9" t="s">
        <v>1969</v>
      </c>
      <c r="AE48" s="9"/>
      <c r="AF48" s="9" t="s">
        <v>1929</v>
      </c>
      <c r="AG48" s="9"/>
      <c r="AH48" s="9" t="s">
        <v>67</v>
      </c>
      <c r="AI48" s="9">
        <v>0</v>
      </c>
      <c r="AJ48" s="9"/>
      <c r="AK48" s="9">
        <v>0</v>
      </c>
      <c r="AL48" s="9" t="s">
        <v>1930</v>
      </c>
      <c r="AM48" s="9">
        <v>1</v>
      </c>
      <c r="AN48" s="9">
        <v>45719</v>
      </c>
      <c r="AO48" s="9" t="s">
        <v>1931</v>
      </c>
      <c r="AP48" s="9" t="s">
        <v>69</v>
      </c>
      <c r="AQ48" s="9" t="s">
        <v>1932</v>
      </c>
      <c r="AR48" s="9">
        <v>45719</v>
      </c>
      <c r="AS48" s="9" t="s">
        <v>74</v>
      </c>
      <c r="AT48" s="9" t="s">
        <v>1935</v>
      </c>
      <c r="AU48" s="9" t="s">
        <v>1970</v>
      </c>
      <c r="AV48" s="9">
        <v>0</v>
      </c>
      <c r="AW48" s="9" t="s">
        <v>1971</v>
      </c>
      <c r="AX48" s="9" t="s">
        <v>196</v>
      </c>
      <c r="AY48" s="9">
        <v>0</v>
      </c>
      <c r="AZ48" s="9">
        <v>45719.429074074076</v>
      </c>
      <c r="BA48" s="9">
        <v>45719.429074074076</v>
      </c>
      <c r="BB48" s="9">
        <v>1</v>
      </c>
      <c r="BC48" s="9">
        <v>1</v>
      </c>
      <c r="BD48" s="9" t="s">
        <v>1972</v>
      </c>
      <c r="BE48" s="9" t="s">
        <v>197</v>
      </c>
      <c r="BF48" s="9" t="s">
        <v>71</v>
      </c>
      <c r="BG48" s="9"/>
      <c r="BH48" s="9">
        <v>0</v>
      </c>
      <c r="BI48" s="9"/>
      <c r="BJ48" s="9">
        <v>0</v>
      </c>
      <c r="BK48" s="9" t="s">
        <v>1937</v>
      </c>
      <c r="BL48" s="9" t="s">
        <v>1938</v>
      </c>
      <c r="BM48" s="9" t="s">
        <v>72</v>
      </c>
      <c r="BN48" s="9"/>
      <c r="BO48" s="9">
        <v>1</v>
      </c>
      <c r="BP48" s="9" t="s">
        <v>246</v>
      </c>
      <c r="BQ48" s="9">
        <v>0</v>
      </c>
      <c r="BR48" s="9">
        <v>45589.952337962961</v>
      </c>
      <c r="BS48" s="9" t="s">
        <v>109</v>
      </c>
      <c r="BT48" s="9" t="s">
        <v>65</v>
      </c>
      <c r="BU48" s="9"/>
      <c r="BV48" s="9"/>
      <c r="BW48" s="9">
        <v>0</v>
      </c>
      <c r="BX48" s="9"/>
      <c r="BY48" s="9">
        <v>45719.429074074076</v>
      </c>
      <c r="BZ48" s="9"/>
      <c r="CA48" s="9"/>
      <c r="CB48" s="9"/>
      <c r="CC48" s="9"/>
      <c r="CD48" s="9"/>
      <c r="CE48" s="9"/>
      <c r="CF48" s="9"/>
      <c r="CG48" s="9"/>
      <c r="CH48" s="9">
        <v>1</v>
      </c>
      <c r="CI48" s="9">
        <v>0</v>
      </c>
      <c r="CJ48" s="9"/>
      <c r="CK48" s="9"/>
      <c r="CL48" s="9" t="s">
        <v>1977</v>
      </c>
      <c r="CM48" s="9"/>
      <c r="CN48" s="9">
        <v>0</v>
      </c>
      <c r="CO48" s="9"/>
      <c r="CP48" s="9"/>
      <c r="CQ48" s="9"/>
    </row>
    <row r="49" spans="1:95" x14ac:dyDescent="0.35">
      <c r="A49" s="9" t="b">
        <f>ISNUMBER(MATCH(Claude[[#This Row],[Id]],ChargentOrders[Id],0))</f>
        <v>1</v>
      </c>
      <c r="B49" t="b">
        <f>INDEX(ChargentOrders[VALIDO],MATCH(Claude[[#This Row],[Id]],ChargentOrders[Id],0))</f>
        <v>1</v>
      </c>
      <c r="C49">
        <f>INDEX(Contract[CB_Subscription__c],MATCH(Claude[[#This Row],[Contract__c]],Contract[Id],0))</f>
        <v>0</v>
      </c>
      <c r="D49" s="9" t="s">
        <v>247</v>
      </c>
      <c r="E49" s="9" t="s">
        <v>79</v>
      </c>
      <c r="F49" s="9">
        <v>0</v>
      </c>
      <c r="G49" s="9" t="s">
        <v>248</v>
      </c>
      <c r="H49" s="9">
        <v>45716.429675925923</v>
      </c>
      <c r="I49" s="9" t="s">
        <v>65</v>
      </c>
      <c r="J49" s="9">
        <v>46217.738564814812</v>
      </c>
      <c r="K49" s="9" t="s">
        <v>78</v>
      </c>
      <c r="L49" s="9">
        <v>46217.738564814812</v>
      </c>
      <c r="M49" s="9"/>
      <c r="N49" s="9" t="s">
        <v>1988</v>
      </c>
      <c r="O49" s="9" t="s">
        <v>1982</v>
      </c>
      <c r="P49" s="9" t="s">
        <v>1983</v>
      </c>
      <c r="Q49" s="9" t="s">
        <v>1925</v>
      </c>
      <c r="R49" s="9" t="s">
        <v>1984</v>
      </c>
      <c r="S49" s="9" t="s">
        <v>1985</v>
      </c>
      <c r="T49" s="9" t="s">
        <v>1986</v>
      </c>
      <c r="U49" s="9" t="s">
        <v>1928</v>
      </c>
      <c r="V49" s="9">
        <v>771</v>
      </c>
      <c r="W49" s="9">
        <v>7</v>
      </c>
      <c r="X49" s="9">
        <v>2029</v>
      </c>
      <c r="Y49" s="9">
        <v>4040</v>
      </c>
      <c r="Z49" s="9">
        <v>7</v>
      </c>
      <c r="AA49" s="9">
        <v>4040</v>
      </c>
      <c r="AB49" s="9" t="s">
        <v>66</v>
      </c>
      <c r="AC49" s="9">
        <v>2029</v>
      </c>
      <c r="AD49" s="9" t="s">
        <v>91</v>
      </c>
      <c r="AE49" s="9">
        <v>30</v>
      </c>
      <c r="AF49" s="9" t="s">
        <v>1929</v>
      </c>
      <c r="AG49" s="9"/>
      <c r="AH49" s="9" t="s">
        <v>67</v>
      </c>
      <c r="AI49" s="9">
        <v>0</v>
      </c>
      <c r="AJ49" s="9"/>
      <c r="AK49" s="9">
        <v>0</v>
      </c>
      <c r="AL49" s="9" t="s">
        <v>1930</v>
      </c>
      <c r="AM49" s="9"/>
      <c r="AN49" s="9"/>
      <c r="AO49" s="9" t="s">
        <v>1943</v>
      </c>
      <c r="AP49" s="9" t="s">
        <v>69</v>
      </c>
      <c r="AQ49" s="9" t="s">
        <v>1932</v>
      </c>
      <c r="AR49" s="9">
        <v>46233</v>
      </c>
      <c r="AS49" s="9" t="s">
        <v>84</v>
      </c>
      <c r="AT49" s="9" t="s">
        <v>1944</v>
      </c>
      <c r="AU49" s="9" t="s">
        <v>91</v>
      </c>
      <c r="AV49" s="9">
        <v>0</v>
      </c>
      <c r="AW49" s="9" t="s">
        <v>93</v>
      </c>
      <c r="AX49" s="9" t="s">
        <v>219</v>
      </c>
      <c r="AY49" s="9">
        <v>0</v>
      </c>
      <c r="AZ49" s="9">
        <v>45930.420636574076</v>
      </c>
      <c r="BA49" s="9">
        <v>45930.420682870368</v>
      </c>
      <c r="BB49" s="9">
        <v>6</v>
      </c>
      <c r="BC49" s="9">
        <v>15</v>
      </c>
      <c r="BD49" s="9" t="s">
        <v>1965</v>
      </c>
      <c r="BE49" s="9" t="s">
        <v>220</v>
      </c>
      <c r="BF49" s="9" t="s">
        <v>76</v>
      </c>
      <c r="BG49" s="9"/>
      <c r="BH49" s="9">
        <v>0</v>
      </c>
      <c r="BI49" s="9"/>
      <c r="BJ49" s="9">
        <v>16</v>
      </c>
      <c r="BK49" s="9" t="s">
        <v>92</v>
      </c>
      <c r="BL49" s="9" t="s">
        <v>92</v>
      </c>
      <c r="BM49" s="9" t="s">
        <v>75</v>
      </c>
      <c r="BN49" s="9"/>
      <c r="BO49" s="9">
        <v>0</v>
      </c>
      <c r="BP49" s="9"/>
      <c r="BQ49" s="9">
        <v>0</v>
      </c>
      <c r="BR49" s="9"/>
      <c r="BS49" s="9"/>
      <c r="BT49" s="9"/>
      <c r="BU49" s="9"/>
      <c r="BV49" s="9"/>
      <c r="BW49" s="9">
        <v>0</v>
      </c>
      <c r="BX49" s="9">
        <v>46202.855358796296</v>
      </c>
      <c r="BY49" s="9">
        <v>46202.855358796296</v>
      </c>
      <c r="BZ49" s="9"/>
      <c r="CA49" s="9"/>
      <c r="CB49" s="9"/>
      <c r="CC49" s="9"/>
      <c r="CD49" s="9"/>
      <c r="CE49" s="9"/>
      <c r="CF49" s="9"/>
      <c r="CG49" s="9"/>
      <c r="CH49" s="9">
        <v>1</v>
      </c>
      <c r="CI49" s="9">
        <v>0</v>
      </c>
      <c r="CJ49" s="9"/>
      <c r="CK49" s="9"/>
      <c r="CL49" s="9" t="s">
        <v>1987</v>
      </c>
      <c r="CM49" s="9"/>
      <c r="CN49" s="9">
        <v>0</v>
      </c>
      <c r="CO49" s="9"/>
      <c r="CP49" s="9" t="s">
        <v>1996</v>
      </c>
      <c r="CQ49" s="9">
        <v>0</v>
      </c>
    </row>
    <row r="50" spans="1:95" x14ac:dyDescent="0.35">
      <c r="A50" s="9" t="b">
        <f>ISNUMBER(MATCH(Claude[[#This Row],[Id]],ChargentOrders[Id],0))</f>
        <v>1</v>
      </c>
      <c r="B50" t="b">
        <f>INDEX(ChargentOrders[VALIDO],MATCH(Claude[[#This Row],[Id]],ChargentOrders[Id],0))</f>
        <v>1</v>
      </c>
      <c r="C50">
        <f>INDEX(Contract[CB_Subscription__c],MATCH(Claude[[#This Row],[Contract__c]],Contract[Id],0))</f>
        <v>0</v>
      </c>
      <c r="D50" s="9" t="s">
        <v>250</v>
      </c>
      <c r="E50" s="9" t="s">
        <v>79</v>
      </c>
      <c r="F50" s="9">
        <v>0</v>
      </c>
      <c r="G50" s="9" t="s">
        <v>251</v>
      </c>
      <c r="H50" s="9">
        <v>45719.580833333333</v>
      </c>
      <c r="I50" s="9" t="s">
        <v>79</v>
      </c>
      <c r="J50" s="9">
        <v>45860.033171296294</v>
      </c>
      <c r="K50" s="9" t="s">
        <v>78</v>
      </c>
      <c r="L50" s="9">
        <v>45860.033171296294</v>
      </c>
      <c r="M50" s="9"/>
      <c r="N50" s="9"/>
      <c r="O50" s="9" t="s">
        <v>1997</v>
      </c>
      <c r="P50" s="9" t="s">
        <v>1990</v>
      </c>
      <c r="Q50" s="9" t="s">
        <v>1925</v>
      </c>
      <c r="R50" s="9" t="s">
        <v>1594</v>
      </c>
      <c r="S50" s="9" t="s">
        <v>1998</v>
      </c>
      <c r="T50" s="9" t="s">
        <v>1999</v>
      </c>
      <c r="U50" s="9" t="s">
        <v>1928</v>
      </c>
      <c r="V50" s="9">
        <v>901</v>
      </c>
      <c r="W50" s="9">
        <v>2</v>
      </c>
      <c r="X50" s="9">
        <v>2026</v>
      </c>
      <c r="Y50" s="9">
        <v>7405</v>
      </c>
      <c r="Z50" s="9">
        <v>2</v>
      </c>
      <c r="AA50" s="9">
        <v>4549516847817400</v>
      </c>
      <c r="AB50" s="9" t="s">
        <v>73</v>
      </c>
      <c r="AC50" s="9">
        <v>2026</v>
      </c>
      <c r="AD50" s="9" t="s">
        <v>93</v>
      </c>
      <c r="AE50" s="9"/>
      <c r="AF50" s="9" t="s">
        <v>1929</v>
      </c>
      <c r="AG50" s="9"/>
      <c r="AH50" s="9" t="s">
        <v>67</v>
      </c>
      <c r="AI50" s="9">
        <v>0</v>
      </c>
      <c r="AJ50" s="9"/>
      <c r="AK50" s="9">
        <v>0</v>
      </c>
      <c r="AL50" s="9" t="s">
        <v>1930</v>
      </c>
      <c r="AM50" s="9"/>
      <c r="AN50" s="9"/>
      <c r="AO50" s="9" t="s">
        <v>1931</v>
      </c>
      <c r="AP50" s="9" t="s">
        <v>69</v>
      </c>
      <c r="AQ50" s="9" t="s">
        <v>1932</v>
      </c>
      <c r="AR50" s="9"/>
      <c r="AS50" s="9"/>
      <c r="AT50" s="9"/>
      <c r="AU50" s="9" t="s">
        <v>92</v>
      </c>
      <c r="AV50" s="9">
        <v>0</v>
      </c>
      <c r="AW50" s="9"/>
      <c r="AX50" s="9" t="s">
        <v>252</v>
      </c>
      <c r="AY50" s="9">
        <v>0</v>
      </c>
      <c r="AZ50" s="9"/>
      <c r="BA50" s="9">
        <v>45719.58085648148</v>
      </c>
      <c r="BB50" s="9">
        <v>0</v>
      </c>
      <c r="BC50" s="9">
        <v>1</v>
      </c>
      <c r="BD50" s="9">
        <v>0</v>
      </c>
      <c r="BE50" s="9" t="s">
        <v>253</v>
      </c>
      <c r="BF50" s="9"/>
      <c r="BG50" s="9"/>
      <c r="BH50" s="9">
        <v>0</v>
      </c>
      <c r="BI50" s="9"/>
      <c r="BJ50" s="9">
        <v>1</v>
      </c>
      <c r="BK50" s="9"/>
      <c r="BL50" s="9"/>
      <c r="BM50" s="9" t="s">
        <v>75</v>
      </c>
      <c r="BN50" s="9"/>
      <c r="BO50" s="9">
        <v>0</v>
      </c>
      <c r="BP50" s="9"/>
      <c r="BQ50" s="9">
        <v>1</v>
      </c>
      <c r="BR50" s="9"/>
      <c r="BS50" s="9"/>
      <c r="BT50" s="9"/>
      <c r="BU50" s="9"/>
      <c r="BV50" s="9"/>
      <c r="BW50" s="9">
        <v>0</v>
      </c>
      <c r="BX50" s="9"/>
      <c r="BY50" s="9">
        <v>45719.58085648148</v>
      </c>
      <c r="BZ50" s="9"/>
      <c r="CA50" s="9"/>
      <c r="CB50" s="9"/>
      <c r="CC50" s="9"/>
      <c r="CD50" s="9"/>
      <c r="CE50" s="9"/>
      <c r="CF50" s="9"/>
      <c r="CG50" s="9"/>
      <c r="CH50" s="9">
        <v>1</v>
      </c>
      <c r="CI50" s="9">
        <v>0</v>
      </c>
      <c r="CJ50" s="9"/>
      <c r="CK50" s="9"/>
      <c r="CL50" s="9" t="s">
        <v>2000</v>
      </c>
      <c r="CM50" s="9"/>
      <c r="CN50" s="9">
        <v>0</v>
      </c>
      <c r="CO50" s="9"/>
      <c r="CP50" s="9"/>
      <c r="CQ50" s="9"/>
    </row>
    <row r="51" spans="1:95" x14ac:dyDescent="0.35">
      <c r="A51" s="9" t="b">
        <f>ISNUMBER(MATCH(Claude[[#This Row],[Id]],ChargentOrders[Id],0))</f>
        <v>1</v>
      </c>
      <c r="B51" t="b">
        <f>INDEX(ChargentOrders[VALIDO],MATCH(Claude[[#This Row],[Id]],ChargentOrders[Id],0))</f>
        <v>1</v>
      </c>
      <c r="C51">
        <f>INDEX(Contract[CB_Subscription__c],MATCH(Claude[[#This Row],[Contract__c]],Contract[Id],0))</f>
        <v>0</v>
      </c>
      <c r="D51" s="9" t="s">
        <v>254</v>
      </c>
      <c r="E51" s="9" t="s">
        <v>79</v>
      </c>
      <c r="F51" s="9">
        <v>0</v>
      </c>
      <c r="G51" s="9" t="s">
        <v>255</v>
      </c>
      <c r="H51" s="9">
        <v>45719.581354166665</v>
      </c>
      <c r="I51" s="9" t="s">
        <v>79</v>
      </c>
      <c r="J51" s="9">
        <v>45860.033171296294</v>
      </c>
      <c r="K51" s="9" t="s">
        <v>78</v>
      </c>
      <c r="L51" s="9">
        <v>45860.033171296294</v>
      </c>
      <c r="M51" s="9"/>
      <c r="N51" s="9" t="s">
        <v>1596</v>
      </c>
      <c r="O51" s="9" t="s">
        <v>1997</v>
      </c>
      <c r="P51" s="9" t="s">
        <v>1990</v>
      </c>
      <c r="Q51" s="9" t="s">
        <v>1925</v>
      </c>
      <c r="R51" s="9" t="s">
        <v>1594</v>
      </c>
      <c r="S51" s="9" t="s">
        <v>1998</v>
      </c>
      <c r="T51" s="9" t="s">
        <v>1999</v>
      </c>
      <c r="U51" s="9" t="s">
        <v>1928</v>
      </c>
      <c r="V51" s="9">
        <v>901</v>
      </c>
      <c r="W51" s="9">
        <v>2</v>
      </c>
      <c r="X51" s="9">
        <v>2026</v>
      </c>
      <c r="Y51" s="9">
        <v>7405</v>
      </c>
      <c r="Z51" s="9">
        <v>2</v>
      </c>
      <c r="AA51" s="9">
        <v>4549516847817400</v>
      </c>
      <c r="AB51" s="9" t="s">
        <v>73</v>
      </c>
      <c r="AC51" s="9">
        <v>2026</v>
      </c>
      <c r="AD51" s="9" t="s">
        <v>2001</v>
      </c>
      <c r="AE51" s="9"/>
      <c r="AF51" s="9" t="s">
        <v>1929</v>
      </c>
      <c r="AG51" s="9"/>
      <c r="AH51" s="9" t="s">
        <v>67</v>
      </c>
      <c r="AI51" s="9">
        <v>0</v>
      </c>
      <c r="AJ51" s="9"/>
      <c r="AK51" s="9">
        <v>0</v>
      </c>
      <c r="AL51" s="9" t="s">
        <v>1930</v>
      </c>
      <c r="AM51" s="9">
        <v>1</v>
      </c>
      <c r="AN51" s="9"/>
      <c r="AO51" s="9" t="s">
        <v>1931</v>
      </c>
      <c r="AP51" s="9" t="s">
        <v>69</v>
      </c>
      <c r="AQ51" s="9" t="s">
        <v>1932</v>
      </c>
      <c r="AR51" s="9">
        <v>45723</v>
      </c>
      <c r="AS51" s="9" t="s">
        <v>74</v>
      </c>
      <c r="AT51" s="9" t="s">
        <v>1935</v>
      </c>
      <c r="AU51" s="9" t="s">
        <v>2002</v>
      </c>
      <c r="AV51" s="9">
        <v>0</v>
      </c>
      <c r="AW51" s="9">
        <v>18285</v>
      </c>
      <c r="AX51" s="9" t="s">
        <v>252</v>
      </c>
      <c r="AY51" s="9">
        <v>0</v>
      </c>
      <c r="AZ51" s="9">
        <v>45723.426388888889</v>
      </c>
      <c r="BA51" s="9">
        <v>45723.426446759258</v>
      </c>
      <c r="BB51" s="9">
        <v>1</v>
      </c>
      <c r="BC51" s="9">
        <v>1</v>
      </c>
      <c r="BD51" s="9" t="s">
        <v>2001</v>
      </c>
      <c r="BE51" s="9" t="s">
        <v>253</v>
      </c>
      <c r="BF51" s="9" t="s">
        <v>77</v>
      </c>
      <c r="BG51" s="9"/>
      <c r="BH51" s="9">
        <v>0</v>
      </c>
      <c r="BI51" s="9"/>
      <c r="BJ51" s="9">
        <v>1</v>
      </c>
      <c r="BK51" s="9" t="s">
        <v>1937</v>
      </c>
      <c r="BL51" s="9" t="s">
        <v>1938</v>
      </c>
      <c r="BM51" s="9" t="s">
        <v>75</v>
      </c>
      <c r="BN51" s="9"/>
      <c r="BO51" s="9">
        <v>0</v>
      </c>
      <c r="BP51" s="9"/>
      <c r="BQ51" s="9">
        <v>0</v>
      </c>
      <c r="BR51" s="9"/>
      <c r="BS51" s="9"/>
      <c r="BT51" s="9"/>
      <c r="BU51" s="9"/>
      <c r="BV51" s="9"/>
      <c r="BW51" s="9">
        <v>0</v>
      </c>
      <c r="BX51" s="9"/>
      <c r="BY51" s="9">
        <v>45723.426388888889</v>
      </c>
      <c r="BZ51" s="9"/>
      <c r="CA51" s="9"/>
      <c r="CB51" s="9"/>
      <c r="CC51" s="9"/>
      <c r="CD51" s="9"/>
      <c r="CE51" s="9"/>
      <c r="CF51" s="9"/>
      <c r="CG51" s="9"/>
      <c r="CH51" s="9">
        <v>1</v>
      </c>
      <c r="CI51" s="9">
        <v>0</v>
      </c>
      <c r="CJ51" s="9"/>
      <c r="CK51" s="9"/>
      <c r="CL51" s="9" t="s">
        <v>2000</v>
      </c>
      <c r="CM51" s="9"/>
      <c r="CN51" s="9">
        <v>0</v>
      </c>
      <c r="CO51" s="9"/>
      <c r="CP51" s="9"/>
      <c r="CQ51" s="9"/>
    </row>
    <row r="52" spans="1:95" x14ac:dyDescent="0.35">
      <c r="A52" s="9" t="b">
        <f>ISNUMBER(MATCH(Claude[[#This Row],[Id]],ChargentOrders[Id],0))</f>
        <v>1</v>
      </c>
      <c r="B52" t="b">
        <f>INDEX(ChargentOrders[VALIDO],MATCH(Claude[[#This Row],[Id]],ChargentOrders[Id],0))</f>
        <v>1</v>
      </c>
      <c r="C52">
        <f>INDEX(Contract[CB_Subscription__c],MATCH(Claude[[#This Row],[Contract__c]],Contract[Id],0))</f>
        <v>0</v>
      </c>
      <c r="D52" s="9" t="s">
        <v>257</v>
      </c>
      <c r="E52" s="9" t="s">
        <v>79</v>
      </c>
      <c r="F52" s="9">
        <v>0</v>
      </c>
      <c r="G52" s="9" t="s">
        <v>258</v>
      </c>
      <c r="H52" s="9">
        <v>45723.426469907405</v>
      </c>
      <c r="I52" s="9" t="s">
        <v>65</v>
      </c>
      <c r="J52" s="9">
        <v>46217.738564814812</v>
      </c>
      <c r="K52" s="9" t="s">
        <v>78</v>
      </c>
      <c r="L52" s="9">
        <v>46217.738564814812</v>
      </c>
      <c r="M52" s="9"/>
      <c r="N52" s="9" t="s">
        <v>1596</v>
      </c>
      <c r="O52" s="9" t="s">
        <v>1997</v>
      </c>
      <c r="P52" s="9" t="s">
        <v>1990</v>
      </c>
      <c r="Q52" s="9" t="s">
        <v>1925</v>
      </c>
      <c r="R52" s="9" t="s">
        <v>1594</v>
      </c>
      <c r="S52" s="9" t="s">
        <v>1998</v>
      </c>
      <c r="T52" s="9" t="s">
        <v>1999</v>
      </c>
      <c r="U52" s="9" t="s">
        <v>1928</v>
      </c>
      <c r="V52" s="9">
        <v>901</v>
      </c>
      <c r="W52" s="9">
        <v>2</v>
      </c>
      <c r="X52" s="9">
        <v>2026</v>
      </c>
      <c r="Y52" s="9">
        <v>7405</v>
      </c>
      <c r="Z52" s="9">
        <v>2</v>
      </c>
      <c r="AA52" s="9">
        <v>7405</v>
      </c>
      <c r="AB52" s="9" t="s">
        <v>73</v>
      </c>
      <c r="AC52" s="9">
        <v>2026</v>
      </c>
      <c r="AD52" s="9" t="s">
        <v>473</v>
      </c>
      <c r="AE52" s="9">
        <v>30</v>
      </c>
      <c r="AF52" s="9" t="s">
        <v>1929</v>
      </c>
      <c r="AG52" s="9"/>
      <c r="AH52" s="9" t="s">
        <v>67</v>
      </c>
      <c r="AI52" s="9">
        <v>0</v>
      </c>
      <c r="AJ52" s="9"/>
      <c r="AK52" s="9">
        <v>0</v>
      </c>
      <c r="AL52" s="9" t="s">
        <v>1930</v>
      </c>
      <c r="AM52" s="9"/>
      <c r="AN52" s="9"/>
      <c r="AO52" s="9" t="s">
        <v>1943</v>
      </c>
      <c r="AP52" s="9" t="s">
        <v>69</v>
      </c>
      <c r="AQ52" s="9" t="s">
        <v>1932</v>
      </c>
      <c r="AR52" s="9">
        <v>46233</v>
      </c>
      <c r="AS52" s="9" t="s">
        <v>84</v>
      </c>
      <c r="AT52" s="9" t="s">
        <v>1944</v>
      </c>
      <c r="AU52" s="9" t="s">
        <v>473</v>
      </c>
      <c r="AV52" s="9">
        <v>0</v>
      </c>
      <c r="AW52" s="9" t="s">
        <v>92</v>
      </c>
      <c r="AX52" s="9" t="s">
        <v>252</v>
      </c>
      <c r="AY52" s="9">
        <v>0</v>
      </c>
      <c r="AZ52" s="9"/>
      <c r="BA52" s="9"/>
      <c r="BB52" s="9">
        <v>0</v>
      </c>
      <c r="BC52" s="9">
        <v>14</v>
      </c>
      <c r="BD52" s="9">
        <v>0</v>
      </c>
      <c r="BE52" s="9" t="s">
        <v>253</v>
      </c>
      <c r="BF52" s="9" t="s">
        <v>76</v>
      </c>
      <c r="BG52" s="9"/>
      <c r="BH52" s="9">
        <v>0</v>
      </c>
      <c r="BI52" s="9"/>
      <c r="BJ52" s="9">
        <v>14</v>
      </c>
      <c r="BK52" s="9" t="s">
        <v>92</v>
      </c>
      <c r="BL52" s="9" t="s">
        <v>92</v>
      </c>
      <c r="BM52" s="9" t="s">
        <v>75</v>
      </c>
      <c r="BN52" s="9"/>
      <c r="BO52" s="9">
        <v>0</v>
      </c>
      <c r="BP52" s="9"/>
      <c r="BQ52" s="9">
        <v>0</v>
      </c>
      <c r="BR52" s="9"/>
      <c r="BS52" s="9"/>
      <c r="BT52" s="9"/>
      <c r="BU52" s="9"/>
      <c r="BV52" s="9"/>
      <c r="BW52" s="9">
        <v>0</v>
      </c>
      <c r="BX52" s="9">
        <v>46203.417013888888</v>
      </c>
      <c r="BY52" s="9">
        <v>46203.417013888888</v>
      </c>
      <c r="BZ52" s="9"/>
      <c r="CA52" s="9"/>
      <c r="CB52" s="9"/>
      <c r="CC52" s="9"/>
      <c r="CD52" s="9"/>
      <c r="CE52" s="9"/>
      <c r="CF52" s="9"/>
      <c r="CG52" s="9"/>
      <c r="CH52" s="9">
        <v>1</v>
      </c>
      <c r="CI52" s="9">
        <v>0</v>
      </c>
      <c r="CJ52" s="9"/>
      <c r="CK52" s="9"/>
      <c r="CL52" s="9" t="s">
        <v>2000</v>
      </c>
      <c r="CM52" s="9"/>
      <c r="CN52" s="9">
        <v>0</v>
      </c>
      <c r="CO52" s="9"/>
      <c r="CP52" s="9" t="s">
        <v>2003</v>
      </c>
      <c r="CQ52" s="9">
        <v>0</v>
      </c>
    </row>
    <row r="53" spans="1:95" x14ac:dyDescent="0.35">
      <c r="A53" s="9" t="b">
        <f>ISNUMBER(MATCH(Claude[[#This Row],[Id]],ChargentOrders[Id],0))</f>
        <v>1</v>
      </c>
      <c r="B53" t="b">
        <f>INDEX(ChargentOrders[VALIDO],MATCH(Claude[[#This Row],[Id]],ChargentOrders[Id],0))</f>
        <v>1</v>
      </c>
      <c r="C53">
        <f>INDEX(Contract[CB_Subscription__c],MATCH(Claude[[#This Row],[Contract__c]],Contract[Id],0))</f>
        <v>0</v>
      </c>
      <c r="D53" s="9" t="s">
        <v>260</v>
      </c>
      <c r="E53" s="9" t="s">
        <v>78</v>
      </c>
      <c r="F53" s="9">
        <v>0</v>
      </c>
      <c r="G53" s="9" t="s">
        <v>261</v>
      </c>
      <c r="H53" s="9">
        <v>45725.886516203704</v>
      </c>
      <c r="I53" s="9" t="s">
        <v>78</v>
      </c>
      <c r="J53" s="9">
        <v>45860.032557870371</v>
      </c>
      <c r="K53" s="9" t="s">
        <v>78</v>
      </c>
      <c r="L53" s="9">
        <v>45860.032557870371</v>
      </c>
      <c r="M53" s="9"/>
      <c r="N53" s="9" t="s">
        <v>1576</v>
      </c>
      <c r="O53" s="9" t="s">
        <v>1947</v>
      </c>
      <c r="P53" s="9" t="s">
        <v>1948</v>
      </c>
      <c r="Q53" s="9" t="s">
        <v>1925</v>
      </c>
      <c r="R53" s="9" t="s">
        <v>1574</v>
      </c>
      <c r="S53" s="9" t="s">
        <v>1949</v>
      </c>
      <c r="T53" s="9" t="s">
        <v>1950</v>
      </c>
      <c r="U53" s="9" t="s">
        <v>1928</v>
      </c>
      <c r="V53" s="9">
        <v>769</v>
      </c>
      <c r="W53" s="9">
        <v>7</v>
      </c>
      <c r="X53" s="9">
        <v>2028</v>
      </c>
      <c r="Y53" s="9">
        <v>1524</v>
      </c>
      <c r="Z53" s="9">
        <v>7</v>
      </c>
      <c r="AA53" s="9" t="s">
        <v>1443</v>
      </c>
      <c r="AB53" s="9" t="s">
        <v>73</v>
      </c>
      <c r="AC53" s="9">
        <v>2028</v>
      </c>
      <c r="AD53" s="9" t="s">
        <v>105</v>
      </c>
      <c r="AE53" s="9"/>
      <c r="AF53" s="9"/>
      <c r="AG53" s="9"/>
      <c r="AH53" s="9" t="s">
        <v>67</v>
      </c>
      <c r="AI53" s="9">
        <v>0</v>
      </c>
      <c r="AJ53" s="9"/>
      <c r="AK53" s="9">
        <v>0</v>
      </c>
      <c r="AL53" s="9" t="s">
        <v>1930</v>
      </c>
      <c r="AM53" s="9">
        <v>1</v>
      </c>
      <c r="AN53" s="9">
        <v>45716</v>
      </c>
      <c r="AO53" s="9" t="s">
        <v>1931</v>
      </c>
      <c r="AP53" s="9" t="s">
        <v>69</v>
      </c>
      <c r="AQ53" s="9" t="s">
        <v>1932</v>
      </c>
      <c r="AR53" s="9">
        <v>45716</v>
      </c>
      <c r="AS53" s="9" t="s">
        <v>74</v>
      </c>
      <c r="AT53" s="9" t="s">
        <v>1935</v>
      </c>
      <c r="AU53" s="9" t="s">
        <v>473</v>
      </c>
      <c r="AV53" s="9">
        <v>0</v>
      </c>
      <c r="AW53" s="9" t="s">
        <v>2004</v>
      </c>
      <c r="AX53" s="9" t="s">
        <v>158</v>
      </c>
      <c r="AY53" s="9">
        <v>0</v>
      </c>
      <c r="AZ53" s="9">
        <v>45726.426550925928</v>
      </c>
      <c r="BA53" s="9">
        <v>45726.426550925928</v>
      </c>
      <c r="BB53" s="9">
        <v>1</v>
      </c>
      <c r="BC53" s="9">
        <v>1</v>
      </c>
      <c r="BD53" s="9" t="s">
        <v>105</v>
      </c>
      <c r="BE53" s="9" t="s">
        <v>159</v>
      </c>
      <c r="BF53" s="9" t="s">
        <v>71</v>
      </c>
      <c r="BG53" s="9" t="s">
        <v>259</v>
      </c>
      <c r="BH53" s="9">
        <v>0</v>
      </c>
      <c r="BI53" s="9">
        <v>45725.886180555557</v>
      </c>
      <c r="BJ53" s="9" t="s">
        <v>1958</v>
      </c>
      <c r="BK53" s="9" t="s">
        <v>1958</v>
      </c>
      <c r="BL53" s="9" t="s">
        <v>1959</v>
      </c>
      <c r="BM53" s="9" t="s">
        <v>75</v>
      </c>
      <c r="BN53" s="9"/>
      <c r="BO53" s="9">
        <v>0</v>
      </c>
      <c r="BP53" s="9"/>
      <c r="BQ53" s="9">
        <v>0</v>
      </c>
      <c r="BR53" s="9"/>
      <c r="BS53" s="9"/>
      <c r="BT53" s="9"/>
      <c r="BU53" s="9"/>
      <c r="BV53" s="9"/>
      <c r="BW53" s="9">
        <v>0</v>
      </c>
      <c r="BX53" s="9"/>
      <c r="BY53" s="9">
        <v>45726.426550925928</v>
      </c>
      <c r="BZ53" s="9"/>
      <c r="CA53" s="9"/>
      <c r="CB53" s="9"/>
      <c r="CC53" s="9"/>
      <c r="CD53" s="9"/>
      <c r="CE53" s="9"/>
      <c r="CF53" s="9"/>
      <c r="CG53" s="9"/>
      <c r="CH53" s="9">
        <v>1</v>
      </c>
      <c r="CI53" s="9">
        <v>0</v>
      </c>
      <c r="CJ53" s="9"/>
      <c r="CK53" s="9"/>
      <c r="CL53" s="9"/>
      <c r="CM53" s="9" t="s">
        <v>256</v>
      </c>
      <c r="CN53" s="9">
        <v>0</v>
      </c>
      <c r="CO53" s="9"/>
      <c r="CP53" s="9"/>
      <c r="CQ53" s="9"/>
    </row>
    <row r="54" spans="1:95" x14ac:dyDescent="0.35">
      <c r="A54" s="9" t="b">
        <f>ISNUMBER(MATCH(Claude[[#This Row],[Id]],ChargentOrders[Id],0))</f>
        <v>1</v>
      </c>
      <c r="B54" t="b">
        <f>INDEX(ChargentOrders[VALIDO],MATCH(Claude[[#This Row],[Id]],ChargentOrders[Id],0))</f>
        <v>1</v>
      </c>
      <c r="C54">
        <f>INDEX(Contract[CB_Subscription__c],MATCH(Claude[[#This Row],[Contract__c]],Contract[Id],0))</f>
        <v>0</v>
      </c>
      <c r="D54" s="9" t="s">
        <v>262</v>
      </c>
      <c r="E54" s="9" t="s">
        <v>81</v>
      </c>
      <c r="F54" s="9">
        <v>0</v>
      </c>
      <c r="G54" s="9" t="s">
        <v>263</v>
      </c>
      <c r="H54" s="9">
        <v>45729.863726851851</v>
      </c>
      <c r="I54" s="9" t="s">
        <v>81</v>
      </c>
      <c r="J54" s="9">
        <v>45860.033171296294</v>
      </c>
      <c r="K54" s="9" t="s">
        <v>78</v>
      </c>
      <c r="L54" s="9">
        <v>45860.033171296294</v>
      </c>
      <c r="M54" s="9"/>
      <c r="N54" s="9"/>
      <c r="O54" s="9" t="s">
        <v>2005</v>
      </c>
      <c r="P54" s="9" t="s">
        <v>2006</v>
      </c>
      <c r="Q54" s="9" t="s">
        <v>1925</v>
      </c>
      <c r="R54" s="9" t="s">
        <v>1599</v>
      </c>
      <c r="S54" s="9" t="s">
        <v>2007</v>
      </c>
      <c r="T54" s="9" t="s">
        <v>2008</v>
      </c>
      <c r="U54" s="9" t="s">
        <v>1928</v>
      </c>
      <c r="V54" s="9">
        <v>985</v>
      </c>
      <c r="W54" s="9">
        <v>11</v>
      </c>
      <c r="X54" s="9">
        <v>2029</v>
      </c>
      <c r="Y54" s="9">
        <v>6484</v>
      </c>
      <c r="Z54" s="9">
        <v>11</v>
      </c>
      <c r="AA54" s="9">
        <v>4549518380296480</v>
      </c>
      <c r="AB54" s="9" t="s">
        <v>73</v>
      </c>
      <c r="AC54" s="9">
        <v>2029</v>
      </c>
      <c r="AD54" s="9" t="s">
        <v>93</v>
      </c>
      <c r="AE54" s="9"/>
      <c r="AF54" s="9" t="s">
        <v>1929</v>
      </c>
      <c r="AG54" s="9"/>
      <c r="AH54" s="9" t="s">
        <v>67</v>
      </c>
      <c r="AI54" s="9">
        <v>0</v>
      </c>
      <c r="AJ54" s="9"/>
      <c r="AK54" s="9">
        <v>0</v>
      </c>
      <c r="AL54" s="9" t="s">
        <v>1930</v>
      </c>
      <c r="AM54" s="9"/>
      <c r="AN54" s="9"/>
      <c r="AO54" s="9" t="s">
        <v>1931</v>
      </c>
      <c r="AP54" s="9" t="s">
        <v>69</v>
      </c>
      <c r="AQ54" s="9" t="s">
        <v>1932</v>
      </c>
      <c r="AR54" s="9"/>
      <c r="AS54" s="9"/>
      <c r="AT54" s="9"/>
      <c r="AU54" s="9" t="s">
        <v>92</v>
      </c>
      <c r="AV54" s="9">
        <v>0</v>
      </c>
      <c r="AW54" s="9"/>
      <c r="AX54" s="9" t="s">
        <v>264</v>
      </c>
      <c r="AY54" s="9">
        <v>0</v>
      </c>
      <c r="AZ54" s="9"/>
      <c r="BA54" s="9">
        <v>45729.863749999997</v>
      </c>
      <c r="BB54" s="9">
        <v>0</v>
      </c>
      <c r="BC54" s="9">
        <v>1</v>
      </c>
      <c r="BD54" s="9">
        <v>0</v>
      </c>
      <c r="BE54" s="9" t="s">
        <v>265</v>
      </c>
      <c r="BF54" s="9"/>
      <c r="BG54" s="9"/>
      <c r="BH54" s="9">
        <v>0</v>
      </c>
      <c r="BI54" s="9"/>
      <c r="BJ54" s="9">
        <v>1</v>
      </c>
      <c r="BK54" s="9"/>
      <c r="BL54" s="9"/>
      <c r="BM54" s="9" t="s">
        <v>75</v>
      </c>
      <c r="BN54" s="9"/>
      <c r="BO54" s="9">
        <v>0</v>
      </c>
      <c r="BP54" s="9"/>
      <c r="BQ54" s="9">
        <v>1</v>
      </c>
      <c r="BR54" s="9"/>
      <c r="BS54" s="9"/>
      <c r="BT54" s="9"/>
      <c r="BU54" s="9"/>
      <c r="BV54" s="9"/>
      <c r="BW54" s="9">
        <v>0</v>
      </c>
      <c r="BX54" s="9"/>
      <c r="BY54" s="9">
        <v>45729.863749999997</v>
      </c>
      <c r="BZ54" s="9"/>
      <c r="CA54" s="9"/>
      <c r="CB54" s="9"/>
      <c r="CC54" s="9"/>
      <c r="CD54" s="9"/>
      <c r="CE54" s="9"/>
      <c r="CF54" s="9"/>
      <c r="CG54" s="9"/>
      <c r="CH54" s="9">
        <v>1</v>
      </c>
      <c r="CI54" s="9">
        <v>0</v>
      </c>
      <c r="CJ54" s="9"/>
      <c r="CK54" s="9"/>
      <c r="CL54" s="9" t="s">
        <v>2009</v>
      </c>
      <c r="CM54" s="9"/>
      <c r="CN54" s="9">
        <v>0</v>
      </c>
      <c r="CO54" s="9"/>
      <c r="CP54" s="9"/>
      <c r="CQ54" s="9"/>
    </row>
    <row r="55" spans="1:95" x14ac:dyDescent="0.35">
      <c r="A55" s="9" t="b">
        <f>ISNUMBER(MATCH(Claude[[#This Row],[Id]],ChargentOrders[Id],0))</f>
        <v>1</v>
      </c>
      <c r="B55" t="b">
        <f>INDEX(ChargentOrders[VALIDO],MATCH(Claude[[#This Row],[Id]],ChargentOrders[Id],0))</f>
        <v>1</v>
      </c>
      <c r="C55">
        <f>INDEX(Contract[CB_Subscription__c],MATCH(Claude[[#This Row],[Contract__c]],Contract[Id],0))</f>
        <v>0</v>
      </c>
      <c r="D55" s="9" t="s">
        <v>266</v>
      </c>
      <c r="E55" s="9" t="s">
        <v>81</v>
      </c>
      <c r="F55" s="9">
        <v>0</v>
      </c>
      <c r="G55" s="9" t="s">
        <v>267</v>
      </c>
      <c r="H55" s="9">
        <v>45729.867395833331</v>
      </c>
      <c r="I55" s="9" t="s">
        <v>81</v>
      </c>
      <c r="J55" s="9">
        <v>45860.033171296294</v>
      </c>
      <c r="K55" s="9" t="s">
        <v>78</v>
      </c>
      <c r="L55" s="9">
        <v>45860.033171296294</v>
      </c>
      <c r="M55" s="9"/>
      <c r="N55" s="9" t="s">
        <v>1601</v>
      </c>
      <c r="O55" s="9" t="s">
        <v>2005</v>
      </c>
      <c r="P55" s="9" t="s">
        <v>2006</v>
      </c>
      <c r="Q55" s="9" t="s">
        <v>1925</v>
      </c>
      <c r="R55" s="9" t="s">
        <v>1599</v>
      </c>
      <c r="S55" s="9" t="s">
        <v>2007</v>
      </c>
      <c r="T55" s="9" t="s">
        <v>2008</v>
      </c>
      <c r="U55" s="9" t="s">
        <v>1928</v>
      </c>
      <c r="V55" s="9">
        <v>985</v>
      </c>
      <c r="W55" s="9">
        <v>11</v>
      </c>
      <c r="X55" s="9">
        <v>2029</v>
      </c>
      <c r="Y55" s="9">
        <v>6484</v>
      </c>
      <c r="Z55" s="9">
        <v>11</v>
      </c>
      <c r="AA55" s="9">
        <v>4549518380296480</v>
      </c>
      <c r="AB55" s="9" t="s">
        <v>73</v>
      </c>
      <c r="AC55" s="9">
        <v>2029</v>
      </c>
      <c r="AD55" s="9" t="s">
        <v>2010</v>
      </c>
      <c r="AE55" s="9"/>
      <c r="AF55" s="9" t="s">
        <v>1929</v>
      </c>
      <c r="AG55" s="9"/>
      <c r="AH55" s="9" t="s">
        <v>67</v>
      </c>
      <c r="AI55" s="9">
        <v>0</v>
      </c>
      <c r="AJ55" s="9"/>
      <c r="AK55" s="9">
        <v>0</v>
      </c>
      <c r="AL55" s="9" t="s">
        <v>1930</v>
      </c>
      <c r="AM55" s="9">
        <v>1</v>
      </c>
      <c r="AN55" s="9"/>
      <c r="AO55" s="9" t="s">
        <v>1931</v>
      </c>
      <c r="AP55" s="9" t="s">
        <v>69</v>
      </c>
      <c r="AQ55" s="9" t="s">
        <v>1934</v>
      </c>
      <c r="AR55" s="9">
        <v>45729</v>
      </c>
      <c r="AS55" s="9" t="s">
        <v>74</v>
      </c>
      <c r="AT55" s="9" t="s">
        <v>1935</v>
      </c>
      <c r="AU55" s="9" t="s">
        <v>2011</v>
      </c>
      <c r="AV55" s="9">
        <v>0</v>
      </c>
      <c r="AW55" s="9">
        <v>9142</v>
      </c>
      <c r="AX55" s="9" t="s">
        <v>264</v>
      </c>
      <c r="AY55" s="9">
        <v>0</v>
      </c>
      <c r="AZ55" s="9">
        <v>45729.867673611108</v>
      </c>
      <c r="BA55" s="9">
        <v>45729.867673611108</v>
      </c>
      <c r="BB55" s="9">
        <v>1</v>
      </c>
      <c r="BC55" s="9">
        <v>1</v>
      </c>
      <c r="BD55" s="9" t="s">
        <v>2010</v>
      </c>
      <c r="BE55" s="9" t="s">
        <v>265</v>
      </c>
      <c r="BF55" s="9" t="s">
        <v>77</v>
      </c>
      <c r="BG55" s="9"/>
      <c r="BH55" s="9">
        <v>0</v>
      </c>
      <c r="BI55" s="9"/>
      <c r="BJ55" s="9">
        <v>1</v>
      </c>
      <c r="BK55" s="9" t="s">
        <v>1937</v>
      </c>
      <c r="BL55" s="9" t="s">
        <v>1938</v>
      </c>
      <c r="BM55" s="9" t="s">
        <v>75</v>
      </c>
      <c r="BN55" s="9"/>
      <c r="BO55" s="9">
        <v>0</v>
      </c>
      <c r="BP55" s="9"/>
      <c r="BQ55" s="9">
        <v>0</v>
      </c>
      <c r="BR55" s="9"/>
      <c r="BS55" s="9"/>
      <c r="BT55" s="9"/>
      <c r="BU55" s="9"/>
      <c r="BV55" s="9"/>
      <c r="BW55" s="9">
        <v>0</v>
      </c>
      <c r="BX55" s="9"/>
      <c r="BY55" s="9">
        <v>45729.867673611108</v>
      </c>
      <c r="BZ55" s="9"/>
      <c r="CA55" s="9"/>
      <c r="CB55" s="9"/>
      <c r="CC55" s="9"/>
      <c r="CD55" s="9"/>
      <c r="CE55" s="9"/>
      <c r="CF55" s="9"/>
      <c r="CG55" s="9"/>
      <c r="CH55" s="9">
        <v>1</v>
      </c>
      <c r="CI55" s="9">
        <v>0</v>
      </c>
      <c r="CJ55" s="9"/>
      <c r="CK55" s="9"/>
      <c r="CL55" s="9" t="s">
        <v>2009</v>
      </c>
      <c r="CM55" s="9"/>
      <c r="CN55" s="9">
        <v>0</v>
      </c>
      <c r="CO55" s="9"/>
      <c r="CP55" s="9"/>
      <c r="CQ55" s="9"/>
    </row>
    <row r="56" spans="1:95" x14ac:dyDescent="0.35">
      <c r="A56" s="9" t="b">
        <f>ISNUMBER(MATCH(Claude[[#This Row],[Id]],ChargentOrders[Id],0))</f>
        <v>1</v>
      </c>
      <c r="B56" t="b">
        <f>INDEX(ChargentOrders[VALIDO],MATCH(Claude[[#This Row],[Id]],ChargentOrders[Id],0))</f>
        <v>1</v>
      </c>
      <c r="C56">
        <f>INDEX(Contract[CB_Subscription__c],MATCH(Claude[[#This Row],[Contract__c]],Contract[Id],0))</f>
        <v>0</v>
      </c>
      <c r="D56" s="9" t="s">
        <v>268</v>
      </c>
      <c r="E56" s="9" t="s">
        <v>81</v>
      </c>
      <c r="F56" s="9">
        <v>0</v>
      </c>
      <c r="G56" s="9" t="s">
        <v>269</v>
      </c>
      <c r="H56" s="9">
        <v>45729.867395833331</v>
      </c>
      <c r="I56" s="9" t="s">
        <v>81</v>
      </c>
      <c r="J56" s="9">
        <v>45860.033171296294</v>
      </c>
      <c r="K56" s="9" t="s">
        <v>78</v>
      </c>
      <c r="L56" s="9">
        <v>45860.033171296294</v>
      </c>
      <c r="M56" s="9"/>
      <c r="N56" s="9" t="s">
        <v>1601</v>
      </c>
      <c r="O56" s="9" t="s">
        <v>2005</v>
      </c>
      <c r="P56" s="9" t="s">
        <v>2006</v>
      </c>
      <c r="Q56" s="9" t="s">
        <v>1925</v>
      </c>
      <c r="R56" s="9" t="s">
        <v>1599</v>
      </c>
      <c r="S56" s="9" t="s">
        <v>2007</v>
      </c>
      <c r="T56" s="9" t="s">
        <v>2008</v>
      </c>
      <c r="U56" s="9" t="s">
        <v>1928</v>
      </c>
      <c r="V56" s="9">
        <v>985</v>
      </c>
      <c r="W56" s="9">
        <v>11</v>
      </c>
      <c r="X56" s="9">
        <v>2029</v>
      </c>
      <c r="Y56" s="9">
        <v>6484</v>
      </c>
      <c r="Z56" s="9">
        <v>11</v>
      </c>
      <c r="AA56" s="9">
        <v>4549518380296480</v>
      </c>
      <c r="AB56" s="9" t="s">
        <v>73</v>
      </c>
      <c r="AC56" s="9">
        <v>2029</v>
      </c>
      <c r="AD56" s="9" t="s">
        <v>2010</v>
      </c>
      <c r="AE56" s="9"/>
      <c r="AF56" s="9" t="s">
        <v>1929</v>
      </c>
      <c r="AG56" s="9"/>
      <c r="AH56" s="9" t="s">
        <v>67</v>
      </c>
      <c r="AI56" s="9">
        <v>0</v>
      </c>
      <c r="AJ56" s="9"/>
      <c r="AK56" s="9">
        <v>0</v>
      </c>
      <c r="AL56" s="9" t="s">
        <v>1930</v>
      </c>
      <c r="AM56" s="9">
        <v>1</v>
      </c>
      <c r="AN56" s="9"/>
      <c r="AO56" s="9" t="s">
        <v>1931</v>
      </c>
      <c r="AP56" s="9" t="s">
        <v>69</v>
      </c>
      <c r="AQ56" s="9" t="s">
        <v>1934</v>
      </c>
      <c r="AR56" s="9">
        <v>45744</v>
      </c>
      <c r="AS56" s="9" t="s">
        <v>74</v>
      </c>
      <c r="AT56" s="9" t="s">
        <v>1935</v>
      </c>
      <c r="AU56" s="9" t="s">
        <v>2012</v>
      </c>
      <c r="AV56" s="9">
        <v>0</v>
      </c>
      <c r="AW56" s="9">
        <v>9142</v>
      </c>
      <c r="AX56" s="9" t="s">
        <v>264</v>
      </c>
      <c r="AY56" s="9">
        <v>0</v>
      </c>
      <c r="AZ56" s="9">
        <v>45744.43173611111</v>
      </c>
      <c r="BA56" s="9">
        <v>45744.431793981479</v>
      </c>
      <c r="BB56" s="9">
        <v>1</v>
      </c>
      <c r="BC56" s="9">
        <v>1</v>
      </c>
      <c r="BD56" s="9" t="s">
        <v>2010</v>
      </c>
      <c r="BE56" s="9" t="s">
        <v>265</v>
      </c>
      <c r="BF56" s="9" t="s">
        <v>77</v>
      </c>
      <c r="BG56" s="9"/>
      <c r="BH56" s="9">
        <v>0</v>
      </c>
      <c r="BI56" s="9"/>
      <c r="BJ56" s="9">
        <v>1</v>
      </c>
      <c r="BK56" s="9" t="s">
        <v>1937</v>
      </c>
      <c r="BL56" s="9" t="s">
        <v>1938</v>
      </c>
      <c r="BM56" s="9" t="s">
        <v>75</v>
      </c>
      <c r="BN56" s="9"/>
      <c r="BO56" s="9">
        <v>0</v>
      </c>
      <c r="BP56" s="9"/>
      <c r="BQ56" s="9">
        <v>0</v>
      </c>
      <c r="BR56" s="9"/>
      <c r="BS56" s="9"/>
      <c r="BT56" s="9"/>
      <c r="BU56" s="9"/>
      <c r="BV56" s="9"/>
      <c r="BW56" s="9">
        <v>0</v>
      </c>
      <c r="BX56" s="9"/>
      <c r="BY56" s="9">
        <v>45744.43173611111</v>
      </c>
      <c r="BZ56" s="9"/>
      <c r="CA56" s="9"/>
      <c r="CB56" s="9"/>
      <c r="CC56" s="9"/>
      <c r="CD56" s="9"/>
      <c r="CE56" s="9"/>
      <c r="CF56" s="9"/>
      <c r="CG56" s="9"/>
      <c r="CH56" s="9">
        <v>1</v>
      </c>
      <c r="CI56" s="9">
        <v>0</v>
      </c>
      <c r="CJ56" s="9"/>
      <c r="CK56" s="9"/>
      <c r="CL56" s="9" t="s">
        <v>2009</v>
      </c>
      <c r="CM56" s="9"/>
      <c r="CN56" s="9">
        <v>0</v>
      </c>
      <c r="CO56" s="9"/>
      <c r="CP56" s="9"/>
      <c r="CQ56" s="9"/>
    </row>
    <row r="57" spans="1:95" x14ac:dyDescent="0.35">
      <c r="A57" s="9" t="b">
        <f>ISNUMBER(MATCH(Claude[[#This Row],[Id]],ChargentOrders[Id],0))</f>
        <v>1</v>
      </c>
      <c r="B57" t="b">
        <f>INDEX(ChargentOrders[VALIDO],MATCH(Claude[[#This Row],[Id]],ChargentOrders[Id],0))</f>
        <v>1</v>
      </c>
      <c r="C57">
        <f>INDEX(Contract[CB_Subscription__c],MATCH(Claude[[#This Row],[Contract__c]],Contract[Id],0))</f>
        <v>0</v>
      </c>
      <c r="D57" s="9" t="s">
        <v>270</v>
      </c>
      <c r="E57" s="9" t="s">
        <v>101</v>
      </c>
      <c r="F57" s="9">
        <v>0</v>
      </c>
      <c r="G57" s="9" t="s">
        <v>271</v>
      </c>
      <c r="H57" s="9">
        <v>45729.937777777777</v>
      </c>
      <c r="I57" s="9" t="s">
        <v>101</v>
      </c>
      <c r="J57" s="9">
        <v>46114.619375000002</v>
      </c>
      <c r="K57" s="9" t="s">
        <v>78</v>
      </c>
      <c r="L57" s="9">
        <v>46114.619375000002</v>
      </c>
      <c r="M57" s="9"/>
      <c r="N57" s="9"/>
      <c r="O57" s="9" t="s">
        <v>1923</v>
      </c>
      <c r="P57" s="9" t="s">
        <v>1924</v>
      </c>
      <c r="Q57" s="9" t="s">
        <v>1925</v>
      </c>
      <c r="R57" s="9" t="s">
        <v>1568</v>
      </c>
      <c r="S57" s="9" t="s">
        <v>1926</v>
      </c>
      <c r="T57" s="9" t="s">
        <v>1927</v>
      </c>
      <c r="U57" s="9" t="s">
        <v>1928</v>
      </c>
      <c r="V57" s="9">
        <v>94</v>
      </c>
      <c r="W57" s="9">
        <v>10</v>
      </c>
      <c r="X57" s="9">
        <v>2026</v>
      </c>
      <c r="Y57" s="9">
        <v>2774</v>
      </c>
      <c r="Z57" s="9">
        <v>10</v>
      </c>
      <c r="AA57" s="9">
        <v>4549516985532770</v>
      </c>
      <c r="AB57" s="9" t="s">
        <v>73</v>
      </c>
      <c r="AC57" s="9">
        <v>2026</v>
      </c>
      <c r="AD57" s="9" t="s">
        <v>93</v>
      </c>
      <c r="AE57" s="9"/>
      <c r="AF57" s="9" t="s">
        <v>1929</v>
      </c>
      <c r="AG57" s="9"/>
      <c r="AH57" s="9" t="s">
        <v>67</v>
      </c>
      <c r="AI57" s="9">
        <v>0</v>
      </c>
      <c r="AJ57" s="9"/>
      <c r="AK57" s="9">
        <v>0</v>
      </c>
      <c r="AL57" s="9" t="s">
        <v>1930</v>
      </c>
      <c r="AM57" s="9"/>
      <c r="AN57" s="9"/>
      <c r="AO57" s="9" t="s">
        <v>1931</v>
      </c>
      <c r="AP57" s="9" t="s">
        <v>69</v>
      </c>
      <c r="AQ57" s="9" t="s">
        <v>1932</v>
      </c>
      <c r="AR57" s="9"/>
      <c r="AS57" s="9"/>
      <c r="AT57" s="9"/>
      <c r="AU57" s="9" t="s">
        <v>92</v>
      </c>
      <c r="AV57" s="9">
        <v>0</v>
      </c>
      <c r="AW57" s="9"/>
      <c r="AX57" s="9"/>
      <c r="AY57" s="9">
        <v>0</v>
      </c>
      <c r="AZ57" s="9"/>
      <c r="BA57" s="9"/>
      <c r="BB57" s="9">
        <v>0</v>
      </c>
      <c r="BC57" s="9">
        <v>1</v>
      </c>
      <c r="BD57" s="9">
        <v>0</v>
      </c>
      <c r="BE57" s="9" t="s">
        <v>112</v>
      </c>
      <c r="BF57" s="9"/>
      <c r="BG57" s="9"/>
      <c r="BH57" s="9">
        <v>0</v>
      </c>
      <c r="BI57" s="9"/>
      <c r="BJ57" s="9">
        <v>1</v>
      </c>
      <c r="BK57" s="9"/>
      <c r="BL57" s="9"/>
      <c r="BM57" s="9" t="s">
        <v>75</v>
      </c>
      <c r="BN57" s="9"/>
      <c r="BO57" s="9">
        <v>0</v>
      </c>
      <c r="BP57" s="9"/>
      <c r="BQ57" s="9">
        <v>1</v>
      </c>
      <c r="BR57" s="9"/>
      <c r="BS57" s="9"/>
      <c r="BT57" s="9"/>
      <c r="BU57" s="9"/>
      <c r="BV57" s="9"/>
      <c r="BW57" s="9">
        <v>0</v>
      </c>
      <c r="BX57" s="9">
        <v>45729.937800925924</v>
      </c>
      <c r="BY57" s="9">
        <v>45729.937800925924</v>
      </c>
      <c r="BZ57" s="9"/>
      <c r="CA57" s="9"/>
      <c r="CB57" s="9"/>
      <c r="CC57" s="9"/>
      <c r="CD57" s="9"/>
      <c r="CE57" s="9"/>
      <c r="CF57" s="9"/>
      <c r="CG57" s="9"/>
      <c r="CH57" s="9">
        <v>1</v>
      </c>
      <c r="CI57" s="9">
        <v>0</v>
      </c>
      <c r="CJ57" s="9"/>
      <c r="CK57" s="9"/>
      <c r="CL57" s="9" t="s">
        <v>1967</v>
      </c>
      <c r="CM57" s="9"/>
      <c r="CN57" s="9">
        <v>0</v>
      </c>
      <c r="CO57" s="9"/>
      <c r="CP57" s="9"/>
      <c r="CQ57" s="9"/>
    </row>
    <row r="58" spans="1:95" x14ac:dyDescent="0.35">
      <c r="A58" s="9" t="b">
        <f>ISNUMBER(MATCH(Claude[[#This Row],[Id]],ChargentOrders[Id],0))</f>
        <v>1</v>
      </c>
      <c r="B58" t="b">
        <f>INDEX(ChargentOrders[VALIDO],MATCH(Claude[[#This Row],[Id]],ChargentOrders[Id],0))</f>
        <v>1</v>
      </c>
      <c r="C58">
        <f>INDEX(Contract[CB_Subscription__c],MATCH(Claude[[#This Row],[Contract__c]],Contract[Id],0))</f>
        <v>0</v>
      </c>
      <c r="D58" s="9" t="s">
        <v>272</v>
      </c>
      <c r="E58" s="9" t="s">
        <v>101</v>
      </c>
      <c r="F58" s="9">
        <v>0</v>
      </c>
      <c r="G58" s="9" t="s">
        <v>273</v>
      </c>
      <c r="H58" s="9">
        <v>45729.938125000001</v>
      </c>
      <c r="I58" s="9" t="s">
        <v>101</v>
      </c>
      <c r="J58" s="9">
        <v>46114.619375000002</v>
      </c>
      <c r="K58" s="9" t="s">
        <v>78</v>
      </c>
      <c r="L58" s="9">
        <v>46114.619375000002</v>
      </c>
      <c r="M58" s="9"/>
      <c r="N58" s="9"/>
      <c r="O58" s="9" t="s">
        <v>1923</v>
      </c>
      <c r="P58" s="9" t="s">
        <v>1924</v>
      </c>
      <c r="Q58" s="9" t="s">
        <v>1925</v>
      </c>
      <c r="R58" s="9" t="s">
        <v>1568</v>
      </c>
      <c r="S58" s="9" t="s">
        <v>1926</v>
      </c>
      <c r="T58" s="9" t="s">
        <v>1927</v>
      </c>
      <c r="U58" s="9" t="s">
        <v>1928</v>
      </c>
      <c r="V58" s="9">
        <v>94</v>
      </c>
      <c r="W58" s="9">
        <v>10</v>
      </c>
      <c r="X58" s="9">
        <v>2026</v>
      </c>
      <c r="Y58" s="9">
        <v>2774</v>
      </c>
      <c r="Z58" s="9">
        <v>10</v>
      </c>
      <c r="AA58" s="9">
        <v>4549516985532770</v>
      </c>
      <c r="AB58" s="9" t="s">
        <v>73</v>
      </c>
      <c r="AC58" s="9">
        <v>2026</v>
      </c>
      <c r="AD58" s="9" t="s">
        <v>93</v>
      </c>
      <c r="AE58" s="9"/>
      <c r="AF58" s="9" t="s">
        <v>1929</v>
      </c>
      <c r="AG58" s="9"/>
      <c r="AH58" s="9" t="s">
        <v>67</v>
      </c>
      <c r="AI58" s="9">
        <v>0</v>
      </c>
      <c r="AJ58" s="9"/>
      <c r="AK58" s="9">
        <v>0</v>
      </c>
      <c r="AL58" s="9" t="s">
        <v>1930</v>
      </c>
      <c r="AM58" s="9"/>
      <c r="AN58" s="9"/>
      <c r="AO58" s="9" t="s">
        <v>1931</v>
      </c>
      <c r="AP58" s="9" t="s">
        <v>69</v>
      </c>
      <c r="AQ58" s="9" t="s">
        <v>1932</v>
      </c>
      <c r="AR58" s="9"/>
      <c r="AS58" s="9"/>
      <c r="AT58" s="9"/>
      <c r="AU58" s="9" t="s">
        <v>92</v>
      </c>
      <c r="AV58" s="9">
        <v>0</v>
      </c>
      <c r="AW58" s="9"/>
      <c r="AX58" s="9"/>
      <c r="AY58" s="9">
        <v>0</v>
      </c>
      <c r="AZ58" s="9"/>
      <c r="BA58" s="9"/>
      <c r="BB58" s="9">
        <v>0</v>
      </c>
      <c r="BC58" s="9">
        <v>1</v>
      </c>
      <c r="BD58" s="9">
        <v>0</v>
      </c>
      <c r="BE58" s="9" t="s">
        <v>112</v>
      </c>
      <c r="BF58" s="9"/>
      <c r="BG58" s="9"/>
      <c r="BH58" s="9">
        <v>0</v>
      </c>
      <c r="BI58" s="9"/>
      <c r="BJ58" s="9">
        <v>1</v>
      </c>
      <c r="BK58" s="9"/>
      <c r="BL58" s="9"/>
      <c r="BM58" s="9" t="s">
        <v>75</v>
      </c>
      <c r="BN58" s="9"/>
      <c r="BO58" s="9">
        <v>0</v>
      </c>
      <c r="BP58" s="9"/>
      <c r="BQ58" s="9">
        <v>1</v>
      </c>
      <c r="BR58" s="9"/>
      <c r="BS58" s="9"/>
      <c r="BT58" s="9"/>
      <c r="BU58" s="9"/>
      <c r="BV58" s="9"/>
      <c r="BW58" s="9">
        <v>0</v>
      </c>
      <c r="BX58" s="9">
        <v>45729.938148148147</v>
      </c>
      <c r="BY58" s="9">
        <v>45729.938148148147</v>
      </c>
      <c r="BZ58" s="9"/>
      <c r="CA58" s="9"/>
      <c r="CB58" s="9"/>
      <c r="CC58" s="9"/>
      <c r="CD58" s="9"/>
      <c r="CE58" s="9"/>
      <c r="CF58" s="9"/>
      <c r="CG58" s="9"/>
      <c r="CH58" s="9">
        <v>1</v>
      </c>
      <c r="CI58" s="9">
        <v>0</v>
      </c>
      <c r="CJ58" s="9"/>
      <c r="CK58" s="9"/>
      <c r="CL58" s="9" t="s">
        <v>1967</v>
      </c>
      <c r="CM58" s="9"/>
      <c r="CN58" s="9">
        <v>0</v>
      </c>
      <c r="CO58" s="9"/>
      <c r="CP58" s="9"/>
      <c r="CQ58" s="9"/>
    </row>
    <row r="59" spans="1:95" x14ac:dyDescent="0.35">
      <c r="A59" s="9" t="b">
        <f>ISNUMBER(MATCH(Claude[[#This Row],[Id]],ChargentOrders[Id],0))</f>
        <v>1</v>
      </c>
      <c r="B59" t="b">
        <f>INDEX(ChargentOrders[VALIDO],MATCH(Claude[[#This Row],[Id]],ChargentOrders[Id],0))</f>
        <v>1</v>
      </c>
      <c r="C59">
        <f>INDEX(Contract[CB_Subscription__c],MATCH(Claude[[#This Row],[Contract__c]],Contract[Id],0))</f>
        <v>0</v>
      </c>
      <c r="D59" s="9" t="s">
        <v>274</v>
      </c>
      <c r="E59" s="9" t="s">
        <v>101</v>
      </c>
      <c r="F59" s="9">
        <v>0</v>
      </c>
      <c r="G59" s="9" t="s">
        <v>275</v>
      </c>
      <c r="H59" s="9">
        <v>45729.945243055554</v>
      </c>
      <c r="I59" s="9" t="s">
        <v>101</v>
      </c>
      <c r="J59" s="9">
        <v>46114.619375000002</v>
      </c>
      <c r="K59" s="9" t="s">
        <v>78</v>
      </c>
      <c r="L59" s="9">
        <v>46114.619375000002</v>
      </c>
      <c r="M59" s="9"/>
      <c r="N59" s="9"/>
      <c r="O59" s="9" t="s">
        <v>1923</v>
      </c>
      <c r="P59" s="9" t="s">
        <v>1924</v>
      </c>
      <c r="Q59" s="9" t="s">
        <v>1925</v>
      </c>
      <c r="R59" s="9" t="s">
        <v>1568</v>
      </c>
      <c r="S59" s="9" t="s">
        <v>1926</v>
      </c>
      <c r="T59" s="9" t="s">
        <v>1927</v>
      </c>
      <c r="U59" s="9" t="s">
        <v>1928</v>
      </c>
      <c r="V59" s="9">
        <v>949</v>
      </c>
      <c r="W59" s="9">
        <v>10</v>
      </c>
      <c r="X59" s="9">
        <v>2026</v>
      </c>
      <c r="Y59" s="9">
        <v>2774</v>
      </c>
      <c r="Z59" s="9">
        <v>10</v>
      </c>
      <c r="AA59" s="9">
        <v>4549516985532770</v>
      </c>
      <c r="AB59" s="9" t="s">
        <v>73</v>
      </c>
      <c r="AC59" s="9">
        <v>2026</v>
      </c>
      <c r="AD59" s="9" t="s">
        <v>93</v>
      </c>
      <c r="AE59" s="9"/>
      <c r="AF59" s="9" t="s">
        <v>1929</v>
      </c>
      <c r="AG59" s="9"/>
      <c r="AH59" s="9" t="s">
        <v>67</v>
      </c>
      <c r="AI59" s="9">
        <v>0</v>
      </c>
      <c r="AJ59" s="9"/>
      <c r="AK59" s="9">
        <v>0</v>
      </c>
      <c r="AL59" s="9" t="s">
        <v>1930</v>
      </c>
      <c r="AM59" s="9"/>
      <c r="AN59" s="9"/>
      <c r="AO59" s="9" t="s">
        <v>1931</v>
      </c>
      <c r="AP59" s="9" t="s">
        <v>69</v>
      </c>
      <c r="AQ59" s="9" t="s">
        <v>1932</v>
      </c>
      <c r="AR59" s="9"/>
      <c r="AS59" s="9"/>
      <c r="AT59" s="9"/>
      <c r="AU59" s="9" t="s">
        <v>92</v>
      </c>
      <c r="AV59" s="9">
        <v>0</v>
      </c>
      <c r="AW59" s="9"/>
      <c r="AX59" s="9" t="s">
        <v>175</v>
      </c>
      <c r="AY59" s="9">
        <v>0</v>
      </c>
      <c r="AZ59" s="9"/>
      <c r="BA59" s="9">
        <v>45729.9452662037</v>
      </c>
      <c r="BB59" s="9">
        <v>0</v>
      </c>
      <c r="BC59" s="9">
        <v>1</v>
      </c>
      <c r="BD59" s="9">
        <v>0</v>
      </c>
      <c r="BE59" s="9" t="s">
        <v>112</v>
      </c>
      <c r="BF59" s="9"/>
      <c r="BG59" s="9"/>
      <c r="BH59" s="9">
        <v>0</v>
      </c>
      <c r="BI59" s="9"/>
      <c r="BJ59" s="9">
        <v>1</v>
      </c>
      <c r="BK59" s="9"/>
      <c r="BL59" s="9"/>
      <c r="BM59" s="9" t="s">
        <v>75</v>
      </c>
      <c r="BN59" s="9"/>
      <c r="BO59" s="9">
        <v>0</v>
      </c>
      <c r="BP59" s="9"/>
      <c r="BQ59" s="9">
        <v>1</v>
      </c>
      <c r="BR59" s="9"/>
      <c r="BS59" s="9"/>
      <c r="BT59" s="9"/>
      <c r="BU59" s="9"/>
      <c r="BV59" s="9"/>
      <c r="BW59" s="9">
        <v>0</v>
      </c>
      <c r="BX59" s="9"/>
      <c r="BY59" s="9">
        <v>45729.9452662037</v>
      </c>
      <c r="BZ59" s="9"/>
      <c r="CA59" s="9"/>
      <c r="CB59" s="9"/>
      <c r="CC59" s="9"/>
      <c r="CD59" s="9"/>
      <c r="CE59" s="9"/>
      <c r="CF59" s="9"/>
      <c r="CG59" s="9"/>
      <c r="CH59" s="9">
        <v>1</v>
      </c>
      <c r="CI59" s="9">
        <v>0</v>
      </c>
      <c r="CJ59" s="9"/>
      <c r="CK59" s="9"/>
      <c r="CL59" s="9" t="s">
        <v>1967</v>
      </c>
      <c r="CM59" s="9"/>
      <c r="CN59" s="9">
        <v>0</v>
      </c>
      <c r="CO59" s="9"/>
      <c r="CP59" s="9"/>
      <c r="CQ59" s="9"/>
    </row>
    <row r="60" spans="1:95" x14ac:dyDescent="0.35">
      <c r="A60" s="9" t="b">
        <f>ISNUMBER(MATCH(Claude[[#This Row],[Id]],ChargentOrders[Id],0))</f>
        <v>1</v>
      </c>
      <c r="B60" t="b">
        <f>INDEX(ChargentOrders[VALIDO],MATCH(Claude[[#This Row],[Id]],ChargentOrders[Id],0))</f>
        <v>1</v>
      </c>
      <c r="C60">
        <f>INDEX(Contract[CB_Subscription__c],MATCH(Claude[[#This Row],[Contract__c]],Contract[Id],0))</f>
        <v>0</v>
      </c>
      <c r="D60" s="9" t="s">
        <v>276</v>
      </c>
      <c r="E60" s="9" t="s">
        <v>78</v>
      </c>
      <c r="F60" s="9">
        <v>0</v>
      </c>
      <c r="G60" s="9" t="s">
        <v>277</v>
      </c>
      <c r="H60" s="9">
        <v>45730.727442129632</v>
      </c>
      <c r="I60" s="9" t="s">
        <v>78</v>
      </c>
      <c r="J60" s="9">
        <v>46114.619375000002</v>
      </c>
      <c r="K60" s="9" t="s">
        <v>78</v>
      </c>
      <c r="L60" s="9">
        <v>46114.619375000002</v>
      </c>
      <c r="M60" s="9"/>
      <c r="N60" s="9" t="s">
        <v>1570</v>
      </c>
      <c r="O60" s="9" t="s">
        <v>1954</v>
      </c>
      <c r="P60" s="9" t="s">
        <v>1924</v>
      </c>
      <c r="Q60" s="9" t="s">
        <v>1925</v>
      </c>
      <c r="R60" s="9" t="s">
        <v>1568</v>
      </c>
      <c r="S60" s="9" t="s">
        <v>1926</v>
      </c>
      <c r="T60" s="9" t="s">
        <v>1927</v>
      </c>
      <c r="U60" s="9" t="s">
        <v>1928</v>
      </c>
      <c r="V60" s="9">
        <v>949</v>
      </c>
      <c r="W60" s="9">
        <v>10</v>
      </c>
      <c r="X60" s="9">
        <v>2026</v>
      </c>
      <c r="Y60" s="9">
        <v>2774</v>
      </c>
      <c r="Z60" s="9">
        <v>10</v>
      </c>
      <c r="AA60" s="9" t="s">
        <v>1446</v>
      </c>
      <c r="AB60" s="9" t="s">
        <v>73</v>
      </c>
      <c r="AC60" s="9">
        <v>2026</v>
      </c>
      <c r="AD60" s="9" t="s">
        <v>149</v>
      </c>
      <c r="AE60" s="9"/>
      <c r="AF60" s="9"/>
      <c r="AG60" s="9"/>
      <c r="AH60" s="9" t="s">
        <v>67</v>
      </c>
      <c r="AI60" s="9">
        <v>0</v>
      </c>
      <c r="AJ60" s="9"/>
      <c r="AK60" s="9">
        <v>0</v>
      </c>
      <c r="AL60" s="9" t="s">
        <v>1930</v>
      </c>
      <c r="AM60" s="9">
        <v>1</v>
      </c>
      <c r="AN60" s="9">
        <v>45765</v>
      </c>
      <c r="AO60" s="9" t="s">
        <v>1931</v>
      </c>
      <c r="AP60" s="9" t="s">
        <v>69</v>
      </c>
      <c r="AQ60" s="9" t="s">
        <v>1932</v>
      </c>
      <c r="AR60" s="9">
        <v>45765</v>
      </c>
      <c r="AS60" s="9" t="s">
        <v>74</v>
      </c>
      <c r="AT60" s="9" t="s">
        <v>1935</v>
      </c>
      <c r="AU60" s="9" t="s">
        <v>1942</v>
      </c>
      <c r="AV60" s="9">
        <v>0</v>
      </c>
      <c r="AW60" s="9" t="s">
        <v>1946</v>
      </c>
      <c r="AX60" s="9" t="s">
        <v>175</v>
      </c>
      <c r="AY60" s="9">
        <v>0</v>
      </c>
      <c r="AZ60" s="9">
        <v>45764.592245370368</v>
      </c>
      <c r="BA60" s="9">
        <v>45764.592245370368</v>
      </c>
      <c r="BB60" s="9">
        <v>1</v>
      </c>
      <c r="BC60" s="9">
        <v>7</v>
      </c>
      <c r="BD60" s="9" t="s">
        <v>149</v>
      </c>
      <c r="BE60" s="9" t="s">
        <v>112</v>
      </c>
      <c r="BF60" s="9" t="s">
        <v>71</v>
      </c>
      <c r="BG60" s="9" t="s">
        <v>278</v>
      </c>
      <c r="BH60" s="9">
        <v>0</v>
      </c>
      <c r="BI60" s="9">
        <v>45730.727164351854</v>
      </c>
      <c r="BJ60" s="9" t="s">
        <v>1958</v>
      </c>
      <c r="BK60" s="9" t="s">
        <v>1958</v>
      </c>
      <c r="BL60" s="9" t="s">
        <v>1959</v>
      </c>
      <c r="BM60" s="9" t="s">
        <v>75</v>
      </c>
      <c r="BN60" s="9"/>
      <c r="BO60" s="9">
        <v>0</v>
      </c>
      <c r="BP60" s="9"/>
      <c r="BQ60" s="9">
        <v>0</v>
      </c>
      <c r="BR60" s="9"/>
      <c r="BS60" s="9"/>
      <c r="BT60" s="9"/>
      <c r="BU60" s="9"/>
      <c r="BV60" s="9"/>
      <c r="BW60" s="9">
        <v>0</v>
      </c>
      <c r="BX60" s="9">
        <v>45763.425312500003</v>
      </c>
      <c r="BY60" s="9">
        <v>45764.592245370368</v>
      </c>
      <c r="BZ60" s="9"/>
      <c r="CA60" s="9"/>
      <c r="CB60" s="9"/>
      <c r="CC60" s="9"/>
      <c r="CD60" s="9"/>
      <c r="CE60" s="9"/>
      <c r="CF60" s="9"/>
      <c r="CG60" s="9"/>
      <c r="CH60" s="9">
        <v>1</v>
      </c>
      <c r="CI60" s="9">
        <v>0</v>
      </c>
      <c r="CJ60" s="9"/>
      <c r="CK60" s="9"/>
      <c r="CL60" s="9"/>
      <c r="CM60" s="9" t="s">
        <v>256</v>
      </c>
      <c r="CN60" s="9">
        <v>0</v>
      </c>
      <c r="CO60" s="9"/>
      <c r="CP60" s="9"/>
      <c r="CQ60" s="9"/>
    </row>
    <row r="61" spans="1:95" x14ac:dyDescent="0.35">
      <c r="A61" s="9" t="b">
        <f>ISNUMBER(MATCH(Claude[[#This Row],[Id]],ChargentOrders[Id],0))</f>
        <v>0</v>
      </c>
      <c r="B61" t="e">
        <f>INDEX(ChargentOrders[VALIDO],MATCH(Claude[[#This Row],[Id]],ChargentOrders[Id],0))</f>
        <v>#N/A</v>
      </c>
      <c r="C61" t="e">
        <f>INDEX(Contract[CB_Subscription__c],MATCH(Claude[[#This Row],[Contract__c]],Contract[Id],0))</f>
        <v>#N/A</v>
      </c>
      <c r="D61" s="9" t="s">
        <v>280</v>
      </c>
      <c r="E61" s="9" t="s">
        <v>79</v>
      </c>
      <c r="F61" s="9">
        <v>0</v>
      </c>
      <c r="G61" s="9" t="s">
        <v>281</v>
      </c>
      <c r="H61" s="9">
        <v>45733.617210648146</v>
      </c>
      <c r="I61" s="9" t="s">
        <v>79</v>
      </c>
      <c r="J61" s="9">
        <v>45733.617291666669</v>
      </c>
      <c r="K61" s="9" t="s">
        <v>79</v>
      </c>
      <c r="L61" s="9">
        <v>45733.617291666669</v>
      </c>
      <c r="M61" s="9"/>
      <c r="N61" s="9"/>
      <c r="O61" s="9" t="s">
        <v>2013</v>
      </c>
      <c r="P61" s="9" t="s">
        <v>2014</v>
      </c>
      <c r="Q61" s="9" t="s">
        <v>2015</v>
      </c>
      <c r="R61" s="9" t="s">
        <v>1602</v>
      </c>
      <c r="S61" s="9" t="s">
        <v>2016</v>
      </c>
      <c r="T61" s="9" t="s">
        <v>2017</v>
      </c>
      <c r="U61" s="9" t="s">
        <v>1928</v>
      </c>
      <c r="V61" s="9">
        <v>777</v>
      </c>
      <c r="W61" s="9">
        <v>7</v>
      </c>
      <c r="X61" s="9">
        <v>2028</v>
      </c>
      <c r="Y61" s="9">
        <v>5408</v>
      </c>
      <c r="Z61" s="9">
        <v>7</v>
      </c>
      <c r="AA61" s="9">
        <v>5159480010155400</v>
      </c>
      <c r="AB61" s="9" t="s">
        <v>66</v>
      </c>
      <c r="AC61" s="9">
        <v>2028</v>
      </c>
      <c r="AD61" s="9" t="s">
        <v>93</v>
      </c>
      <c r="AE61" s="9"/>
      <c r="AF61" s="9" t="s">
        <v>1929</v>
      </c>
      <c r="AG61" s="9"/>
      <c r="AH61" s="9" t="s">
        <v>67</v>
      </c>
      <c r="AI61" s="9">
        <v>0</v>
      </c>
      <c r="AJ61" s="9"/>
      <c r="AK61" s="9">
        <v>0</v>
      </c>
      <c r="AL61" s="9" t="s">
        <v>1930</v>
      </c>
      <c r="AM61" s="9"/>
      <c r="AN61" s="9"/>
      <c r="AO61" s="9" t="s">
        <v>1931</v>
      </c>
      <c r="AP61" s="9" t="s">
        <v>69</v>
      </c>
      <c r="AQ61" s="9" t="s">
        <v>1932</v>
      </c>
      <c r="AR61" s="9"/>
      <c r="AS61" s="9"/>
      <c r="AT61" s="9"/>
      <c r="AU61" s="9" t="s">
        <v>92</v>
      </c>
      <c r="AV61" s="9">
        <v>0</v>
      </c>
      <c r="AW61" s="9"/>
      <c r="AX61" s="9" t="s">
        <v>282</v>
      </c>
      <c r="AY61" s="9">
        <v>0</v>
      </c>
      <c r="AZ61" s="9"/>
      <c r="BA61" s="9">
        <v>45733.617245370369</v>
      </c>
      <c r="BB61" s="9">
        <v>0</v>
      </c>
      <c r="BC61" s="9">
        <v>1</v>
      </c>
      <c r="BD61" s="9">
        <v>0</v>
      </c>
      <c r="BE61" s="9" t="s">
        <v>283</v>
      </c>
      <c r="BF61" s="9"/>
      <c r="BG61" s="9"/>
      <c r="BH61" s="9">
        <v>0</v>
      </c>
      <c r="BI61" s="9"/>
      <c r="BJ61" s="9">
        <v>1</v>
      </c>
      <c r="BK61" s="9"/>
      <c r="BL61" s="9"/>
      <c r="BM61" s="9" t="s">
        <v>75</v>
      </c>
      <c r="BN61" s="9"/>
      <c r="BO61" s="9">
        <v>0</v>
      </c>
      <c r="BP61" s="9"/>
      <c r="BQ61" s="9">
        <v>1</v>
      </c>
      <c r="BR61" s="9"/>
      <c r="BS61" s="9"/>
      <c r="BT61" s="9"/>
      <c r="BU61" s="9"/>
      <c r="BV61" s="9"/>
      <c r="BW61" s="9">
        <v>0</v>
      </c>
      <c r="BX61" s="9"/>
      <c r="BY61" s="9">
        <v>45733.617245370369</v>
      </c>
      <c r="BZ61" s="9"/>
      <c r="CA61" s="9"/>
      <c r="CB61" s="9"/>
      <c r="CC61" s="9"/>
      <c r="CD61" s="9"/>
      <c r="CE61" s="9"/>
      <c r="CF61" s="9"/>
      <c r="CG61" s="9"/>
      <c r="CH61" s="9">
        <v>1</v>
      </c>
      <c r="CI61" s="9">
        <v>0</v>
      </c>
      <c r="CJ61" s="9"/>
      <c r="CK61" s="9"/>
      <c r="CL61" s="9" t="s">
        <v>2018</v>
      </c>
      <c r="CM61" s="9"/>
      <c r="CN61" s="9"/>
      <c r="CO61" s="9"/>
      <c r="CP61" s="9"/>
      <c r="CQ61" s="9"/>
    </row>
    <row r="62" spans="1:95" x14ac:dyDescent="0.35">
      <c r="A62" s="9" t="b">
        <f>ISNUMBER(MATCH(Claude[[#This Row],[Id]],ChargentOrders[Id],0))</f>
        <v>0</v>
      </c>
      <c r="B62" t="e">
        <f>INDEX(ChargentOrders[VALIDO],MATCH(Claude[[#This Row],[Id]],ChargentOrders[Id],0))</f>
        <v>#N/A</v>
      </c>
      <c r="C62" t="e">
        <f>INDEX(Contract[CB_Subscription__c],MATCH(Claude[[#This Row],[Contract__c]],Contract[Id],0))</f>
        <v>#N/A</v>
      </c>
      <c r="D62" s="9" t="s">
        <v>284</v>
      </c>
      <c r="E62" s="9" t="s">
        <v>79</v>
      </c>
      <c r="F62" s="9">
        <v>0</v>
      </c>
      <c r="G62" s="9" t="s">
        <v>285</v>
      </c>
      <c r="H62" s="9">
        <v>45733.617638888885</v>
      </c>
      <c r="I62" s="9" t="s">
        <v>79</v>
      </c>
      <c r="J62" s="9">
        <v>45733.617928240739</v>
      </c>
      <c r="K62" s="9" t="s">
        <v>79</v>
      </c>
      <c r="L62" s="9">
        <v>45733.617928240739</v>
      </c>
      <c r="M62" s="9"/>
      <c r="N62" s="9" t="s">
        <v>1603</v>
      </c>
      <c r="O62" s="9" t="s">
        <v>2013</v>
      </c>
      <c r="P62" s="9" t="s">
        <v>2014</v>
      </c>
      <c r="Q62" s="9" t="s">
        <v>2015</v>
      </c>
      <c r="R62" s="9" t="s">
        <v>1602</v>
      </c>
      <c r="S62" s="9" t="s">
        <v>2016</v>
      </c>
      <c r="T62" s="9" t="s">
        <v>2017</v>
      </c>
      <c r="U62" s="9" t="s">
        <v>1928</v>
      </c>
      <c r="V62" s="9">
        <v>777</v>
      </c>
      <c r="W62" s="9">
        <v>7</v>
      </c>
      <c r="X62" s="9">
        <v>2028</v>
      </c>
      <c r="Y62" s="9">
        <v>5408</v>
      </c>
      <c r="Z62" s="9">
        <v>7</v>
      </c>
      <c r="AA62" s="9">
        <v>5159480010155400</v>
      </c>
      <c r="AB62" s="9" t="s">
        <v>66</v>
      </c>
      <c r="AC62" s="9">
        <v>2028</v>
      </c>
      <c r="AD62" s="9" t="s">
        <v>2001</v>
      </c>
      <c r="AE62" s="9"/>
      <c r="AF62" s="9" t="s">
        <v>1929</v>
      </c>
      <c r="AG62" s="9"/>
      <c r="AH62" s="9" t="s">
        <v>67</v>
      </c>
      <c r="AI62" s="9">
        <v>0</v>
      </c>
      <c r="AJ62" s="9"/>
      <c r="AK62" s="9">
        <v>0</v>
      </c>
      <c r="AL62" s="9" t="s">
        <v>1930</v>
      </c>
      <c r="AM62" s="9">
        <v>1</v>
      </c>
      <c r="AN62" s="9"/>
      <c r="AO62" s="9" t="s">
        <v>1931</v>
      </c>
      <c r="AP62" s="9" t="s">
        <v>69</v>
      </c>
      <c r="AQ62" s="9" t="s">
        <v>1932</v>
      </c>
      <c r="AR62" s="9">
        <v>45733</v>
      </c>
      <c r="AS62" s="9" t="s">
        <v>74</v>
      </c>
      <c r="AT62" s="9" t="s">
        <v>1935</v>
      </c>
      <c r="AU62" s="9" t="s">
        <v>2002</v>
      </c>
      <c r="AV62" s="9">
        <v>0</v>
      </c>
      <c r="AW62" s="9">
        <v>18285</v>
      </c>
      <c r="AX62" s="9" t="s">
        <v>282</v>
      </c>
      <c r="AY62" s="9">
        <v>0</v>
      </c>
      <c r="AZ62" s="9">
        <v>45733.61787037037</v>
      </c>
      <c r="BA62" s="9">
        <v>45733.61787037037</v>
      </c>
      <c r="BB62" s="9">
        <v>1</v>
      </c>
      <c r="BC62" s="9">
        <v>1</v>
      </c>
      <c r="BD62" s="9" t="s">
        <v>2001</v>
      </c>
      <c r="BE62" s="9" t="s">
        <v>283</v>
      </c>
      <c r="BF62" s="9" t="s">
        <v>77</v>
      </c>
      <c r="BG62" s="9"/>
      <c r="BH62" s="9">
        <v>0</v>
      </c>
      <c r="BI62" s="9"/>
      <c r="BJ62" s="9">
        <v>1</v>
      </c>
      <c r="BK62" s="9" t="s">
        <v>1937</v>
      </c>
      <c r="BL62" s="9" t="s">
        <v>1938</v>
      </c>
      <c r="BM62" s="9" t="s">
        <v>75</v>
      </c>
      <c r="BN62" s="9"/>
      <c r="BO62" s="9">
        <v>0</v>
      </c>
      <c r="BP62" s="9"/>
      <c r="BQ62" s="9">
        <v>0</v>
      </c>
      <c r="BR62" s="9"/>
      <c r="BS62" s="9"/>
      <c r="BT62" s="9"/>
      <c r="BU62" s="9"/>
      <c r="BV62" s="9"/>
      <c r="BW62" s="9">
        <v>0</v>
      </c>
      <c r="BX62" s="9"/>
      <c r="BY62" s="9">
        <v>45733.61787037037</v>
      </c>
      <c r="BZ62" s="9"/>
      <c r="CA62" s="9"/>
      <c r="CB62" s="9"/>
      <c r="CC62" s="9"/>
      <c r="CD62" s="9"/>
      <c r="CE62" s="9"/>
      <c r="CF62" s="9"/>
      <c r="CG62" s="9"/>
      <c r="CH62" s="9">
        <v>1</v>
      </c>
      <c r="CI62" s="9">
        <v>0</v>
      </c>
      <c r="CJ62" s="9"/>
      <c r="CK62" s="9"/>
      <c r="CL62" s="9" t="s">
        <v>2018</v>
      </c>
      <c r="CM62" s="9"/>
      <c r="CN62" s="9"/>
      <c r="CO62" s="9"/>
      <c r="CP62" s="9"/>
      <c r="CQ62" s="9"/>
    </row>
    <row r="63" spans="1:95" x14ac:dyDescent="0.35">
      <c r="A63" s="9" t="b">
        <f>ISNUMBER(MATCH(Claude[[#This Row],[Id]],ChargentOrders[Id],0))</f>
        <v>0</v>
      </c>
      <c r="B63" t="e">
        <f>INDEX(ChargentOrders[VALIDO],MATCH(Claude[[#This Row],[Id]],ChargentOrders[Id],0))</f>
        <v>#N/A</v>
      </c>
      <c r="C63" t="e">
        <f>INDEX(Contract[CB_Subscription__c],MATCH(Claude[[#This Row],[Contract__c]],Contract[Id],0))</f>
        <v>#N/A</v>
      </c>
      <c r="D63" s="9" t="s">
        <v>286</v>
      </c>
      <c r="E63" s="9" t="s">
        <v>79</v>
      </c>
      <c r="F63" s="9">
        <v>0</v>
      </c>
      <c r="G63" s="9" t="s">
        <v>287</v>
      </c>
      <c r="H63" s="9">
        <v>45733.617893518516</v>
      </c>
      <c r="I63" s="9" t="s">
        <v>79</v>
      </c>
      <c r="J63" s="9">
        <v>45796.80746527778</v>
      </c>
      <c r="K63" s="9" t="s">
        <v>99</v>
      </c>
      <c r="L63" s="9">
        <v>45796.80746527778</v>
      </c>
      <c r="M63" s="9"/>
      <c r="N63" s="9" t="s">
        <v>1603</v>
      </c>
      <c r="O63" s="9" t="s">
        <v>2013</v>
      </c>
      <c r="P63" s="9" t="s">
        <v>2014</v>
      </c>
      <c r="Q63" s="9" t="s">
        <v>2015</v>
      </c>
      <c r="R63" s="9" t="s">
        <v>1602</v>
      </c>
      <c r="S63" s="9" t="s">
        <v>2016</v>
      </c>
      <c r="T63" s="9" t="s">
        <v>2017</v>
      </c>
      <c r="U63" s="9" t="s">
        <v>1928</v>
      </c>
      <c r="V63" s="9">
        <v>777</v>
      </c>
      <c r="W63" s="9">
        <v>7</v>
      </c>
      <c r="X63" s="9">
        <v>2028</v>
      </c>
      <c r="Y63" s="9">
        <v>5408</v>
      </c>
      <c r="Z63" s="9">
        <v>7</v>
      </c>
      <c r="AA63" s="9">
        <v>5159480010155400</v>
      </c>
      <c r="AB63" s="9" t="s">
        <v>66</v>
      </c>
      <c r="AC63" s="9">
        <v>2028</v>
      </c>
      <c r="AD63" s="9" t="s">
        <v>105</v>
      </c>
      <c r="AE63" s="9">
        <v>30</v>
      </c>
      <c r="AF63" s="9" t="s">
        <v>1929</v>
      </c>
      <c r="AG63" s="9"/>
      <c r="AH63" s="9" t="s">
        <v>67</v>
      </c>
      <c r="AI63" s="9">
        <v>0</v>
      </c>
      <c r="AJ63" s="9"/>
      <c r="AK63" s="9">
        <v>0</v>
      </c>
      <c r="AL63" s="9" t="s">
        <v>1930</v>
      </c>
      <c r="AM63" s="9"/>
      <c r="AN63" s="9"/>
      <c r="AO63" s="9" t="s">
        <v>1943</v>
      </c>
      <c r="AP63" s="9" t="s">
        <v>69</v>
      </c>
      <c r="AQ63" s="9" t="s">
        <v>1932</v>
      </c>
      <c r="AR63" s="9">
        <v>45777</v>
      </c>
      <c r="AS63" s="9" t="s">
        <v>70</v>
      </c>
      <c r="AT63" s="9" t="s">
        <v>1944</v>
      </c>
      <c r="AU63" s="9" t="s">
        <v>473</v>
      </c>
      <c r="AV63" s="9">
        <v>0</v>
      </c>
      <c r="AW63" s="9">
        <v>9085</v>
      </c>
      <c r="AX63" s="9" t="s">
        <v>282</v>
      </c>
      <c r="AY63" s="9">
        <v>0</v>
      </c>
      <c r="AZ63" s="9">
        <v>45777.427291666667</v>
      </c>
      <c r="BA63" s="9">
        <v>45777.427314814813</v>
      </c>
      <c r="BB63" s="9">
        <v>1</v>
      </c>
      <c r="BC63" s="9">
        <v>1</v>
      </c>
      <c r="BD63" s="9" t="s">
        <v>105</v>
      </c>
      <c r="BE63" s="9" t="s">
        <v>283</v>
      </c>
      <c r="BF63" s="9" t="s">
        <v>76</v>
      </c>
      <c r="BG63" s="9"/>
      <c r="BH63" s="9">
        <v>0</v>
      </c>
      <c r="BI63" s="9"/>
      <c r="BJ63" s="9">
        <v>2</v>
      </c>
      <c r="BK63" s="9" t="s">
        <v>1937</v>
      </c>
      <c r="BL63" s="9" t="s">
        <v>1938</v>
      </c>
      <c r="BM63" s="9" t="s">
        <v>75</v>
      </c>
      <c r="BN63" s="9"/>
      <c r="BO63" s="9">
        <v>0</v>
      </c>
      <c r="BP63" s="9"/>
      <c r="BQ63" s="9">
        <v>0</v>
      </c>
      <c r="BR63" s="9"/>
      <c r="BS63" s="9"/>
      <c r="BT63" s="9"/>
      <c r="BU63" s="9"/>
      <c r="BV63" s="9"/>
      <c r="BW63" s="9">
        <v>0</v>
      </c>
      <c r="BX63" s="9"/>
      <c r="BY63" s="9">
        <v>45777.427291666667</v>
      </c>
      <c r="BZ63" s="9"/>
      <c r="CA63" s="9"/>
      <c r="CB63" s="9"/>
      <c r="CC63" s="9"/>
      <c r="CD63" s="9"/>
      <c r="CE63" s="9"/>
      <c r="CF63" s="9"/>
      <c r="CG63" s="9"/>
      <c r="CH63" s="9">
        <v>1</v>
      </c>
      <c r="CI63" s="9">
        <v>0</v>
      </c>
      <c r="CJ63" s="9"/>
      <c r="CK63" s="9"/>
      <c r="CL63" s="9" t="s">
        <v>2018</v>
      </c>
      <c r="CM63" s="9"/>
      <c r="CN63" s="9"/>
      <c r="CO63" s="9"/>
      <c r="CP63" s="9"/>
      <c r="CQ63" s="9"/>
    </row>
    <row r="64" spans="1:95" x14ac:dyDescent="0.35">
      <c r="A64" s="9" t="b">
        <f>ISNUMBER(MATCH(Claude[[#This Row],[Id]],ChargentOrders[Id],0))</f>
        <v>1</v>
      </c>
      <c r="B64" t="b">
        <f>INDEX(ChargentOrders[VALIDO],MATCH(Claude[[#This Row],[Id]],ChargentOrders[Id],0))</f>
        <v>1</v>
      </c>
      <c r="C64">
        <f>INDEX(Contract[CB_Subscription__c],MATCH(Claude[[#This Row],[Contract__c]],Contract[Id],0))</f>
        <v>0</v>
      </c>
      <c r="D64" s="9" t="s">
        <v>288</v>
      </c>
      <c r="E64" s="9" t="s">
        <v>79</v>
      </c>
      <c r="F64" s="9">
        <v>0</v>
      </c>
      <c r="G64" s="9" t="s">
        <v>289</v>
      </c>
      <c r="H64" s="9">
        <v>45744.429594907408</v>
      </c>
      <c r="I64" s="9" t="s">
        <v>65</v>
      </c>
      <c r="J64" s="9">
        <v>45860.033125000002</v>
      </c>
      <c r="K64" s="9" t="s">
        <v>78</v>
      </c>
      <c r="L64" s="9">
        <v>45860.033125000002</v>
      </c>
      <c r="M64" s="9"/>
      <c r="N64" s="9" t="s">
        <v>1591</v>
      </c>
      <c r="O64" s="9" t="s">
        <v>1989</v>
      </c>
      <c r="P64" s="9" t="s">
        <v>1990</v>
      </c>
      <c r="Q64" s="9" t="s">
        <v>1925</v>
      </c>
      <c r="R64" s="9" t="s">
        <v>1589</v>
      </c>
      <c r="S64" s="9" t="s">
        <v>1991</v>
      </c>
      <c r="T64" s="9" t="s">
        <v>1992</v>
      </c>
      <c r="U64" s="9" t="s">
        <v>1928</v>
      </c>
      <c r="V64" s="9">
        <v>915</v>
      </c>
      <c r="W64" s="9">
        <v>2</v>
      </c>
      <c r="X64" s="9">
        <v>2030</v>
      </c>
      <c r="Y64" s="9">
        <v>1962</v>
      </c>
      <c r="Z64" s="9">
        <v>2</v>
      </c>
      <c r="AA64" s="9">
        <v>1962</v>
      </c>
      <c r="AB64" s="9" t="s">
        <v>73</v>
      </c>
      <c r="AC64" s="9">
        <v>2030</v>
      </c>
      <c r="AD64" s="9" t="s">
        <v>104</v>
      </c>
      <c r="AE64" s="9"/>
      <c r="AF64" s="9" t="s">
        <v>1929</v>
      </c>
      <c r="AG64" s="9"/>
      <c r="AH64" s="9" t="s">
        <v>67</v>
      </c>
      <c r="AI64" s="9">
        <v>0</v>
      </c>
      <c r="AJ64" s="9"/>
      <c r="AK64" s="9">
        <v>0</v>
      </c>
      <c r="AL64" s="9" t="s">
        <v>1930</v>
      </c>
      <c r="AM64" s="9">
        <v>1</v>
      </c>
      <c r="AN64" s="9">
        <v>45750</v>
      </c>
      <c r="AO64" s="9" t="s">
        <v>1931</v>
      </c>
      <c r="AP64" s="9" t="s">
        <v>69</v>
      </c>
      <c r="AQ64" s="9" t="s">
        <v>1932</v>
      </c>
      <c r="AR64" s="9">
        <v>45750</v>
      </c>
      <c r="AS64" s="9" t="s">
        <v>74</v>
      </c>
      <c r="AT64" s="9" t="s">
        <v>1935</v>
      </c>
      <c r="AU64" s="9" t="s">
        <v>1952</v>
      </c>
      <c r="AV64" s="9">
        <v>0</v>
      </c>
      <c r="AW64" s="9" t="s">
        <v>1953</v>
      </c>
      <c r="AX64" s="9" t="s">
        <v>240</v>
      </c>
      <c r="AY64" s="9">
        <v>0</v>
      </c>
      <c r="AZ64" s="9">
        <v>45748.791331018518</v>
      </c>
      <c r="BA64" s="9">
        <v>45748.791331018518</v>
      </c>
      <c r="BB64" s="9">
        <v>1</v>
      </c>
      <c r="BC64" s="9">
        <v>3</v>
      </c>
      <c r="BD64" s="9" t="s">
        <v>104</v>
      </c>
      <c r="BE64" s="9" t="s">
        <v>235</v>
      </c>
      <c r="BF64" s="9" t="s">
        <v>71</v>
      </c>
      <c r="BG64" s="9"/>
      <c r="BH64" s="9">
        <v>0</v>
      </c>
      <c r="BI64" s="9"/>
      <c r="BJ64" s="9">
        <v>0</v>
      </c>
      <c r="BK64" s="9" t="s">
        <v>1937</v>
      </c>
      <c r="BL64" s="9" t="s">
        <v>1938</v>
      </c>
      <c r="BM64" s="9" t="s">
        <v>72</v>
      </c>
      <c r="BN64" s="9"/>
      <c r="BO64" s="9">
        <v>1</v>
      </c>
      <c r="BP64" s="9" t="s">
        <v>290</v>
      </c>
      <c r="BQ64" s="9">
        <v>0</v>
      </c>
      <c r="BR64" s="9">
        <v>45702.827997685185</v>
      </c>
      <c r="BS64" s="9" t="s">
        <v>109</v>
      </c>
      <c r="BT64" s="9" t="s">
        <v>65</v>
      </c>
      <c r="BU64" s="9"/>
      <c r="BV64" s="9"/>
      <c r="BW64" s="9">
        <v>0</v>
      </c>
      <c r="BX64" s="9">
        <v>45747.834317129629</v>
      </c>
      <c r="BY64" s="9">
        <v>45748.791331018518</v>
      </c>
      <c r="BZ64" s="9"/>
      <c r="CA64" s="9"/>
      <c r="CB64" s="9"/>
      <c r="CC64" s="9"/>
      <c r="CD64" s="9"/>
      <c r="CE64" s="9"/>
      <c r="CF64" s="9"/>
      <c r="CG64" s="9"/>
      <c r="CH64" s="9">
        <v>1</v>
      </c>
      <c r="CI64" s="9">
        <v>0</v>
      </c>
      <c r="CJ64" s="9"/>
      <c r="CK64" s="9"/>
      <c r="CL64" s="9" t="s">
        <v>1993</v>
      </c>
      <c r="CM64" s="9"/>
      <c r="CN64" s="9">
        <v>0</v>
      </c>
      <c r="CO64" s="9"/>
      <c r="CP64" s="9"/>
      <c r="CQ64" s="9"/>
    </row>
    <row r="65" spans="1:95" x14ac:dyDescent="0.35">
      <c r="A65" s="9" t="b">
        <f>ISNUMBER(MATCH(Claude[[#This Row],[Id]],ChargentOrders[Id],0))</f>
        <v>1</v>
      </c>
      <c r="B65" t="b">
        <f>INDEX(ChargentOrders[VALIDO],MATCH(Claude[[#This Row],[Id]],ChargentOrders[Id],0))</f>
        <v>1</v>
      </c>
      <c r="C65">
        <f>INDEX(Contract[CB_Subscription__c],MATCH(Claude[[#This Row],[Contract__c]],Contract[Id],0))</f>
        <v>0</v>
      </c>
      <c r="D65" s="9" t="s">
        <v>291</v>
      </c>
      <c r="E65" s="9" t="s">
        <v>81</v>
      </c>
      <c r="F65" s="9">
        <v>0</v>
      </c>
      <c r="G65" s="9" t="s">
        <v>292</v>
      </c>
      <c r="H65" s="9">
        <v>45744.431817129633</v>
      </c>
      <c r="I65" s="9" t="s">
        <v>65</v>
      </c>
      <c r="J65" s="9">
        <v>46217.738564814812</v>
      </c>
      <c r="K65" s="9" t="s">
        <v>78</v>
      </c>
      <c r="L65" s="9">
        <v>46217.738564814812</v>
      </c>
      <c r="M65" s="9"/>
      <c r="N65" s="9" t="s">
        <v>1601</v>
      </c>
      <c r="O65" s="9" t="s">
        <v>2005</v>
      </c>
      <c r="P65" s="9" t="s">
        <v>2006</v>
      </c>
      <c r="Q65" s="9" t="s">
        <v>1925</v>
      </c>
      <c r="R65" s="9" t="s">
        <v>1599</v>
      </c>
      <c r="S65" s="9" t="s">
        <v>2007</v>
      </c>
      <c r="T65" s="9" t="s">
        <v>2008</v>
      </c>
      <c r="U65" s="9" t="s">
        <v>1928</v>
      </c>
      <c r="V65" s="9">
        <v>985</v>
      </c>
      <c r="W65" s="9">
        <v>11</v>
      </c>
      <c r="X65" s="9">
        <v>2029</v>
      </c>
      <c r="Y65" s="9">
        <v>6484</v>
      </c>
      <c r="Z65" s="9">
        <v>11</v>
      </c>
      <c r="AA65" s="9">
        <v>6484</v>
      </c>
      <c r="AB65" s="9" t="s">
        <v>73</v>
      </c>
      <c r="AC65" s="9">
        <v>2029</v>
      </c>
      <c r="AD65" s="9" t="s">
        <v>91</v>
      </c>
      <c r="AE65" s="9">
        <v>30</v>
      </c>
      <c r="AF65" s="9" t="s">
        <v>1929</v>
      </c>
      <c r="AG65" s="9"/>
      <c r="AH65" s="9" t="s">
        <v>67</v>
      </c>
      <c r="AI65" s="9">
        <v>0</v>
      </c>
      <c r="AJ65" s="9"/>
      <c r="AK65" s="9">
        <v>0</v>
      </c>
      <c r="AL65" s="9" t="s">
        <v>1930</v>
      </c>
      <c r="AM65" s="9"/>
      <c r="AN65" s="9"/>
      <c r="AO65" s="9" t="s">
        <v>1943</v>
      </c>
      <c r="AP65" s="9" t="s">
        <v>69</v>
      </c>
      <c r="AQ65" s="9" t="s">
        <v>1932</v>
      </c>
      <c r="AR65" s="9">
        <v>46233</v>
      </c>
      <c r="AS65" s="9" t="s">
        <v>84</v>
      </c>
      <c r="AT65" s="9" t="s">
        <v>1944</v>
      </c>
      <c r="AU65" s="9" t="s">
        <v>91</v>
      </c>
      <c r="AV65" s="9">
        <v>0</v>
      </c>
      <c r="AW65" s="9" t="s">
        <v>93</v>
      </c>
      <c r="AX65" s="9" t="s">
        <v>264</v>
      </c>
      <c r="AY65" s="9">
        <v>0</v>
      </c>
      <c r="AZ65" s="9">
        <v>45987.420555555553</v>
      </c>
      <c r="BA65" s="9">
        <v>45987.420636574076</v>
      </c>
      <c r="BB65" s="9">
        <v>5</v>
      </c>
      <c r="BC65" s="9">
        <v>14</v>
      </c>
      <c r="BD65" s="9" t="s">
        <v>2019</v>
      </c>
      <c r="BE65" s="9" t="s">
        <v>265</v>
      </c>
      <c r="BF65" s="9" t="s">
        <v>76</v>
      </c>
      <c r="BG65" s="9"/>
      <c r="BH65" s="9">
        <v>0</v>
      </c>
      <c r="BI65" s="9"/>
      <c r="BJ65" s="9">
        <v>15</v>
      </c>
      <c r="BK65" s="9" t="s">
        <v>92</v>
      </c>
      <c r="BL65" s="9" t="s">
        <v>92</v>
      </c>
      <c r="BM65" s="9" t="s">
        <v>75</v>
      </c>
      <c r="BN65" s="9"/>
      <c r="BO65" s="9">
        <v>0</v>
      </c>
      <c r="BP65" s="9"/>
      <c r="BQ65" s="9">
        <v>0</v>
      </c>
      <c r="BR65" s="9"/>
      <c r="BS65" s="9"/>
      <c r="BT65" s="9"/>
      <c r="BU65" s="9"/>
      <c r="BV65" s="9"/>
      <c r="BW65" s="9">
        <v>0</v>
      </c>
      <c r="BX65" s="9">
        <v>46202.865520833337</v>
      </c>
      <c r="BY65" s="9">
        <v>46202.865520833337</v>
      </c>
      <c r="BZ65" s="9"/>
      <c r="CA65" s="9"/>
      <c r="CB65" s="9"/>
      <c r="CC65" s="9"/>
      <c r="CD65" s="9"/>
      <c r="CE65" s="9"/>
      <c r="CF65" s="9"/>
      <c r="CG65" s="9"/>
      <c r="CH65" s="9">
        <v>1</v>
      </c>
      <c r="CI65" s="9">
        <v>0</v>
      </c>
      <c r="CJ65" s="9"/>
      <c r="CK65" s="9"/>
      <c r="CL65" s="9" t="s">
        <v>2009</v>
      </c>
      <c r="CM65" s="9"/>
      <c r="CN65" s="9">
        <v>0</v>
      </c>
      <c r="CO65" s="9"/>
      <c r="CP65" s="9" t="s">
        <v>2020</v>
      </c>
      <c r="CQ65" s="9">
        <v>0</v>
      </c>
    </row>
    <row r="66" spans="1:95" x14ac:dyDescent="0.35">
      <c r="A66" s="9" t="b">
        <f>ISNUMBER(MATCH(Claude[[#This Row],[Id]],ChargentOrders[Id],0))</f>
        <v>1</v>
      </c>
      <c r="B66" t="b">
        <f>INDEX(ChargentOrders[VALIDO],MATCH(Claude[[#This Row],[Id]],ChargentOrders[Id],0))</f>
        <v>1</v>
      </c>
      <c r="C66">
        <f>INDEX(Contract[CB_Subscription__c],MATCH(Claude[[#This Row],[Contract__c]],Contract[Id],0))</f>
        <v>0</v>
      </c>
      <c r="D66" s="9" t="s">
        <v>293</v>
      </c>
      <c r="E66" s="9" t="s">
        <v>80</v>
      </c>
      <c r="F66" s="9">
        <v>0</v>
      </c>
      <c r="G66" s="9" t="s">
        <v>294</v>
      </c>
      <c r="H66" s="9">
        <v>45747.649421296293</v>
      </c>
      <c r="I66" s="9" t="s">
        <v>80</v>
      </c>
      <c r="J66" s="9">
        <v>45860.033125000002</v>
      </c>
      <c r="K66" s="9" t="s">
        <v>78</v>
      </c>
      <c r="L66" s="9">
        <v>45860.033125000002</v>
      </c>
      <c r="M66" s="9"/>
      <c r="N66" s="9"/>
      <c r="O66" s="9" t="s">
        <v>1989</v>
      </c>
      <c r="P66" s="9" t="s">
        <v>1990</v>
      </c>
      <c r="Q66" s="9" t="s">
        <v>1925</v>
      </c>
      <c r="R66" s="9" t="s">
        <v>1589</v>
      </c>
      <c r="S66" s="9" t="s">
        <v>1991</v>
      </c>
      <c r="T66" s="9" t="s">
        <v>1992</v>
      </c>
      <c r="U66" s="9" t="s">
        <v>1928</v>
      </c>
      <c r="V66" s="9">
        <v>915</v>
      </c>
      <c r="W66" s="9">
        <v>4</v>
      </c>
      <c r="X66" s="9">
        <v>2028</v>
      </c>
      <c r="Y66" s="9">
        <v>1962</v>
      </c>
      <c r="Z66" s="9">
        <v>4</v>
      </c>
      <c r="AA66" s="9">
        <v>4549516910811960</v>
      </c>
      <c r="AB66" s="9" t="s">
        <v>73</v>
      </c>
      <c r="AC66" s="9">
        <v>2028</v>
      </c>
      <c r="AD66" s="9" t="s">
        <v>93</v>
      </c>
      <c r="AE66" s="9"/>
      <c r="AF66" s="9" t="s">
        <v>1929</v>
      </c>
      <c r="AG66" s="9"/>
      <c r="AH66" s="9" t="s">
        <v>67</v>
      </c>
      <c r="AI66" s="9">
        <v>0</v>
      </c>
      <c r="AJ66" s="9"/>
      <c r="AK66" s="9">
        <v>0</v>
      </c>
      <c r="AL66" s="9" t="s">
        <v>1930</v>
      </c>
      <c r="AM66" s="9"/>
      <c r="AN66" s="9"/>
      <c r="AO66" s="9" t="s">
        <v>1931</v>
      </c>
      <c r="AP66" s="9" t="s">
        <v>69</v>
      </c>
      <c r="AQ66" s="9" t="s">
        <v>1932</v>
      </c>
      <c r="AR66" s="9"/>
      <c r="AS66" s="9"/>
      <c r="AT66" s="9"/>
      <c r="AU66" s="9" t="s">
        <v>92</v>
      </c>
      <c r="AV66" s="9">
        <v>0</v>
      </c>
      <c r="AW66" s="9"/>
      <c r="AX66" s="9" t="s">
        <v>295</v>
      </c>
      <c r="AY66" s="9">
        <v>0</v>
      </c>
      <c r="AZ66" s="9"/>
      <c r="BA66" s="9">
        <v>45747.649444444447</v>
      </c>
      <c r="BB66" s="9">
        <v>0</v>
      </c>
      <c r="BC66" s="9">
        <v>1</v>
      </c>
      <c r="BD66" s="9">
        <v>0</v>
      </c>
      <c r="BE66" s="9" t="s">
        <v>235</v>
      </c>
      <c r="BF66" s="9"/>
      <c r="BG66" s="9"/>
      <c r="BH66" s="9">
        <v>0</v>
      </c>
      <c r="BI66" s="9"/>
      <c r="BJ66" s="9">
        <v>1</v>
      </c>
      <c r="BK66" s="9"/>
      <c r="BL66" s="9"/>
      <c r="BM66" s="9" t="s">
        <v>75</v>
      </c>
      <c r="BN66" s="9"/>
      <c r="BO66" s="9">
        <v>0</v>
      </c>
      <c r="BP66" s="9"/>
      <c r="BQ66" s="9">
        <v>1</v>
      </c>
      <c r="BR66" s="9"/>
      <c r="BS66" s="9"/>
      <c r="BT66" s="9"/>
      <c r="BU66" s="9"/>
      <c r="BV66" s="9"/>
      <c r="BW66" s="9">
        <v>0</v>
      </c>
      <c r="BX66" s="9"/>
      <c r="BY66" s="9">
        <v>45747.649444444447</v>
      </c>
      <c r="BZ66" s="9"/>
      <c r="CA66" s="9"/>
      <c r="CB66" s="9"/>
      <c r="CC66" s="9"/>
      <c r="CD66" s="9"/>
      <c r="CE66" s="9"/>
      <c r="CF66" s="9"/>
      <c r="CG66" s="9"/>
      <c r="CH66" s="9">
        <v>1</v>
      </c>
      <c r="CI66" s="9">
        <v>0</v>
      </c>
      <c r="CJ66" s="9"/>
      <c r="CK66" s="9"/>
      <c r="CL66" s="9" t="s">
        <v>1993</v>
      </c>
      <c r="CM66" s="9"/>
      <c r="CN66" s="9">
        <v>0</v>
      </c>
      <c r="CO66" s="9"/>
      <c r="CP66" s="9"/>
      <c r="CQ66" s="9"/>
    </row>
    <row r="67" spans="1:95" x14ac:dyDescent="0.35">
      <c r="A67" s="9" t="b">
        <f>ISNUMBER(MATCH(Claude[[#This Row],[Id]],ChargentOrders[Id],0))</f>
        <v>1</v>
      </c>
      <c r="B67" t="b">
        <f>INDEX(ChargentOrders[VALIDO],MATCH(Claude[[#This Row],[Id]],ChargentOrders[Id],0))</f>
        <v>1</v>
      </c>
      <c r="C67">
        <f>INDEX(Contract[CB_Subscription__c],MATCH(Claude[[#This Row],[Contract__c]],Contract[Id],0))</f>
        <v>0</v>
      </c>
      <c r="D67" s="9" t="s">
        <v>296</v>
      </c>
      <c r="E67" s="9" t="s">
        <v>101</v>
      </c>
      <c r="F67" s="9">
        <v>0</v>
      </c>
      <c r="G67" s="9" t="s">
        <v>297</v>
      </c>
      <c r="H67" s="9">
        <v>45747.738819444443</v>
      </c>
      <c r="I67" s="9" t="s">
        <v>101</v>
      </c>
      <c r="J67" s="9">
        <v>45860.033125000002</v>
      </c>
      <c r="K67" s="9" t="s">
        <v>78</v>
      </c>
      <c r="L67" s="9">
        <v>45860.033125000002</v>
      </c>
      <c r="M67" s="9"/>
      <c r="N67" s="9"/>
      <c r="O67" s="9" t="s">
        <v>1989</v>
      </c>
      <c r="P67" s="9" t="s">
        <v>1990</v>
      </c>
      <c r="Q67" s="9" t="s">
        <v>1925</v>
      </c>
      <c r="R67" s="9" t="s">
        <v>1589</v>
      </c>
      <c r="S67" s="9" t="s">
        <v>1991</v>
      </c>
      <c r="T67" s="9" t="s">
        <v>1992</v>
      </c>
      <c r="U67" s="9" t="s">
        <v>1928</v>
      </c>
      <c r="V67" s="9">
        <v>915</v>
      </c>
      <c r="W67" s="9">
        <v>2</v>
      </c>
      <c r="X67" s="9">
        <v>2030</v>
      </c>
      <c r="Y67" s="9">
        <v>1962</v>
      </c>
      <c r="Z67" s="9">
        <v>2</v>
      </c>
      <c r="AA67" s="9">
        <v>4549516910811960</v>
      </c>
      <c r="AB67" s="9" t="s">
        <v>73</v>
      </c>
      <c r="AC67" s="9">
        <v>2030</v>
      </c>
      <c r="AD67" s="9" t="s">
        <v>93</v>
      </c>
      <c r="AE67" s="9"/>
      <c r="AF67" s="9" t="s">
        <v>1929</v>
      </c>
      <c r="AG67" s="9"/>
      <c r="AH67" s="9" t="s">
        <v>67</v>
      </c>
      <c r="AI67" s="9">
        <v>0</v>
      </c>
      <c r="AJ67" s="9"/>
      <c r="AK67" s="9">
        <v>0</v>
      </c>
      <c r="AL67" s="9" t="s">
        <v>1930</v>
      </c>
      <c r="AM67" s="9"/>
      <c r="AN67" s="9"/>
      <c r="AO67" s="9" t="s">
        <v>1931</v>
      </c>
      <c r="AP67" s="9" t="s">
        <v>69</v>
      </c>
      <c r="AQ67" s="9" t="s">
        <v>1932</v>
      </c>
      <c r="AR67" s="9"/>
      <c r="AS67" s="9"/>
      <c r="AT67" s="9"/>
      <c r="AU67" s="9" t="s">
        <v>92</v>
      </c>
      <c r="AV67" s="9">
        <v>0</v>
      </c>
      <c r="AW67" s="9"/>
      <c r="AX67" s="9" t="s">
        <v>240</v>
      </c>
      <c r="AY67" s="9">
        <v>0</v>
      </c>
      <c r="AZ67" s="9"/>
      <c r="BA67" s="9">
        <v>45747.738842592589</v>
      </c>
      <c r="BB67" s="9">
        <v>0</v>
      </c>
      <c r="BC67" s="9">
        <v>1</v>
      </c>
      <c r="BD67" s="9">
        <v>0</v>
      </c>
      <c r="BE67" s="9" t="s">
        <v>235</v>
      </c>
      <c r="BF67" s="9"/>
      <c r="BG67" s="9"/>
      <c r="BH67" s="9">
        <v>0</v>
      </c>
      <c r="BI67" s="9"/>
      <c r="BJ67" s="9">
        <v>1</v>
      </c>
      <c r="BK67" s="9"/>
      <c r="BL67" s="9"/>
      <c r="BM67" s="9" t="s">
        <v>75</v>
      </c>
      <c r="BN67" s="9"/>
      <c r="BO67" s="9">
        <v>0</v>
      </c>
      <c r="BP67" s="9"/>
      <c r="BQ67" s="9">
        <v>1</v>
      </c>
      <c r="BR67" s="9"/>
      <c r="BS67" s="9"/>
      <c r="BT67" s="9"/>
      <c r="BU67" s="9"/>
      <c r="BV67" s="9"/>
      <c r="BW67" s="9">
        <v>0</v>
      </c>
      <c r="BX67" s="9"/>
      <c r="BY67" s="9">
        <v>45747.738842592589</v>
      </c>
      <c r="BZ67" s="9"/>
      <c r="CA67" s="9"/>
      <c r="CB67" s="9"/>
      <c r="CC67" s="9"/>
      <c r="CD67" s="9"/>
      <c r="CE67" s="9"/>
      <c r="CF67" s="9"/>
      <c r="CG67" s="9"/>
      <c r="CH67" s="9">
        <v>1</v>
      </c>
      <c r="CI67" s="9">
        <v>0</v>
      </c>
      <c r="CJ67" s="9"/>
      <c r="CK67" s="9"/>
      <c r="CL67" s="9" t="s">
        <v>1993</v>
      </c>
      <c r="CM67" s="9"/>
      <c r="CN67" s="9">
        <v>0</v>
      </c>
      <c r="CO67" s="9"/>
      <c r="CP67" s="9"/>
      <c r="CQ67" s="9"/>
    </row>
    <row r="68" spans="1:95" x14ac:dyDescent="0.35">
      <c r="A68" s="9" t="b">
        <f>ISNUMBER(MATCH(Claude[[#This Row],[Id]],ChargentOrders[Id],0))</f>
        <v>1</v>
      </c>
      <c r="B68" t="b">
        <f>INDEX(ChargentOrders[VALIDO],MATCH(Claude[[#This Row],[Id]],ChargentOrders[Id],0))</f>
        <v>1</v>
      </c>
      <c r="C68">
        <f>INDEX(Contract[CB_Subscription__c],MATCH(Claude[[#This Row],[Contract__c]],Contract[Id],0))</f>
        <v>0</v>
      </c>
      <c r="D68" s="9" t="s">
        <v>298</v>
      </c>
      <c r="E68" s="9" t="s">
        <v>79</v>
      </c>
      <c r="F68" s="9">
        <v>0</v>
      </c>
      <c r="G68" s="9" t="s">
        <v>299</v>
      </c>
      <c r="H68" s="9">
        <v>45777.422002314815</v>
      </c>
      <c r="I68" s="9" t="s">
        <v>65</v>
      </c>
      <c r="J68" s="9">
        <v>45860.032557870371</v>
      </c>
      <c r="K68" s="9" t="s">
        <v>78</v>
      </c>
      <c r="L68" s="9">
        <v>45860.032557870371</v>
      </c>
      <c r="M68" s="9"/>
      <c r="N68" s="9" t="s">
        <v>1576</v>
      </c>
      <c r="O68" s="9" t="s">
        <v>1947</v>
      </c>
      <c r="P68" s="9" t="s">
        <v>1948</v>
      </c>
      <c r="Q68" s="9" t="s">
        <v>1925</v>
      </c>
      <c r="R68" s="9" t="s">
        <v>1574</v>
      </c>
      <c r="S68" s="9" t="s">
        <v>1949</v>
      </c>
      <c r="T68" s="9" t="s">
        <v>1950</v>
      </c>
      <c r="U68" s="9" t="s">
        <v>1928</v>
      </c>
      <c r="V68" s="9">
        <v>769</v>
      </c>
      <c r="W68" s="9">
        <v>7</v>
      </c>
      <c r="X68" s="9">
        <v>2028</v>
      </c>
      <c r="Y68" s="9">
        <v>1524</v>
      </c>
      <c r="Z68" s="9">
        <v>7</v>
      </c>
      <c r="AA68" s="9">
        <v>4549516625621520</v>
      </c>
      <c r="AB68" s="9" t="s">
        <v>73</v>
      </c>
      <c r="AC68" s="9">
        <v>2028</v>
      </c>
      <c r="AD68" s="9" t="s">
        <v>104</v>
      </c>
      <c r="AE68" s="9"/>
      <c r="AF68" s="9" t="s">
        <v>1929</v>
      </c>
      <c r="AG68" s="9"/>
      <c r="AH68" s="9" t="s">
        <v>67</v>
      </c>
      <c r="AI68" s="9">
        <v>0</v>
      </c>
      <c r="AJ68" s="9"/>
      <c r="AK68" s="9">
        <v>0</v>
      </c>
      <c r="AL68" s="9" t="s">
        <v>1930</v>
      </c>
      <c r="AM68" s="9">
        <v>1</v>
      </c>
      <c r="AN68" s="9">
        <v>45779</v>
      </c>
      <c r="AO68" s="9" t="s">
        <v>1931</v>
      </c>
      <c r="AP68" s="9" t="s">
        <v>69</v>
      </c>
      <c r="AQ68" s="9" t="s">
        <v>1932</v>
      </c>
      <c r="AR68" s="9">
        <v>45779</v>
      </c>
      <c r="AS68" s="9" t="s">
        <v>74</v>
      </c>
      <c r="AT68" s="9" t="s">
        <v>1935</v>
      </c>
      <c r="AU68" s="9" t="s">
        <v>1952</v>
      </c>
      <c r="AV68" s="9">
        <v>0</v>
      </c>
      <c r="AW68" s="9" t="s">
        <v>1953</v>
      </c>
      <c r="AX68" s="9" t="s">
        <v>158</v>
      </c>
      <c r="AY68" s="9">
        <v>0</v>
      </c>
      <c r="AZ68" s="9">
        <v>45779.427141203705</v>
      </c>
      <c r="BA68" s="9">
        <v>45779.427222222221</v>
      </c>
      <c r="BB68" s="9">
        <v>1</v>
      </c>
      <c r="BC68" s="9">
        <v>1</v>
      </c>
      <c r="BD68" s="9" t="s">
        <v>104</v>
      </c>
      <c r="BE68" s="9" t="s">
        <v>159</v>
      </c>
      <c r="BF68" s="9" t="s">
        <v>71</v>
      </c>
      <c r="BG68" s="9"/>
      <c r="BH68" s="9">
        <v>0</v>
      </c>
      <c r="BI68" s="9"/>
      <c r="BJ68" s="9">
        <v>0</v>
      </c>
      <c r="BK68" s="9" t="s">
        <v>1937</v>
      </c>
      <c r="BL68" s="9" t="s">
        <v>1938</v>
      </c>
      <c r="BM68" s="9" t="s">
        <v>72</v>
      </c>
      <c r="BN68" s="9"/>
      <c r="BO68" s="9">
        <v>1</v>
      </c>
      <c r="BP68" s="9" t="s">
        <v>300</v>
      </c>
      <c r="BQ68" s="9">
        <v>0</v>
      </c>
      <c r="BR68" s="9">
        <v>45392.867974537039</v>
      </c>
      <c r="BS68" s="9" t="s">
        <v>109</v>
      </c>
      <c r="BT68" s="9" t="s">
        <v>65</v>
      </c>
      <c r="BU68" s="9"/>
      <c r="BV68" s="9"/>
      <c r="BW68" s="9">
        <v>0</v>
      </c>
      <c r="BX68" s="9"/>
      <c r="BY68" s="9">
        <v>45779.427141203705</v>
      </c>
      <c r="BZ68" s="9"/>
      <c r="CA68" s="9"/>
      <c r="CB68" s="9"/>
      <c r="CC68" s="9"/>
      <c r="CD68" s="9"/>
      <c r="CE68" s="9"/>
      <c r="CF68" s="9"/>
      <c r="CG68" s="9"/>
      <c r="CH68" s="9">
        <v>1</v>
      </c>
      <c r="CI68" s="9">
        <v>0</v>
      </c>
      <c r="CJ68" s="9"/>
      <c r="CK68" s="9"/>
      <c r="CL68" s="9"/>
      <c r="CM68" s="9"/>
      <c r="CN68" s="9">
        <v>0</v>
      </c>
      <c r="CO68" s="9"/>
      <c r="CP68" s="9"/>
      <c r="CQ68" s="9"/>
    </row>
    <row r="69" spans="1:95" x14ac:dyDescent="0.35">
      <c r="A69" s="9" t="b">
        <f>ISNUMBER(MATCH(Claude[[#This Row],[Id]],ChargentOrders[Id],0))</f>
        <v>1</v>
      </c>
      <c r="B69" t="b">
        <f>INDEX(ChargentOrders[VALIDO],MATCH(Claude[[#This Row],[Id]],ChargentOrders[Id],0))</f>
        <v>1</v>
      </c>
      <c r="C69">
        <f>INDEX(Contract[CB_Subscription__c],MATCH(Claude[[#This Row],[Contract__c]],Contract[Id],0))</f>
        <v>0</v>
      </c>
      <c r="D69" s="9" t="s">
        <v>301</v>
      </c>
      <c r="E69" s="9" t="s">
        <v>79</v>
      </c>
      <c r="F69" s="9">
        <v>0</v>
      </c>
      <c r="G69" s="9" t="s">
        <v>302</v>
      </c>
      <c r="H69" s="9">
        <v>45777.42324074074</v>
      </c>
      <c r="I69" s="9" t="s">
        <v>65</v>
      </c>
      <c r="J69" s="9">
        <v>45860.032789351855</v>
      </c>
      <c r="K69" s="9" t="s">
        <v>78</v>
      </c>
      <c r="L69" s="9">
        <v>45860.032789351855</v>
      </c>
      <c r="M69" s="9"/>
      <c r="N69" s="9" t="s">
        <v>1581</v>
      </c>
      <c r="O69" s="9" t="s">
        <v>1960</v>
      </c>
      <c r="P69" s="9" t="s">
        <v>1961</v>
      </c>
      <c r="Q69" s="9" t="s">
        <v>1925</v>
      </c>
      <c r="R69" s="9" t="s">
        <v>1579</v>
      </c>
      <c r="S69" s="9" t="s">
        <v>1962</v>
      </c>
      <c r="T69" s="9" t="s">
        <v>1963</v>
      </c>
      <c r="U69" s="9" t="s">
        <v>1928</v>
      </c>
      <c r="V69" s="9">
        <v>778</v>
      </c>
      <c r="W69" s="9">
        <v>3</v>
      </c>
      <c r="X69" s="9">
        <v>2027</v>
      </c>
      <c r="Y69" s="9">
        <v>4327</v>
      </c>
      <c r="Z69" s="9">
        <v>3</v>
      </c>
      <c r="AA69" s="9">
        <v>4549516808074320</v>
      </c>
      <c r="AB69" s="9" t="s">
        <v>73</v>
      </c>
      <c r="AC69" s="9">
        <v>2027</v>
      </c>
      <c r="AD69" s="9" t="s">
        <v>104</v>
      </c>
      <c r="AE69" s="9"/>
      <c r="AF69" s="9" t="s">
        <v>1929</v>
      </c>
      <c r="AG69" s="9"/>
      <c r="AH69" s="9" t="s">
        <v>67</v>
      </c>
      <c r="AI69" s="9">
        <v>0</v>
      </c>
      <c r="AJ69" s="9"/>
      <c r="AK69" s="9">
        <v>0</v>
      </c>
      <c r="AL69" s="9" t="s">
        <v>1930</v>
      </c>
      <c r="AM69" s="9">
        <v>1</v>
      </c>
      <c r="AN69" s="9">
        <v>45789</v>
      </c>
      <c r="AO69" s="9" t="s">
        <v>1931</v>
      </c>
      <c r="AP69" s="9" t="s">
        <v>69</v>
      </c>
      <c r="AQ69" s="9" t="s">
        <v>1932</v>
      </c>
      <c r="AR69" s="9">
        <v>45789</v>
      </c>
      <c r="AS69" s="9" t="s">
        <v>74</v>
      </c>
      <c r="AT69" s="9" t="s">
        <v>1935</v>
      </c>
      <c r="AU69" s="9" t="s">
        <v>1952</v>
      </c>
      <c r="AV69" s="9">
        <v>0</v>
      </c>
      <c r="AW69" s="9" t="s">
        <v>1953</v>
      </c>
      <c r="AX69" s="9" t="s">
        <v>165</v>
      </c>
      <c r="AY69" s="9">
        <v>0</v>
      </c>
      <c r="AZ69" s="9">
        <v>45789.425891203704</v>
      </c>
      <c r="BA69" s="9">
        <v>45789.425902777781</v>
      </c>
      <c r="BB69" s="9">
        <v>1</v>
      </c>
      <c r="BC69" s="9">
        <v>6</v>
      </c>
      <c r="BD69" s="9" t="s">
        <v>104</v>
      </c>
      <c r="BE69" s="9" t="s">
        <v>179</v>
      </c>
      <c r="BF69" s="9" t="s">
        <v>71</v>
      </c>
      <c r="BG69" s="9"/>
      <c r="BH69" s="9">
        <v>0</v>
      </c>
      <c r="BI69" s="9"/>
      <c r="BJ69" s="9">
        <v>0</v>
      </c>
      <c r="BK69" s="9" t="s">
        <v>1937</v>
      </c>
      <c r="BL69" s="9" t="s">
        <v>1938</v>
      </c>
      <c r="BM69" s="9" t="s">
        <v>72</v>
      </c>
      <c r="BN69" s="9"/>
      <c r="BO69" s="9">
        <v>1</v>
      </c>
      <c r="BP69" s="9" t="s">
        <v>303</v>
      </c>
      <c r="BQ69" s="9">
        <v>0</v>
      </c>
      <c r="BR69" s="9">
        <v>45546.777881944443</v>
      </c>
      <c r="BS69" s="9" t="s">
        <v>109</v>
      </c>
      <c r="BT69" s="9" t="s">
        <v>65</v>
      </c>
      <c r="BU69" s="9"/>
      <c r="BV69" s="9"/>
      <c r="BW69" s="9">
        <v>0</v>
      </c>
      <c r="BX69" s="9">
        <v>45786.968888888892</v>
      </c>
      <c r="BY69" s="9">
        <v>45789.425891203704</v>
      </c>
      <c r="BZ69" s="9"/>
      <c r="CA69" s="9"/>
      <c r="CB69" s="9"/>
      <c r="CC69" s="9"/>
      <c r="CD69" s="9"/>
      <c r="CE69" s="9"/>
      <c r="CF69" s="9"/>
      <c r="CG69" s="9"/>
      <c r="CH69" s="9">
        <v>1</v>
      </c>
      <c r="CI69" s="9">
        <v>0</v>
      </c>
      <c r="CJ69" s="9"/>
      <c r="CK69" s="9"/>
      <c r="CL69" s="9" t="s">
        <v>1964</v>
      </c>
      <c r="CM69" s="9"/>
      <c r="CN69" s="9">
        <v>0</v>
      </c>
      <c r="CO69" s="9"/>
      <c r="CP69" s="9"/>
      <c r="CQ69" s="9"/>
    </row>
    <row r="70" spans="1:95" x14ac:dyDescent="0.35">
      <c r="A70" s="9" t="b">
        <f>ISNUMBER(MATCH(Claude[[#This Row],[Id]],ChargentOrders[Id],0))</f>
        <v>1</v>
      </c>
      <c r="B70" t="b">
        <f>INDEX(ChargentOrders[VALIDO],MATCH(Claude[[#This Row],[Id]],ChargentOrders[Id],0))</f>
        <v>1</v>
      </c>
      <c r="C70">
        <f>INDEX(Contract[CB_Subscription__c],MATCH(Claude[[#This Row],[Contract__c]],Contract[Id],0))</f>
        <v>0</v>
      </c>
      <c r="D70" s="9" t="s">
        <v>304</v>
      </c>
      <c r="E70" s="9" t="s">
        <v>79</v>
      </c>
      <c r="F70" s="9">
        <v>0</v>
      </c>
      <c r="G70" s="9" t="s">
        <v>305</v>
      </c>
      <c r="H70" s="9">
        <v>45777.423784722225</v>
      </c>
      <c r="I70" s="9" t="s">
        <v>65</v>
      </c>
      <c r="J70" s="9">
        <v>45860.032870370371</v>
      </c>
      <c r="K70" s="9" t="s">
        <v>78</v>
      </c>
      <c r="L70" s="9">
        <v>45860.032870370371</v>
      </c>
      <c r="M70" s="9"/>
      <c r="N70" s="9" t="s">
        <v>1586</v>
      </c>
      <c r="O70" s="9" t="s">
        <v>1973</v>
      </c>
      <c r="P70" s="9" t="s">
        <v>1974</v>
      </c>
      <c r="Q70" s="9" t="s">
        <v>1925</v>
      </c>
      <c r="R70" s="9" t="s">
        <v>1584</v>
      </c>
      <c r="S70" s="9" t="s">
        <v>1975</v>
      </c>
      <c r="T70" s="9" t="s">
        <v>1976</v>
      </c>
      <c r="U70" s="9" t="s">
        <v>1928</v>
      </c>
      <c r="V70" s="9">
        <v>969</v>
      </c>
      <c r="W70" s="9">
        <v>7</v>
      </c>
      <c r="X70" s="9">
        <v>2028</v>
      </c>
      <c r="Y70" s="9">
        <v>5666</v>
      </c>
      <c r="Z70" s="9">
        <v>7</v>
      </c>
      <c r="AA70" s="9">
        <v>4870389490805660</v>
      </c>
      <c r="AB70" s="9" t="s">
        <v>73</v>
      </c>
      <c r="AC70" s="9">
        <v>2028</v>
      </c>
      <c r="AD70" s="9" t="s">
        <v>1969</v>
      </c>
      <c r="AE70" s="9"/>
      <c r="AF70" s="9" t="s">
        <v>1929</v>
      </c>
      <c r="AG70" s="9"/>
      <c r="AH70" s="9" t="s">
        <v>67</v>
      </c>
      <c r="AI70" s="9">
        <v>0</v>
      </c>
      <c r="AJ70" s="9"/>
      <c r="AK70" s="9">
        <v>0</v>
      </c>
      <c r="AL70" s="9" t="s">
        <v>1930</v>
      </c>
      <c r="AM70" s="9">
        <v>1</v>
      </c>
      <c r="AN70" s="9">
        <v>45779</v>
      </c>
      <c r="AO70" s="9" t="s">
        <v>1931</v>
      </c>
      <c r="AP70" s="9" t="s">
        <v>69</v>
      </c>
      <c r="AQ70" s="9" t="s">
        <v>1932</v>
      </c>
      <c r="AR70" s="9">
        <v>45779</v>
      </c>
      <c r="AS70" s="9" t="s">
        <v>74</v>
      </c>
      <c r="AT70" s="9" t="s">
        <v>1935</v>
      </c>
      <c r="AU70" s="9" t="s">
        <v>1970</v>
      </c>
      <c r="AV70" s="9">
        <v>0</v>
      </c>
      <c r="AW70" s="9" t="s">
        <v>1971</v>
      </c>
      <c r="AX70" s="9" t="s">
        <v>196</v>
      </c>
      <c r="AY70" s="9">
        <v>0</v>
      </c>
      <c r="AZ70" s="9">
        <v>45779.427858796298</v>
      </c>
      <c r="BA70" s="9">
        <v>45779.427870370368</v>
      </c>
      <c r="BB70" s="9">
        <v>1</v>
      </c>
      <c r="BC70" s="9">
        <v>1</v>
      </c>
      <c r="BD70" s="9" t="s">
        <v>1972</v>
      </c>
      <c r="BE70" s="9" t="s">
        <v>197</v>
      </c>
      <c r="BF70" s="9" t="s">
        <v>71</v>
      </c>
      <c r="BG70" s="9"/>
      <c r="BH70" s="9">
        <v>0</v>
      </c>
      <c r="BI70" s="9"/>
      <c r="BJ70" s="9">
        <v>0</v>
      </c>
      <c r="BK70" s="9" t="s">
        <v>1937</v>
      </c>
      <c r="BL70" s="9" t="s">
        <v>1938</v>
      </c>
      <c r="BM70" s="9" t="s">
        <v>72</v>
      </c>
      <c r="BN70" s="9"/>
      <c r="BO70" s="9">
        <v>1</v>
      </c>
      <c r="BP70" s="9" t="s">
        <v>306</v>
      </c>
      <c r="BQ70" s="9">
        <v>0</v>
      </c>
      <c r="BR70" s="9">
        <v>45589.952337962961</v>
      </c>
      <c r="BS70" s="9" t="s">
        <v>109</v>
      </c>
      <c r="BT70" s="9" t="s">
        <v>65</v>
      </c>
      <c r="BU70" s="9"/>
      <c r="BV70" s="9"/>
      <c r="BW70" s="9">
        <v>0</v>
      </c>
      <c r="BX70" s="9"/>
      <c r="BY70" s="9">
        <v>45779.427858796298</v>
      </c>
      <c r="BZ70" s="9"/>
      <c r="CA70" s="9"/>
      <c r="CB70" s="9"/>
      <c r="CC70" s="9"/>
      <c r="CD70" s="9"/>
      <c r="CE70" s="9"/>
      <c r="CF70" s="9"/>
      <c r="CG70" s="9"/>
      <c r="CH70" s="9">
        <v>1</v>
      </c>
      <c r="CI70" s="9">
        <v>0</v>
      </c>
      <c r="CJ70" s="9"/>
      <c r="CK70" s="9"/>
      <c r="CL70" s="9" t="s">
        <v>1977</v>
      </c>
      <c r="CM70" s="9"/>
      <c r="CN70" s="9">
        <v>0</v>
      </c>
      <c r="CO70" s="9"/>
      <c r="CP70" s="9"/>
      <c r="CQ70" s="9"/>
    </row>
    <row r="71" spans="1:95" x14ac:dyDescent="0.35">
      <c r="A71" s="9" t="b">
        <f>ISNUMBER(MATCH(Claude[[#This Row],[Id]],ChargentOrders[Id],0))</f>
        <v>1</v>
      </c>
      <c r="B71" t="b">
        <f>INDEX(ChargentOrders[VALIDO],MATCH(Claude[[#This Row],[Id]],ChargentOrders[Id],0))</f>
        <v>1</v>
      </c>
      <c r="C71">
        <f>INDEX(Contract[CB_Subscription__c],MATCH(Claude[[#This Row],[Contract__c]],Contract[Id],0))</f>
        <v>0</v>
      </c>
      <c r="D71" s="9" t="s">
        <v>307</v>
      </c>
      <c r="E71" s="9" t="s">
        <v>79</v>
      </c>
      <c r="F71" s="9">
        <v>0</v>
      </c>
      <c r="G71" s="9" t="s">
        <v>308</v>
      </c>
      <c r="H71" s="9">
        <v>45777.426562499997</v>
      </c>
      <c r="I71" s="9" t="s">
        <v>65</v>
      </c>
      <c r="J71" s="9">
        <v>45860.033043981479</v>
      </c>
      <c r="K71" s="9" t="s">
        <v>78</v>
      </c>
      <c r="L71" s="9">
        <v>45860.033043981479</v>
      </c>
      <c r="M71" s="9"/>
      <c r="N71" s="9" t="s">
        <v>1988</v>
      </c>
      <c r="O71" s="9" t="s">
        <v>1982</v>
      </c>
      <c r="P71" s="9" t="s">
        <v>1983</v>
      </c>
      <c r="Q71" s="9" t="s">
        <v>1925</v>
      </c>
      <c r="R71" s="9" t="s">
        <v>1984</v>
      </c>
      <c r="S71" s="9" t="s">
        <v>1985</v>
      </c>
      <c r="T71" s="9" t="s">
        <v>1986</v>
      </c>
      <c r="U71" s="9" t="s">
        <v>1928</v>
      </c>
      <c r="V71" s="9">
        <v>771</v>
      </c>
      <c r="W71" s="9">
        <v>7</v>
      </c>
      <c r="X71" s="9">
        <v>2029</v>
      </c>
      <c r="Y71" s="9">
        <v>4040</v>
      </c>
      <c r="Z71" s="9">
        <v>7</v>
      </c>
      <c r="AA71" s="9">
        <v>5392871341924040</v>
      </c>
      <c r="AB71" s="9" t="s">
        <v>66</v>
      </c>
      <c r="AC71" s="9">
        <v>2029</v>
      </c>
      <c r="AD71" s="9" t="s">
        <v>104</v>
      </c>
      <c r="AE71" s="9"/>
      <c r="AF71" s="9" t="s">
        <v>1929</v>
      </c>
      <c r="AG71" s="9"/>
      <c r="AH71" s="9" t="s">
        <v>67</v>
      </c>
      <c r="AI71" s="9">
        <v>0</v>
      </c>
      <c r="AJ71" s="9"/>
      <c r="AK71" s="9">
        <v>0</v>
      </c>
      <c r="AL71" s="9" t="s">
        <v>1930</v>
      </c>
      <c r="AM71" s="9">
        <v>1</v>
      </c>
      <c r="AN71" s="9">
        <v>45786</v>
      </c>
      <c r="AO71" s="9" t="s">
        <v>1931</v>
      </c>
      <c r="AP71" s="9" t="s">
        <v>69</v>
      </c>
      <c r="AQ71" s="9" t="s">
        <v>1932</v>
      </c>
      <c r="AR71" s="9">
        <v>45786</v>
      </c>
      <c r="AS71" s="9" t="s">
        <v>74</v>
      </c>
      <c r="AT71" s="9" t="s">
        <v>1935</v>
      </c>
      <c r="AU71" s="9" t="s">
        <v>1952</v>
      </c>
      <c r="AV71" s="9">
        <v>0</v>
      </c>
      <c r="AW71" s="9" t="s">
        <v>1953</v>
      </c>
      <c r="AX71" s="9" t="s">
        <v>219</v>
      </c>
      <c r="AY71" s="9">
        <v>0</v>
      </c>
      <c r="AZ71" s="9">
        <v>45786.427210648151</v>
      </c>
      <c r="BA71" s="9">
        <v>45786.427291666667</v>
      </c>
      <c r="BB71" s="9">
        <v>1</v>
      </c>
      <c r="BC71" s="9">
        <v>4</v>
      </c>
      <c r="BD71" s="9" t="s">
        <v>104</v>
      </c>
      <c r="BE71" s="9" t="s">
        <v>220</v>
      </c>
      <c r="BF71" s="9" t="s">
        <v>71</v>
      </c>
      <c r="BG71" s="9"/>
      <c r="BH71" s="9">
        <v>0</v>
      </c>
      <c r="BI71" s="9"/>
      <c r="BJ71" s="9">
        <v>0</v>
      </c>
      <c r="BK71" s="9" t="s">
        <v>1937</v>
      </c>
      <c r="BL71" s="9" t="s">
        <v>1938</v>
      </c>
      <c r="BM71" s="9" t="s">
        <v>72</v>
      </c>
      <c r="BN71" s="9"/>
      <c r="BO71" s="9">
        <v>1</v>
      </c>
      <c r="BP71" s="9" t="s">
        <v>309</v>
      </c>
      <c r="BQ71" s="9">
        <v>0</v>
      </c>
      <c r="BR71" s="9">
        <v>45716.429675925923</v>
      </c>
      <c r="BS71" s="9" t="s">
        <v>109</v>
      </c>
      <c r="BT71" s="9" t="s">
        <v>65</v>
      </c>
      <c r="BU71" s="9"/>
      <c r="BV71" s="9"/>
      <c r="BW71" s="9">
        <v>0</v>
      </c>
      <c r="BX71" s="9">
        <v>45785.426261574074</v>
      </c>
      <c r="BY71" s="9">
        <v>45786.427210648151</v>
      </c>
      <c r="BZ71" s="9"/>
      <c r="CA71" s="9"/>
      <c r="CB71" s="9"/>
      <c r="CC71" s="9"/>
      <c r="CD71" s="9"/>
      <c r="CE71" s="9"/>
      <c r="CF71" s="9"/>
      <c r="CG71" s="9"/>
      <c r="CH71" s="9">
        <v>1</v>
      </c>
      <c r="CI71" s="9">
        <v>0</v>
      </c>
      <c r="CJ71" s="9"/>
      <c r="CK71" s="9"/>
      <c r="CL71" s="9" t="s">
        <v>1987</v>
      </c>
      <c r="CM71" s="9"/>
      <c r="CN71" s="9">
        <v>0</v>
      </c>
      <c r="CO71" s="9"/>
      <c r="CP71" s="9"/>
      <c r="CQ71" s="9"/>
    </row>
    <row r="72" spans="1:95" x14ac:dyDescent="0.35">
      <c r="A72" s="9" t="b">
        <f>ISNUMBER(MATCH(Claude[[#This Row],[Id]],ChargentOrders[Id],0))</f>
        <v>1</v>
      </c>
      <c r="B72" t="b">
        <f>INDEX(ChargentOrders[VALIDO],MATCH(Claude[[#This Row],[Id]],ChargentOrders[Id],0))</f>
        <v>1</v>
      </c>
      <c r="C72">
        <f>INDEX(Contract[CB_Subscription__c],MATCH(Claude[[#This Row],[Contract__c]],Contract[Id],0))</f>
        <v>0</v>
      </c>
      <c r="D72" s="9" t="s">
        <v>310</v>
      </c>
      <c r="E72" s="9" t="s">
        <v>79</v>
      </c>
      <c r="F72" s="9">
        <v>0</v>
      </c>
      <c r="G72" s="9" t="s">
        <v>311</v>
      </c>
      <c r="H72" s="9">
        <v>45777.426990740743</v>
      </c>
      <c r="I72" s="9" t="s">
        <v>65</v>
      </c>
      <c r="J72" s="9">
        <v>45860.033171296294</v>
      </c>
      <c r="K72" s="9" t="s">
        <v>78</v>
      </c>
      <c r="L72" s="9">
        <v>45860.033171296294</v>
      </c>
      <c r="M72" s="9"/>
      <c r="N72" s="9" t="s">
        <v>1596</v>
      </c>
      <c r="O72" s="9" t="s">
        <v>1997</v>
      </c>
      <c r="P72" s="9" t="s">
        <v>1990</v>
      </c>
      <c r="Q72" s="9" t="s">
        <v>1925</v>
      </c>
      <c r="R72" s="9" t="s">
        <v>1594</v>
      </c>
      <c r="S72" s="9" t="s">
        <v>1998</v>
      </c>
      <c r="T72" s="9" t="s">
        <v>1999</v>
      </c>
      <c r="U72" s="9" t="s">
        <v>1928</v>
      </c>
      <c r="V72" s="9">
        <v>901</v>
      </c>
      <c r="W72" s="9">
        <v>2</v>
      </c>
      <c r="X72" s="9">
        <v>2026</v>
      </c>
      <c r="Y72" s="9">
        <v>7405</v>
      </c>
      <c r="Z72" s="9">
        <v>2</v>
      </c>
      <c r="AA72" s="9">
        <v>4549516847817400</v>
      </c>
      <c r="AB72" s="9" t="s">
        <v>73</v>
      </c>
      <c r="AC72" s="9">
        <v>2026</v>
      </c>
      <c r="AD72" s="9" t="s">
        <v>104</v>
      </c>
      <c r="AE72" s="9"/>
      <c r="AF72" s="9" t="s">
        <v>1929</v>
      </c>
      <c r="AG72" s="9"/>
      <c r="AH72" s="9" t="s">
        <v>67</v>
      </c>
      <c r="AI72" s="9">
        <v>0</v>
      </c>
      <c r="AJ72" s="9"/>
      <c r="AK72" s="9">
        <v>0</v>
      </c>
      <c r="AL72" s="9" t="s">
        <v>1930</v>
      </c>
      <c r="AM72" s="9">
        <v>1</v>
      </c>
      <c r="AN72" s="9">
        <v>45820</v>
      </c>
      <c r="AO72" s="9" t="s">
        <v>1931</v>
      </c>
      <c r="AP72" s="9" t="s">
        <v>69</v>
      </c>
      <c r="AQ72" s="9" t="s">
        <v>1932</v>
      </c>
      <c r="AR72" s="9">
        <v>45820</v>
      </c>
      <c r="AS72" s="9" t="s">
        <v>74</v>
      </c>
      <c r="AT72" s="9" t="s">
        <v>1935</v>
      </c>
      <c r="AU72" s="9" t="s">
        <v>1952</v>
      </c>
      <c r="AV72" s="9">
        <v>0</v>
      </c>
      <c r="AW72" s="9" t="s">
        <v>1953</v>
      </c>
      <c r="AX72" s="9" t="s">
        <v>252</v>
      </c>
      <c r="AY72" s="9">
        <v>0</v>
      </c>
      <c r="AZ72" s="9">
        <v>45820.423437500001</v>
      </c>
      <c r="BA72" s="9">
        <v>45820.423437500001</v>
      </c>
      <c r="BB72" s="9">
        <v>1</v>
      </c>
      <c r="BC72" s="9">
        <v>27</v>
      </c>
      <c r="BD72" s="9" t="s">
        <v>104</v>
      </c>
      <c r="BE72" s="9" t="s">
        <v>253</v>
      </c>
      <c r="BF72" s="9" t="s">
        <v>71</v>
      </c>
      <c r="BG72" s="9"/>
      <c r="BH72" s="9">
        <v>0</v>
      </c>
      <c r="BI72" s="9"/>
      <c r="BJ72" s="9">
        <v>0</v>
      </c>
      <c r="BK72" s="9" t="s">
        <v>1937</v>
      </c>
      <c r="BL72" s="9" t="s">
        <v>1938</v>
      </c>
      <c r="BM72" s="9" t="s">
        <v>72</v>
      </c>
      <c r="BN72" s="9"/>
      <c r="BO72" s="9">
        <v>1</v>
      </c>
      <c r="BP72" s="9" t="s">
        <v>312</v>
      </c>
      <c r="BQ72" s="9">
        <v>0</v>
      </c>
      <c r="BR72" s="9">
        <v>45723.426469907405</v>
      </c>
      <c r="BS72" s="9" t="s">
        <v>109</v>
      </c>
      <c r="BT72" s="9" t="s">
        <v>65</v>
      </c>
      <c r="BU72" s="9"/>
      <c r="BV72" s="9"/>
      <c r="BW72" s="9">
        <v>0</v>
      </c>
      <c r="BX72" s="9">
        <v>45817.423460648148</v>
      </c>
      <c r="BY72" s="9">
        <v>45820.423437500001</v>
      </c>
      <c r="BZ72" s="9"/>
      <c r="CA72" s="9"/>
      <c r="CB72" s="9"/>
      <c r="CC72" s="9"/>
      <c r="CD72" s="9"/>
      <c r="CE72" s="9"/>
      <c r="CF72" s="9"/>
      <c r="CG72" s="9"/>
      <c r="CH72" s="9">
        <v>1</v>
      </c>
      <c r="CI72" s="9">
        <v>0</v>
      </c>
      <c r="CJ72" s="9"/>
      <c r="CK72" s="9"/>
      <c r="CL72" s="9" t="s">
        <v>2000</v>
      </c>
      <c r="CM72" s="9"/>
      <c r="CN72" s="9">
        <v>0</v>
      </c>
      <c r="CO72" s="9"/>
      <c r="CP72" s="9"/>
      <c r="CQ72" s="9"/>
    </row>
    <row r="73" spans="1:95" x14ac:dyDescent="0.35">
      <c r="A73" s="9" t="b">
        <f>ISNUMBER(MATCH(Claude[[#This Row],[Id]],ChargentOrders[Id],0))</f>
        <v>0</v>
      </c>
      <c r="B73" t="e">
        <f>INDEX(ChargentOrders[VALIDO],MATCH(Claude[[#This Row],[Id]],ChargentOrders[Id],0))</f>
        <v>#N/A</v>
      </c>
      <c r="C73" t="e">
        <f>INDEX(Contract[CB_Subscription__c],MATCH(Claude[[#This Row],[Contract__c]],Contract[Id],0))</f>
        <v>#N/A</v>
      </c>
      <c r="D73" s="9" t="s">
        <v>313</v>
      </c>
      <c r="E73" s="9" t="s">
        <v>65</v>
      </c>
      <c r="F73" s="9">
        <v>0</v>
      </c>
      <c r="G73" s="9" t="s">
        <v>314</v>
      </c>
      <c r="H73" s="9">
        <v>45790.752453703702</v>
      </c>
      <c r="I73" s="9" t="s">
        <v>65</v>
      </c>
      <c r="J73" s="9">
        <v>45860.03334490741</v>
      </c>
      <c r="K73" s="9" t="s">
        <v>78</v>
      </c>
      <c r="L73" s="9">
        <v>45860.03334490741</v>
      </c>
      <c r="M73" s="9"/>
      <c r="N73" s="9"/>
      <c r="O73" s="9" t="s">
        <v>2021</v>
      </c>
      <c r="P73" s="9" t="s">
        <v>2022</v>
      </c>
      <c r="Q73" s="9" t="s">
        <v>1925</v>
      </c>
      <c r="R73" s="9" t="s">
        <v>1618</v>
      </c>
      <c r="S73" s="9" t="s">
        <v>2023</v>
      </c>
      <c r="T73" s="9" t="s">
        <v>2024</v>
      </c>
      <c r="U73" s="9" t="s">
        <v>1928</v>
      </c>
      <c r="V73" s="9">
        <v>918</v>
      </c>
      <c r="W73" s="9">
        <v>12</v>
      </c>
      <c r="X73" s="9">
        <v>2026</v>
      </c>
      <c r="Y73" s="9">
        <v>96</v>
      </c>
      <c r="Z73" s="9">
        <v>12</v>
      </c>
      <c r="AA73" s="9">
        <v>4622943123160090</v>
      </c>
      <c r="AB73" s="9" t="s">
        <v>73</v>
      </c>
      <c r="AC73" s="9">
        <v>2026</v>
      </c>
      <c r="AD73" s="9" t="s">
        <v>93</v>
      </c>
      <c r="AE73" s="9"/>
      <c r="AF73" s="9" t="s">
        <v>1929</v>
      </c>
      <c r="AG73" s="9"/>
      <c r="AH73" s="9" t="s">
        <v>98</v>
      </c>
      <c r="AI73" s="9">
        <v>0</v>
      </c>
      <c r="AJ73" s="9"/>
      <c r="AK73" s="9">
        <v>0</v>
      </c>
      <c r="AL73" s="9" t="s">
        <v>1930</v>
      </c>
      <c r="AM73" s="9"/>
      <c r="AN73" s="9"/>
      <c r="AO73" s="9" t="s">
        <v>1931</v>
      </c>
      <c r="AP73" s="9" t="s">
        <v>69</v>
      </c>
      <c r="AQ73" s="9" t="s">
        <v>1932</v>
      </c>
      <c r="AR73" s="9"/>
      <c r="AS73" s="9"/>
      <c r="AT73" s="9"/>
      <c r="AU73" s="9" t="s">
        <v>92</v>
      </c>
      <c r="AV73" s="9">
        <v>0</v>
      </c>
      <c r="AW73" s="9"/>
      <c r="AX73" s="9"/>
      <c r="AY73" s="9">
        <v>0</v>
      </c>
      <c r="AZ73" s="9"/>
      <c r="BA73" s="9"/>
      <c r="BB73" s="9">
        <v>0</v>
      </c>
      <c r="BC73" s="9">
        <v>1</v>
      </c>
      <c r="BD73" s="9">
        <v>0</v>
      </c>
      <c r="BE73" s="9" t="s">
        <v>315</v>
      </c>
      <c r="BF73" s="9"/>
      <c r="BG73" s="9"/>
      <c r="BH73" s="9">
        <v>0</v>
      </c>
      <c r="BI73" s="9"/>
      <c r="BJ73" s="9">
        <v>1</v>
      </c>
      <c r="BK73" s="9"/>
      <c r="BL73" s="9"/>
      <c r="BM73" s="9" t="s">
        <v>75</v>
      </c>
      <c r="BN73" s="9"/>
      <c r="BO73" s="9">
        <v>0</v>
      </c>
      <c r="BP73" s="9"/>
      <c r="BQ73" s="9">
        <v>1</v>
      </c>
      <c r="BR73" s="9"/>
      <c r="BS73" s="9"/>
      <c r="BT73" s="9"/>
      <c r="BU73" s="9"/>
      <c r="BV73" s="9"/>
      <c r="BW73" s="9">
        <v>0</v>
      </c>
      <c r="BX73" s="9">
        <v>45790.752476851849</v>
      </c>
      <c r="BY73" s="9">
        <v>45790.752476851849</v>
      </c>
      <c r="BZ73" s="9"/>
      <c r="CA73" s="9"/>
      <c r="CB73" s="9"/>
      <c r="CC73" s="9"/>
      <c r="CD73" s="9"/>
      <c r="CE73" s="9"/>
      <c r="CF73" s="9"/>
      <c r="CG73" s="9"/>
      <c r="CH73" s="9">
        <v>1</v>
      </c>
      <c r="CI73" s="9">
        <v>0</v>
      </c>
      <c r="CJ73" s="9"/>
      <c r="CK73" s="9"/>
      <c r="CL73" s="9" t="s">
        <v>2025</v>
      </c>
      <c r="CM73" s="9"/>
      <c r="CN73" s="9">
        <v>0</v>
      </c>
      <c r="CO73" s="9"/>
      <c r="CP73" s="9"/>
      <c r="CQ73" s="9"/>
    </row>
    <row r="74" spans="1:95" x14ac:dyDescent="0.35">
      <c r="A74" s="9" t="b">
        <f>ISNUMBER(MATCH(Claude[[#This Row],[Id]],ChargentOrders[Id],0))</f>
        <v>0</v>
      </c>
      <c r="B74" t="e">
        <f>INDEX(ChargentOrders[VALIDO],MATCH(Claude[[#This Row],[Id]],ChargentOrders[Id],0))</f>
        <v>#N/A</v>
      </c>
      <c r="C74" t="e">
        <f>INDEX(Contract[CB_Subscription__c],MATCH(Claude[[#This Row],[Contract__c]],Contract[Id],0))</f>
        <v>#N/A</v>
      </c>
      <c r="D74" s="9" t="s">
        <v>316</v>
      </c>
      <c r="E74" s="9" t="s">
        <v>65</v>
      </c>
      <c r="F74" s="9">
        <v>0</v>
      </c>
      <c r="G74" s="9" t="s">
        <v>317</v>
      </c>
      <c r="H74" s="9">
        <v>45790.754201388889</v>
      </c>
      <c r="I74" s="9" t="s">
        <v>65</v>
      </c>
      <c r="J74" s="9">
        <v>45860.03334490741</v>
      </c>
      <c r="K74" s="9" t="s">
        <v>78</v>
      </c>
      <c r="L74" s="9">
        <v>45860.03334490741</v>
      </c>
      <c r="M74" s="9"/>
      <c r="N74" s="9"/>
      <c r="O74" s="9" t="s">
        <v>2021</v>
      </c>
      <c r="P74" s="9" t="s">
        <v>2022</v>
      </c>
      <c r="Q74" s="9" t="s">
        <v>1925</v>
      </c>
      <c r="R74" s="9" t="s">
        <v>1618</v>
      </c>
      <c r="S74" s="9" t="s">
        <v>2023</v>
      </c>
      <c r="T74" s="9" t="s">
        <v>2024</v>
      </c>
      <c r="U74" s="9" t="s">
        <v>1928</v>
      </c>
      <c r="V74" s="9">
        <v>918</v>
      </c>
      <c r="W74" s="9">
        <v>5</v>
      </c>
      <c r="X74" s="9">
        <v>2025</v>
      </c>
      <c r="Y74" s="9">
        <v>1111</v>
      </c>
      <c r="Z74" s="9">
        <v>5</v>
      </c>
      <c r="AA74" s="9">
        <v>4111111111111110</v>
      </c>
      <c r="AB74" s="9" t="s">
        <v>73</v>
      </c>
      <c r="AC74" s="9">
        <v>2025</v>
      </c>
      <c r="AD74" s="9" t="s">
        <v>93</v>
      </c>
      <c r="AE74" s="9"/>
      <c r="AF74" s="9" t="s">
        <v>1929</v>
      </c>
      <c r="AG74" s="9"/>
      <c r="AH74" s="9" t="s">
        <v>98</v>
      </c>
      <c r="AI74" s="9">
        <v>0</v>
      </c>
      <c r="AJ74" s="9"/>
      <c r="AK74" s="9">
        <v>0</v>
      </c>
      <c r="AL74" s="9" t="s">
        <v>1930</v>
      </c>
      <c r="AM74" s="9"/>
      <c r="AN74" s="9"/>
      <c r="AO74" s="9" t="s">
        <v>1931</v>
      </c>
      <c r="AP74" s="9" t="s">
        <v>69</v>
      </c>
      <c r="AQ74" s="9" t="s">
        <v>1932</v>
      </c>
      <c r="AR74" s="9"/>
      <c r="AS74" s="9"/>
      <c r="AT74" s="9"/>
      <c r="AU74" s="9" t="s">
        <v>92</v>
      </c>
      <c r="AV74" s="9">
        <v>0</v>
      </c>
      <c r="AW74" s="9"/>
      <c r="AX74" s="9"/>
      <c r="AY74" s="9">
        <v>0</v>
      </c>
      <c r="AZ74" s="9"/>
      <c r="BA74" s="9"/>
      <c r="BB74" s="9">
        <v>0</v>
      </c>
      <c r="BC74" s="9">
        <v>1</v>
      </c>
      <c r="BD74" s="9">
        <v>0</v>
      </c>
      <c r="BE74" s="9" t="s">
        <v>315</v>
      </c>
      <c r="BF74" s="9"/>
      <c r="BG74" s="9"/>
      <c r="BH74" s="9">
        <v>0</v>
      </c>
      <c r="BI74" s="9"/>
      <c r="BJ74" s="9">
        <v>1</v>
      </c>
      <c r="BK74" s="9"/>
      <c r="BL74" s="9"/>
      <c r="BM74" s="9" t="s">
        <v>75</v>
      </c>
      <c r="BN74" s="9"/>
      <c r="BO74" s="9">
        <v>0</v>
      </c>
      <c r="BP74" s="9"/>
      <c r="BQ74" s="9">
        <v>1</v>
      </c>
      <c r="BR74" s="9"/>
      <c r="BS74" s="9"/>
      <c r="BT74" s="9"/>
      <c r="BU74" s="9"/>
      <c r="BV74" s="9"/>
      <c r="BW74" s="9">
        <v>0</v>
      </c>
      <c r="BX74" s="9">
        <v>45790.754236111112</v>
      </c>
      <c r="BY74" s="9">
        <v>45790.754236111112</v>
      </c>
      <c r="BZ74" s="9"/>
      <c r="CA74" s="9"/>
      <c r="CB74" s="9"/>
      <c r="CC74" s="9"/>
      <c r="CD74" s="9"/>
      <c r="CE74" s="9"/>
      <c r="CF74" s="9"/>
      <c r="CG74" s="9"/>
      <c r="CH74" s="9">
        <v>1</v>
      </c>
      <c r="CI74" s="9">
        <v>0</v>
      </c>
      <c r="CJ74" s="9"/>
      <c r="CK74" s="9"/>
      <c r="CL74" s="9" t="s">
        <v>2025</v>
      </c>
      <c r="CM74" s="9"/>
      <c r="CN74" s="9">
        <v>0</v>
      </c>
      <c r="CO74" s="9"/>
      <c r="CP74" s="9"/>
      <c r="CQ74" s="9"/>
    </row>
    <row r="75" spans="1:95" x14ac:dyDescent="0.35">
      <c r="A75" s="9" t="b">
        <f>ISNUMBER(MATCH(Claude[[#This Row],[Id]],ChargentOrders[Id],0))</f>
        <v>0</v>
      </c>
      <c r="B75" t="e">
        <f>INDEX(ChargentOrders[VALIDO],MATCH(Claude[[#This Row],[Id]],ChargentOrders[Id],0))</f>
        <v>#N/A</v>
      </c>
      <c r="C75" t="e">
        <f>INDEX(Contract[CB_Subscription__c],MATCH(Claude[[#This Row],[Contract__c]],Contract[Id],0))</f>
        <v>#N/A</v>
      </c>
      <c r="D75" s="9" t="s">
        <v>318</v>
      </c>
      <c r="E75" s="9" t="s">
        <v>65</v>
      </c>
      <c r="F75" s="9">
        <v>0</v>
      </c>
      <c r="G75" s="9" t="s">
        <v>319</v>
      </c>
      <c r="H75" s="9">
        <v>45790.754988425928</v>
      </c>
      <c r="I75" s="9" t="s">
        <v>65</v>
      </c>
      <c r="J75" s="9">
        <v>45860.03334490741</v>
      </c>
      <c r="K75" s="9" t="s">
        <v>78</v>
      </c>
      <c r="L75" s="9">
        <v>45860.03334490741</v>
      </c>
      <c r="M75" s="9"/>
      <c r="N75" s="9"/>
      <c r="O75" s="9" t="s">
        <v>2021</v>
      </c>
      <c r="P75" s="9" t="s">
        <v>2022</v>
      </c>
      <c r="Q75" s="9" t="s">
        <v>1925</v>
      </c>
      <c r="R75" s="9" t="s">
        <v>1618</v>
      </c>
      <c r="S75" s="9" t="s">
        <v>2023</v>
      </c>
      <c r="T75" s="9" t="s">
        <v>2024</v>
      </c>
      <c r="U75" s="9" t="s">
        <v>1928</v>
      </c>
      <c r="V75" s="9">
        <v>918</v>
      </c>
      <c r="W75" s="9">
        <v>12</v>
      </c>
      <c r="X75" s="9">
        <v>2034</v>
      </c>
      <c r="Y75" s="9">
        <v>4242</v>
      </c>
      <c r="Z75" s="9">
        <v>12</v>
      </c>
      <c r="AA75" s="9">
        <v>4242424242424240</v>
      </c>
      <c r="AB75" s="9" t="s">
        <v>73</v>
      </c>
      <c r="AC75" s="9">
        <v>2034</v>
      </c>
      <c r="AD75" s="9" t="s">
        <v>93</v>
      </c>
      <c r="AE75" s="9"/>
      <c r="AF75" s="9" t="s">
        <v>1929</v>
      </c>
      <c r="AG75" s="9"/>
      <c r="AH75" s="9" t="s">
        <v>98</v>
      </c>
      <c r="AI75" s="9">
        <v>0</v>
      </c>
      <c r="AJ75" s="9"/>
      <c r="AK75" s="9">
        <v>0</v>
      </c>
      <c r="AL75" s="9" t="s">
        <v>1930</v>
      </c>
      <c r="AM75" s="9"/>
      <c r="AN75" s="9"/>
      <c r="AO75" s="9" t="s">
        <v>1931</v>
      </c>
      <c r="AP75" s="9" t="s">
        <v>69</v>
      </c>
      <c r="AQ75" s="9" t="s">
        <v>1932</v>
      </c>
      <c r="AR75" s="9"/>
      <c r="AS75" s="9"/>
      <c r="AT75" s="9"/>
      <c r="AU75" s="9" t="s">
        <v>92</v>
      </c>
      <c r="AV75" s="9">
        <v>0</v>
      </c>
      <c r="AW75" s="9"/>
      <c r="AX75" s="9"/>
      <c r="AY75" s="9">
        <v>0</v>
      </c>
      <c r="AZ75" s="9"/>
      <c r="BA75" s="9"/>
      <c r="BB75" s="9">
        <v>0</v>
      </c>
      <c r="BC75" s="9">
        <v>1</v>
      </c>
      <c r="BD75" s="9">
        <v>0</v>
      </c>
      <c r="BE75" s="9" t="s">
        <v>315</v>
      </c>
      <c r="BF75" s="9"/>
      <c r="BG75" s="9"/>
      <c r="BH75" s="9">
        <v>0</v>
      </c>
      <c r="BI75" s="9"/>
      <c r="BJ75" s="9">
        <v>1</v>
      </c>
      <c r="BK75" s="9"/>
      <c r="BL75" s="9"/>
      <c r="BM75" s="9" t="s">
        <v>75</v>
      </c>
      <c r="BN75" s="9"/>
      <c r="BO75" s="9">
        <v>0</v>
      </c>
      <c r="BP75" s="9"/>
      <c r="BQ75" s="9">
        <v>1</v>
      </c>
      <c r="BR75" s="9"/>
      <c r="BS75" s="9"/>
      <c r="BT75" s="9"/>
      <c r="BU75" s="9"/>
      <c r="BV75" s="9"/>
      <c r="BW75" s="9">
        <v>0</v>
      </c>
      <c r="BX75" s="9">
        <v>45790.755011574074</v>
      </c>
      <c r="BY75" s="9">
        <v>45790.755011574074</v>
      </c>
      <c r="BZ75" s="9"/>
      <c r="CA75" s="9"/>
      <c r="CB75" s="9"/>
      <c r="CC75" s="9"/>
      <c r="CD75" s="9"/>
      <c r="CE75" s="9"/>
      <c r="CF75" s="9"/>
      <c r="CG75" s="9"/>
      <c r="CH75" s="9">
        <v>1</v>
      </c>
      <c r="CI75" s="9">
        <v>0</v>
      </c>
      <c r="CJ75" s="9"/>
      <c r="CK75" s="9"/>
      <c r="CL75" s="9" t="s">
        <v>2025</v>
      </c>
      <c r="CM75" s="9"/>
      <c r="CN75" s="9">
        <v>0</v>
      </c>
      <c r="CO75" s="9"/>
      <c r="CP75" s="9"/>
      <c r="CQ75" s="9"/>
    </row>
    <row r="76" spans="1:95" x14ac:dyDescent="0.35">
      <c r="A76" s="9" t="b">
        <f>ISNUMBER(MATCH(Claude[[#This Row],[Id]],ChargentOrders[Id],0))</f>
        <v>0</v>
      </c>
      <c r="B76" t="e">
        <f>INDEX(ChargentOrders[VALIDO],MATCH(Claude[[#This Row],[Id]],ChargentOrders[Id],0))</f>
        <v>#N/A</v>
      </c>
      <c r="C76" t="e">
        <f>INDEX(Contract[CB_Subscription__c],MATCH(Claude[[#This Row],[Contract__c]],Contract[Id],0))</f>
        <v>#N/A</v>
      </c>
      <c r="D76" s="9" t="s">
        <v>320</v>
      </c>
      <c r="E76" s="9" t="s">
        <v>65</v>
      </c>
      <c r="F76" s="9">
        <v>0</v>
      </c>
      <c r="G76" s="9" t="s">
        <v>321</v>
      </c>
      <c r="H76" s="9">
        <v>45790.755879629629</v>
      </c>
      <c r="I76" s="9" t="s">
        <v>65</v>
      </c>
      <c r="J76" s="9">
        <v>45860.03334490741</v>
      </c>
      <c r="K76" s="9" t="s">
        <v>78</v>
      </c>
      <c r="L76" s="9">
        <v>45860.03334490741</v>
      </c>
      <c r="M76" s="9"/>
      <c r="N76" s="9"/>
      <c r="O76" s="9" t="s">
        <v>2021</v>
      </c>
      <c r="P76" s="9" t="s">
        <v>2022</v>
      </c>
      <c r="Q76" s="9" t="s">
        <v>1925</v>
      </c>
      <c r="R76" s="9" t="s">
        <v>1618</v>
      </c>
      <c r="S76" s="9" t="s">
        <v>2023</v>
      </c>
      <c r="T76" s="9" t="s">
        <v>2024</v>
      </c>
      <c r="U76" s="9" t="s">
        <v>1928</v>
      </c>
      <c r="V76" s="9">
        <v>918</v>
      </c>
      <c r="W76" s="9">
        <v>12</v>
      </c>
      <c r="X76" s="9">
        <v>2026</v>
      </c>
      <c r="Y76" s="9">
        <v>1234</v>
      </c>
      <c r="Z76" s="9">
        <v>12</v>
      </c>
      <c r="AA76" s="9">
        <v>4701322211111230</v>
      </c>
      <c r="AB76" s="9" t="s">
        <v>73</v>
      </c>
      <c r="AC76" s="9">
        <v>2026</v>
      </c>
      <c r="AD76" s="9" t="s">
        <v>93</v>
      </c>
      <c r="AE76" s="9"/>
      <c r="AF76" s="9" t="s">
        <v>1929</v>
      </c>
      <c r="AG76" s="9"/>
      <c r="AH76" s="9" t="s">
        <v>98</v>
      </c>
      <c r="AI76" s="9">
        <v>0</v>
      </c>
      <c r="AJ76" s="9"/>
      <c r="AK76" s="9">
        <v>0</v>
      </c>
      <c r="AL76" s="9" t="s">
        <v>1930</v>
      </c>
      <c r="AM76" s="9"/>
      <c r="AN76" s="9"/>
      <c r="AO76" s="9" t="s">
        <v>1931</v>
      </c>
      <c r="AP76" s="9" t="s">
        <v>69</v>
      </c>
      <c r="AQ76" s="9" t="s">
        <v>1932</v>
      </c>
      <c r="AR76" s="9"/>
      <c r="AS76" s="9"/>
      <c r="AT76" s="9"/>
      <c r="AU76" s="9" t="s">
        <v>92</v>
      </c>
      <c r="AV76" s="9">
        <v>0</v>
      </c>
      <c r="AW76" s="9"/>
      <c r="AX76" s="9"/>
      <c r="AY76" s="9">
        <v>0</v>
      </c>
      <c r="AZ76" s="9"/>
      <c r="BA76" s="9"/>
      <c r="BB76" s="9">
        <v>0</v>
      </c>
      <c r="BC76" s="9">
        <v>1</v>
      </c>
      <c r="BD76" s="9">
        <v>0</v>
      </c>
      <c r="BE76" s="9" t="s">
        <v>315</v>
      </c>
      <c r="BF76" s="9"/>
      <c r="BG76" s="9"/>
      <c r="BH76" s="9">
        <v>0</v>
      </c>
      <c r="BI76" s="9"/>
      <c r="BJ76" s="9">
        <v>1</v>
      </c>
      <c r="BK76" s="9"/>
      <c r="BL76" s="9"/>
      <c r="BM76" s="9" t="s">
        <v>75</v>
      </c>
      <c r="BN76" s="9"/>
      <c r="BO76" s="9">
        <v>0</v>
      </c>
      <c r="BP76" s="9"/>
      <c r="BQ76" s="9">
        <v>1</v>
      </c>
      <c r="BR76" s="9"/>
      <c r="BS76" s="9"/>
      <c r="BT76" s="9"/>
      <c r="BU76" s="9"/>
      <c r="BV76" s="9"/>
      <c r="BW76" s="9">
        <v>0</v>
      </c>
      <c r="BX76" s="9">
        <v>45790.755902777775</v>
      </c>
      <c r="BY76" s="9">
        <v>45790.755902777775</v>
      </c>
      <c r="BZ76" s="9"/>
      <c r="CA76" s="9"/>
      <c r="CB76" s="9"/>
      <c r="CC76" s="9"/>
      <c r="CD76" s="9"/>
      <c r="CE76" s="9"/>
      <c r="CF76" s="9"/>
      <c r="CG76" s="9"/>
      <c r="CH76" s="9">
        <v>1</v>
      </c>
      <c r="CI76" s="9">
        <v>0</v>
      </c>
      <c r="CJ76" s="9"/>
      <c r="CK76" s="9"/>
      <c r="CL76" s="9" t="s">
        <v>2025</v>
      </c>
      <c r="CM76" s="9"/>
      <c r="CN76" s="9">
        <v>0</v>
      </c>
      <c r="CO76" s="9"/>
      <c r="CP76" s="9"/>
      <c r="CQ76" s="9"/>
    </row>
    <row r="77" spans="1:95" x14ac:dyDescent="0.35">
      <c r="A77" s="9" t="b">
        <f>ISNUMBER(MATCH(Claude[[#This Row],[Id]],ChargentOrders[Id],0))</f>
        <v>0</v>
      </c>
      <c r="B77" t="e">
        <f>INDEX(ChargentOrders[VALIDO],MATCH(Claude[[#This Row],[Id]],ChargentOrders[Id],0))</f>
        <v>#N/A</v>
      </c>
      <c r="C77" t="e">
        <f>INDEX(Contract[CB_Subscription__c],MATCH(Claude[[#This Row],[Contract__c]],Contract[Id],0))</f>
        <v>#N/A</v>
      </c>
      <c r="D77" s="9" t="s">
        <v>322</v>
      </c>
      <c r="E77" s="9" t="s">
        <v>65</v>
      </c>
      <c r="F77" s="9">
        <v>0</v>
      </c>
      <c r="G77" s="9" t="s">
        <v>323</v>
      </c>
      <c r="H77" s="9">
        <v>45790.756747685184</v>
      </c>
      <c r="I77" s="9" t="s">
        <v>65</v>
      </c>
      <c r="J77" s="9">
        <v>45860.03334490741</v>
      </c>
      <c r="K77" s="9" t="s">
        <v>78</v>
      </c>
      <c r="L77" s="9">
        <v>45860.03334490741</v>
      </c>
      <c r="M77" s="9"/>
      <c r="N77" s="9"/>
      <c r="O77" s="9" t="s">
        <v>2021</v>
      </c>
      <c r="P77" s="9" t="s">
        <v>2022</v>
      </c>
      <c r="Q77" s="9" t="s">
        <v>1925</v>
      </c>
      <c r="R77" s="9" t="s">
        <v>1618</v>
      </c>
      <c r="S77" s="9" t="s">
        <v>2023</v>
      </c>
      <c r="T77" s="9" t="s">
        <v>2024</v>
      </c>
      <c r="U77" s="9" t="s">
        <v>1928</v>
      </c>
      <c r="V77" s="9">
        <v>918</v>
      </c>
      <c r="W77" s="9">
        <v>11</v>
      </c>
      <c r="X77" s="9">
        <v>2027</v>
      </c>
      <c r="Y77" s="9">
        <v>2242</v>
      </c>
      <c r="Z77" s="9">
        <v>11</v>
      </c>
      <c r="AA77" s="9">
        <v>4715323806202240</v>
      </c>
      <c r="AB77" s="9" t="s">
        <v>73</v>
      </c>
      <c r="AC77" s="9">
        <v>2027</v>
      </c>
      <c r="AD77" s="9" t="s">
        <v>93</v>
      </c>
      <c r="AE77" s="9"/>
      <c r="AF77" s="9" t="s">
        <v>1929</v>
      </c>
      <c r="AG77" s="9"/>
      <c r="AH77" s="9" t="s">
        <v>98</v>
      </c>
      <c r="AI77" s="9">
        <v>0</v>
      </c>
      <c r="AJ77" s="9"/>
      <c r="AK77" s="9">
        <v>0</v>
      </c>
      <c r="AL77" s="9" t="s">
        <v>1930</v>
      </c>
      <c r="AM77" s="9"/>
      <c r="AN77" s="9"/>
      <c r="AO77" s="9" t="s">
        <v>1931</v>
      </c>
      <c r="AP77" s="9" t="s">
        <v>69</v>
      </c>
      <c r="AQ77" s="9" t="s">
        <v>1932</v>
      </c>
      <c r="AR77" s="9"/>
      <c r="AS77" s="9"/>
      <c r="AT77" s="9"/>
      <c r="AU77" s="9" t="s">
        <v>92</v>
      </c>
      <c r="AV77" s="9">
        <v>0</v>
      </c>
      <c r="AW77" s="9"/>
      <c r="AX77" s="9"/>
      <c r="AY77" s="9">
        <v>0</v>
      </c>
      <c r="AZ77" s="9"/>
      <c r="BA77" s="9"/>
      <c r="BB77" s="9">
        <v>0</v>
      </c>
      <c r="BC77" s="9">
        <v>1</v>
      </c>
      <c r="BD77" s="9">
        <v>0</v>
      </c>
      <c r="BE77" s="9" t="s">
        <v>315</v>
      </c>
      <c r="BF77" s="9"/>
      <c r="BG77" s="9"/>
      <c r="BH77" s="9">
        <v>0</v>
      </c>
      <c r="BI77" s="9"/>
      <c r="BJ77" s="9">
        <v>1</v>
      </c>
      <c r="BK77" s="9"/>
      <c r="BL77" s="9"/>
      <c r="BM77" s="9" t="s">
        <v>75</v>
      </c>
      <c r="BN77" s="9"/>
      <c r="BO77" s="9">
        <v>0</v>
      </c>
      <c r="BP77" s="9"/>
      <c r="BQ77" s="9">
        <v>1</v>
      </c>
      <c r="BR77" s="9"/>
      <c r="BS77" s="9"/>
      <c r="BT77" s="9"/>
      <c r="BU77" s="9"/>
      <c r="BV77" s="9"/>
      <c r="BW77" s="9">
        <v>0</v>
      </c>
      <c r="BX77" s="9">
        <v>45790.75677083333</v>
      </c>
      <c r="BY77" s="9">
        <v>45790.75677083333</v>
      </c>
      <c r="BZ77" s="9"/>
      <c r="CA77" s="9"/>
      <c r="CB77" s="9"/>
      <c r="CC77" s="9"/>
      <c r="CD77" s="9"/>
      <c r="CE77" s="9"/>
      <c r="CF77" s="9"/>
      <c r="CG77" s="9"/>
      <c r="CH77" s="9">
        <v>1</v>
      </c>
      <c r="CI77" s="9">
        <v>0</v>
      </c>
      <c r="CJ77" s="9"/>
      <c r="CK77" s="9"/>
      <c r="CL77" s="9" t="s">
        <v>2025</v>
      </c>
      <c r="CM77" s="9"/>
      <c r="CN77" s="9">
        <v>0</v>
      </c>
      <c r="CO77" s="9"/>
      <c r="CP77" s="9"/>
      <c r="CQ77" s="9"/>
    </row>
    <row r="78" spans="1:95" x14ac:dyDescent="0.35">
      <c r="A78" s="9" t="b">
        <f>ISNUMBER(MATCH(Claude[[#This Row],[Id]],ChargentOrders[Id],0))</f>
        <v>0</v>
      </c>
      <c r="B78" t="e">
        <f>INDEX(ChargentOrders[VALIDO],MATCH(Claude[[#This Row],[Id]],ChargentOrders[Id],0))</f>
        <v>#N/A</v>
      </c>
      <c r="C78" t="e">
        <f>INDEX(Contract[CB_Subscription__c],MATCH(Claude[[#This Row],[Contract__c]],Contract[Id],0))</f>
        <v>#N/A</v>
      </c>
      <c r="D78" s="9" t="s">
        <v>324</v>
      </c>
      <c r="E78" s="9" t="s">
        <v>65</v>
      </c>
      <c r="F78" s="9">
        <v>0</v>
      </c>
      <c r="G78" s="9" t="s">
        <v>325</v>
      </c>
      <c r="H78" s="9">
        <v>45790.758263888885</v>
      </c>
      <c r="I78" s="9" t="s">
        <v>65</v>
      </c>
      <c r="J78" s="9">
        <v>45860.03334490741</v>
      </c>
      <c r="K78" s="9" t="s">
        <v>78</v>
      </c>
      <c r="L78" s="9">
        <v>45860.03334490741</v>
      </c>
      <c r="M78" s="9"/>
      <c r="N78" s="9"/>
      <c r="O78" s="9" t="s">
        <v>2021</v>
      </c>
      <c r="P78" s="9" t="s">
        <v>2022</v>
      </c>
      <c r="Q78" s="9" t="s">
        <v>1925</v>
      </c>
      <c r="R78" s="9" t="s">
        <v>1618</v>
      </c>
      <c r="S78" s="9" t="s">
        <v>2023</v>
      </c>
      <c r="T78" s="9" t="s">
        <v>2024</v>
      </c>
      <c r="U78" s="9" t="s">
        <v>1928</v>
      </c>
      <c r="V78" s="9">
        <v>918</v>
      </c>
      <c r="W78" s="9">
        <v>8</v>
      </c>
      <c r="X78" s="9">
        <v>2025</v>
      </c>
      <c r="Y78" s="9">
        <v>5030</v>
      </c>
      <c r="Z78" s="9">
        <v>8</v>
      </c>
      <c r="AA78" s="9">
        <v>4252838481435030</v>
      </c>
      <c r="AB78" s="9" t="s">
        <v>73</v>
      </c>
      <c r="AC78" s="9">
        <v>2025</v>
      </c>
      <c r="AD78" s="9" t="s">
        <v>93</v>
      </c>
      <c r="AE78" s="9"/>
      <c r="AF78" s="9" t="s">
        <v>1929</v>
      </c>
      <c r="AG78" s="9"/>
      <c r="AH78" s="9" t="s">
        <v>98</v>
      </c>
      <c r="AI78" s="9">
        <v>0</v>
      </c>
      <c r="AJ78" s="9"/>
      <c r="AK78" s="9">
        <v>0</v>
      </c>
      <c r="AL78" s="9" t="s">
        <v>1930</v>
      </c>
      <c r="AM78" s="9"/>
      <c r="AN78" s="9"/>
      <c r="AO78" s="9" t="s">
        <v>1931</v>
      </c>
      <c r="AP78" s="9" t="s">
        <v>69</v>
      </c>
      <c r="AQ78" s="9" t="s">
        <v>1932</v>
      </c>
      <c r="AR78" s="9"/>
      <c r="AS78" s="9"/>
      <c r="AT78" s="9"/>
      <c r="AU78" s="9" t="s">
        <v>92</v>
      </c>
      <c r="AV78" s="9">
        <v>0</v>
      </c>
      <c r="AW78" s="9"/>
      <c r="AX78" s="9"/>
      <c r="AY78" s="9">
        <v>0</v>
      </c>
      <c r="AZ78" s="9"/>
      <c r="BA78" s="9"/>
      <c r="BB78" s="9">
        <v>0</v>
      </c>
      <c r="BC78" s="9">
        <v>1</v>
      </c>
      <c r="BD78" s="9">
        <v>0</v>
      </c>
      <c r="BE78" s="9" t="s">
        <v>315</v>
      </c>
      <c r="BF78" s="9"/>
      <c r="BG78" s="9"/>
      <c r="BH78" s="9">
        <v>0</v>
      </c>
      <c r="BI78" s="9"/>
      <c r="BJ78" s="9">
        <v>1</v>
      </c>
      <c r="BK78" s="9"/>
      <c r="BL78" s="9"/>
      <c r="BM78" s="9" t="s">
        <v>75</v>
      </c>
      <c r="BN78" s="9"/>
      <c r="BO78" s="9">
        <v>0</v>
      </c>
      <c r="BP78" s="9"/>
      <c r="BQ78" s="9">
        <v>1</v>
      </c>
      <c r="BR78" s="9"/>
      <c r="BS78" s="9"/>
      <c r="BT78" s="9"/>
      <c r="BU78" s="9"/>
      <c r="BV78" s="9"/>
      <c r="BW78" s="9">
        <v>0</v>
      </c>
      <c r="BX78" s="9">
        <v>45790.758287037039</v>
      </c>
      <c r="BY78" s="9">
        <v>45790.758287037039</v>
      </c>
      <c r="BZ78" s="9"/>
      <c r="CA78" s="9"/>
      <c r="CB78" s="9"/>
      <c r="CC78" s="9"/>
      <c r="CD78" s="9"/>
      <c r="CE78" s="9"/>
      <c r="CF78" s="9"/>
      <c r="CG78" s="9"/>
      <c r="CH78" s="9">
        <v>1</v>
      </c>
      <c r="CI78" s="9">
        <v>0</v>
      </c>
      <c r="CJ78" s="9"/>
      <c r="CK78" s="9"/>
      <c r="CL78" s="9" t="s">
        <v>2025</v>
      </c>
      <c r="CM78" s="9"/>
      <c r="CN78" s="9">
        <v>0</v>
      </c>
      <c r="CO78" s="9"/>
      <c r="CP78" s="9"/>
      <c r="CQ78" s="9"/>
    </row>
    <row r="79" spans="1:95" x14ac:dyDescent="0.35">
      <c r="A79" s="9" t="b">
        <f>ISNUMBER(MATCH(Claude[[#This Row],[Id]],ChargentOrders[Id],0))</f>
        <v>0</v>
      </c>
      <c r="B79" t="e">
        <f>INDEX(ChargentOrders[VALIDO],MATCH(Claude[[#This Row],[Id]],ChargentOrders[Id],0))</f>
        <v>#N/A</v>
      </c>
      <c r="C79" t="e">
        <f>INDEX(Contract[CB_Subscription__c],MATCH(Claude[[#This Row],[Contract__c]],Contract[Id],0))</f>
        <v>#N/A</v>
      </c>
      <c r="D79" s="9" t="s">
        <v>326</v>
      </c>
      <c r="E79" s="9" t="s">
        <v>65</v>
      </c>
      <c r="F79" s="9">
        <v>0</v>
      </c>
      <c r="G79" s="9" t="s">
        <v>327</v>
      </c>
      <c r="H79" s="9">
        <v>45790.76363425926</v>
      </c>
      <c r="I79" s="9" t="s">
        <v>65</v>
      </c>
      <c r="J79" s="9">
        <v>45860.03334490741</v>
      </c>
      <c r="K79" s="9" t="s">
        <v>78</v>
      </c>
      <c r="L79" s="9">
        <v>45860.03334490741</v>
      </c>
      <c r="M79" s="9"/>
      <c r="N79" s="9"/>
      <c r="O79" s="9" t="s">
        <v>2021</v>
      </c>
      <c r="P79" s="9" t="s">
        <v>2022</v>
      </c>
      <c r="Q79" s="9" t="s">
        <v>1925</v>
      </c>
      <c r="R79" s="9" t="s">
        <v>1618</v>
      </c>
      <c r="S79" s="9" t="s">
        <v>2023</v>
      </c>
      <c r="T79" s="9" t="s">
        <v>2024</v>
      </c>
      <c r="U79" s="9" t="s">
        <v>1928</v>
      </c>
      <c r="V79" s="9">
        <v>918</v>
      </c>
      <c r="W79" s="9">
        <v>5</v>
      </c>
      <c r="X79" s="9">
        <v>2030</v>
      </c>
      <c r="Y79" s="9">
        <v>46</v>
      </c>
      <c r="Z79" s="9">
        <v>5</v>
      </c>
      <c r="AA79" s="9">
        <v>4569332330090040</v>
      </c>
      <c r="AB79" s="9" t="s">
        <v>73</v>
      </c>
      <c r="AC79" s="9">
        <v>2030</v>
      </c>
      <c r="AD79" s="9" t="s">
        <v>93</v>
      </c>
      <c r="AE79" s="9"/>
      <c r="AF79" s="9" t="s">
        <v>1929</v>
      </c>
      <c r="AG79" s="9"/>
      <c r="AH79" s="9" t="s">
        <v>98</v>
      </c>
      <c r="AI79" s="9">
        <v>0</v>
      </c>
      <c r="AJ79" s="9"/>
      <c r="AK79" s="9">
        <v>0</v>
      </c>
      <c r="AL79" s="9" t="s">
        <v>1930</v>
      </c>
      <c r="AM79" s="9"/>
      <c r="AN79" s="9"/>
      <c r="AO79" s="9" t="s">
        <v>1931</v>
      </c>
      <c r="AP79" s="9" t="s">
        <v>69</v>
      </c>
      <c r="AQ79" s="9" t="s">
        <v>1932</v>
      </c>
      <c r="AR79" s="9"/>
      <c r="AS79" s="9"/>
      <c r="AT79" s="9"/>
      <c r="AU79" s="9" t="s">
        <v>92</v>
      </c>
      <c r="AV79" s="9">
        <v>0</v>
      </c>
      <c r="AW79" s="9"/>
      <c r="AX79" s="9">
        <v>7.4716037998460398E+21</v>
      </c>
      <c r="AY79" s="9">
        <v>0</v>
      </c>
      <c r="AZ79" s="9"/>
      <c r="BA79" s="9">
        <v>45790.763668981483</v>
      </c>
      <c r="BB79" s="9">
        <v>0</v>
      </c>
      <c r="BC79" s="9">
        <v>1</v>
      </c>
      <c r="BD79" s="9">
        <v>0</v>
      </c>
      <c r="BE79" s="9" t="s">
        <v>315</v>
      </c>
      <c r="BF79" s="9"/>
      <c r="BG79" s="9"/>
      <c r="BH79" s="9">
        <v>0</v>
      </c>
      <c r="BI79" s="9"/>
      <c r="BJ79" s="9">
        <v>1</v>
      </c>
      <c r="BK79" s="9"/>
      <c r="BL79" s="9"/>
      <c r="BM79" s="9" t="s">
        <v>75</v>
      </c>
      <c r="BN79" s="9"/>
      <c r="BO79" s="9">
        <v>0</v>
      </c>
      <c r="BP79" s="9"/>
      <c r="BQ79" s="9">
        <v>1</v>
      </c>
      <c r="BR79" s="9"/>
      <c r="BS79" s="9"/>
      <c r="BT79" s="9"/>
      <c r="BU79" s="9"/>
      <c r="BV79" s="9"/>
      <c r="BW79" s="9">
        <v>0</v>
      </c>
      <c r="BX79" s="9"/>
      <c r="BY79" s="9">
        <v>45790.763668981483</v>
      </c>
      <c r="BZ79" s="9"/>
      <c r="CA79" s="9"/>
      <c r="CB79" s="9"/>
      <c r="CC79" s="9"/>
      <c r="CD79" s="9"/>
      <c r="CE79" s="9"/>
      <c r="CF79" s="9"/>
      <c r="CG79" s="9"/>
      <c r="CH79" s="9">
        <v>1</v>
      </c>
      <c r="CI79" s="9">
        <v>0</v>
      </c>
      <c r="CJ79" s="9"/>
      <c r="CK79" s="9"/>
      <c r="CL79" s="9" t="s">
        <v>2025</v>
      </c>
      <c r="CM79" s="9"/>
      <c r="CN79" s="9">
        <v>0</v>
      </c>
      <c r="CO79" s="9"/>
      <c r="CP79" s="9"/>
      <c r="CQ79" s="9"/>
    </row>
    <row r="80" spans="1:95" x14ac:dyDescent="0.35">
      <c r="A80" s="9" t="b">
        <f>ISNUMBER(MATCH(Claude[[#This Row],[Id]],ChargentOrders[Id],0))</f>
        <v>1</v>
      </c>
      <c r="B80" t="b">
        <f>INDEX(ChargentOrders[VALIDO],MATCH(Claude[[#This Row],[Id]],ChargentOrders[Id],0))</f>
        <v>1</v>
      </c>
      <c r="C80">
        <f>INDEX(Contract[CB_Subscription__c],MATCH(Claude[[#This Row],[Contract__c]],Contract[Id],0))</f>
        <v>0</v>
      </c>
      <c r="D80" s="9" t="s">
        <v>329</v>
      </c>
      <c r="E80" s="9" t="s">
        <v>155</v>
      </c>
      <c r="F80" s="9">
        <v>0</v>
      </c>
      <c r="G80" s="9" t="s">
        <v>330</v>
      </c>
      <c r="H80" s="9">
        <v>45792.891296296293</v>
      </c>
      <c r="I80" s="9" t="s">
        <v>155</v>
      </c>
      <c r="J80" s="9">
        <v>45860.03334490741</v>
      </c>
      <c r="K80" s="9" t="s">
        <v>78</v>
      </c>
      <c r="L80" s="9">
        <v>45860.03334490741</v>
      </c>
      <c r="M80" s="9"/>
      <c r="N80" s="9"/>
      <c r="O80" s="9" t="s">
        <v>2026</v>
      </c>
      <c r="P80" s="9" t="s">
        <v>2027</v>
      </c>
      <c r="Q80" s="9" t="s">
        <v>1925</v>
      </c>
      <c r="R80" s="9" t="s">
        <v>1622</v>
      </c>
      <c r="S80" s="9" t="s">
        <v>2028</v>
      </c>
      <c r="T80" s="9" t="s">
        <v>2029</v>
      </c>
      <c r="U80" s="9" t="s">
        <v>1928</v>
      </c>
      <c r="V80" s="9">
        <v>603</v>
      </c>
      <c r="W80" s="9">
        <v>3</v>
      </c>
      <c r="X80" s="9">
        <v>2026</v>
      </c>
      <c r="Y80" s="9">
        <v>5696</v>
      </c>
      <c r="Z80" s="9">
        <v>3</v>
      </c>
      <c r="AA80" s="9"/>
      <c r="AB80" s="9" t="s">
        <v>73</v>
      </c>
      <c r="AC80" s="9">
        <v>2026</v>
      </c>
      <c r="AD80" s="9" t="s">
        <v>93</v>
      </c>
      <c r="AE80" s="9"/>
      <c r="AF80" s="9" t="s">
        <v>1929</v>
      </c>
      <c r="AG80" s="9"/>
      <c r="AH80" s="9" t="s">
        <v>107</v>
      </c>
      <c r="AI80" s="9">
        <v>0</v>
      </c>
      <c r="AJ80" s="9"/>
      <c r="AK80" s="9">
        <v>0</v>
      </c>
      <c r="AL80" s="9" t="s">
        <v>1930</v>
      </c>
      <c r="AM80" s="9"/>
      <c r="AN80" s="9"/>
      <c r="AO80" s="9" t="s">
        <v>1931</v>
      </c>
      <c r="AP80" s="9" t="s">
        <v>69</v>
      </c>
      <c r="AQ80" s="9" t="s">
        <v>1932</v>
      </c>
      <c r="AR80" s="9"/>
      <c r="AS80" s="9"/>
      <c r="AT80" s="9"/>
      <c r="AU80" s="9" t="s">
        <v>92</v>
      </c>
      <c r="AV80" s="9">
        <v>0</v>
      </c>
      <c r="AW80" s="9"/>
      <c r="AX80" s="9" t="s">
        <v>331</v>
      </c>
      <c r="AY80" s="9">
        <v>0</v>
      </c>
      <c r="AZ80" s="9"/>
      <c r="BA80" s="9">
        <v>45792.891319444447</v>
      </c>
      <c r="BB80" s="9">
        <v>0</v>
      </c>
      <c r="BC80" s="9">
        <v>1</v>
      </c>
      <c r="BD80" s="9">
        <v>0</v>
      </c>
      <c r="BE80" s="9" t="s">
        <v>332</v>
      </c>
      <c r="BF80" s="9"/>
      <c r="BG80" s="9"/>
      <c r="BH80" s="9">
        <v>0</v>
      </c>
      <c r="BI80" s="9"/>
      <c r="BJ80" s="9">
        <v>1</v>
      </c>
      <c r="BK80" s="9"/>
      <c r="BL80" s="9"/>
      <c r="BM80" s="9" t="s">
        <v>75</v>
      </c>
      <c r="BN80" s="9"/>
      <c r="BO80" s="9">
        <v>0</v>
      </c>
      <c r="BP80" s="9"/>
      <c r="BQ80" s="9">
        <v>0</v>
      </c>
      <c r="BR80" s="9"/>
      <c r="BS80" s="9"/>
      <c r="BT80" s="9"/>
      <c r="BU80" s="9"/>
      <c r="BV80" s="9"/>
      <c r="BW80" s="9">
        <v>0</v>
      </c>
      <c r="BX80" s="9"/>
      <c r="BY80" s="9">
        <v>45792.891319444447</v>
      </c>
      <c r="BZ80" s="9"/>
      <c r="CA80" s="9"/>
      <c r="CB80" s="9"/>
      <c r="CC80" s="9"/>
      <c r="CD80" s="9"/>
      <c r="CE80" s="9"/>
      <c r="CF80" s="9"/>
      <c r="CG80" s="9"/>
      <c r="CH80" s="9">
        <v>1</v>
      </c>
      <c r="CI80" s="9">
        <v>0</v>
      </c>
      <c r="CJ80" s="9"/>
      <c r="CK80" s="9"/>
      <c r="CL80" s="9" t="s">
        <v>2030</v>
      </c>
      <c r="CM80" s="9"/>
      <c r="CN80" s="9">
        <v>0</v>
      </c>
      <c r="CO80" s="9"/>
      <c r="CP80" s="9"/>
      <c r="CQ80" s="9"/>
    </row>
    <row r="81" spans="1:95" x14ac:dyDescent="0.35">
      <c r="A81" s="9" t="b">
        <f>ISNUMBER(MATCH(Claude[[#This Row],[Id]],ChargentOrders[Id],0))</f>
        <v>1</v>
      </c>
      <c r="B81" t="b">
        <f>INDEX(ChargentOrders[VALIDO],MATCH(Claude[[#This Row],[Id]],ChargentOrders[Id],0))</f>
        <v>1</v>
      </c>
      <c r="C81">
        <f>INDEX(Contract[CB_Subscription__c],MATCH(Claude[[#This Row],[Contract__c]],Contract[Id],0))</f>
        <v>0</v>
      </c>
      <c r="D81" s="9" t="s">
        <v>333</v>
      </c>
      <c r="E81" s="9" t="s">
        <v>155</v>
      </c>
      <c r="F81" s="9">
        <v>0</v>
      </c>
      <c r="G81" s="9" t="s">
        <v>334</v>
      </c>
      <c r="H81" s="9">
        <v>45792.891423611109</v>
      </c>
      <c r="I81" s="9" t="s">
        <v>155</v>
      </c>
      <c r="J81" s="9">
        <v>45860.03334490741</v>
      </c>
      <c r="K81" s="9" t="s">
        <v>78</v>
      </c>
      <c r="L81" s="9">
        <v>45860.03334490741</v>
      </c>
      <c r="M81" s="9"/>
      <c r="N81" s="9" t="s">
        <v>1624</v>
      </c>
      <c r="O81" s="9" t="s">
        <v>2026</v>
      </c>
      <c r="P81" s="9" t="s">
        <v>2027</v>
      </c>
      <c r="Q81" s="9" t="s">
        <v>1925</v>
      </c>
      <c r="R81" s="9" t="s">
        <v>1622</v>
      </c>
      <c r="S81" s="9" t="s">
        <v>2028</v>
      </c>
      <c r="T81" s="9" t="s">
        <v>2029</v>
      </c>
      <c r="U81" s="9" t="s">
        <v>1928</v>
      </c>
      <c r="V81" s="9">
        <v>603</v>
      </c>
      <c r="W81" s="9">
        <v>3</v>
      </c>
      <c r="X81" s="9">
        <v>2026</v>
      </c>
      <c r="Y81" s="9">
        <v>5696</v>
      </c>
      <c r="Z81" s="9">
        <v>3</v>
      </c>
      <c r="AA81" s="9"/>
      <c r="AB81" s="9" t="s">
        <v>73</v>
      </c>
      <c r="AC81" s="9">
        <v>2026</v>
      </c>
      <c r="AD81" s="9" t="s">
        <v>168</v>
      </c>
      <c r="AE81" s="9"/>
      <c r="AF81" s="9" t="s">
        <v>1929</v>
      </c>
      <c r="AG81" s="9"/>
      <c r="AH81" s="9" t="s">
        <v>107</v>
      </c>
      <c r="AI81" s="9">
        <v>0</v>
      </c>
      <c r="AJ81" s="9"/>
      <c r="AK81" s="9">
        <v>0</v>
      </c>
      <c r="AL81" s="9" t="s">
        <v>1930</v>
      </c>
      <c r="AM81" s="9">
        <v>1</v>
      </c>
      <c r="AN81" s="9"/>
      <c r="AO81" s="9" t="s">
        <v>1931</v>
      </c>
      <c r="AP81" s="9" t="s">
        <v>69</v>
      </c>
      <c r="AQ81" s="9" t="s">
        <v>1932</v>
      </c>
      <c r="AR81" s="9">
        <v>45792</v>
      </c>
      <c r="AS81" s="9" t="s">
        <v>74</v>
      </c>
      <c r="AT81" s="9" t="s">
        <v>1935</v>
      </c>
      <c r="AU81" s="9" t="s">
        <v>374</v>
      </c>
      <c r="AV81" s="9">
        <v>0</v>
      </c>
      <c r="AW81" s="9">
        <v>11385</v>
      </c>
      <c r="AX81" s="9" t="s">
        <v>331</v>
      </c>
      <c r="AY81" s="9">
        <v>0</v>
      </c>
      <c r="AZ81" s="9">
        <v>45792.891689814816</v>
      </c>
      <c r="BA81" s="9">
        <v>45792.891689814816</v>
      </c>
      <c r="BB81" s="9">
        <v>1</v>
      </c>
      <c r="BC81" s="9">
        <v>1</v>
      </c>
      <c r="BD81" s="9" t="s">
        <v>168</v>
      </c>
      <c r="BE81" s="9" t="s">
        <v>332</v>
      </c>
      <c r="BF81" s="9" t="s">
        <v>77</v>
      </c>
      <c r="BG81" s="9"/>
      <c r="BH81" s="9">
        <v>0</v>
      </c>
      <c r="BI81" s="9"/>
      <c r="BJ81" s="9">
        <v>1</v>
      </c>
      <c r="BK81" s="9" t="s">
        <v>1937</v>
      </c>
      <c r="BL81" s="9" t="s">
        <v>1938</v>
      </c>
      <c r="BM81" s="9" t="s">
        <v>75</v>
      </c>
      <c r="BN81" s="9"/>
      <c r="BO81" s="9">
        <v>0</v>
      </c>
      <c r="BP81" s="9"/>
      <c r="BQ81" s="9">
        <v>0</v>
      </c>
      <c r="BR81" s="9"/>
      <c r="BS81" s="9"/>
      <c r="BT81" s="9"/>
      <c r="BU81" s="9"/>
      <c r="BV81" s="9"/>
      <c r="BW81" s="9">
        <v>0</v>
      </c>
      <c r="BX81" s="9"/>
      <c r="BY81" s="9">
        <v>45792.891689814816</v>
      </c>
      <c r="BZ81" s="9"/>
      <c r="CA81" s="9"/>
      <c r="CB81" s="9"/>
      <c r="CC81" s="9"/>
      <c r="CD81" s="9"/>
      <c r="CE81" s="9"/>
      <c r="CF81" s="9"/>
      <c r="CG81" s="9"/>
      <c r="CH81" s="9">
        <v>1</v>
      </c>
      <c r="CI81" s="9">
        <v>0</v>
      </c>
      <c r="CJ81" s="9"/>
      <c r="CK81" s="9"/>
      <c r="CL81" s="9" t="s">
        <v>2030</v>
      </c>
      <c r="CM81" s="9"/>
      <c r="CN81" s="9">
        <v>0</v>
      </c>
      <c r="CO81" s="9"/>
      <c r="CP81" s="9"/>
      <c r="CQ81" s="9"/>
    </row>
    <row r="82" spans="1:95" x14ac:dyDescent="0.35">
      <c r="A82" s="9" t="b">
        <f>ISNUMBER(MATCH(Claude[[#This Row],[Id]],ChargentOrders[Id],0))</f>
        <v>1</v>
      </c>
      <c r="B82" t="b">
        <f>INDEX(ChargentOrders[VALIDO],MATCH(Claude[[#This Row],[Id]],ChargentOrders[Id],0))</f>
        <v>1</v>
      </c>
      <c r="C82">
        <f>INDEX(Contract[CB_Subscription__c],MATCH(Claude[[#This Row],[Contract__c]],Contract[Id],0))</f>
        <v>0</v>
      </c>
      <c r="D82" s="9" t="s">
        <v>335</v>
      </c>
      <c r="E82" s="9" t="s">
        <v>155</v>
      </c>
      <c r="F82" s="9">
        <v>0</v>
      </c>
      <c r="G82" s="9" t="s">
        <v>336</v>
      </c>
      <c r="H82" s="9">
        <v>45792.891712962963</v>
      </c>
      <c r="I82" s="9" t="s">
        <v>155</v>
      </c>
      <c r="J82" s="9">
        <v>46217.738564814812</v>
      </c>
      <c r="K82" s="9" t="s">
        <v>78</v>
      </c>
      <c r="L82" s="9">
        <v>46217.738564814812</v>
      </c>
      <c r="M82" s="9"/>
      <c r="N82" s="9" t="s">
        <v>1624</v>
      </c>
      <c r="O82" s="9" t="s">
        <v>2026</v>
      </c>
      <c r="P82" s="9" t="s">
        <v>2027</v>
      </c>
      <c r="Q82" s="9" t="s">
        <v>1925</v>
      </c>
      <c r="R82" s="9" t="s">
        <v>1622</v>
      </c>
      <c r="S82" s="9" t="s">
        <v>2028</v>
      </c>
      <c r="T82" s="9" t="s">
        <v>2029</v>
      </c>
      <c r="U82" s="9" t="s">
        <v>1928</v>
      </c>
      <c r="V82" s="9">
        <v>603</v>
      </c>
      <c r="W82" s="9">
        <v>3</v>
      </c>
      <c r="X82" s="9">
        <v>2026</v>
      </c>
      <c r="Y82" s="9">
        <v>5696</v>
      </c>
      <c r="Z82" s="9">
        <v>3</v>
      </c>
      <c r="AA82" s="9"/>
      <c r="AB82" s="9" t="s">
        <v>73</v>
      </c>
      <c r="AC82" s="9">
        <v>2026</v>
      </c>
      <c r="AD82" s="9" t="s">
        <v>167</v>
      </c>
      <c r="AE82" s="9">
        <v>15</v>
      </c>
      <c r="AF82" s="9" t="s">
        <v>1929</v>
      </c>
      <c r="AG82" s="9"/>
      <c r="AH82" s="9" t="s">
        <v>107</v>
      </c>
      <c r="AI82" s="9">
        <v>0</v>
      </c>
      <c r="AJ82" s="9"/>
      <c r="AK82" s="9">
        <v>0</v>
      </c>
      <c r="AL82" s="9" t="s">
        <v>1930</v>
      </c>
      <c r="AM82" s="9"/>
      <c r="AN82" s="9"/>
      <c r="AO82" s="9" t="s">
        <v>1943</v>
      </c>
      <c r="AP82" s="9" t="s">
        <v>69</v>
      </c>
      <c r="AQ82" s="9" t="s">
        <v>1932</v>
      </c>
      <c r="AR82" s="9">
        <v>46218</v>
      </c>
      <c r="AS82" s="9" t="s">
        <v>84</v>
      </c>
      <c r="AT82" s="9" t="s">
        <v>1944</v>
      </c>
      <c r="AU82" s="9" t="s">
        <v>167</v>
      </c>
      <c r="AV82" s="9">
        <v>0</v>
      </c>
      <c r="AW82" s="9" t="s">
        <v>93</v>
      </c>
      <c r="AX82" s="9" t="s">
        <v>331</v>
      </c>
      <c r="AY82" s="9">
        <v>0</v>
      </c>
      <c r="AZ82" s="9">
        <v>46094.417939814812</v>
      </c>
      <c r="BA82" s="9">
        <v>46094.417962962965</v>
      </c>
      <c r="BB82" s="9">
        <v>9</v>
      </c>
      <c r="BC82" s="9">
        <v>10</v>
      </c>
      <c r="BD82" s="9" t="s">
        <v>2031</v>
      </c>
      <c r="BE82" s="9" t="s">
        <v>332</v>
      </c>
      <c r="BF82" s="9" t="s">
        <v>76</v>
      </c>
      <c r="BG82" s="9"/>
      <c r="BH82" s="9">
        <v>0</v>
      </c>
      <c r="BI82" s="9"/>
      <c r="BJ82" s="9">
        <v>11</v>
      </c>
      <c r="BK82" s="9" t="s">
        <v>92</v>
      </c>
      <c r="BL82" s="9" t="s">
        <v>92</v>
      </c>
      <c r="BM82" s="9" t="s">
        <v>75</v>
      </c>
      <c r="BN82" s="9"/>
      <c r="BO82" s="9">
        <v>0</v>
      </c>
      <c r="BP82" s="9"/>
      <c r="BQ82" s="9">
        <v>0</v>
      </c>
      <c r="BR82" s="9"/>
      <c r="BS82" s="9"/>
      <c r="BT82" s="9"/>
      <c r="BU82" s="9"/>
      <c r="BV82" s="9"/>
      <c r="BW82" s="9">
        <v>0</v>
      </c>
      <c r="BX82" s="9">
        <v>46113.990231481483</v>
      </c>
      <c r="BY82" s="9">
        <v>46113.990231481483</v>
      </c>
      <c r="BZ82" s="9"/>
      <c r="CA82" s="9"/>
      <c r="CB82" s="9"/>
      <c r="CC82" s="9"/>
      <c r="CD82" s="9"/>
      <c r="CE82" s="9"/>
      <c r="CF82" s="9"/>
      <c r="CG82" s="9"/>
      <c r="CH82" s="9">
        <v>1</v>
      </c>
      <c r="CI82" s="9">
        <v>0</v>
      </c>
      <c r="CJ82" s="9"/>
      <c r="CK82" s="9"/>
      <c r="CL82" s="9" t="s">
        <v>2030</v>
      </c>
      <c r="CM82" s="9"/>
      <c r="CN82" s="9">
        <v>0</v>
      </c>
      <c r="CO82" s="9"/>
      <c r="CP82" s="9"/>
      <c r="CQ82" s="9">
        <v>0</v>
      </c>
    </row>
    <row r="83" spans="1:95" x14ac:dyDescent="0.35">
      <c r="A83" s="9" t="b">
        <f>ISNUMBER(MATCH(Claude[[#This Row],[Id]],ChargentOrders[Id],0))</f>
        <v>1</v>
      </c>
      <c r="B83" t="b">
        <f>INDEX(ChargentOrders[VALIDO],MATCH(Claude[[#This Row],[Id]],ChargentOrders[Id],0))</f>
        <v>1</v>
      </c>
      <c r="C83">
        <f>INDEX(Contract[CB_Subscription__c],MATCH(Claude[[#This Row],[Contract__c]],Contract[Id],0))</f>
        <v>0</v>
      </c>
      <c r="D83" s="9" t="s">
        <v>337</v>
      </c>
      <c r="E83" s="9" t="s">
        <v>102</v>
      </c>
      <c r="F83" s="9">
        <v>0</v>
      </c>
      <c r="G83" s="9" t="s">
        <v>338</v>
      </c>
      <c r="H83" s="9">
        <v>45807.42082175926</v>
      </c>
      <c r="I83" s="9" t="s">
        <v>65</v>
      </c>
      <c r="J83" s="9">
        <v>46114.619375000002</v>
      </c>
      <c r="K83" s="9" t="s">
        <v>78</v>
      </c>
      <c r="L83" s="9">
        <v>46114.619375000002</v>
      </c>
      <c r="M83" s="9"/>
      <c r="N83" s="9" t="s">
        <v>1570</v>
      </c>
      <c r="O83" s="9" t="s">
        <v>1923</v>
      </c>
      <c r="P83" s="9" t="s">
        <v>1924</v>
      </c>
      <c r="Q83" s="9" t="s">
        <v>1925</v>
      </c>
      <c r="R83" s="9" t="s">
        <v>1568</v>
      </c>
      <c r="S83" s="9" t="s">
        <v>1926</v>
      </c>
      <c r="T83" s="9" t="s">
        <v>1927</v>
      </c>
      <c r="U83" s="9" t="s">
        <v>1928</v>
      </c>
      <c r="V83" s="9">
        <v>949</v>
      </c>
      <c r="W83" s="9">
        <v>10</v>
      </c>
      <c r="X83" s="9">
        <v>2026</v>
      </c>
      <c r="Y83" s="9">
        <v>2774</v>
      </c>
      <c r="Z83" s="9">
        <v>10</v>
      </c>
      <c r="AA83" s="9">
        <v>2774</v>
      </c>
      <c r="AB83" s="9" t="s">
        <v>73</v>
      </c>
      <c r="AC83" s="9">
        <v>2026</v>
      </c>
      <c r="AD83" s="9" t="s">
        <v>1969</v>
      </c>
      <c r="AE83" s="9"/>
      <c r="AF83" s="9" t="s">
        <v>1929</v>
      </c>
      <c r="AG83" s="9"/>
      <c r="AH83" s="9" t="s">
        <v>67</v>
      </c>
      <c r="AI83" s="9">
        <v>0</v>
      </c>
      <c r="AJ83" s="9"/>
      <c r="AK83" s="9">
        <v>0</v>
      </c>
      <c r="AL83" s="9" t="s">
        <v>1930</v>
      </c>
      <c r="AM83" s="9">
        <v>1</v>
      </c>
      <c r="AN83" s="9">
        <v>45834</v>
      </c>
      <c r="AO83" s="9" t="s">
        <v>1931</v>
      </c>
      <c r="AP83" s="9" t="s">
        <v>69</v>
      </c>
      <c r="AQ83" s="9" t="s">
        <v>1932</v>
      </c>
      <c r="AR83" s="9">
        <v>45834</v>
      </c>
      <c r="AS83" s="9" t="s">
        <v>74</v>
      </c>
      <c r="AT83" s="9" t="s">
        <v>1935</v>
      </c>
      <c r="AU83" s="9" t="s">
        <v>1970</v>
      </c>
      <c r="AV83" s="9">
        <v>0</v>
      </c>
      <c r="AW83" s="9" t="s">
        <v>1971</v>
      </c>
      <c r="AX83" s="9" t="s">
        <v>175</v>
      </c>
      <c r="AY83" s="9">
        <v>0</v>
      </c>
      <c r="AZ83" s="9">
        <v>45834.426215277781</v>
      </c>
      <c r="BA83" s="9">
        <v>45834.426261574074</v>
      </c>
      <c r="BB83" s="9">
        <v>1</v>
      </c>
      <c r="BC83" s="9">
        <v>19</v>
      </c>
      <c r="BD83" s="9" t="s">
        <v>1972</v>
      </c>
      <c r="BE83" s="9" t="s">
        <v>112</v>
      </c>
      <c r="BF83" s="9" t="s">
        <v>71</v>
      </c>
      <c r="BG83" s="9"/>
      <c r="BH83" s="9">
        <v>0</v>
      </c>
      <c r="BI83" s="9"/>
      <c r="BJ83" s="9">
        <v>0</v>
      </c>
      <c r="BK83" s="9" t="s">
        <v>1937</v>
      </c>
      <c r="BL83" s="9" t="s">
        <v>1938</v>
      </c>
      <c r="BM83" s="9" t="s">
        <v>72</v>
      </c>
      <c r="BN83" s="9"/>
      <c r="BO83" s="9">
        <v>1</v>
      </c>
      <c r="BP83" s="9" t="s">
        <v>339</v>
      </c>
      <c r="BQ83" s="9">
        <v>0</v>
      </c>
      <c r="BR83" s="9">
        <v>45170.864606481482</v>
      </c>
      <c r="BS83" s="9" t="s">
        <v>109</v>
      </c>
      <c r="BT83" s="9" t="s">
        <v>65</v>
      </c>
      <c r="BU83" s="9"/>
      <c r="BV83" s="9"/>
      <c r="BW83" s="9">
        <v>0</v>
      </c>
      <c r="BX83" s="9">
        <v>45831.972199074073</v>
      </c>
      <c r="BY83" s="9">
        <v>45834.426215277781</v>
      </c>
      <c r="BZ83" s="9"/>
      <c r="CA83" s="9"/>
      <c r="CB83" s="9"/>
      <c r="CC83" s="9"/>
      <c r="CD83" s="9"/>
      <c r="CE83" s="9"/>
      <c r="CF83" s="9"/>
      <c r="CG83" s="9"/>
      <c r="CH83" s="9">
        <v>1</v>
      </c>
      <c r="CI83" s="9">
        <v>0</v>
      </c>
      <c r="CJ83" s="9"/>
      <c r="CK83" s="9"/>
      <c r="CL83" s="9"/>
      <c r="CM83" s="9"/>
      <c r="CN83" s="9">
        <v>0</v>
      </c>
      <c r="CO83" s="9"/>
      <c r="CP83" s="9"/>
      <c r="CQ83" s="9"/>
    </row>
    <row r="84" spans="1:95" x14ac:dyDescent="0.35">
      <c r="A84" s="9" t="b">
        <f>ISNUMBER(MATCH(Claude[[#This Row],[Id]],ChargentOrders[Id],0))</f>
        <v>1</v>
      </c>
      <c r="B84" t="b">
        <f>INDEX(ChargentOrders[VALIDO],MATCH(Claude[[#This Row],[Id]],ChargentOrders[Id],0))</f>
        <v>1</v>
      </c>
      <c r="C84">
        <f>INDEX(Contract[CB_Subscription__c],MATCH(Claude[[#This Row],[Contract__c]],Contract[Id],0))</f>
        <v>0</v>
      </c>
      <c r="D84" s="9" t="s">
        <v>340</v>
      </c>
      <c r="E84" s="9" t="s">
        <v>79</v>
      </c>
      <c r="F84" s="9">
        <v>0</v>
      </c>
      <c r="G84" s="9" t="s">
        <v>341</v>
      </c>
      <c r="H84" s="9">
        <v>45807.422743055555</v>
      </c>
      <c r="I84" s="9" t="s">
        <v>65</v>
      </c>
      <c r="J84" s="9">
        <v>45860.032789351855</v>
      </c>
      <c r="K84" s="9" t="s">
        <v>78</v>
      </c>
      <c r="L84" s="9">
        <v>45860.032789351855</v>
      </c>
      <c r="M84" s="9"/>
      <c r="N84" s="9" t="s">
        <v>1581</v>
      </c>
      <c r="O84" s="9" t="s">
        <v>1960</v>
      </c>
      <c r="P84" s="9" t="s">
        <v>1961</v>
      </c>
      <c r="Q84" s="9" t="s">
        <v>1925</v>
      </c>
      <c r="R84" s="9" t="s">
        <v>1579</v>
      </c>
      <c r="S84" s="9" t="s">
        <v>1962</v>
      </c>
      <c r="T84" s="9" t="s">
        <v>1963</v>
      </c>
      <c r="U84" s="9" t="s">
        <v>1928</v>
      </c>
      <c r="V84" s="9">
        <v>778</v>
      </c>
      <c r="W84" s="9">
        <v>3</v>
      </c>
      <c r="X84" s="9">
        <v>2027</v>
      </c>
      <c r="Y84" s="9">
        <v>4327</v>
      </c>
      <c r="Z84" s="9">
        <v>3</v>
      </c>
      <c r="AA84" s="9">
        <v>4549516808074320</v>
      </c>
      <c r="AB84" s="9" t="s">
        <v>73</v>
      </c>
      <c r="AC84" s="9">
        <v>2027</v>
      </c>
      <c r="AD84" s="9" t="s">
        <v>104</v>
      </c>
      <c r="AE84" s="9"/>
      <c r="AF84" s="9" t="s">
        <v>1929</v>
      </c>
      <c r="AG84" s="9"/>
      <c r="AH84" s="9" t="s">
        <v>67</v>
      </c>
      <c r="AI84" s="9">
        <v>0</v>
      </c>
      <c r="AJ84" s="9"/>
      <c r="AK84" s="9">
        <v>0</v>
      </c>
      <c r="AL84" s="9" t="s">
        <v>1930</v>
      </c>
      <c r="AM84" s="9">
        <v>1</v>
      </c>
      <c r="AN84" s="9">
        <v>45821</v>
      </c>
      <c r="AO84" s="9" t="s">
        <v>1931</v>
      </c>
      <c r="AP84" s="9" t="s">
        <v>69</v>
      </c>
      <c r="AQ84" s="9" t="s">
        <v>1932</v>
      </c>
      <c r="AR84" s="9">
        <v>45821</v>
      </c>
      <c r="AS84" s="9" t="s">
        <v>74</v>
      </c>
      <c r="AT84" s="9" t="s">
        <v>1935</v>
      </c>
      <c r="AU84" s="9" t="s">
        <v>1952</v>
      </c>
      <c r="AV84" s="9">
        <v>0</v>
      </c>
      <c r="AW84" s="9" t="s">
        <v>1953</v>
      </c>
      <c r="AX84" s="9" t="s">
        <v>165</v>
      </c>
      <c r="AY84" s="9">
        <v>0</v>
      </c>
      <c r="AZ84" s="9">
        <v>45820.002800925926</v>
      </c>
      <c r="BA84" s="9">
        <v>45820.002800925926</v>
      </c>
      <c r="BB84" s="9">
        <v>1</v>
      </c>
      <c r="BC84" s="9">
        <v>13</v>
      </c>
      <c r="BD84" s="9" t="s">
        <v>104</v>
      </c>
      <c r="BE84" s="9" t="s">
        <v>179</v>
      </c>
      <c r="BF84" s="9" t="s">
        <v>71</v>
      </c>
      <c r="BG84" s="9"/>
      <c r="BH84" s="9">
        <v>0</v>
      </c>
      <c r="BI84" s="9"/>
      <c r="BJ84" s="9">
        <v>0</v>
      </c>
      <c r="BK84" s="9" t="s">
        <v>1937</v>
      </c>
      <c r="BL84" s="9" t="s">
        <v>1938</v>
      </c>
      <c r="BM84" s="9" t="s">
        <v>72</v>
      </c>
      <c r="BN84" s="9"/>
      <c r="BO84" s="9">
        <v>1</v>
      </c>
      <c r="BP84" s="9" t="s">
        <v>342</v>
      </c>
      <c r="BQ84" s="9">
        <v>0</v>
      </c>
      <c r="BR84" s="9">
        <v>45807.617395833331</v>
      </c>
      <c r="BS84" s="9" t="s">
        <v>109</v>
      </c>
      <c r="BT84" s="9" t="s">
        <v>65</v>
      </c>
      <c r="BU84" s="9"/>
      <c r="BV84" s="9"/>
      <c r="BW84" s="9">
        <v>0</v>
      </c>
      <c r="BX84" s="9">
        <v>45818.834780092591</v>
      </c>
      <c r="BY84" s="9">
        <v>45820.002800925926</v>
      </c>
      <c r="BZ84" s="9"/>
      <c r="CA84" s="9"/>
      <c r="CB84" s="9"/>
      <c r="CC84" s="9"/>
      <c r="CD84" s="9"/>
      <c r="CE84" s="9"/>
      <c r="CF84" s="9"/>
      <c r="CG84" s="9"/>
      <c r="CH84" s="9">
        <v>1</v>
      </c>
      <c r="CI84" s="9">
        <v>0</v>
      </c>
      <c r="CJ84" s="9"/>
      <c r="CK84" s="9"/>
      <c r="CL84" s="9" t="s">
        <v>1964</v>
      </c>
      <c r="CM84" s="9"/>
      <c r="CN84" s="9">
        <v>0</v>
      </c>
      <c r="CO84" s="9"/>
      <c r="CP84" s="9"/>
      <c r="CQ84" s="9"/>
    </row>
    <row r="85" spans="1:95" x14ac:dyDescent="0.35">
      <c r="A85" s="9" t="b">
        <f>ISNUMBER(MATCH(Claude[[#This Row],[Id]],ChargentOrders[Id],0))</f>
        <v>1</v>
      </c>
      <c r="B85" t="b">
        <f>INDEX(ChargentOrders[VALIDO],MATCH(Claude[[#This Row],[Id]],ChargentOrders[Id],0))</f>
        <v>1</v>
      </c>
      <c r="C85">
        <f>INDEX(Contract[CB_Subscription__c],MATCH(Claude[[#This Row],[Contract__c]],Contract[Id],0))</f>
        <v>0</v>
      </c>
      <c r="D85" s="9" t="s">
        <v>343</v>
      </c>
      <c r="E85" s="9" t="s">
        <v>79</v>
      </c>
      <c r="F85" s="9">
        <v>0</v>
      </c>
      <c r="G85" s="9" t="s">
        <v>344</v>
      </c>
      <c r="H85" s="9">
        <v>45807.423229166663</v>
      </c>
      <c r="I85" s="9" t="s">
        <v>65</v>
      </c>
      <c r="J85" s="9">
        <v>45860.032870370371</v>
      </c>
      <c r="K85" s="9" t="s">
        <v>78</v>
      </c>
      <c r="L85" s="9">
        <v>45860.032870370371</v>
      </c>
      <c r="M85" s="9"/>
      <c r="N85" s="9" t="s">
        <v>1586</v>
      </c>
      <c r="O85" s="9" t="s">
        <v>1973</v>
      </c>
      <c r="P85" s="9" t="s">
        <v>1974</v>
      </c>
      <c r="Q85" s="9" t="s">
        <v>1925</v>
      </c>
      <c r="R85" s="9" t="s">
        <v>1584</v>
      </c>
      <c r="S85" s="9" t="s">
        <v>1975</v>
      </c>
      <c r="T85" s="9" t="s">
        <v>1976</v>
      </c>
      <c r="U85" s="9" t="s">
        <v>1928</v>
      </c>
      <c r="V85" s="9">
        <v>969</v>
      </c>
      <c r="W85" s="9">
        <v>8</v>
      </c>
      <c r="X85" s="9">
        <v>2028</v>
      </c>
      <c r="Y85" s="9">
        <v>5191</v>
      </c>
      <c r="Z85" s="9">
        <v>8</v>
      </c>
      <c r="AA85" s="9">
        <v>5191</v>
      </c>
      <c r="AB85" s="9" t="s">
        <v>73</v>
      </c>
      <c r="AC85" s="9">
        <v>2028</v>
      </c>
      <c r="AD85" s="9" t="s">
        <v>1972</v>
      </c>
      <c r="AE85" s="9"/>
      <c r="AF85" s="9" t="s">
        <v>1929</v>
      </c>
      <c r="AG85" s="9"/>
      <c r="AH85" s="9" t="s">
        <v>67</v>
      </c>
      <c r="AI85" s="9">
        <v>0</v>
      </c>
      <c r="AJ85" s="9"/>
      <c r="AK85" s="9">
        <v>0</v>
      </c>
      <c r="AL85" s="9" t="s">
        <v>1930</v>
      </c>
      <c r="AM85" s="9">
        <v>1</v>
      </c>
      <c r="AN85" s="9">
        <v>45828</v>
      </c>
      <c r="AO85" s="9" t="s">
        <v>1931</v>
      </c>
      <c r="AP85" s="9" t="s">
        <v>69</v>
      </c>
      <c r="AQ85" s="9" t="s">
        <v>1932</v>
      </c>
      <c r="AR85" s="9">
        <v>45828</v>
      </c>
      <c r="AS85" s="9" t="s">
        <v>74</v>
      </c>
      <c r="AT85" s="9" t="s">
        <v>1935</v>
      </c>
      <c r="AU85" s="9" t="s">
        <v>1970</v>
      </c>
      <c r="AV85" s="9">
        <v>0</v>
      </c>
      <c r="AW85" s="9" t="s">
        <v>1957</v>
      </c>
      <c r="AX85" s="9" t="s">
        <v>202</v>
      </c>
      <c r="AY85" s="9">
        <v>0</v>
      </c>
      <c r="AZ85" s="9">
        <v>45827.938159722224</v>
      </c>
      <c r="BA85" s="9">
        <v>45827.938159722224</v>
      </c>
      <c r="BB85" s="9">
        <v>1</v>
      </c>
      <c r="BC85" s="9">
        <v>9</v>
      </c>
      <c r="BD85" s="9" t="s">
        <v>1972</v>
      </c>
      <c r="BE85" s="9" t="s">
        <v>197</v>
      </c>
      <c r="BF85" s="9" t="s">
        <v>71</v>
      </c>
      <c r="BG85" s="9"/>
      <c r="BH85" s="9">
        <v>0</v>
      </c>
      <c r="BI85" s="9"/>
      <c r="BJ85" s="9">
        <v>0</v>
      </c>
      <c r="BK85" s="9" t="s">
        <v>1937</v>
      </c>
      <c r="BL85" s="9" t="s">
        <v>1938</v>
      </c>
      <c r="BM85" s="9" t="s">
        <v>72</v>
      </c>
      <c r="BN85" s="9"/>
      <c r="BO85" s="9">
        <v>1</v>
      </c>
      <c r="BP85" s="9" t="s">
        <v>345</v>
      </c>
      <c r="BQ85" s="9">
        <v>0</v>
      </c>
      <c r="BR85" s="9">
        <v>45589.952337962961</v>
      </c>
      <c r="BS85" s="9" t="s">
        <v>109</v>
      </c>
      <c r="BT85" s="9" t="s">
        <v>65</v>
      </c>
      <c r="BU85" s="9"/>
      <c r="BV85" s="9"/>
      <c r="BW85" s="9">
        <v>0</v>
      </c>
      <c r="BX85" s="9">
        <v>45827.425717592596</v>
      </c>
      <c r="BY85" s="9">
        <v>45827.938159722224</v>
      </c>
      <c r="BZ85" s="9"/>
      <c r="CA85" s="9"/>
      <c r="CB85" s="9"/>
      <c r="CC85" s="9"/>
      <c r="CD85" s="9"/>
      <c r="CE85" s="9"/>
      <c r="CF85" s="9"/>
      <c r="CG85" s="9"/>
      <c r="CH85" s="9">
        <v>1</v>
      </c>
      <c r="CI85" s="9">
        <v>0</v>
      </c>
      <c r="CJ85" s="9"/>
      <c r="CK85" s="9"/>
      <c r="CL85" s="9" t="s">
        <v>1977</v>
      </c>
      <c r="CM85" s="9"/>
      <c r="CN85" s="9">
        <v>0</v>
      </c>
      <c r="CO85" s="9"/>
      <c r="CP85" s="9"/>
      <c r="CQ85" s="9"/>
    </row>
    <row r="86" spans="1:95" x14ac:dyDescent="0.35">
      <c r="A86" s="9" t="b">
        <f>ISNUMBER(MATCH(Claude[[#This Row],[Id]],ChargentOrders[Id],0))</f>
        <v>1</v>
      </c>
      <c r="B86" t="b">
        <f>INDEX(ChargentOrders[VALIDO],MATCH(Claude[[#This Row],[Id]],ChargentOrders[Id],0))</f>
        <v>1</v>
      </c>
      <c r="C86">
        <f>INDEX(Contract[CB_Subscription__c],MATCH(Claude[[#This Row],[Contract__c]],Contract[Id],0))</f>
        <v>0</v>
      </c>
      <c r="D86" s="9" t="s">
        <v>347</v>
      </c>
      <c r="E86" s="9" t="s">
        <v>79</v>
      </c>
      <c r="F86" s="9">
        <v>0</v>
      </c>
      <c r="G86" s="9" t="s">
        <v>348</v>
      </c>
      <c r="H86" s="9">
        <v>45807.42633101852</v>
      </c>
      <c r="I86" s="9" t="s">
        <v>65</v>
      </c>
      <c r="J86" s="9">
        <v>45877.419618055559</v>
      </c>
      <c r="K86" s="9" t="s">
        <v>65</v>
      </c>
      <c r="L86" s="9">
        <v>45877.419618055559</v>
      </c>
      <c r="M86" s="9"/>
      <c r="N86" s="9" t="s">
        <v>1596</v>
      </c>
      <c r="O86" s="9" t="s">
        <v>1997</v>
      </c>
      <c r="P86" s="9" t="s">
        <v>1990</v>
      </c>
      <c r="Q86" s="9" t="s">
        <v>1925</v>
      </c>
      <c r="R86" s="9" t="s">
        <v>1594</v>
      </c>
      <c r="S86" s="9" t="s">
        <v>1998</v>
      </c>
      <c r="T86" s="9" t="s">
        <v>1999</v>
      </c>
      <c r="U86" s="9" t="s">
        <v>1928</v>
      </c>
      <c r="V86" s="9">
        <v>901</v>
      </c>
      <c r="W86" s="9">
        <v>2</v>
      </c>
      <c r="X86" s="9">
        <v>2026</v>
      </c>
      <c r="Y86" s="9">
        <v>7405</v>
      </c>
      <c r="Z86" s="9">
        <v>2</v>
      </c>
      <c r="AA86" s="9">
        <v>4549516847817400</v>
      </c>
      <c r="AB86" s="9" t="s">
        <v>73</v>
      </c>
      <c r="AC86" s="9">
        <v>2026</v>
      </c>
      <c r="AD86" s="9" t="s">
        <v>105</v>
      </c>
      <c r="AE86" s="9"/>
      <c r="AF86" s="9" t="s">
        <v>1929</v>
      </c>
      <c r="AG86" s="9"/>
      <c r="AH86" s="9" t="s">
        <v>67</v>
      </c>
      <c r="AI86" s="9">
        <v>0</v>
      </c>
      <c r="AJ86" s="9"/>
      <c r="AK86" s="9">
        <v>0</v>
      </c>
      <c r="AL86" s="9" t="s">
        <v>1930</v>
      </c>
      <c r="AM86" s="9">
        <v>1</v>
      </c>
      <c r="AN86" s="9">
        <v>45877</v>
      </c>
      <c r="AO86" s="9" t="s">
        <v>1931</v>
      </c>
      <c r="AP86" s="9" t="s">
        <v>69</v>
      </c>
      <c r="AQ86" s="9" t="s">
        <v>1932</v>
      </c>
      <c r="AR86" s="9">
        <v>45877</v>
      </c>
      <c r="AS86" s="9" t="s">
        <v>74</v>
      </c>
      <c r="AT86" s="9" t="s">
        <v>1935</v>
      </c>
      <c r="AU86" s="9" t="s">
        <v>473</v>
      </c>
      <c r="AV86" s="9">
        <v>0</v>
      </c>
      <c r="AW86" s="9" t="s">
        <v>2004</v>
      </c>
      <c r="AX86" s="9" t="s">
        <v>252</v>
      </c>
      <c r="AY86" s="9">
        <v>0</v>
      </c>
      <c r="AZ86" s="9">
        <v>45877.419490740744</v>
      </c>
      <c r="BA86" s="9">
        <v>45877.419571759259</v>
      </c>
      <c r="BB86" s="9">
        <v>1</v>
      </c>
      <c r="BC86" s="9">
        <v>41</v>
      </c>
      <c r="BD86" s="9" t="s">
        <v>105</v>
      </c>
      <c r="BE86" s="9" t="s">
        <v>253</v>
      </c>
      <c r="BF86" s="9" t="s">
        <v>71</v>
      </c>
      <c r="BG86" s="9"/>
      <c r="BH86" s="9">
        <v>0</v>
      </c>
      <c r="BI86" s="9"/>
      <c r="BJ86" s="9">
        <v>0</v>
      </c>
      <c r="BK86" s="9" t="s">
        <v>1937</v>
      </c>
      <c r="BL86" s="9" t="s">
        <v>1938</v>
      </c>
      <c r="BM86" s="9" t="s">
        <v>72</v>
      </c>
      <c r="BN86" s="9"/>
      <c r="BO86" s="9">
        <v>0</v>
      </c>
      <c r="BP86" s="9" t="s">
        <v>349</v>
      </c>
      <c r="BQ86" s="9">
        <v>0</v>
      </c>
      <c r="BR86" s="9">
        <v>45854.628576388888</v>
      </c>
      <c r="BS86" s="9" t="s">
        <v>92</v>
      </c>
      <c r="BT86" s="9" t="s">
        <v>65</v>
      </c>
      <c r="BU86" s="9"/>
      <c r="BV86" s="9"/>
      <c r="BW86" s="9">
        <v>0</v>
      </c>
      <c r="BX86" s="9">
        <v>45876.419432870367</v>
      </c>
      <c r="BY86" s="9">
        <v>45877.419490740744</v>
      </c>
      <c r="BZ86" s="9"/>
      <c r="CA86" s="9"/>
      <c r="CB86" s="9"/>
      <c r="CC86" s="9"/>
      <c r="CD86" s="9"/>
      <c r="CE86" s="9"/>
      <c r="CF86" s="9"/>
      <c r="CG86" s="9"/>
      <c r="CH86" s="9">
        <v>1</v>
      </c>
      <c r="CI86" s="9">
        <v>0</v>
      </c>
      <c r="CJ86" s="9"/>
      <c r="CK86" s="9"/>
      <c r="CL86" s="9" t="s">
        <v>2000</v>
      </c>
      <c r="CM86" s="9" t="s">
        <v>279</v>
      </c>
      <c r="CN86" s="9">
        <v>0</v>
      </c>
      <c r="CO86" s="9"/>
      <c r="CP86" s="9"/>
      <c r="CQ86" s="9"/>
    </row>
    <row r="87" spans="1:95" x14ac:dyDescent="0.35">
      <c r="A87" s="9" t="b">
        <f>ISNUMBER(MATCH(Claude[[#This Row],[Id]],ChargentOrders[Id],0))</f>
        <v>1</v>
      </c>
      <c r="B87" t="b">
        <f>INDEX(ChargentOrders[VALIDO],MATCH(Claude[[#This Row],[Id]],ChargentOrders[Id],0))</f>
        <v>1</v>
      </c>
      <c r="C87">
        <f>INDEX(Contract[CB_Subscription__c],MATCH(Claude[[#This Row],[Contract__c]],Contract[Id],0))</f>
        <v>0</v>
      </c>
      <c r="D87" s="9" t="s">
        <v>350</v>
      </c>
      <c r="E87" s="9" t="s">
        <v>81</v>
      </c>
      <c r="F87" s="9">
        <v>0</v>
      </c>
      <c r="G87" s="9" t="s">
        <v>351</v>
      </c>
      <c r="H87" s="9">
        <v>45807.428078703706</v>
      </c>
      <c r="I87" s="9" t="s">
        <v>65</v>
      </c>
      <c r="J87" s="9">
        <v>45860.033171296294</v>
      </c>
      <c r="K87" s="9" t="s">
        <v>78</v>
      </c>
      <c r="L87" s="9">
        <v>45860.033171296294</v>
      </c>
      <c r="M87" s="9"/>
      <c r="N87" s="9" t="s">
        <v>1601</v>
      </c>
      <c r="O87" s="9" t="s">
        <v>2005</v>
      </c>
      <c r="P87" s="9" t="s">
        <v>2006</v>
      </c>
      <c r="Q87" s="9" t="s">
        <v>1925</v>
      </c>
      <c r="R87" s="9" t="s">
        <v>1599</v>
      </c>
      <c r="S87" s="9" t="s">
        <v>2007</v>
      </c>
      <c r="T87" s="9" t="s">
        <v>2008</v>
      </c>
      <c r="U87" s="9" t="s">
        <v>1928</v>
      </c>
      <c r="V87" s="9">
        <v>985</v>
      </c>
      <c r="W87" s="9">
        <v>11</v>
      </c>
      <c r="X87" s="9">
        <v>2029</v>
      </c>
      <c r="Y87" s="9">
        <v>6484</v>
      </c>
      <c r="Z87" s="9">
        <v>11</v>
      </c>
      <c r="AA87" s="9">
        <v>4549518380296480</v>
      </c>
      <c r="AB87" s="9" t="s">
        <v>73</v>
      </c>
      <c r="AC87" s="9">
        <v>2029</v>
      </c>
      <c r="AD87" s="9" t="s">
        <v>104</v>
      </c>
      <c r="AE87" s="9"/>
      <c r="AF87" s="9" t="s">
        <v>1929</v>
      </c>
      <c r="AG87" s="9"/>
      <c r="AH87" s="9" t="s">
        <v>67</v>
      </c>
      <c r="AI87" s="9">
        <v>0</v>
      </c>
      <c r="AJ87" s="9"/>
      <c r="AK87" s="9">
        <v>0</v>
      </c>
      <c r="AL87" s="9" t="s">
        <v>1930</v>
      </c>
      <c r="AM87" s="9">
        <v>1</v>
      </c>
      <c r="AN87" s="9">
        <v>45821</v>
      </c>
      <c r="AO87" s="9" t="s">
        <v>1931</v>
      </c>
      <c r="AP87" s="9" t="s">
        <v>69</v>
      </c>
      <c r="AQ87" s="9" t="s">
        <v>1932</v>
      </c>
      <c r="AR87" s="9">
        <v>45821</v>
      </c>
      <c r="AS87" s="9" t="s">
        <v>74</v>
      </c>
      <c r="AT87" s="9" t="s">
        <v>1935</v>
      </c>
      <c r="AU87" s="9" t="s">
        <v>1952</v>
      </c>
      <c r="AV87" s="9">
        <v>0</v>
      </c>
      <c r="AW87" s="9" t="s">
        <v>1953</v>
      </c>
      <c r="AX87" s="9" t="s">
        <v>264</v>
      </c>
      <c r="AY87" s="9">
        <v>0</v>
      </c>
      <c r="AZ87" s="9">
        <v>45820.877187500002</v>
      </c>
      <c r="BA87" s="9">
        <v>45820.877187500002</v>
      </c>
      <c r="BB87" s="9">
        <v>1</v>
      </c>
      <c r="BC87" s="9">
        <v>6</v>
      </c>
      <c r="BD87" s="9" t="s">
        <v>104</v>
      </c>
      <c r="BE87" s="9" t="s">
        <v>265</v>
      </c>
      <c r="BF87" s="9" t="s">
        <v>71</v>
      </c>
      <c r="BG87" s="9"/>
      <c r="BH87" s="9">
        <v>0</v>
      </c>
      <c r="BI87" s="9"/>
      <c r="BJ87" s="9">
        <v>0</v>
      </c>
      <c r="BK87" s="9" t="s">
        <v>1937</v>
      </c>
      <c r="BL87" s="9" t="s">
        <v>1938</v>
      </c>
      <c r="BM87" s="9" t="s">
        <v>72</v>
      </c>
      <c r="BN87" s="9"/>
      <c r="BO87" s="9">
        <v>1</v>
      </c>
      <c r="BP87" s="9" t="s">
        <v>352</v>
      </c>
      <c r="BQ87" s="9">
        <v>0</v>
      </c>
      <c r="BR87" s="9">
        <v>45744.431817129633</v>
      </c>
      <c r="BS87" s="9" t="s">
        <v>109</v>
      </c>
      <c r="BT87" s="9" t="s">
        <v>65</v>
      </c>
      <c r="BU87" s="9"/>
      <c r="BV87" s="9"/>
      <c r="BW87" s="9">
        <v>0</v>
      </c>
      <c r="BX87" s="9">
        <v>45819.972256944442</v>
      </c>
      <c r="BY87" s="9">
        <v>45820.877187500002</v>
      </c>
      <c r="BZ87" s="9"/>
      <c r="CA87" s="9"/>
      <c r="CB87" s="9"/>
      <c r="CC87" s="9"/>
      <c r="CD87" s="9"/>
      <c r="CE87" s="9"/>
      <c r="CF87" s="9"/>
      <c r="CG87" s="9"/>
      <c r="CH87" s="9">
        <v>1</v>
      </c>
      <c r="CI87" s="9">
        <v>0</v>
      </c>
      <c r="CJ87" s="9"/>
      <c r="CK87" s="9"/>
      <c r="CL87" s="9" t="s">
        <v>2009</v>
      </c>
      <c r="CM87" s="9"/>
      <c r="CN87" s="9">
        <v>0</v>
      </c>
      <c r="CO87" s="9"/>
      <c r="CP87" s="9"/>
      <c r="CQ87" s="9"/>
    </row>
    <row r="88" spans="1:95" x14ac:dyDescent="0.35">
      <c r="A88" s="9" t="b">
        <f>ISNUMBER(MATCH(Claude[[#This Row],[Id]],ChargentOrders[Id],0))</f>
        <v>1</v>
      </c>
      <c r="B88" t="b">
        <f>INDEX(ChargentOrders[VALIDO],MATCH(Claude[[#This Row],[Id]],ChargentOrders[Id],0))</f>
        <v>1</v>
      </c>
      <c r="C88">
        <f>INDEX(Contract[CB_Subscription__c],MATCH(Claude[[#This Row],[Contract__c]],Contract[Id],0))</f>
        <v>0</v>
      </c>
      <c r="D88" s="9" t="s">
        <v>353</v>
      </c>
      <c r="E88" s="9" t="s">
        <v>79</v>
      </c>
      <c r="F88" s="9">
        <v>0</v>
      </c>
      <c r="G88" s="9" t="s">
        <v>354</v>
      </c>
      <c r="H88" s="9">
        <v>45812.72855324074</v>
      </c>
      <c r="I88" s="9" t="s">
        <v>79</v>
      </c>
      <c r="J88" s="9">
        <v>45860.033391203702</v>
      </c>
      <c r="K88" s="9" t="s">
        <v>78</v>
      </c>
      <c r="L88" s="9">
        <v>45860.033391203702</v>
      </c>
      <c r="M88" s="9"/>
      <c r="N88" s="9"/>
      <c r="O88" s="9" t="s">
        <v>2032</v>
      </c>
      <c r="P88" s="9" t="s">
        <v>2033</v>
      </c>
      <c r="Q88" s="9" t="s">
        <v>1925</v>
      </c>
      <c r="R88" s="9" t="s">
        <v>1627</v>
      </c>
      <c r="S88" s="9" t="s">
        <v>1949</v>
      </c>
      <c r="T88" s="9" t="s">
        <v>2034</v>
      </c>
      <c r="U88" s="9" t="s">
        <v>1928</v>
      </c>
      <c r="V88" s="9">
        <v>754</v>
      </c>
      <c r="W88" s="9">
        <v>7</v>
      </c>
      <c r="X88" s="9">
        <v>2028</v>
      </c>
      <c r="Y88" s="9">
        <v>6818</v>
      </c>
      <c r="Z88" s="9">
        <v>7</v>
      </c>
      <c r="AA88" s="9">
        <v>4870388115256810</v>
      </c>
      <c r="AB88" s="9" t="s">
        <v>73</v>
      </c>
      <c r="AC88" s="9">
        <v>2028</v>
      </c>
      <c r="AD88" s="9" t="s">
        <v>93</v>
      </c>
      <c r="AE88" s="9"/>
      <c r="AF88" s="9" t="s">
        <v>1929</v>
      </c>
      <c r="AG88" s="9"/>
      <c r="AH88" s="9" t="s">
        <v>67</v>
      </c>
      <c r="AI88" s="9">
        <v>0</v>
      </c>
      <c r="AJ88" s="9"/>
      <c r="AK88" s="9">
        <v>0</v>
      </c>
      <c r="AL88" s="9" t="s">
        <v>1930</v>
      </c>
      <c r="AM88" s="9"/>
      <c r="AN88" s="9"/>
      <c r="AO88" s="9" t="s">
        <v>1931</v>
      </c>
      <c r="AP88" s="9" t="s">
        <v>69</v>
      </c>
      <c r="AQ88" s="9" t="s">
        <v>1932</v>
      </c>
      <c r="AR88" s="9"/>
      <c r="AS88" s="9"/>
      <c r="AT88" s="9"/>
      <c r="AU88" s="9" t="s">
        <v>92</v>
      </c>
      <c r="AV88" s="9">
        <v>0</v>
      </c>
      <c r="AW88" s="9"/>
      <c r="AX88" s="9" t="s">
        <v>355</v>
      </c>
      <c r="AY88" s="9">
        <v>0</v>
      </c>
      <c r="AZ88" s="9"/>
      <c r="BA88" s="9">
        <v>45812.728587962964</v>
      </c>
      <c r="BB88" s="9">
        <v>0</v>
      </c>
      <c r="BC88" s="9">
        <v>1</v>
      </c>
      <c r="BD88" s="9">
        <v>0</v>
      </c>
      <c r="BE88" s="9" t="s">
        <v>356</v>
      </c>
      <c r="BF88" s="9"/>
      <c r="BG88" s="9"/>
      <c r="BH88" s="9">
        <v>0</v>
      </c>
      <c r="BI88" s="9"/>
      <c r="BJ88" s="9">
        <v>1</v>
      </c>
      <c r="BK88" s="9"/>
      <c r="BL88" s="9"/>
      <c r="BM88" s="9" t="s">
        <v>75</v>
      </c>
      <c r="BN88" s="9"/>
      <c r="BO88" s="9">
        <v>0</v>
      </c>
      <c r="BP88" s="9"/>
      <c r="BQ88" s="9">
        <v>1</v>
      </c>
      <c r="BR88" s="9"/>
      <c r="BS88" s="9"/>
      <c r="BT88" s="9"/>
      <c r="BU88" s="9"/>
      <c r="BV88" s="9"/>
      <c r="BW88" s="9">
        <v>0</v>
      </c>
      <c r="BX88" s="9"/>
      <c r="BY88" s="9">
        <v>45812.728576388887</v>
      </c>
      <c r="BZ88" s="9"/>
      <c r="CA88" s="9"/>
      <c r="CB88" s="9"/>
      <c r="CC88" s="9"/>
      <c r="CD88" s="9"/>
      <c r="CE88" s="9"/>
      <c r="CF88" s="9"/>
      <c r="CG88" s="9"/>
      <c r="CH88" s="9">
        <v>1</v>
      </c>
      <c r="CI88" s="9">
        <v>0</v>
      </c>
      <c r="CJ88" s="9"/>
      <c r="CK88" s="9"/>
      <c r="CL88" s="9" t="s">
        <v>2035</v>
      </c>
      <c r="CM88" s="9"/>
      <c r="CN88" s="9">
        <v>0</v>
      </c>
      <c r="CO88" s="9"/>
      <c r="CP88" s="9"/>
      <c r="CQ88" s="9"/>
    </row>
    <row r="89" spans="1:95" x14ac:dyDescent="0.35">
      <c r="A89" s="9" t="b">
        <f>ISNUMBER(MATCH(Claude[[#This Row],[Id]],ChargentOrders[Id],0))</f>
        <v>1</v>
      </c>
      <c r="B89" t="b">
        <f>INDEX(ChargentOrders[VALIDO],MATCH(Claude[[#This Row],[Id]],ChargentOrders[Id],0))</f>
        <v>1</v>
      </c>
      <c r="C89">
        <f>INDEX(Contract[CB_Subscription__c],MATCH(Claude[[#This Row],[Contract__c]],Contract[Id],0))</f>
        <v>0</v>
      </c>
      <c r="D89" s="9" t="s">
        <v>357</v>
      </c>
      <c r="E89" s="9" t="s">
        <v>79</v>
      </c>
      <c r="F89" s="9">
        <v>0</v>
      </c>
      <c r="G89" s="9" t="s">
        <v>358</v>
      </c>
      <c r="H89" s="9">
        <v>45812.729004629633</v>
      </c>
      <c r="I89" s="9" t="s">
        <v>79</v>
      </c>
      <c r="J89" s="9">
        <v>45860.033391203702</v>
      </c>
      <c r="K89" s="9" t="s">
        <v>78</v>
      </c>
      <c r="L89" s="9">
        <v>45860.033391203702</v>
      </c>
      <c r="M89" s="9"/>
      <c r="N89" s="9" t="s">
        <v>1629</v>
      </c>
      <c r="O89" s="9" t="s">
        <v>2032</v>
      </c>
      <c r="P89" s="9" t="s">
        <v>2033</v>
      </c>
      <c r="Q89" s="9" t="s">
        <v>1925</v>
      </c>
      <c r="R89" s="9" t="s">
        <v>1627</v>
      </c>
      <c r="S89" s="9" t="s">
        <v>1949</v>
      </c>
      <c r="T89" s="9" t="s">
        <v>2034</v>
      </c>
      <c r="U89" s="9" t="s">
        <v>1928</v>
      </c>
      <c r="V89" s="9">
        <v>754</v>
      </c>
      <c r="W89" s="9">
        <v>7</v>
      </c>
      <c r="X89" s="9">
        <v>2028</v>
      </c>
      <c r="Y89" s="9">
        <v>6818</v>
      </c>
      <c r="Z89" s="9">
        <v>7</v>
      </c>
      <c r="AA89" s="9">
        <v>4870388115256810</v>
      </c>
      <c r="AB89" s="9" t="s">
        <v>73</v>
      </c>
      <c r="AC89" s="9">
        <v>2028</v>
      </c>
      <c r="AD89" s="9" t="s">
        <v>2001</v>
      </c>
      <c r="AE89" s="9"/>
      <c r="AF89" s="9" t="s">
        <v>1929</v>
      </c>
      <c r="AG89" s="9"/>
      <c r="AH89" s="9" t="s">
        <v>67</v>
      </c>
      <c r="AI89" s="9">
        <v>0</v>
      </c>
      <c r="AJ89" s="9"/>
      <c r="AK89" s="9">
        <v>0</v>
      </c>
      <c r="AL89" s="9" t="s">
        <v>1930</v>
      </c>
      <c r="AM89" s="9">
        <v>1</v>
      </c>
      <c r="AN89" s="9"/>
      <c r="AO89" s="9" t="s">
        <v>1931</v>
      </c>
      <c r="AP89" s="9" t="s">
        <v>69</v>
      </c>
      <c r="AQ89" s="9" t="s">
        <v>1932</v>
      </c>
      <c r="AR89" s="9">
        <v>45812</v>
      </c>
      <c r="AS89" s="9" t="s">
        <v>74</v>
      </c>
      <c r="AT89" s="9" t="s">
        <v>1935</v>
      </c>
      <c r="AU89" s="9" t="s">
        <v>2002</v>
      </c>
      <c r="AV89" s="9">
        <v>0</v>
      </c>
      <c r="AW89" s="9">
        <v>18285</v>
      </c>
      <c r="AX89" s="9" t="s">
        <v>355</v>
      </c>
      <c r="AY89" s="9">
        <v>0</v>
      </c>
      <c r="AZ89" s="9">
        <v>45812.729155092595</v>
      </c>
      <c r="BA89" s="9">
        <v>45812.729155092595</v>
      </c>
      <c r="BB89" s="9">
        <v>1</v>
      </c>
      <c r="BC89" s="9">
        <v>1</v>
      </c>
      <c r="BD89" s="9" t="s">
        <v>2001</v>
      </c>
      <c r="BE89" s="9" t="s">
        <v>356</v>
      </c>
      <c r="BF89" s="9" t="s">
        <v>77</v>
      </c>
      <c r="BG89" s="9"/>
      <c r="BH89" s="9">
        <v>0</v>
      </c>
      <c r="BI89" s="9"/>
      <c r="BJ89" s="9">
        <v>1</v>
      </c>
      <c r="BK89" s="9" t="s">
        <v>1937</v>
      </c>
      <c r="BL89" s="9" t="s">
        <v>1938</v>
      </c>
      <c r="BM89" s="9" t="s">
        <v>75</v>
      </c>
      <c r="BN89" s="9"/>
      <c r="BO89" s="9">
        <v>0</v>
      </c>
      <c r="BP89" s="9"/>
      <c r="BQ89" s="9">
        <v>0</v>
      </c>
      <c r="BR89" s="9"/>
      <c r="BS89" s="9"/>
      <c r="BT89" s="9"/>
      <c r="BU89" s="9"/>
      <c r="BV89" s="9"/>
      <c r="BW89" s="9">
        <v>0</v>
      </c>
      <c r="BX89" s="9"/>
      <c r="BY89" s="9">
        <v>45812.729155092595</v>
      </c>
      <c r="BZ89" s="9"/>
      <c r="CA89" s="9"/>
      <c r="CB89" s="9"/>
      <c r="CC89" s="9"/>
      <c r="CD89" s="9"/>
      <c r="CE89" s="9"/>
      <c r="CF89" s="9"/>
      <c r="CG89" s="9"/>
      <c r="CH89" s="9">
        <v>1</v>
      </c>
      <c r="CI89" s="9">
        <v>0</v>
      </c>
      <c r="CJ89" s="9"/>
      <c r="CK89" s="9"/>
      <c r="CL89" s="9" t="s">
        <v>2035</v>
      </c>
      <c r="CM89" s="9"/>
      <c r="CN89" s="9">
        <v>0</v>
      </c>
      <c r="CO89" s="9"/>
      <c r="CP89" s="9"/>
      <c r="CQ89" s="9"/>
    </row>
    <row r="90" spans="1:95" x14ac:dyDescent="0.35">
      <c r="A90" s="9" t="b">
        <f>ISNUMBER(MATCH(Claude[[#This Row],[Id]],ChargentOrders[Id],0))</f>
        <v>1</v>
      </c>
      <c r="B90" t="b">
        <f>INDEX(ChargentOrders[VALIDO],MATCH(Claude[[#This Row],[Id]],ChargentOrders[Id],0))</f>
        <v>1</v>
      </c>
      <c r="C90">
        <f>INDEX(Contract[CB_Subscription__c],MATCH(Claude[[#This Row],[Contract__c]],Contract[Id],0))</f>
        <v>0</v>
      </c>
      <c r="D90" s="9" t="s">
        <v>359</v>
      </c>
      <c r="E90" s="9" t="s">
        <v>79</v>
      </c>
      <c r="F90" s="9">
        <v>0</v>
      </c>
      <c r="G90" s="9" t="s">
        <v>360</v>
      </c>
      <c r="H90" s="9">
        <v>45812.729178240741</v>
      </c>
      <c r="I90" s="9" t="s">
        <v>79</v>
      </c>
      <c r="J90" s="9">
        <v>46217.738564814812</v>
      </c>
      <c r="K90" s="9" t="s">
        <v>78</v>
      </c>
      <c r="L90" s="9">
        <v>46217.738564814812</v>
      </c>
      <c r="M90" s="9"/>
      <c r="N90" s="9" t="s">
        <v>1629</v>
      </c>
      <c r="O90" s="9" t="s">
        <v>2032</v>
      </c>
      <c r="P90" s="9" t="s">
        <v>2033</v>
      </c>
      <c r="Q90" s="9" t="s">
        <v>1925</v>
      </c>
      <c r="R90" s="9" t="s">
        <v>1627</v>
      </c>
      <c r="S90" s="9" t="s">
        <v>1949</v>
      </c>
      <c r="T90" s="9" t="s">
        <v>2034</v>
      </c>
      <c r="U90" s="9" t="s">
        <v>1928</v>
      </c>
      <c r="V90" s="9">
        <v>754</v>
      </c>
      <c r="W90" s="9">
        <v>7</v>
      </c>
      <c r="X90" s="9">
        <v>2028</v>
      </c>
      <c r="Y90" s="9">
        <v>6818</v>
      </c>
      <c r="Z90" s="9">
        <v>7</v>
      </c>
      <c r="AA90" s="9">
        <v>4870388115256810</v>
      </c>
      <c r="AB90" s="9" t="s">
        <v>73</v>
      </c>
      <c r="AC90" s="9">
        <v>2028</v>
      </c>
      <c r="AD90" s="9" t="s">
        <v>91</v>
      </c>
      <c r="AE90" s="9">
        <v>30</v>
      </c>
      <c r="AF90" s="9" t="s">
        <v>1929</v>
      </c>
      <c r="AG90" s="9"/>
      <c r="AH90" s="9" t="s">
        <v>67</v>
      </c>
      <c r="AI90" s="9">
        <v>0</v>
      </c>
      <c r="AJ90" s="9"/>
      <c r="AK90" s="9">
        <v>0</v>
      </c>
      <c r="AL90" s="9" t="s">
        <v>1930</v>
      </c>
      <c r="AM90" s="9"/>
      <c r="AN90" s="9"/>
      <c r="AO90" s="9" t="s">
        <v>1943</v>
      </c>
      <c r="AP90" s="9" t="s">
        <v>69</v>
      </c>
      <c r="AQ90" s="9" t="s">
        <v>1932</v>
      </c>
      <c r="AR90" s="9">
        <v>46233</v>
      </c>
      <c r="AS90" s="9" t="s">
        <v>84</v>
      </c>
      <c r="AT90" s="9" t="s">
        <v>1944</v>
      </c>
      <c r="AU90" s="9" t="s">
        <v>91</v>
      </c>
      <c r="AV90" s="9">
        <v>0</v>
      </c>
      <c r="AW90" s="9" t="s">
        <v>93</v>
      </c>
      <c r="AX90" s="9" t="s">
        <v>355</v>
      </c>
      <c r="AY90" s="9">
        <v>0</v>
      </c>
      <c r="AZ90" s="9">
        <v>45987.421527777777</v>
      </c>
      <c r="BA90" s="9">
        <v>45987.421574074076</v>
      </c>
      <c r="BB90" s="9">
        <v>5</v>
      </c>
      <c r="BC90" s="9">
        <v>11</v>
      </c>
      <c r="BD90" s="9" t="s">
        <v>2019</v>
      </c>
      <c r="BE90" s="9" t="s">
        <v>356</v>
      </c>
      <c r="BF90" s="9" t="s">
        <v>76</v>
      </c>
      <c r="BG90" s="9"/>
      <c r="BH90" s="9">
        <v>0</v>
      </c>
      <c r="BI90" s="9"/>
      <c r="BJ90" s="9">
        <v>12</v>
      </c>
      <c r="BK90" s="9" t="s">
        <v>92</v>
      </c>
      <c r="BL90" s="9" t="s">
        <v>92</v>
      </c>
      <c r="BM90" s="9" t="s">
        <v>75</v>
      </c>
      <c r="BN90" s="9"/>
      <c r="BO90" s="9">
        <v>0</v>
      </c>
      <c r="BP90" s="9"/>
      <c r="BQ90" s="9">
        <v>0</v>
      </c>
      <c r="BR90" s="9"/>
      <c r="BS90" s="9"/>
      <c r="BT90" s="9"/>
      <c r="BU90" s="9"/>
      <c r="BV90" s="9"/>
      <c r="BW90" s="9">
        <v>0</v>
      </c>
      <c r="BX90" s="9">
        <v>46192.924328703702</v>
      </c>
      <c r="BY90" s="9">
        <v>46192.924328703702</v>
      </c>
      <c r="BZ90" s="9"/>
      <c r="CA90" s="9"/>
      <c r="CB90" s="9"/>
      <c r="CC90" s="9"/>
      <c r="CD90" s="9"/>
      <c r="CE90" s="9"/>
      <c r="CF90" s="9"/>
      <c r="CG90" s="9"/>
      <c r="CH90" s="9">
        <v>1</v>
      </c>
      <c r="CI90" s="9">
        <v>0</v>
      </c>
      <c r="CJ90" s="9"/>
      <c r="CK90" s="9"/>
      <c r="CL90" s="9" t="s">
        <v>2035</v>
      </c>
      <c r="CM90" s="9"/>
      <c r="CN90" s="9">
        <v>0</v>
      </c>
      <c r="CO90" s="9"/>
      <c r="CP90" s="9" t="s">
        <v>2036</v>
      </c>
      <c r="CQ90" s="9">
        <v>0</v>
      </c>
    </row>
    <row r="91" spans="1:95" x14ac:dyDescent="0.35">
      <c r="A91" s="9" t="b">
        <f>ISNUMBER(MATCH(Claude[[#This Row],[Id]],ChargentOrders[Id],0))</f>
        <v>1</v>
      </c>
      <c r="B91" t="b">
        <f>INDEX(ChargentOrders[VALIDO],MATCH(Claude[[#This Row],[Id]],ChargentOrders[Id],0))</f>
        <v>1</v>
      </c>
      <c r="C91">
        <f>INDEX(Contract[CB_Subscription__c],MATCH(Claude[[#This Row],[Contract__c]],Contract[Id],0))</f>
        <v>0</v>
      </c>
      <c r="D91" s="9" t="s">
        <v>361</v>
      </c>
      <c r="E91" s="9" t="s">
        <v>101</v>
      </c>
      <c r="F91" s="9">
        <v>0</v>
      </c>
      <c r="G91" s="9" t="s">
        <v>362</v>
      </c>
      <c r="H91" s="9">
        <v>45827.933993055558</v>
      </c>
      <c r="I91" s="9" t="s">
        <v>101</v>
      </c>
      <c r="J91" s="9">
        <v>45860.032870370371</v>
      </c>
      <c r="K91" s="9" t="s">
        <v>78</v>
      </c>
      <c r="L91" s="9">
        <v>45860.032870370371</v>
      </c>
      <c r="M91" s="9"/>
      <c r="N91" s="9"/>
      <c r="O91" s="9" t="s">
        <v>1973</v>
      </c>
      <c r="P91" s="9" t="s">
        <v>1974</v>
      </c>
      <c r="Q91" s="9" t="s">
        <v>1925</v>
      </c>
      <c r="R91" s="9" t="s">
        <v>1584</v>
      </c>
      <c r="S91" s="9" t="s">
        <v>1975</v>
      </c>
      <c r="T91" s="9" t="s">
        <v>1976</v>
      </c>
      <c r="U91" s="9" t="s">
        <v>1928</v>
      </c>
      <c r="V91" s="9">
        <v>969</v>
      </c>
      <c r="W91" s="9">
        <v>8</v>
      </c>
      <c r="X91" s="9">
        <v>2028</v>
      </c>
      <c r="Y91" s="9">
        <v>5191</v>
      </c>
      <c r="Z91" s="9">
        <v>8</v>
      </c>
      <c r="AA91" s="9">
        <v>4870383558035190</v>
      </c>
      <c r="AB91" s="9" t="s">
        <v>73</v>
      </c>
      <c r="AC91" s="9">
        <v>2028</v>
      </c>
      <c r="AD91" s="9" t="s">
        <v>93</v>
      </c>
      <c r="AE91" s="9"/>
      <c r="AF91" s="9" t="s">
        <v>1929</v>
      </c>
      <c r="AG91" s="9"/>
      <c r="AH91" s="9" t="s">
        <v>67</v>
      </c>
      <c r="AI91" s="9">
        <v>0</v>
      </c>
      <c r="AJ91" s="9"/>
      <c r="AK91" s="9">
        <v>0</v>
      </c>
      <c r="AL91" s="9" t="s">
        <v>1930</v>
      </c>
      <c r="AM91" s="9"/>
      <c r="AN91" s="9"/>
      <c r="AO91" s="9" t="s">
        <v>1931</v>
      </c>
      <c r="AP91" s="9" t="s">
        <v>69</v>
      </c>
      <c r="AQ91" s="9" t="s">
        <v>1932</v>
      </c>
      <c r="AR91" s="9"/>
      <c r="AS91" s="9"/>
      <c r="AT91" s="9"/>
      <c r="AU91" s="9" t="s">
        <v>92</v>
      </c>
      <c r="AV91" s="9">
        <v>0</v>
      </c>
      <c r="AW91" s="9"/>
      <c r="AX91" s="9" t="s">
        <v>202</v>
      </c>
      <c r="AY91" s="9">
        <v>0</v>
      </c>
      <c r="AZ91" s="9"/>
      <c r="BA91" s="9">
        <v>45827.934016203704</v>
      </c>
      <c r="BB91" s="9">
        <v>0</v>
      </c>
      <c r="BC91" s="9">
        <v>1</v>
      </c>
      <c r="BD91" s="9">
        <v>0</v>
      </c>
      <c r="BE91" s="9" t="s">
        <v>197</v>
      </c>
      <c r="BF91" s="9"/>
      <c r="BG91" s="9"/>
      <c r="BH91" s="9">
        <v>0</v>
      </c>
      <c r="BI91" s="9"/>
      <c r="BJ91" s="9">
        <v>1</v>
      </c>
      <c r="BK91" s="9"/>
      <c r="BL91" s="9"/>
      <c r="BM91" s="9" t="s">
        <v>75</v>
      </c>
      <c r="BN91" s="9"/>
      <c r="BO91" s="9">
        <v>0</v>
      </c>
      <c r="BP91" s="9"/>
      <c r="BQ91" s="9">
        <v>1</v>
      </c>
      <c r="BR91" s="9"/>
      <c r="BS91" s="9"/>
      <c r="BT91" s="9"/>
      <c r="BU91" s="9"/>
      <c r="BV91" s="9"/>
      <c r="BW91" s="9">
        <v>0</v>
      </c>
      <c r="BX91" s="9"/>
      <c r="BY91" s="9">
        <v>45827.934016203704</v>
      </c>
      <c r="BZ91" s="9"/>
      <c r="CA91" s="9"/>
      <c r="CB91" s="9"/>
      <c r="CC91" s="9"/>
      <c r="CD91" s="9"/>
      <c r="CE91" s="9"/>
      <c r="CF91" s="9"/>
      <c r="CG91" s="9"/>
      <c r="CH91" s="9">
        <v>1</v>
      </c>
      <c r="CI91" s="9">
        <v>0</v>
      </c>
      <c r="CJ91" s="9"/>
      <c r="CK91" s="9"/>
      <c r="CL91" s="9" t="s">
        <v>1977</v>
      </c>
      <c r="CM91" s="9"/>
      <c r="CN91" s="9">
        <v>0</v>
      </c>
      <c r="CO91" s="9"/>
      <c r="CP91" s="9"/>
      <c r="CQ91" s="9"/>
    </row>
    <row r="92" spans="1:95" x14ac:dyDescent="0.35">
      <c r="A92" s="9" t="b">
        <f>ISNUMBER(MATCH(Claude[[#This Row],[Id]],ChargentOrders[Id],0))</f>
        <v>1</v>
      </c>
      <c r="B92" t="b">
        <f>INDEX(ChargentOrders[VALIDO],MATCH(Claude[[#This Row],[Id]],ChargentOrders[Id],0))</f>
        <v>1</v>
      </c>
      <c r="C92">
        <f>INDEX(Contract[CB_Subscription__c],MATCH(Claude[[#This Row],[Contract__c]],Contract[Id],0))</f>
        <v>0</v>
      </c>
      <c r="D92" s="9" t="s">
        <v>363</v>
      </c>
      <c r="E92" s="9" t="s">
        <v>79</v>
      </c>
      <c r="F92" s="9">
        <v>0</v>
      </c>
      <c r="G92" s="9" t="s">
        <v>364</v>
      </c>
      <c r="H92" s="9">
        <v>45835.886493055557</v>
      </c>
      <c r="I92" s="9" t="s">
        <v>65</v>
      </c>
      <c r="J92" s="9">
        <v>45860.033125000002</v>
      </c>
      <c r="K92" s="9" t="s">
        <v>78</v>
      </c>
      <c r="L92" s="9">
        <v>45860.033125000002</v>
      </c>
      <c r="M92" s="9"/>
      <c r="N92" s="9" t="s">
        <v>1591</v>
      </c>
      <c r="O92" s="9" t="s">
        <v>1989</v>
      </c>
      <c r="P92" s="9" t="s">
        <v>1990</v>
      </c>
      <c r="Q92" s="9" t="s">
        <v>1925</v>
      </c>
      <c r="R92" s="9" t="s">
        <v>1589</v>
      </c>
      <c r="S92" s="9" t="s">
        <v>1991</v>
      </c>
      <c r="T92" s="9" t="s">
        <v>1992</v>
      </c>
      <c r="U92" s="9" t="s">
        <v>1928</v>
      </c>
      <c r="V92" s="9">
        <v>915</v>
      </c>
      <c r="W92" s="9">
        <v>2</v>
      </c>
      <c r="X92" s="9">
        <v>2030</v>
      </c>
      <c r="Y92" s="9">
        <v>1962</v>
      </c>
      <c r="Z92" s="9">
        <v>2</v>
      </c>
      <c r="AA92" s="9">
        <v>1962</v>
      </c>
      <c r="AB92" s="9" t="s">
        <v>73</v>
      </c>
      <c r="AC92" s="9">
        <v>2030</v>
      </c>
      <c r="AD92" s="9" t="s">
        <v>104</v>
      </c>
      <c r="AE92" s="9"/>
      <c r="AF92" s="9" t="s">
        <v>1929</v>
      </c>
      <c r="AG92" s="9"/>
      <c r="AH92" s="9" t="s">
        <v>67</v>
      </c>
      <c r="AI92" s="9">
        <v>0</v>
      </c>
      <c r="AJ92" s="9"/>
      <c r="AK92" s="9">
        <v>0</v>
      </c>
      <c r="AL92" s="9" t="s">
        <v>1930</v>
      </c>
      <c r="AM92" s="9">
        <v>1</v>
      </c>
      <c r="AN92" s="9">
        <v>45841</v>
      </c>
      <c r="AO92" s="9" t="s">
        <v>1931</v>
      </c>
      <c r="AP92" s="9" t="s">
        <v>69</v>
      </c>
      <c r="AQ92" s="9" t="s">
        <v>1932</v>
      </c>
      <c r="AR92" s="9">
        <v>45841</v>
      </c>
      <c r="AS92" s="9" t="s">
        <v>74</v>
      </c>
      <c r="AT92" s="9" t="s">
        <v>1935</v>
      </c>
      <c r="AU92" s="9" t="s">
        <v>1952</v>
      </c>
      <c r="AV92" s="9">
        <v>0</v>
      </c>
      <c r="AW92" s="9" t="s">
        <v>1953</v>
      </c>
      <c r="AX92" s="9" t="s">
        <v>240</v>
      </c>
      <c r="AY92" s="9">
        <v>0</v>
      </c>
      <c r="AZ92" s="9">
        <v>45841.421423611115</v>
      </c>
      <c r="BA92" s="9">
        <v>45841.421435185184</v>
      </c>
      <c r="BB92" s="9">
        <v>1</v>
      </c>
      <c r="BC92" s="9">
        <v>2</v>
      </c>
      <c r="BD92" s="9" t="s">
        <v>104</v>
      </c>
      <c r="BE92" s="9" t="s">
        <v>235</v>
      </c>
      <c r="BF92" s="9" t="s">
        <v>71</v>
      </c>
      <c r="BG92" s="9"/>
      <c r="BH92" s="9">
        <v>0</v>
      </c>
      <c r="BI92" s="9"/>
      <c r="BJ92" s="9">
        <v>0</v>
      </c>
      <c r="BK92" s="9" t="s">
        <v>1937</v>
      </c>
      <c r="BL92" s="9" t="s">
        <v>1938</v>
      </c>
      <c r="BM92" s="9" t="s">
        <v>72</v>
      </c>
      <c r="BN92" s="9"/>
      <c r="BO92" s="9">
        <v>1</v>
      </c>
      <c r="BP92" s="9" t="s">
        <v>365</v>
      </c>
      <c r="BQ92" s="9">
        <v>0</v>
      </c>
      <c r="BR92" s="9">
        <v>45702.827997685185</v>
      </c>
      <c r="BS92" s="9" t="s">
        <v>109</v>
      </c>
      <c r="BT92" s="9" t="s">
        <v>65</v>
      </c>
      <c r="BU92" s="9"/>
      <c r="BV92" s="9"/>
      <c r="BW92" s="9">
        <v>0</v>
      </c>
      <c r="BX92" s="9">
        <v>45838.421215277776</v>
      </c>
      <c r="BY92" s="9">
        <v>45841.421423611115</v>
      </c>
      <c r="BZ92" s="9"/>
      <c r="CA92" s="9"/>
      <c r="CB92" s="9"/>
      <c r="CC92" s="9"/>
      <c r="CD92" s="9"/>
      <c r="CE92" s="9"/>
      <c r="CF92" s="9"/>
      <c r="CG92" s="9"/>
      <c r="CH92" s="9">
        <v>1</v>
      </c>
      <c r="CI92" s="9">
        <v>0</v>
      </c>
      <c r="CJ92" s="9"/>
      <c r="CK92" s="9"/>
      <c r="CL92" s="9" t="s">
        <v>1993</v>
      </c>
      <c r="CM92" s="9"/>
      <c r="CN92" s="9">
        <v>0</v>
      </c>
      <c r="CO92" s="9"/>
      <c r="CP92" s="9"/>
      <c r="CQ92" s="9"/>
    </row>
    <row r="93" spans="1:95" x14ac:dyDescent="0.35">
      <c r="A93" s="9" t="b">
        <f>ISNUMBER(MATCH(Claude[[#This Row],[Id]],ChargentOrders[Id],0))</f>
        <v>1</v>
      </c>
      <c r="B93" t="b">
        <f>INDEX(ChargentOrders[VALIDO],MATCH(Claude[[#This Row],[Id]],ChargentOrders[Id],0))</f>
        <v>1</v>
      </c>
      <c r="C93">
        <f>INDEX(Contract[CB_Subscription__c],MATCH(Claude[[#This Row],[Contract__c]],Contract[Id],0))</f>
        <v>0</v>
      </c>
      <c r="D93" s="9" t="s">
        <v>366</v>
      </c>
      <c r="E93" s="9" t="s">
        <v>79</v>
      </c>
      <c r="F93" s="9">
        <v>0</v>
      </c>
      <c r="G93" s="9" t="s">
        <v>367</v>
      </c>
      <c r="H93" s="9">
        <v>45849.623159722221</v>
      </c>
      <c r="I93" s="9" t="s">
        <v>79</v>
      </c>
      <c r="J93" s="9">
        <v>45919.58321759259</v>
      </c>
      <c r="K93" s="9" t="s">
        <v>97</v>
      </c>
      <c r="L93" s="9">
        <v>45919.58321759259</v>
      </c>
      <c r="M93" s="9"/>
      <c r="N93" s="9"/>
      <c r="O93" s="9" t="s">
        <v>2037</v>
      </c>
      <c r="P93" s="9" t="s">
        <v>1983</v>
      </c>
      <c r="Q93" s="9" t="s">
        <v>1925</v>
      </c>
      <c r="R93" s="9" t="s">
        <v>1632</v>
      </c>
      <c r="S93" s="9" t="s">
        <v>2038</v>
      </c>
      <c r="T93" s="9" t="s">
        <v>2039</v>
      </c>
      <c r="U93" s="9" t="s">
        <v>1928</v>
      </c>
      <c r="V93" s="9">
        <v>771</v>
      </c>
      <c r="W93" s="9">
        <v>7</v>
      </c>
      <c r="X93" s="9">
        <v>2027</v>
      </c>
      <c r="Y93" s="9">
        <v>233</v>
      </c>
      <c r="Z93" s="9">
        <v>7</v>
      </c>
      <c r="AA93" s="9"/>
      <c r="AB93" s="9" t="s">
        <v>66</v>
      </c>
      <c r="AC93" s="9">
        <v>2027</v>
      </c>
      <c r="AD93" s="9" t="s">
        <v>93</v>
      </c>
      <c r="AE93" s="9"/>
      <c r="AF93" s="9" t="s">
        <v>1929</v>
      </c>
      <c r="AG93" s="9"/>
      <c r="AH93" s="9" t="s">
        <v>107</v>
      </c>
      <c r="AI93" s="9">
        <v>0</v>
      </c>
      <c r="AJ93" s="9"/>
      <c r="AK93" s="9">
        <v>0</v>
      </c>
      <c r="AL93" s="9" t="s">
        <v>1930</v>
      </c>
      <c r="AM93" s="9"/>
      <c r="AN93" s="9"/>
      <c r="AO93" s="9" t="s">
        <v>1931</v>
      </c>
      <c r="AP93" s="9" t="s">
        <v>69</v>
      </c>
      <c r="AQ93" s="9" t="s">
        <v>1932</v>
      </c>
      <c r="AR93" s="9"/>
      <c r="AS93" s="9"/>
      <c r="AT93" s="9"/>
      <c r="AU93" s="9" t="s">
        <v>92</v>
      </c>
      <c r="AV93" s="9">
        <v>0</v>
      </c>
      <c r="AW93" s="9"/>
      <c r="AX93" s="9" t="s">
        <v>368</v>
      </c>
      <c r="AY93" s="9">
        <v>0</v>
      </c>
      <c r="AZ93" s="9"/>
      <c r="BA93" s="9">
        <v>45849.623182870368</v>
      </c>
      <c r="BB93" s="9">
        <v>0</v>
      </c>
      <c r="BC93" s="9">
        <v>1</v>
      </c>
      <c r="BD93" s="9">
        <v>0</v>
      </c>
      <c r="BE93" s="9" t="s">
        <v>369</v>
      </c>
      <c r="BF93" s="9"/>
      <c r="BG93" s="9"/>
      <c r="BH93" s="9">
        <v>0</v>
      </c>
      <c r="BI93" s="9"/>
      <c r="BJ93" s="9">
        <v>1</v>
      </c>
      <c r="BK93" s="9"/>
      <c r="BL93" s="9"/>
      <c r="BM93" s="9" t="s">
        <v>75</v>
      </c>
      <c r="BN93" s="9"/>
      <c r="BO93" s="9">
        <v>0</v>
      </c>
      <c r="BP93" s="9"/>
      <c r="BQ93" s="9">
        <v>1</v>
      </c>
      <c r="BR93" s="9"/>
      <c r="BS93" s="9"/>
      <c r="BT93" s="9"/>
      <c r="BU93" s="9"/>
      <c r="BV93" s="9"/>
      <c r="BW93" s="9">
        <v>0</v>
      </c>
      <c r="BX93" s="9"/>
      <c r="BY93" s="9">
        <v>45849.623182870368</v>
      </c>
      <c r="BZ93" s="9"/>
      <c r="CA93" s="9"/>
      <c r="CB93" s="9"/>
      <c r="CC93" s="9"/>
      <c r="CD93" s="9"/>
      <c r="CE93" s="9"/>
      <c r="CF93" s="9"/>
      <c r="CG93" s="9"/>
      <c r="CH93" s="9">
        <v>1</v>
      </c>
      <c r="CI93" s="9">
        <v>0</v>
      </c>
      <c r="CJ93" s="9"/>
      <c r="CK93" s="9"/>
      <c r="CL93" s="9" t="s">
        <v>2040</v>
      </c>
      <c r="CM93" s="9"/>
      <c r="CN93" s="9">
        <v>0</v>
      </c>
      <c r="CO93" s="9" t="s">
        <v>1925</v>
      </c>
      <c r="CP93" s="9"/>
      <c r="CQ93" s="9"/>
    </row>
    <row r="94" spans="1:95" x14ac:dyDescent="0.35">
      <c r="A94" s="9" t="b">
        <f>ISNUMBER(MATCH(Claude[[#This Row],[Id]],ChargentOrders[Id],0))</f>
        <v>1</v>
      </c>
      <c r="B94" t="b">
        <f>INDEX(ChargentOrders[VALIDO],MATCH(Claude[[#This Row],[Id]],ChargentOrders[Id],0))</f>
        <v>1</v>
      </c>
      <c r="C94">
        <f>INDEX(Contract[CB_Subscription__c],MATCH(Claude[[#This Row],[Contract__c]],Contract[Id],0))</f>
        <v>0</v>
      </c>
      <c r="D94" s="9" t="s">
        <v>370</v>
      </c>
      <c r="E94" s="9" t="s">
        <v>79</v>
      </c>
      <c r="F94" s="9">
        <v>0</v>
      </c>
      <c r="G94" s="9" t="s">
        <v>371</v>
      </c>
      <c r="H94" s="9">
        <v>45849.623749999999</v>
      </c>
      <c r="I94" s="9" t="s">
        <v>79</v>
      </c>
      <c r="J94" s="9">
        <v>45919.58321759259</v>
      </c>
      <c r="K94" s="9" t="s">
        <v>97</v>
      </c>
      <c r="L94" s="9">
        <v>45919.58321759259</v>
      </c>
      <c r="M94" s="9"/>
      <c r="N94" s="9" t="s">
        <v>1634</v>
      </c>
      <c r="O94" s="9" t="s">
        <v>2037</v>
      </c>
      <c r="P94" s="9" t="s">
        <v>1983</v>
      </c>
      <c r="Q94" s="9" t="s">
        <v>1925</v>
      </c>
      <c r="R94" s="9" t="s">
        <v>1632</v>
      </c>
      <c r="S94" s="9" t="s">
        <v>2038</v>
      </c>
      <c r="T94" s="9" t="s">
        <v>2039</v>
      </c>
      <c r="U94" s="9" t="s">
        <v>1928</v>
      </c>
      <c r="V94" s="9">
        <v>771</v>
      </c>
      <c r="W94" s="9">
        <v>7</v>
      </c>
      <c r="X94" s="9">
        <v>2027</v>
      </c>
      <c r="Y94" s="9">
        <v>233</v>
      </c>
      <c r="Z94" s="9">
        <v>7</v>
      </c>
      <c r="AA94" s="9"/>
      <c r="AB94" s="9" t="s">
        <v>66</v>
      </c>
      <c r="AC94" s="9">
        <v>2027</v>
      </c>
      <c r="AD94" s="9" t="s">
        <v>168</v>
      </c>
      <c r="AE94" s="9"/>
      <c r="AF94" s="9" t="s">
        <v>1929</v>
      </c>
      <c r="AG94" s="9"/>
      <c r="AH94" s="9" t="s">
        <v>107</v>
      </c>
      <c r="AI94" s="9">
        <v>0</v>
      </c>
      <c r="AJ94" s="9"/>
      <c r="AK94" s="9">
        <v>0</v>
      </c>
      <c r="AL94" s="9" t="s">
        <v>1930</v>
      </c>
      <c r="AM94" s="9">
        <v>1</v>
      </c>
      <c r="AN94" s="9"/>
      <c r="AO94" s="9" t="s">
        <v>1931</v>
      </c>
      <c r="AP94" s="9" t="s">
        <v>69</v>
      </c>
      <c r="AQ94" s="9" t="s">
        <v>1932</v>
      </c>
      <c r="AR94" s="9">
        <v>45849</v>
      </c>
      <c r="AS94" s="9" t="s">
        <v>74</v>
      </c>
      <c r="AT94" s="9" t="s">
        <v>1935</v>
      </c>
      <c r="AU94" s="9" t="s">
        <v>374</v>
      </c>
      <c r="AV94" s="9">
        <v>0</v>
      </c>
      <c r="AW94" s="9">
        <v>11385</v>
      </c>
      <c r="AX94" s="9" t="s">
        <v>368</v>
      </c>
      <c r="AY94" s="9">
        <v>0</v>
      </c>
      <c r="AZ94" s="9">
        <v>45849.62394675926</v>
      </c>
      <c r="BA94" s="9">
        <v>45849.62394675926</v>
      </c>
      <c r="BB94" s="9">
        <v>1</v>
      </c>
      <c r="BC94" s="9">
        <v>1</v>
      </c>
      <c r="BD94" s="9" t="s">
        <v>168</v>
      </c>
      <c r="BE94" s="9" t="s">
        <v>369</v>
      </c>
      <c r="BF94" s="9" t="s">
        <v>77</v>
      </c>
      <c r="BG94" s="9"/>
      <c r="BH94" s="9">
        <v>0</v>
      </c>
      <c r="BI94" s="9"/>
      <c r="BJ94" s="9">
        <v>1</v>
      </c>
      <c r="BK94" s="9" t="s">
        <v>1937</v>
      </c>
      <c r="BL94" s="9" t="s">
        <v>1938</v>
      </c>
      <c r="BM94" s="9" t="s">
        <v>75</v>
      </c>
      <c r="BN94" s="9"/>
      <c r="BO94" s="9">
        <v>0</v>
      </c>
      <c r="BP94" s="9"/>
      <c r="BQ94" s="9">
        <v>0</v>
      </c>
      <c r="BR94" s="9"/>
      <c r="BS94" s="9"/>
      <c r="BT94" s="9"/>
      <c r="BU94" s="9"/>
      <c r="BV94" s="9"/>
      <c r="BW94" s="9">
        <v>0</v>
      </c>
      <c r="BX94" s="9"/>
      <c r="BY94" s="9">
        <v>45849.62394675926</v>
      </c>
      <c r="BZ94" s="9"/>
      <c r="CA94" s="9"/>
      <c r="CB94" s="9"/>
      <c r="CC94" s="9"/>
      <c r="CD94" s="9"/>
      <c r="CE94" s="9"/>
      <c r="CF94" s="9"/>
      <c r="CG94" s="9"/>
      <c r="CH94" s="9">
        <v>1</v>
      </c>
      <c r="CI94" s="9">
        <v>0</v>
      </c>
      <c r="CJ94" s="9"/>
      <c r="CK94" s="9"/>
      <c r="CL94" s="9" t="s">
        <v>2040</v>
      </c>
      <c r="CM94" s="9"/>
      <c r="CN94" s="9">
        <v>0</v>
      </c>
      <c r="CO94" s="9" t="s">
        <v>1925</v>
      </c>
      <c r="CP94" s="9"/>
      <c r="CQ94" s="9"/>
    </row>
    <row r="95" spans="1:95" x14ac:dyDescent="0.35">
      <c r="A95" s="9" t="b">
        <f>ISNUMBER(MATCH(Claude[[#This Row],[Id]],ChargentOrders[Id],0))</f>
        <v>1</v>
      </c>
      <c r="B95" t="b">
        <f>INDEX(ChargentOrders[VALIDO],MATCH(Claude[[#This Row],[Id]],ChargentOrders[Id],0))</f>
        <v>1</v>
      </c>
      <c r="C95">
        <f>INDEX(Contract[CB_Subscription__c],MATCH(Claude[[#This Row],[Contract__c]],Contract[Id],0))</f>
        <v>0</v>
      </c>
      <c r="D95" s="9" t="s">
        <v>372</v>
      </c>
      <c r="E95" s="9" t="s">
        <v>79</v>
      </c>
      <c r="F95" s="9">
        <v>0</v>
      </c>
      <c r="G95" s="9" t="s">
        <v>373</v>
      </c>
      <c r="H95" s="9">
        <v>45849.623969907407</v>
      </c>
      <c r="I95" s="9" t="s">
        <v>79</v>
      </c>
      <c r="J95" s="9">
        <v>46217.738564814812</v>
      </c>
      <c r="K95" s="9" t="s">
        <v>78</v>
      </c>
      <c r="L95" s="9">
        <v>46217.738564814812</v>
      </c>
      <c r="M95" s="9"/>
      <c r="N95" s="9" t="s">
        <v>1634</v>
      </c>
      <c r="O95" s="9" t="s">
        <v>2037</v>
      </c>
      <c r="P95" s="9" t="s">
        <v>1983</v>
      </c>
      <c r="Q95" s="9" t="s">
        <v>1925</v>
      </c>
      <c r="R95" s="9" t="s">
        <v>1632</v>
      </c>
      <c r="S95" s="9" t="s">
        <v>2038</v>
      </c>
      <c r="T95" s="9" t="s">
        <v>2039</v>
      </c>
      <c r="U95" s="9" t="s">
        <v>1928</v>
      </c>
      <c r="V95" s="9">
        <v>771</v>
      </c>
      <c r="W95" s="9">
        <v>7</v>
      </c>
      <c r="X95" s="9">
        <v>2027</v>
      </c>
      <c r="Y95" s="9">
        <v>233</v>
      </c>
      <c r="Z95" s="9">
        <v>7</v>
      </c>
      <c r="AA95" s="9"/>
      <c r="AB95" s="9" t="s">
        <v>66</v>
      </c>
      <c r="AC95" s="9">
        <v>2027</v>
      </c>
      <c r="AD95" s="9" t="s">
        <v>91</v>
      </c>
      <c r="AE95" s="9">
        <v>30</v>
      </c>
      <c r="AF95" s="9" t="s">
        <v>1929</v>
      </c>
      <c r="AG95" s="9"/>
      <c r="AH95" s="9" t="s">
        <v>107</v>
      </c>
      <c r="AI95" s="9">
        <v>0</v>
      </c>
      <c r="AJ95" s="9"/>
      <c r="AK95" s="9">
        <v>0</v>
      </c>
      <c r="AL95" s="9" t="s">
        <v>1930</v>
      </c>
      <c r="AM95" s="9"/>
      <c r="AN95" s="9"/>
      <c r="AO95" s="9" t="s">
        <v>1943</v>
      </c>
      <c r="AP95" s="9" t="s">
        <v>69</v>
      </c>
      <c r="AQ95" s="9" t="s">
        <v>1932</v>
      </c>
      <c r="AR95" s="9">
        <v>46233</v>
      </c>
      <c r="AS95" s="9" t="s">
        <v>84</v>
      </c>
      <c r="AT95" s="9" t="s">
        <v>1944</v>
      </c>
      <c r="AU95" s="9" t="s">
        <v>91</v>
      </c>
      <c r="AV95" s="9">
        <v>0</v>
      </c>
      <c r="AW95" s="9" t="s">
        <v>93</v>
      </c>
      <c r="AX95" s="9" t="s">
        <v>368</v>
      </c>
      <c r="AY95" s="9">
        <v>0</v>
      </c>
      <c r="AZ95" s="9">
        <v>45987.421898148146</v>
      </c>
      <c r="BA95" s="9">
        <v>45987.421979166669</v>
      </c>
      <c r="BB95" s="9">
        <v>3</v>
      </c>
      <c r="BC95" s="9">
        <v>10</v>
      </c>
      <c r="BD95" s="9" t="s">
        <v>2041</v>
      </c>
      <c r="BE95" s="9" t="s">
        <v>369</v>
      </c>
      <c r="BF95" s="9" t="s">
        <v>76</v>
      </c>
      <c r="BG95" s="9"/>
      <c r="BH95" s="9">
        <v>0</v>
      </c>
      <c r="BI95" s="9"/>
      <c r="BJ95" s="9">
        <v>11</v>
      </c>
      <c r="BK95" s="9" t="s">
        <v>92</v>
      </c>
      <c r="BL95" s="9" t="s">
        <v>92</v>
      </c>
      <c r="BM95" s="9" t="s">
        <v>75</v>
      </c>
      <c r="BN95" s="9"/>
      <c r="BO95" s="9">
        <v>0</v>
      </c>
      <c r="BP95" s="9"/>
      <c r="BQ95" s="9">
        <v>0</v>
      </c>
      <c r="BR95" s="9"/>
      <c r="BS95" s="9"/>
      <c r="BT95" s="9"/>
      <c r="BU95" s="9"/>
      <c r="BV95" s="9"/>
      <c r="BW95" s="9">
        <v>0</v>
      </c>
      <c r="BX95" s="9"/>
      <c r="BY95" s="9">
        <v>46202.863680555558</v>
      </c>
      <c r="BZ95" s="9"/>
      <c r="CA95" s="9"/>
      <c r="CB95" s="9"/>
      <c r="CC95" s="9"/>
      <c r="CD95" s="9"/>
      <c r="CE95" s="9"/>
      <c r="CF95" s="9"/>
      <c r="CG95" s="9"/>
      <c r="CH95" s="9">
        <v>1</v>
      </c>
      <c r="CI95" s="9">
        <v>0</v>
      </c>
      <c r="CJ95" s="9"/>
      <c r="CK95" s="9"/>
      <c r="CL95" s="9" t="s">
        <v>2040</v>
      </c>
      <c r="CM95" s="9"/>
      <c r="CN95" s="9">
        <v>0</v>
      </c>
      <c r="CO95" s="9" t="s">
        <v>1925</v>
      </c>
      <c r="CP95" s="9" t="s">
        <v>2042</v>
      </c>
      <c r="CQ95" s="9">
        <v>0</v>
      </c>
    </row>
    <row r="96" spans="1:95" x14ac:dyDescent="0.35">
      <c r="A96" s="9" t="b">
        <f>ISNUMBER(MATCH(Claude[[#This Row],[Id]],ChargentOrders[Id],0))</f>
        <v>1</v>
      </c>
      <c r="B96" t="b">
        <f>INDEX(ChargentOrders[VALIDO],MATCH(Claude[[#This Row],[Id]],ChargentOrders[Id],0))</f>
        <v>1</v>
      </c>
      <c r="C96">
        <f>INDEX(Contract[CB_Subscription__c],MATCH(Claude[[#This Row],[Contract__c]],Contract[Id],0))</f>
        <v>0</v>
      </c>
      <c r="D96" s="9" t="s">
        <v>375</v>
      </c>
      <c r="E96" s="9" t="s">
        <v>81</v>
      </c>
      <c r="F96" s="9">
        <v>0</v>
      </c>
      <c r="G96" s="9" t="s">
        <v>376</v>
      </c>
      <c r="H96" s="9">
        <v>45860.630370370367</v>
      </c>
      <c r="I96" s="9" t="s">
        <v>81</v>
      </c>
      <c r="J96" s="9">
        <v>45860.630462962959</v>
      </c>
      <c r="K96" s="9" t="s">
        <v>81</v>
      </c>
      <c r="L96" s="9">
        <v>45860.630462962959</v>
      </c>
      <c r="M96" s="9"/>
      <c r="N96" s="9"/>
      <c r="O96" s="9" t="s">
        <v>2043</v>
      </c>
      <c r="P96" s="9" t="s">
        <v>2044</v>
      </c>
      <c r="Q96" s="9" t="s">
        <v>1925</v>
      </c>
      <c r="R96" s="9" t="s">
        <v>1637</v>
      </c>
      <c r="S96" s="9" t="s">
        <v>2045</v>
      </c>
      <c r="T96" s="9" t="s">
        <v>2046</v>
      </c>
      <c r="U96" s="9" t="s">
        <v>1928</v>
      </c>
      <c r="V96" s="9">
        <v>725</v>
      </c>
      <c r="W96" s="9">
        <v>6</v>
      </c>
      <c r="X96" s="9">
        <v>2029</v>
      </c>
      <c r="Y96" s="9">
        <v>3025</v>
      </c>
      <c r="Z96" s="9">
        <v>6</v>
      </c>
      <c r="AA96" s="9">
        <v>5392879776413020</v>
      </c>
      <c r="AB96" s="9" t="s">
        <v>66</v>
      </c>
      <c r="AC96" s="9">
        <v>2029</v>
      </c>
      <c r="AD96" s="9" t="s">
        <v>93</v>
      </c>
      <c r="AE96" s="9"/>
      <c r="AF96" s="9" t="s">
        <v>1929</v>
      </c>
      <c r="AG96" s="9"/>
      <c r="AH96" s="9" t="s">
        <v>67</v>
      </c>
      <c r="AI96" s="9">
        <v>0</v>
      </c>
      <c r="AJ96" s="9"/>
      <c r="AK96" s="9">
        <v>0</v>
      </c>
      <c r="AL96" s="9" t="s">
        <v>1930</v>
      </c>
      <c r="AM96" s="9"/>
      <c r="AN96" s="9"/>
      <c r="AO96" s="9" t="s">
        <v>1931</v>
      </c>
      <c r="AP96" s="9" t="s">
        <v>69</v>
      </c>
      <c r="AQ96" s="9" t="s">
        <v>1932</v>
      </c>
      <c r="AR96" s="9"/>
      <c r="AS96" s="9"/>
      <c r="AT96" s="9"/>
      <c r="AU96" s="9" t="s">
        <v>92</v>
      </c>
      <c r="AV96" s="9">
        <v>0</v>
      </c>
      <c r="AW96" s="9"/>
      <c r="AX96" s="9" t="s">
        <v>377</v>
      </c>
      <c r="AY96" s="9">
        <v>0</v>
      </c>
      <c r="AZ96" s="9"/>
      <c r="BA96" s="9">
        <v>45860.63040509259</v>
      </c>
      <c r="BB96" s="9">
        <v>0</v>
      </c>
      <c r="BC96" s="9">
        <v>1</v>
      </c>
      <c r="BD96" s="9">
        <v>0</v>
      </c>
      <c r="BE96" s="9" t="s">
        <v>378</v>
      </c>
      <c r="BF96" s="9"/>
      <c r="BG96" s="9"/>
      <c r="BH96" s="9">
        <v>0</v>
      </c>
      <c r="BI96" s="9"/>
      <c r="BJ96" s="9">
        <v>1</v>
      </c>
      <c r="BK96" s="9"/>
      <c r="BL96" s="9"/>
      <c r="BM96" s="9" t="s">
        <v>75</v>
      </c>
      <c r="BN96" s="9"/>
      <c r="BO96" s="9">
        <v>0</v>
      </c>
      <c r="BP96" s="9"/>
      <c r="BQ96" s="9">
        <v>1</v>
      </c>
      <c r="BR96" s="9"/>
      <c r="BS96" s="9"/>
      <c r="BT96" s="9"/>
      <c r="BU96" s="9"/>
      <c r="BV96" s="9"/>
      <c r="BW96" s="9">
        <v>0</v>
      </c>
      <c r="BX96" s="9"/>
      <c r="BY96" s="9">
        <v>45860.63040509259</v>
      </c>
      <c r="BZ96" s="9"/>
      <c r="CA96" s="9"/>
      <c r="CB96" s="9"/>
      <c r="CC96" s="9"/>
      <c r="CD96" s="9"/>
      <c r="CE96" s="9"/>
      <c r="CF96" s="9"/>
      <c r="CG96" s="9"/>
      <c r="CH96" s="9">
        <v>1</v>
      </c>
      <c r="CI96" s="9">
        <v>0</v>
      </c>
      <c r="CJ96" s="9"/>
      <c r="CK96" s="9"/>
      <c r="CL96" s="9" t="s">
        <v>2047</v>
      </c>
      <c r="CM96" s="9"/>
      <c r="CN96" s="9">
        <v>0</v>
      </c>
      <c r="CO96" s="9" t="s">
        <v>1925</v>
      </c>
      <c r="CP96" s="9"/>
      <c r="CQ96" s="9"/>
    </row>
    <row r="97" spans="1:95" x14ac:dyDescent="0.35">
      <c r="A97" s="9" t="b">
        <f>ISNUMBER(MATCH(Claude[[#This Row],[Id]],ChargentOrders[Id],0))</f>
        <v>1</v>
      </c>
      <c r="B97" t="b">
        <f>INDEX(ChargentOrders[VALIDO],MATCH(Claude[[#This Row],[Id]],ChargentOrders[Id],0))</f>
        <v>1</v>
      </c>
      <c r="C97">
        <f>INDEX(Contract[CB_Subscription__c],MATCH(Claude[[#This Row],[Contract__c]],Contract[Id],0))</f>
        <v>0</v>
      </c>
      <c r="D97" s="9" t="s">
        <v>379</v>
      </c>
      <c r="E97" s="9" t="s">
        <v>81</v>
      </c>
      <c r="F97" s="9">
        <v>0</v>
      </c>
      <c r="G97" s="9" t="s">
        <v>380</v>
      </c>
      <c r="H97" s="9">
        <v>45860.630428240744</v>
      </c>
      <c r="I97" s="9" t="s">
        <v>81</v>
      </c>
      <c r="J97" s="9">
        <v>45860.909270833334</v>
      </c>
      <c r="K97" s="9" t="s">
        <v>65</v>
      </c>
      <c r="L97" s="9">
        <v>45860.909270833334</v>
      </c>
      <c r="M97" s="9"/>
      <c r="N97" s="9" t="s">
        <v>1639</v>
      </c>
      <c r="O97" s="9" t="s">
        <v>2043</v>
      </c>
      <c r="P97" s="9" t="s">
        <v>2044</v>
      </c>
      <c r="Q97" s="9" t="s">
        <v>1925</v>
      </c>
      <c r="R97" s="9" t="s">
        <v>1637</v>
      </c>
      <c r="S97" s="9" t="s">
        <v>2045</v>
      </c>
      <c r="T97" s="9" t="s">
        <v>2046</v>
      </c>
      <c r="U97" s="9" t="s">
        <v>1928</v>
      </c>
      <c r="V97" s="9">
        <v>725</v>
      </c>
      <c r="W97" s="9">
        <v>6</v>
      </c>
      <c r="X97" s="9">
        <v>2029</v>
      </c>
      <c r="Y97" s="9">
        <v>3025</v>
      </c>
      <c r="Z97" s="9">
        <v>6</v>
      </c>
      <c r="AA97" s="9">
        <v>5392879776413020</v>
      </c>
      <c r="AB97" s="9" t="s">
        <v>66</v>
      </c>
      <c r="AC97" s="9">
        <v>2029</v>
      </c>
      <c r="AD97" s="9" t="s">
        <v>2011</v>
      </c>
      <c r="AE97" s="9"/>
      <c r="AF97" s="9" t="s">
        <v>1929</v>
      </c>
      <c r="AG97" s="9"/>
      <c r="AH97" s="9" t="s">
        <v>67</v>
      </c>
      <c r="AI97" s="9">
        <v>0</v>
      </c>
      <c r="AJ97" s="9"/>
      <c r="AK97" s="9">
        <v>0</v>
      </c>
      <c r="AL97" s="9" t="s">
        <v>1930</v>
      </c>
      <c r="AM97" s="9" t="s">
        <v>1958</v>
      </c>
      <c r="AN97" s="9">
        <v>45866</v>
      </c>
      <c r="AO97" s="9" t="s">
        <v>1931</v>
      </c>
      <c r="AP97" s="9" t="s">
        <v>69</v>
      </c>
      <c r="AQ97" s="9" t="s">
        <v>1932</v>
      </c>
      <c r="AR97" s="9">
        <v>45866</v>
      </c>
      <c r="AS97" s="9" t="s">
        <v>74</v>
      </c>
      <c r="AT97" s="9" t="s">
        <v>1935</v>
      </c>
      <c r="AU97" s="9" t="s">
        <v>2012</v>
      </c>
      <c r="AV97" s="9">
        <v>0</v>
      </c>
      <c r="AW97" s="9" t="s">
        <v>93</v>
      </c>
      <c r="AX97" s="9" t="s">
        <v>377</v>
      </c>
      <c r="AY97" s="9">
        <v>0</v>
      </c>
      <c r="AZ97" s="9">
        <v>45860.88417824074</v>
      </c>
      <c r="BA97" s="9">
        <v>45860.909247685187</v>
      </c>
      <c r="BB97" s="9">
        <v>1</v>
      </c>
      <c r="BC97" s="9">
        <v>2</v>
      </c>
      <c r="BD97" s="9" t="s">
        <v>93</v>
      </c>
      <c r="BE97" s="9" t="s">
        <v>378</v>
      </c>
      <c r="BF97" s="9" t="s">
        <v>77</v>
      </c>
      <c r="BG97" s="9"/>
      <c r="BH97" s="9">
        <v>0</v>
      </c>
      <c r="BI97" s="9"/>
      <c r="BJ97" s="9"/>
      <c r="BK97" s="9" t="s">
        <v>92</v>
      </c>
      <c r="BL97" s="9" t="s">
        <v>92</v>
      </c>
      <c r="BM97" s="9" t="s">
        <v>75</v>
      </c>
      <c r="BN97" s="9" t="s">
        <v>381</v>
      </c>
      <c r="BO97" s="9">
        <v>0</v>
      </c>
      <c r="BP97" s="9"/>
      <c r="BQ97" s="9">
        <v>0</v>
      </c>
      <c r="BR97" s="9"/>
      <c r="BS97" s="9"/>
      <c r="BT97" s="9"/>
      <c r="BU97" s="9"/>
      <c r="BV97" s="9"/>
      <c r="BW97" s="9">
        <v>0</v>
      </c>
      <c r="BX97" s="9"/>
      <c r="BY97" s="9">
        <v>45860.909247685187</v>
      </c>
      <c r="BZ97" s="9"/>
      <c r="CA97" s="9"/>
      <c r="CB97" s="9"/>
      <c r="CC97" s="9"/>
      <c r="CD97" s="9"/>
      <c r="CE97" s="9"/>
      <c r="CF97" s="9"/>
      <c r="CG97" s="9"/>
      <c r="CH97" s="9">
        <v>1</v>
      </c>
      <c r="CI97" s="9">
        <v>0</v>
      </c>
      <c r="CJ97" s="9"/>
      <c r="CK97" s="9"/>
      <c r="CL97" s="9" t="s">
        <v>2047</v>
      </c>
      <c r="CM97" s="9"/>
      <c r="CN97" s="9">
        <v>0</v>
      </c>
      <c r="CO97" s="9" t="s">
        <v>1925</v>
      </c>
      <c r="CP97" s="9"/>
      <c r="CQ97" s="9"/>
    </row>
    <row r="98" spans="1:95" x14ac:dyDescent="0.35">
      <c r="A98" s="9" t="b">
        <f>ISNUMBER(MATCH(Claude[[#This Row],[Id]],ChargentOrders[Id],0))</f>
        <v>1</v>
      </c>
      <c r="B98" t="b">
        <f>INDEX(ChargentOrders[VALIDO],MATCH(Claude[[#This Row],[Id]],ChargentOrders[Id],0))</f>
        <v>1</v>
      </c>
      <c r="C98">
        <f>INDEX(Contract[CB_Subscription__c],MATCH(Claude[[#This Row],[Contract__c]],Contract[Id],0))</f>
        <v>0</v>
      </c>
      <c r="D98" s="9" t="s">
        <v>382</v>
      </c>
      <c r="E98" s="9" t="s">
        <v>81</v>
      </c>
      <c r="F98" s="9">
        <v>0</v>
      </c>
      <c r="G98" s="9" t="s">
        <v>383</v>
      </c>
      <c r="H98" s="9">
        <v>45860.630428240744</v>
      </c>
      <c r="I98" s="9" t="s">
        <v>81</v>
      </c>
      <c r="J98" s="9">
        <v>45891.421875</v>
      </c>
      <c r="K98" s="9" t="s">
        <v>65</v>
      </c>
      <c r="L98" s="9">
        <v>45891.421875</v>
      </c>
      <c r="M98" s="9"/>
      <c r="N98" s="9" t="s">
        <v>1639</v>
      </c>
      <c r="O98" s="9" t="s">
        <v>2043</v>
      </c>
      <c r="P98" s="9" t="s">
        <v>2044</v>
      </c>
      <c r="Q98" s="9" t="s">
        <v>1925</v>
      </c>
      <c r="R98" s="9" t="s">
        <v>1637</v>
      </c>
      <c r="S98" s="9" t="s">
        <v>2045</v>
      </c>
      <c r="T98" s="9" t="s">
        <v>2046</v>
      </c>
      <c r="U98" s="9" t="s">
        <v>1928</v>
      </c>
      <c r="V98" s="9">
        <v>725</v>
      </c>
      <c r="W98" s="9">
        <v>6</v>
      </c>
      <c r="X98" s="9">
        <v>2029</v>
      </c>
      <c r="Y98" s="9">
        <v>3025</v>
      </c>
      <c r="Z98" s="9">
        <v>6</v>
      </c>
      <c r="AA98" s="9">
        <v>5392879776413020</v>
      </c>
      <c r="AB98" s="9" t="s">
        <v>66</v>
      </c>
      <c r="AC98" s="9">
        <v>2029</v>
      </c>
      <c r="AD98" s="9" t="s">
        <v>2010</v>
      </c>
      <c r="AE98" s="9"/>
      <c r="AF98" s="9" t="s">
        <v>1929</v>
      </c>
      <c r="AG98" s="9"/>
      <c r="AH98" s="9" t="s">
        <v>67</v>
      </c>
      <c r="AI98" s="9">
        <v>0</v>
      </c>
      <c r="AJ98" s="9"/>
      <c r="AK98" s="9">
        <v>0</v>
      </c>
      <c r="AL98" s="9" t="s">
        <v>1930</v>
      </c>
      <c r="AM98" s="9">
        <v>1</v>
      </c>
      <c r="AN98" s="9">
        <v>45891</v>
      </c>
      <c r="AO98" s="9" t="s">
        <v>1931</v>
      </c>
      <c r="AP98" s="9" t="s">
        <v>69</v>
      </c>
      <c r="AQ98" s="9" t="s">
        <v>1932</v>
      </c>
      <c r="AR98" s="9">
        <v>45891</v>
      </c>
      <c r="AS98" s="9" t="s">
        <v>74</v>
      </c>
      <c r="AT98" s="9" t="s">
        <v>1935</v>
      </c>
      <c r="AU98" s="9" t="s">
        <v>2012</v>
      </c>
      <c r="AV98" s="9">
        <v>0</v>
      </c>
      <c r="AW98" s="9" t="s">
        <v>2048</v>
      </c>
      <c r="AX98" s="9" t="s">
        <v>377</v>
      </c>
      <c r="AY98" s="9">
        <v>0</v>
      </c>
      <c r="AZ98" s="9"/>
      <c r="BA98" s="9"/>
      <c r="BB98" s="9">
        <v>0</v>
      </c>
      <c r="BC98" s="9">
        <v>1</v>
      </c>
      <c r="BD98" s="9">
        <v>0</v>
      </c>
      <c r="BE98" s="9" t="s">
        <v>378</v>
      </c>
      <c r="BF98" s="9" t="s">
        <v>77</v>
      </c>
      <c r="BG98" s="9"/>
      <c r="BH98" s="9">
        <v>0</v>
      </c>
      <c r="BI98" s="9"/>
      <c r="BJ98" s="9"/>
      <c r="BK98" s="9" t="s">
        <v>1958</v>
      </c>
      <c r="BL98" s="9" t="s">
        <v>1959</v>
      </c>
      <c r="BM98" s="9" t="s">
        <v>75</v>
      </c>
      <c r="BN98" s="9" t="s">
        <v>384</v>
      </c>
      <c r="BO98" s="9">
        <v>0</v>
      </c>
      <c r="BP98" s="9"/>
      <c r="BQ98" s="9">
        <v>0</v>
      </c>
      <c r="BR98" s="9"/>
      <c r="BS98" s="9"/>
      <c r="BT98" s="9"/>
      <c r="BU98" s="9"/>
      <c r="BV98" s="9"/>
      <c r="BW98" s="9">
        <v>0</v>
      </c>
      <c r="BX98" s="9">
        <v>45891.421817129631</v>
      </c>
      <c r="BY98" s="9">
        <v>45891.421817129631</v>
      </c>
      <c r="BZ98" s="9"/>
      <c r="CA98" s="9"/>
      <c r="CB98" s="9"/>
      <c r="CC98" s="9"/>
      <c r="CD98" s="9"/>
      <c r="CE98" s="9"/>
      <c r="CF98" s="9"/>
      <c r="CG98" s="9"/>
      <c r="CH98" s="9">
        <v>1</v>
      </c>
      <c r="CI98" s="9">
        <v>0</v>
      </c>
      <c r="CJ98" s="9"/>
      <c r="CK98" s="9"/>
      <c r="CL98" s="9" t="s">
        <v>2047</v>
      </c>
      <c r="CM98" s="9" t="s">
        <v>77</v>
      </c>
      <c r="CN98" s="9">
        <v>0</v>
      </c>
      <c r="CO98" s="9" t="s">
        <v>1925</v>
      </c>
      <c r="CP98" s="9"/>
      <c r="CQ98" s="9"/>
    </row>
    <row r="99" spans="1:95" x14ac:dyDescent="0.35">
      <c r="A99" s="9" t="b">
        <f>ISNUMBER(MATCH(Claude[[#This Row],[Id]],ChargentOrders[Id],0))</f>
        <v>1</v>
      </c>
      <c r="B99" t="b">
        <f>INDEX(ChargentOrders[VALIDO],MATCH(Claude[[#This Row],[Id]],ChargentOrders[Id],0))</f>
        <v>1</v>
      </c>
      <c r="C99">
        <f>INDEX(Contract[CB_Subscription__c],MATCH(Claude[[#This Row],[Contract__c]],Contract[Id],0))</f>
        <v>0</v>
      </c>
      <c r="D99" s="9" t="s">
        <v>385</v>
      </c>
      <c r="E99" s="9" t="s">
        <v>78</v>
      </c>
      <c r="F99" s="9">
        <v>0</v>
      </c>
      <c r="G99" s="9" t="s">
        <v>386</v>
      </c>
      <c r="H99" s="9">
        <v>45860.917337962965</v>
      </c>
      <c r="I99" s="9" t="s">
        <v>78</v>
      </c>
      <c r="J99" s="9">
        <v>45864.417141203703</v>
      </c>
      <c r="K99" s="9" t="s">
        <v>65</v>
      </c>
      <c r="L99" s="9">
        <v>45864.417141203703</v>
      </c>
      <c r="M99" s="9"/>
      <c r="N99" s="9" t="s">
        <v>1639</v>
      </c>
      <c r="O99" s="9" t="s">
        <v>2043</v>
      </c>
      <c r="P99" s="9" t="s">
        <v>2044</v>
      </c>
      <c r="Q99" s="9" t="s">
        <v>1925</v>
      </c>
      <c r="R99" s="9" t="s">
        <v>1637</v>
      </c>
      <c r="S99" s="9" t="s">
        <v>2045</v>
      </c>
      <c r="T99" s="9" t="s">
        <v>2046</v>
      </c>
      <c r="U99" s="9" t="s">
        <v>1928</v>
      </c>
      <c r="V99" s="9">
        <v>725</v>
      </c>
      <c r="W99" s="9">
        <v>6</v>
      </c>
      <c r="X99" s="9">
        <v>2029</v>
      </c>
      <c r="Y99" s="9">
        <v>3025</v>
      </c>
      <c r="Z99" s="9">
        <v>6</v>
      </c>
      <c r="AA99" s="9" t="s">
        <v>1452</v>
      </c>
      <c r="AB99" s="9" t="s">
        <v>66</v>
      </c>
      <c r="AC99" s="9">
        <v>2029</v>
      </c>
      <c r="AD99" s="9" t="s">
        <v>2049</v>
      </c>
      <c r="AE99" s="9"/>
      <c r="AF99" s="9"/>
      <c r="AG99" s="9"/>
      <c r="AH99" s="9" t="s">
        <v>67</v>
      </c>
      <c r="AI99" s="9">
        <v>0</v>
      </c>
      <c r="AJ99" s="9"/>
      <c r="AK99" s="9">
        <v>0</v>
      </c>
      <c r="AL99" s="9" t="s">
        <v>1930</v>
      </c>
      <c r="AM99" s="9">
        <v>1</v>
      </c>
      <c r="AN99" s="9">
        <v>45864</v>
      </c>
      <c r="AO99" s="9" t="s">
        <v>1931</v>
      </c>
      <c r="AP99" s="9" t="s">
        <v>69</v>
      </c>
      <c r="AQ99" s="9" t="s">
        <v>1932</v>
      </c>
      <c r="AR99" s="9">
        <v>45864</v>
      </c>
      <c r="AS99" s="9" t="s">
        <v>74</v>
      </c>
      <c r="AT99" s="9" t="s">
        <v>1935</v>
      </c>
      <c r="AU99" s="9" t="s">
        <v>2012</v>
      </c>
      <c r="AV99" s="9">
        <v>0</v>
      </c>
      <c r="AW99" s="9" t="s">
        <v>2050</v>
      </c>
      <c r="AX99" s="9" t="s">
        <v>377</v>
      </c>
      <c r="AY99" s="9">
        <v>0</v>
      </c>
      <c r="AZ99" s="9">
        <v>45864.417048611111</v>
      </c>
      <c r="BA99" s="9">
        <v>45864.417060185187</v>
      </c>
      <c r="BB99" s="9">
        <v>1</v>
      </c>
      <c r="BC99" s="9">
        <v>1</v>
      </c>
      <c r="BD99" s="9" t="s">
        <v>2049</v>
      </c>
      <c r="BE99" s="9" t="s">
        <v>378</v>
      </c>
      <c r="BF99" s="9" t="s">
        <v>71</v>
      </c>
      <c r="BG99" s="9" t="s">
        <v>387</v>
      </c>
      <c r="BH99" s="9">
        <v>0</v>
      </c>
      <c r="BI99" s="9">
        <v>45860.916932870372</v>
      </c>
      <c r="BJ99" s="9" t="s">
        <v>1958</v>
      </c>
      <c r="BK99" s="9" t="s">
        <v>1958</v>
      </c>
      <c r="BL99" s="9" t="s">
        <v>1959</v>
      </c>
      <c r="BM99" s="9" t="s">
        <v>75</v>
      </c>
      <c r="BN99" s="9"/>
      <c r="BO99" s="9">
        <v>0</v>
      </c>
      <c r="BP99" s="9" t="s">
        <v>388</v>
      </c>
      <c r="BQ99" s="9">
        <v>0</v>
      </c>
      <c r="BR99" s="9"/>
      <c r="BS99" s="9"/>
      <c r="BT99" s="9"/>
      <c r="BU99" s="9"/>
      <c r="BV99" s="9"/>
      <c r="BW99" s="9">
        <v>0</v>
      </c>
      <c r="BX99" s="9"/>
      <c r="BY99" s="9">
        <v>45864.417048611111</v>
      </c>
      <c r="BZ99" s="9"/>
      <c r="CA99" s="9"/>
      <c r="CB99" s="9"/>
      <c r="CC99" s="9"/>
      <c r="CD99" s="9"/>
      <c r="CE99" s="9"/>
      <c r="CF99" s="9"/>
      <c r="CG99" s="9"/>
      <c r="CH99" s="9">
        <v>1</v>
      </c>
      <c r="CI99" s="9">
        <v>0</v>
      </c>
      <c r="CJ99" s="9"/>
      <c r="CK99" s="9"/>
      <c r="CL99" s="9"/>
      <c r="CM99" s="9" t="s">
        <v>77</v>
      </c>
      <c r="CN99" s="9">
        <v>0</v>
      </c>
      <c r="CO99" s="9" t="s">
        <v>1925</v>
      </c>
      <c r="CP99" s="9"/>
      <c r="CQ99" s="9"/>
    </row>
    <row r="100" spans="1:95" x14ac:dyDescent="0.35">
      <c r="A100" s="9" t="b">
        <f>ISNUMBER(MATCH(Claude[[#This Row],[Id]],ChargentOrders[Id],0))</f>
        <v>1</v>
      </c>
      <c r="B100" t="b">
        <f>INDEX(ChargentOrders[VALIDO],MATCH(Claude[[#This Row],[Id]],ChargentOrders[Id],0))</f>
        <v>1</v>
      </c>
      <c r="C100">
        <f>INDEX(Contract[CB_Subscription__c],MATCH(Claude[[#This Row],[Contract__c]],Contract[Id],0))</f>
        <v>0</v>
      </c>
      <c r="D100" s="9" t="s">
        <v>389</v>
      </c>
      <c r="E100" s="9" t="s">
        <v>81</v>
      </c>
      <c r="F100" s="9">
        <v>0</v>
      </c>
      <c r="G100" s="9" t="s">
        <v>390</v>
      </c>
      <c r="H100" s="9">
        <v>45864.41710648148</v>
      </c>
      <c r="I100" s="9" t="s">
        <v>65</v>
      </c>
      <c r="J100" s="9">
        <v>46217.738564814812</v>
      </c>
      <c r="K100" s="9" t="s">
        <v>78</v>
      </c>
      <c r="L100" s="9">
        <v>46217.738564814812</v>
      </c>
      <c r="M100" s="9"/>
      <c r="N100" s="9" t="s">
        <v>1639</v>
      </c>
      <c r="O100" s="9" t="s">
        <v>2043</v>
      </c>
      <c r="P100" s="9" t="s">
        <v>2044</v>
      </c>
      <c r="Q100" s="9" t="s">
        <v>1925</v>
      </c>
      <c r="R100" s="9" t="s">
        <v>1637</v>
      </c>
      <c r="S100" s="9" t="s">
        <v>2045</v>
      </c>
      <c r="T100" s="9" t="s">
        <v>2046</v>
      </c>
      <c r="U100" s="9" t="s">
        <v>1928</v>
      </c>
      <c r="V100" s="9">
        <v>725</v>
      </c>
      <c r="W100" s="9">
        <v>6</v>
      </c>
      <c r="X100" s="9">
        <v>2029</v>
      </c>
      <c r="Y100" s="9">
        <v>3025</v>
      </c>
      <c r="Z100" s="9">
        <v>6</v>
      </c>
      <c r="AA100" s="9">
        <v>3025</v>
      </c>
      <c r="AB100" s="9" t="s">
        <v>66</v>
      </c>
      <c r="AC100" s="9">
        <v>2029</v>
      </c>
      <c r="AD100" s="9" t="s">
        <v>473</v>
      </c>
      <c r="AE100" s="9">
        <v>30</v>
      </c>
      <c r="AF100" s="9" t="s">
        <v>1929</v>
      </c>
      <c r="AG100" s="9"/>
      <c r="AH100" s="9" t="s">
        <v>67</v>
      </c>
      <c r="AI100" s="9">
        <v>0</v>
      </c>
      <c r="AJ100" s="9"/>
      <c r="AK100" s="9">
        <v>0</v>
      </c>
      <c r="AL100" s="9" t="s">
        <v>1930</v>
      </c>
      <c r="AM100" s="9"/>
      <c r="AN100" s="9"/>
      <c r="AO100" s="9" t="s">
        <v>1943</v>
      </c>
      <c r="AP100" s="9" t="s">
        <v>69</v>
      </c>
      <c r="AQ100" s="9" t="s">
        <v>1932</v>
      </c>
      <c r="AR100" s="9">
        <v>46233</v>
      </c>
      <c r="AS100" s="9" t="s">
        <v>84</v>
      </c>
      <c r="AT100" s="9" t="s">
        <v>1944</v>
      </c>
      <c r="AU100" s="9" t="s">
        <v>473</v>
      </c>
      <c r="AV100" s="9">
        <v>0</v>
      </c>
      <c r="AW100" s="9" t="s">
        <v>92</v>
      </c>
      <c r="AX100" s="9" t="s">
        <v>377</v>
      </c>
      <c r="AY100" s="9">
        <v>0</v>
      </c>
      <c r="AZ100" s="9"/>
      <c r="BA100" s="9"/>
      <c r="BB100" s="9">
        <v>0</v>
      </c>
      <c r="BC100" s="9">
        <v>6</v>
      </c>
      <c r="BD100" s="9">
        <v>0</v>
      </c>
      <c r="BE100" s="9" t="s">
        <v>378</v>
      </c>
      <c r="BF100" s="9" t="s">
        <v>76</v>
      </c>
      <c r="BG100" s="9"/>
      <c r="BH100" s="9">
        <v>0</v>
      </c>
      <c r="BI100" s="9"/>
      <c r="BJ100" s="9">
        <v>7</v>
      </c>
      <c r="BK100" s="9" t="s">
        <v>92</v>
      </c>
      <c r="BL100" s="9" t="s">
        <v>92</v>
      </c>
      <c r="BM100" s="9" t="s">
        <v>75</v>
      </c>
      <c r="BN100" s="9"/>
      <c r="BO100" s="9">
        <v>0</v>
      </c>
      <c r="BP100" s="9"/>
      <c r="BQ100" s="9">
        <v>0</v>
      </c>
      <c r="BR100" s="9"/>
      <c r="BS100" s="9"/>
      <c r="BT100" s="9"/>
      <c r="BU100" s="9"/>
      <c r="BV100" s="9"/>
      <c r="BW100" s="9">
        <v>0</v>
      </c>
      <c r="BX100" s="9">
        <v>46203.417048611111</v>
      </c>
      <c r="BY100" s="9">
        <v>46203.417048611111</v>
      </c>
      <c r="BZ100" s="9"/>
      <c r="CA100" s="9"/>
      <c r="CB100" s="9"/>
      <c r="CC100" s="9"/>
      <c r="CD100" s="9"/>
      <c r="CE100" s="9"/>
      <c r="CF100" s="9"/>
      <c r="CG100" s="9"/>
      <c r="CH100" s="9">
        <v>1</v>
      </c>
      <c r="CI100" s="9">
        <v>0</v>
      </c>
      <c r="CJ100" s="9"/>
      <c r="CK100" s="9"/>
      <c r="CL100" s="9" t="s">
        <v>2047</v>
      </c>
      <c r="CM100" s="9"/>
      <c r="CN100" s="9">
        <v>0</v>
      </c>
      <c r="CO100" s="9" t="s">
        <v>1925</v>
      </c>
      <c r="CP100" s="9" t="s">
        <v>2051</v>
      </c>
      <c r="CQ100" s="9">
        <v>0</v>
      </c>
    </row>
    <row r="101" spans="1:95" x14ac:dyDescent="0.35">
      <c r="A101" s="9" t="b">
        <f>ISNUMBER(MATCH(Claude[[#This Row],[Id]],ChargentOrders[Id],0))</f>
        <v>1</v>
      </c>
      <c r="B101" t="b">
        <f>INDEX(ChargentOrders[VALIDO],MATCH(Claude[[#This Row],[Id]],ChargentOrders[Id],0))</f>
        <v>1</v>
      </c>
      <c r="C101">
        <f>INDEX(Contract[CB_Subscription__c],MATCH(Claude[[#This Row],[Contract__c]],Contract[Id],0))</f>
        <v>0</v>
      </c>
      <c r="D101" s="9" t="s">
        <v>391</v>
      </c>
      <c r="E101" s="9" t="s">
        <v>79</v>
      </c>
      <c r="F101" s="9">
        <v>0</v>
      </c>
      <c r="G101" s="9" t="s">
        <v>392</v>
      </c>
      <c r="H101" s="9">
        <v>45868.41951388889</v>
      </c>
      <c r="I101" s="9" t="s">
        <v>65</v>
      </c>
      <c r="J101" s="9">
        <v>45890.991932870369</v>
      </c>
      <c r="K101" s="9" t="s">
        <v>101</v>
      </c>
      <c r="L101" s="9">
        <v>45890.991932870369</v>
      </c>
      <c r="M101" s="9"/>
      <c r="N101" s="9" t="s">
        <v>1581</v>
      </c>
      <c r="O101" s="9" t="s">
        <v>1960</v>
      </c>
      <c r="P101" s="9" t="s">
        <v>1961</v>
      </c>
      <c r="Q101" s="9" t="s">
        <v>1925</v>
      </c>
      <c r="R101" s="9" t="s">
        <v>1579</v>
      </c>
      <c r="S101" s="9" t="s">
        <v>1962</v>
      </c>
      <c r="T101" s="9" t="s">
        <v>1963</v>
      </c>
      <c r="U101" s="9" t="s">
        <v>1928</v>
      </c>
      <c r="V101" s="9">
        <v>778</v>
      </c>
      <c r="W101" s="9">
        <v>3</v>
      </c>
      <c r="X101" s="9">
        <v>2027</v>
      </c>
      <c r="Y101" s="9">
        <v>4327</v>
      </c>
      <c r="Z101" s="9">
        <v>3</v>
      </c>
      <c r="AA101" s="9">
        <v>4549516808074320</v>
      </c>
      <c r="AB101" s="9" t="s">
        <v>73</v>
      </c>
      <c r="AC101" s="9">
        <v>2027</v>
      </c>
      <c r="AD101" s="9" t="s">
        <v>104</v>
      </c>
      <c r="AE101" s="9"/>
      <c r="AF101" s="9" t="s">
        <v>1929</v>
      </c>
      <c r="AG101" s="9"/>
      <c r="AH101" s="9" t="s">
        <v>67</v>
      </c>
      <c r="AI101" s="9">
        <v>0</v>
      </c>
      <c r="AJ101" s="9"/>
      <c r="AK101" s="9">
        <v>0</v>
      </c>
      <c r="AL101" s="9" t="s">
        <v>1930</v>
      </c>
      <c r="AM101" s="9">
        <v>1</v>
      </c>
      <c r="AN101" s="9">
        <v>45891</v>
      </c>
      <c r="AO101" s="9" t="s">
        <v>1931</v>
      </c>
      <c r="AP101" s="9" t="s">
        <v>69</v>
      </c>
      <c r="AQ101" s="9" t="s">
        <v>1932</v>
      </c>
      <c r="AR101" s="9">
        <v>45891</v>
      </c>
      <c r="AS101" s="9" t="s">
        <v>74</v>
      </c>
      <c r="AT101" s="9" t="s">
        <v>1935</v>
      </c>
      <c r="AU101" s="9" t="s">
        <v>1952</v>
      </c>
      <c r="AV101" s="9">
        <v>0</v>
      </c>
      <c r="AW101" s="9" t="s">
        <v>1953</v>
      </c>
      <c r="AX101" s="9" t="s">
        <v>165</v>
      </c>
      <c r="AY101" s="9">
        <v>0</v>
      </c>
      <c r="AZ101" s="9">
        <v>45890.991909722223</v>
      </c>
      <c r="BA101" s="9">
        <v>45890.991909722223</v>
      </c>
      <c r="BB101" s="9">
        <v>1</v>
      </c>
      <c r="BC101" s="9">
        <v>14</v>
      </c>
      <c r="BD101" s="9" t="s">
        <v>104</v>
      </c>
      <c r="BE101" s="9" t="s">
        <v>179</v>
      </c>
      <c r="BF101" s="9" t="s">
        <v>71</v>
      </c>
      <c r="BG101" s="9"/>
      <c r="BH101" s="9">
        <v>0</v>
      </c>
      <c r="BI101" s="9"/>
      <c r="BJ101" s="9">
        <v>0</v>
      </c>
      <c r="BK101" s="9" t="s">
        <v>1937</v>
      </c>
      <c r="BL101" s="9" t="s">
        <v>1938</v>
      </c>
      <c r="BM101" s="9" t="s">
        <v>72</v>
      </c>
      <c r="BN101" s="9"/>
      <c r="BO101" s="9">
        <v>1</v>
      </c>
      <c r="BP101" s="9" t="s">
        <v>393</v>
      </c>
      <c r="BQ101" s="9">
        <v>0</v>
      </c>
      <c r="BR101" s="9">
        <v>45868.950983796298</v>
      </c>
      <c r="BS101" s="9" t="s">
        <v>109</v>
      </c>
      <c r="BT101" s="9" t="s">
        <v>65</v>
      </c>
      <c r="BU101" s="9"/>
      <c r="BV101" s="9"/>
      <c r="BW101" s="9">
        <v>0</v>
      </c>
      <c r="BX101" s="9">
        <v>45890.421782407408</v>
      </c>
      <c r="BY101" s="9">
        <v>45890.991909722223</v>
      </c>
      <c r="BZ101" s="9"/>
      <c r="CA101" s="9"/>
      <c r="CB101" s="9"/>
      <c r="CC101" s="9"/>
      <c r="CD101" s="9"/>
      <c r="CE101" s="9"/>
      <c r="CF101" s="9"/>
      <c r="CG101" s="9"/>
      <c r="CH101" s="9">
        <v>1</v>
      </c>
      <c r="CI101" s="9">
        <v>0</v>
      </c>
      <c r="CJ101" s="9"/>
      <c r="CK101" s="9"/>
      <c r="CL101" s="9" t="s">
        <v>1964</v>
      </c>
      <c r="CM101" s="9"/>
      <c r="CN101" s="9">
        <v>0</v>
      </c>
      <c r="CO101" s="9" t="s">
        <v>1925</v>
      </c>
      <c r="CP101" s="9"/>
      <c r="CQ101" s="9"/>
    </row>
    <row r="102" spans="1:95" x14ac:dyDescent="0.35">
      <c r="A102" s="9" t="b">
        <f>ISNUMBER(MATCH(Claude[[#This Row],[Id]],ChargentOrders[Id],0))</f>
        <v>1</v>
      </c>
      <c r="B102" t="b">
        <f>INDEX(ChargentOrders[VALIDO],MATCH(Claude[[#This Row],[Id]],ChargentOrders[Id],0))</f>
        <v>1</v>
      </c>
      <c r="C102">
        <f>INDEX(Contract[CB_Subscription__c],MATCH(Claude[[#This Row],[Contract__c]],Contract[Id],0))</f>
        <v>0</v>
      </c>
      <c r="D102" s="9" t="s">
        <v>394</v>
      </c>
      <c r="E102" s="9" t="s">
        <v>102</v>
      </c>
      <c r="F102" s="9">
        <v>0</v>
      </c>
      <c r="G102" s="9" t="s">
        <v>395</v>
      </c>
      <c r="H102" s="9">
        <v>45868.417604166665</v>
      </c>
      <c r="I102" s="9" t="s">
        <v>65</v>
      </c>
      <c r="J102" s="9">
        <v>46114.619976851849</v>
      </c>
      <c r="K102" s="9" t="s">
        <v>78</v>
      </c>
      <c r="L102" s="9">
        <v>46114.619976851849</v>
      </c>
      <c r="M102" s="9"/>
      <c r="N102" s="9" t="s">
        <v>1570</v>
      </c>
      <c r="O102" s="9" t="s">
        <v>1923</v>
      </c>
      <c r="P102" s="9" t="s">
        <v>1924</v>
      </c>
      <c r="Q102" s="9" t="s">
        <v>1925</v>
      </c>
      <c r="R102" s="9" t="s">
        <v>1568</v>
      </c>
      <c r="S102" s="9" t="s">
        <v>1926</v>
      </c>
      <c r="T102" s="9" t="s">
        <v>1927</v>
      </c>
      <c r="U102" s="9" t="s">
        <v>1928</v>
      </c>
      <c r="V102" s="9">
        <v>949</v>
      </c>
      <c r="W102" s="9">
        <v>6</v>
      </c>
      <c r="X102" s="9">
        <v>2030</v>
      </c>
      <c r="Y102" s="9">
        <v>2774</v>
      </c>
      <c r="Z102" s="9">
        <v>6</v>
      </c>
      <c r="AA102" s="9">
        <v>2774</v>
      </c>
      <c r="AB102" s="9" t="s">
        <v>73</v>
      </c>
      <c r="AC102" s="9">
        <v>2030</v>
      </c>
      <c r="AD102" s="9" t="s">
        <v>1969</v>
      </c>
      <c r="AE102" s="9"/>
      <c r="AF102" s="9" t="s">
        <v>1929</v>
      </c>
      <c r="AG102" s="9"/>
      <c r="AH102" s="9" t="s">
        <v>67</v>
      </c>
      <c r="AI102" s="9">
        <v>0</v>
      </c>
      <c r="AJ102" s="9"/>
      <c r="AK102" s="9">
        <v>0</v>
      </c>
      <c r="AL102" s="9" t="s">
        <v>1930</v>
      </c>
      <c r="AM102" s="9">
        <v>1</v>
      </c>
      <c r="AN102" s="9">
        <v>45901</v>
      </c>
      <c r="AO102" s="9" t="s">
        <v>1931</v>
      </c>
      <c r="AP102" s="9" t="s">
        <v>69</v>
      </c>
      <c r="AQ102" s="9" t="s">
        <v>1932</v>
      </c>
      <c r="AR102" s="9">
        <v>45918</v>
      </c>
      <c r="AS102" s="9" t="s">
        <v>74</v>
      </c>
      <c r="AT102" s="9" t="s">
        <v>1935</v>
      </c>
      <c r="AU102" s="9" t="s">
        <v>1970</v>
      </c>
      <c r="AV102" s="9">
        <v>0</v>
      </c>
      <c r="AW102" s="9" t="s">
        <v>1971</v>
      </c>
      <c r="AX102" s="9" t="s">
        <v>147</v>
      </c>
      <c r="AY102" s="9">
        <v>0</v>
      </c>
      <c r="AZ102" s="9">
        <v>45918.419456018521</v>
      </c>
      <c r="BA102" s="9">
        <v>45918.419490740744</v>
      </c>
      <c r="BB102" s="9">
        <v>1</v>
      </c>
      <c r="BC102" s="9">
        <v>16</v>
      </c>
      <c r="BD102" s="9" t="s">
        <v>1972</v>
      </c>
      <c r="BE102" s="9" t="s">
        <v>112</v>
      </c>
      <c r="BF102" s="9" t="s">
        <v>71</v>
      </c>
      <c r="BG102" s="9"/>
      <c r="BH102" s="9">
        <v>0</v>
      </c>
      <c r="BI102" s="9"/>
      <c r="BJ102" s="9">
        <v>0</v>
      </c>
      <c r="BK102" s="9" t="s">
        <v>1937</v>
      </c>
      <c r="BL102" s="9" t="s">
        <v>1938</v>
      </c>
      <c r="BM102" s="9" t="s">
        <v>72</v>
      </c>
      <c r="BN102" s="9"/>
      <c r="BO102" s="9">
        <v>1</v>
      </c>
      <c r="BP102" s="9" t="s">
        <v>396</v>
      </c>
      <c r="BQ102" s="9">
        <v>0</v>
      </c>
      <c r="BR102" s="9">
        <v>45868.956562500003</v>
      </c>
      <c r="BS102" s="9" t="s">
        <v>109</v>
      </c>
      <c r="BT102" s="9" t="s">
        <v>65</v>
      </c>
      <c r="BU102" s="9"/>
      <c r="BV102" s="9"/>
      <c r="BW102" s="9">
        <v>0</v>
      </c>
      <c r="BX102" s="9">
        <v>45898.429282407407</v>
      </c>
      <c r="BY102" s="9">
        <v>45918.419456018521</v>
      </c>
      <c r="BZ102" s="9"/>
      <c r="CA102" s="9"/>
      <c r="CB102" s="9"/>
      <c r="CC102" s="9"/>
      <c r="CD102" s="9"/>
      <c r="CE102" s="9"/>
      <c r="CF102" s="9"/>
      <c r="CG102" s="9"/>
      <c r="CH102" s="9">
        <v>1</v>
      </c>
      <c r="CI102" s="9">
        <v>0</v>
      </c>
      <c r="CJ102" s="9"/>
      <c r="CK102" s="9"/>
      <c r="CL102" s="9"/>
      <c r="CM102" s="9" t="s">
        <v>154</v>
      </c>
      <c r="CN102" s="9">
        <v>0</v>
      </c>
      <c r="CO102" s="9" t="s">
        <v>1925</v>
      </c>
      <c r="CP102" s="9"/>
      <c r="CQ102" s="9"/>
    </row>
    <row r="103" spans="1:95" x14ac:dyDescent="0.35">
      <c r="A103" s="9" t="b">
        <f>ISNUMBER(MATCH(Claude[[#This Row],[Id]],ChargentOrders[Id],0))</f>
        <v>1</v>
      </c>
      <c r="B103" t="b">
        <f>INDEX(ChargentOrders[VALIDO],MATCH(Claude[[#This Row],[Id]],ChargentOrders[Id],0))</f>
        <v>1</v>
      </c>
      <c r="C103">
        <f>INDEX(Contract[CB_Subscription__c],MATCH(Claude[[#This Row],[Contract__c]],Contract[Id],0))</f>
        <v>0</v>
      </c>
      <c r="D103" s="9" t="s">
        <v>397</v>
      </c>
      <c r="E103" s="9" t="s">
        <v>79</v>
      </c>
      <c r="F103" s="9">
        <v>0</v>
      </c>
      <c r="G103" s="9" t="s">
        <v>398</v>
      </c>
      <c r="H103" s="9">
        <v>45868.421701388892</v>
      </c>
      <c r="I103" s="9" t="s">
        <v>65</v>
      </c>
      <c r="J103" s="9">
        <v>45876.424212962964</v>
      </c>
      <c r="K103" s="9" t="s">
        <v>65</v>
      </c>
      <c r="L103" s="9">
        <v>45876.424212962964</v>
      </c>
      <c r="M103" s="9"/>
      <c r="N103" s="9" t="s">
        <v>1591</v>
      </c>
      <c r="O103" s="9" t="s">
        <v>1989</v>
      </c>
      <c r="P103" s="9" t="s">
        <v>1990</v>
      </c>
      <c r="Q103" s="9" t="s">
        <v>1925</v>
      </c>
      <c r="R103" s="9" t="s">
        <v>1589</v>
      </c>
      <c r="S103" s="9" t="s">
        <v>1991</v>
      </c>
      <c r="T103" s="9" t="s">
        <v>1992</v>
      </c>
      <c r="U103" s="9" t="s">
        <v>1928</v>
      </c>
      <c r="V103" s="9">
        <v>915</v>
      </c>
      <c r="W103" s="9">
        <v>2</v>
      </c>
      <c r="X103" s="9">
        <v>2030</v>
      </c>
      <c r="Y103" s="9">
        <v>1962</v>
      </c>
      <c r="Z103" s="9">
        <v>2</v>
      </c>
      <c r="AA103" s="9">
        <v>1962</v>
      </c>
      <c r="AB103" s="9" t="s">
        <v>73</v>
      </c>
      <c r="AC103" s="9">
        <v>2030</v>
      </c>
      <c r="AD103" s="9" t="s">
        <v>104</v>
      </c>
      <c r="AE103" s="9"/>
      <c r="AF103" s="9" t="s">
        <v>1929</v>
      </c>
      <c r="AG103" s="9"/>
      <c r="AH103" s="9" t="s">
        <v>67</v>
      </c>
      <c r="AI103" s="9">
        <v>0</v>
      </c>
      <c r="AJ103" s="9"/>
      <c r="AK103" s="9">
        <v>0</v>
      </c>
      <c r="AL103" s="9" t="s">
        <v>1930</v>
      </c>
      <c r="AM103" s="9">
        <v>1</v>
      </c>
      <c r="AN103" s="9">
        <v>45876</v>
      </c>
      <c r="AO103" s="9" t="s">
        <v>1931</v>
      </c>
      <c r="AP103" s="9" t="s">
        <v>69</v>
      </c>
      <c r="AQ103" s="9" t="s">
        <v>1932</v>
      </c>
      <c r="AR103" s="9">
        <v>45876</v>
      </c>
      <c r="AS103" s="9" t="s">
        <v>74</v>
      </c>
      <c r="AT103" s="9" t="s">
        <v>1935</v>
      </c>
      <c r="AU103" s="9" t="s">
        <v>1952</v>
      </c>
      <c r="AV103" s="9">
        <v>0</v>
      </c>
      <c r="AW103" s="9" t="s">
        <v>1953</v>
      </c>
      <c r="AX103" s="9" t="s">
        <v>240</v>
      </c>
      <c r="AY103" s="9">
        <v>0</v>
      </c>
      <c r="AZ103" s="9">
        <v>45876.424178240741</v>
      </c>
      <c r="BA103" s="9">
        <v>45876.424178240741</v>
      </c>
      <c r="BB103" s="9">
        <v>1</v>
      </c>
      <c r="BC103" s="9">
        <v>3</v>
      </c>
      <c r="BD103" s="9" t="s">
        <v>104</v>
      </c>
      <c r="BE103" s="9" t="s">
        <v>235</v>
      </c>
      <c r="BF103" s="9" t="s">
        <v>71</v>
      </c>
      <c r="BG103" s="9"/>
      <c r="BH103" s="9">
        <v>0</v>
      </c>
      <c r="BI103" s="9"/>
      <c r="BJ103" s="9">
        <v>0</v>
      </c>
      <c r="BK103" s="9" t="s">
        <v>1937</v>
      </c>
      <c r="BL103" s="9" t="s">
        <v>1938</v>
      </c>
      <c r="BM103" s="9" t="s">
        <v>72</v>
      </c>
      <c r="BN103" s="9"/>
      <c r="BO103" s="9">
        <v>1</v>
      </c>
      <c r="BP103" s="9" t="s">
        <v>399</v>
      </c>
      <c r="BQ103" s="9">
        <v>0</v>
      </c>
      <c r="BR103" s="9">
        <v>45702.827997685185</v>
      </c>
      <c r="BS103" s="9" t="s">
        <v>109</v>
      </c>
      <c r="BT103" s="9" t="s">
        <v>65</v>
      </c>
      <c r="BU103" s="9"/>
      <c r="BV103" s="9"/>
      <c r="BW103" s="9">
        <v>0</v>
      </c>
      <c r="BX103" s="9">
        <v>45873.424085648148</v>
      </c>
      <c r="BY103" s="9">
        <v>45876.424178240741</v>
      </c>
      <c r="BZ103" s="9"/>
      <c r="CA103" s="9"/>
      <c r="CB103" s="9"/>
      <c r="CC103" s="9"/>
      <c r="CD103" s="9"/>
      <c r="CE103" s="9"/>
      <c r="CF103" s="9"/>
      <c r="CG103" s="9"/>
      <c r="CH103" s="9">
        <v>1</v>
      </c>
      <c r="CI103" s="9">
        <v>0</v>
      </c>
      <c r="CJ103" s="9"/>
      <c r="CK103" s="9"/>
      <c r="CL103" s="9" t="s">
        <v>1993</v>
      </c>
      <c r="CM103" s="9"/>
      <c r="CN103" s="9">
        <v>0</v>
      </c>
      <c r="CO103" s="9" t="s">
        <v>1925</v>
      </c>
      <c r="CP103" s="9"/>
      <c r="CQ103" s="9"/>
    </row>
    <row r="104" spans="1:95" x14ac:dyDescent="0.35">
      <c r="A104" s="9" t="b">
        <f>ISNUMBER(MATCH(Claude[[#This Row],[Id]],ChargentOrders[Id],0))</f>
        <v>1</v>
      </c>
      <c r="B104" t="b">
        <f>INDEX(ChargentOrders[VALIDO],MATCH(Claude[[#This Row],[Id]],ChargentOrders[Id],0))</f>
        <v>1</v>
      </c>
      <c r="C104">
        <f>INDEX(Contract[CB_Subscription__c],MATCH(Claude[[#This Row],[Contract__c]],Contract[Id],0))</f>
        <v>0</v>
      </c>
      <c r="D104" s="9" t="s">
        <v>400</v>
      </c>
      <c r="E104" s="9" t="s">
        <v>79</v>
      </c>
      <c r="F104" s="9">
        <v>0</v>
      </c>
      <c r="G104" s="9" t="s">
        <v>401</v>
      </c>
      <c r="H104" s="9">
        <v>45868.422222222223</v>
      </c>
      <c r="I104" s="9" t="s">
        <v>65</v>
      </c>
      <c r="J104" s="9">
        <v>45877.424155092594</v>
      </c>
      <c r="K104" s="9" t="s">
        <v>65</v>
      </c>
      <c r="L104" s="9">
        <v>45877.424155092594</v>
      </c>
      <c r="M104" s="9"/>
      <c r="N104" s="9" t="s">
        <v>1596</v>
      </c>
      <c r="O104" s="9" t="s">
        <v>1997</v>
      </c>
      <c r="P104" s="9" t="s">
        <v>1990</v>
      </c>
      <c r="Q104" s="9" t="s">
        <v>1925</v>
      </c>
      <c r="R104" s="9" t="s">
        <v>1594</v>
      </c>
      <c r="S104" s="9" t="s">
        <v>1998</v>
      </c>
      <c r="T104" s="9" t="s">
        <v>1999</v>
      </c>
      <c r="U104" s="9" t="s">
        <v>1928</v>
      </c>
      <c r="V104" s="9">
        <v>901</v>
      </c>
      <c r="W104" s="9">
        <v>2</v>
      </c>
      <c r="X104" s="9">
        <v>2026</v>
      </c>
      <c r="Y104" s="9">
        <v>7405</v>
      </c>
      <c r="Z104" s="9">
        <v>2</v>
      </c>
      <c r="AA104" s="9">
        <v>4549516847817400</v>
      </c>
      <c r="AB104" s="9" t="s">
        <v>73</v>
      </c>
      <c r="AC104" s="9">
        <v>2026</v>
      </c>
      <c r="AD104" s="9" t="s">
        <v>104</v>
      </c>
      <c r="AE104" s="9"/>
      <c r="AF104" s="9" t="s">
        <v>1929</v>
      </c>
      <c r="AG104" s="9"/>
      <c r="AH104" s="9" t="s">
        <v>67</v>
      </c>
      <c r="AI104" s="9">
        <v>0</v>
      </c>
      <c r="AJ104" s="9"/>
      <c r="AK104" s="9">
        <v>0</v>
      </c>
      <c r="AL104" s="9" t="s">
        <v>1930</v>
      </c>
      <c r="AM104" s="9">
        <v>1</v>
      </c>
      <c r="AN104" s="9">
        <v>45877</v>
      </c>
      <c r="AO104" s="9" t="s">
        <v>1931</v>
      </c>
      <c r="AP104" s="9" t="s">
        <v>69</v>
      </c>
      <c r="AQ104" s="9" t="s">
        <v>1932</v>
      </c>
      <c r="AR104" s="9">
        <v>45877</v>
      </c>
      <c r="AS104" s="9" t="s">
        <v>74</v>
      </c>
      <c r="AT104" s="9" t="s">
        <v>1935</v>
      </c>
      <c r="AU104" s="9" t="s">
        <v>1952</v>
      </c>
      <c r="AV104" s="9">
        <v>0</v>
      </c>
      <c r="AW104" s="9" t="s">
        <v>1953</v>
      </c>
      <c r="AX104" s="9" t="s">
        <v>252</v>
      </c>
      <c r="AY104" s="9">
        <v>0</v>
      </c>
      <c r="AZ104" s="9">
        <v>45877.424039351848</v>
      </c>
      <c r="BA104" s="9">
        <v>45877.424108796295</v>
      </c>
      <c r="BB104" s="9">
        <v>1</v>
      </c>
      <c r="BC104" s="9">
        <v>5</v>
      </c>
      <c r="BD104" s="9" t="s">
        <v>104</v>
      </c>
      <c r="BE104" s="9" t="s">
        <v>253</v>
      </c>
      <c r="BF104" s="9" t="s">
        <v>71</v>
      </c>
      <c r="BG104" s="9"/>
      <c r="BH104" s="9">
        <v>0</v>
      </c>
      <c r="BI104" s="9"/>
      <c r="BJ104" s="9">
        <v>0</v>
      </c>
      <c r="BK104" s="9" t="s">
        <v>1937</v>
      </c>
      <c r="BL104" s="9" t="s">
        <v>1938</v>
      </c>
      <c r="BM104" s="9" t="s">
        <v>72</v>
      </c>
      <c r="BN104" s="9"/>
      <c r="BO104" s="9">
        <v>1</v>
      </c>
      <c r="BP104" s="9" t="s">
        <v>402</v>
      </c>
      <c r="BQ104" s="9">
        <v>0</v>
      </c>
      <c r="BR104" s="9">
        <v>45723.426469907405</v>
      </c>
      <c r="BS104" s="9" t="s">
        <v>109</v>
      </c>
      <c r="BT104" s="9" t="s">
        <v>65</v>
      </c>
      <c r="BU104" s="9"/>
      <c r="BV104" s="9"/>
      <c r="BW104" s="9">
        <v>0</v>
      </c>
      <c r="BX104" s="9">
        <v>45876.424456018518</v>
      </c>
      <c r="BY104" s="9">
        <v>45877.424039351848</v>
      </c>
      <c r="BZ104" s="9"/>
      <c r="CA104" s="9"/>
      <c r="CB104" s="9"/>
      <c r="CC104" s="9"/>
      <c r="CD104" s="9"/>
      <c r="CE104" s="9"/>
      <c r="CF104" s="9"/>
      <c r="CG104" s="9"/>
      <c r="CH104" s="9">
        <v>1</v>
      </c>
      <c r="CI104" s="9">
        <v>0</v>
      </c>
      <c r="CJ104" s="9"/>
      <c r="CK104" s="9"/>
      <c r="CL104" s="9" t="s">
        <v>2000</v>
      </c>
      <c r="CM104" s="9"/>
      <c r="CN104" s="9">
        <v>0</v>
      </c>
      <c r="CO104" s="9" t="s">
        <v>1925</v>
      </c>
      <c r="CP104" s="9"/>
      <c r="CQ104" s="9"/>
    </row>
    <row r="105" spans="1:95" x14ac:dyDescent="0.35">
      <c r="A105" s="9" t="b">
        <f>ISNUMBER(MATCH(Claude[[#This Row],[Id]],ChargentOrders[Id],0))</f>
        <v>1</v>
      </c>
      <c r="B105" t="b">
        <f>INDEX(ChargentOrders[VALIDO],MATCH(Claude[[#This Row],[Id]],ChargentOrders[Id],0))</f>
        <v>1</v>
      </c>
      <c r="C105">
        <f>INDEX(Contract[CB_Subscription__c],MATCH(Claude[[#This Row],[Contract__c]],Contract[Id],0))</f>
        <v>0</v>
      </c>
      <c r="D105" s="9" t="s">
        <v>404</v>
      </c>
      <c r="E105" s="9" t="s">
        <v>79</v>
      </c>
      <c r="F105" s="9">
        <v>0</v>
      </c>
      <c r="G105" s="9" t="s">
        <v>405</v>
      </c>
      <c r="H105" s="9">
        <v>45874.678611111114</v>
      </c>
      <c r="I105" s="9" t="s">
        <v>79</v>
      </c>
      <c r="J105" s="9">
        <v>45874.67869212963</v>
      </c>
      <c r="K105" s="9" t="s">
        <v>79</v>
      </c>
      <c r="L105" s="9">
        <v>45874.67869212963</v>
      </c>
      <c r="M105" s="9"/>
      <c r="N105" s="9"/>
      <c r="O105" s="9" t="s">
        <v>2052</v>
      </c>
      <c r="P105" s="9" t="s">
        <v>2053</v>
      </c>
      <c r="Q105" s="9" t="s">
        <v>1925</v>
      </c>
      <c r="R105" s="9" t="s">
        <v>1642</v>
      </c>
      <c r="S105" s="9" t="s">
        <v>2054</v>
      </c>
      <c r="T105" s="9" t="s">
        <v>2055</v>
      </c>
      <c r="U105" s="9" t="s">
        <v>1928</v>
      </c>
      <c r="V105" s="9">
        <v>738</v>
      </c>
      <c r="W105" s="9">
        <v>1</v>
      </c>
      <c r="X105" s="9">
        <v>2027</v>
      </c>
      <c r="Y105" s="9">
        <v>2506</v>
      </c>
      <c r="Z105" s="9">
        <v>1</v>
      </c>
      <c r="AA105" s="9">
        <v>4549516901832500</v>
      </c>
      <c r="AB105" s="9" t="s">
        <v>73</v>
      </c>
      <c r="AC105" s="9">
        <v>2027</v>
      </c>
      <c r="AD105" s="9" t="s">
        <v>93</v>
      </c>
      <c r="AE105" s="9"/>
      <c r="AF105" s="9" t="s">
        <v>1929</v>
      </c>
      <c r="AG105" s="9"/>
      <c r="AH105" s="9" t="s">
        <v>67</v>
      </c>
      <c r="AI105" s="9">
        <v>0</v>
      </c>
      <c r="AJ105" s="9"/>
      <c r="AK105" s="9">
        <v>0</v>
      </c>
      <c r="AL105" s="9" t="s">
        <v>1930</v>
      </c>
      <c r="AM105" s="9"/>
      <c r="AN105" s="9"/>
      <c r="AO105" s="9" t="s">
        <v>1931</v>
      </c>
      <c r="AP105" s="9" t="s">
        <v>69</v>
      </c>
      <c r="AQ105" s="9" t="s">
        <v>1932</v>
      </c>
      <c r="AR105" s="9"/>
      <c r="AS105" s="9"/>
      <c r="AT105" s="9"/>
      <c r="AU105" s="9" t="s">
        <v>92</v>
      </c>
      <c r="AV105" s="9">
        <v>0</v>
      </c>
      <c r="AW105" s="9"/>
      <c r="AX105" s="9" t="s">
        <v>406</v>
      </c>
      <c r="AY105" s="9">
        <v>0</v>
      </c>
      <c r="AZ105" s="9"/>
      <c r="BA105" s="9">
        <v>45874.678657407407</v>
      </c>
      <c r="BB105" s="9">
        <v>0</v>
      </c>
      <c r="BC105" s="9">
        <v>1</v>
      </c>
      <c r="BD105" s="9">
        <v>0</v>
      </c>
      <c r="BE105" s="9" t="s">
        <v>407</v>
      </c>
      <c r="BF105" s="9"/>
      <c r="BG105" s="9"/>
      <c r="BH105" s="9">
        <v>0</v>
      </c>
      <c r="BI105" s="9"/>
      <c r="BJ105" s="9">
        <v>1</v>
      </c>
      <c r="BK105" s="9"/>
      <c r="BL105" s="9"/>
      <c r="BM105" s="9" t="s">
        <v>75</v>
      </c>
      <c r="BN105" s="9"/>
      <c r="BO105" s="9">
        <v>0</v>
      </c>
      <c r="BP105" s="9"/>
      <c r="BQ105" s="9">
        <v>1</v>
      </c>
      <c r="BR105" s="9"/>
      <c r="BS105" s="9"/>
      <c r="BT105" s="9"/>
      <c r="BU105" s="9"/>
      <c r="BV105" s="9"/>
      <c r="BW105" s="9">
        <v>0</v>
      </c>
      <c r="BX105" s="9"/>
      <c r="BY105" s="9">
        <v>45874.67864583333</v>
      </c>
      <c r="BZ105" s="9"/>
      <c r="CA105" s="9"/>
      <c r="CB105" s="9"/>
      <c r="CC105" s="9"/>
      <c r="CD105" s="9"/>
      <c r="CE105" s="9"/>
      <c r="CF105" s="9"/>
      <c r="CG105" s="9"/>
      <c r="CH105" s="9">
        <v>1</v>
      </c>
      <c r="CI105" s="9">
        <v>0</v>
      </c>
      <c r="CJ105" s="9"/>
      <c r="CK105" s="9"/>
      <c r="CL105" s="9" t="s">
        <v>2056</v>
      </c>
      <c r="CM105" s="9"/>
      <c r="CN105" s="9">
        <v>0</v>
      </c>
      <c r="CO105" s="9" t="s">
        <v>1925</v>
      </c>
      <c r="CP105" s="9"/>
      <c r="CQ105" s="9"/>
    </row>
    <row r="106" spans="1:95" x14ac:dyDescent="0.35">
      <c r="A106" s="9" t="b">
        <f>ISNUMBER(MATCH(Claude[[#This Row],[Id]],ChargentOrders[Id],0))</f>
        <v>1</v>
      </c>
      <c r="B106" t="b">
        <f>INDEX(ChargentOrders[VALIDO],MATCH(Claude[[#This Row],[Id]],ChargentOrders[Id],0))</f>
        <v>1</v>
      </c>
      <c r="C106">
        <f>INDEX(Contract[CB_Subscription__c],MATCH(Claude[[#This Row],[Contract__c]],Contract[Id],0))</f>
        <v>0</v>
      </c>
      <c r="D106" s="9" t="s">
        <v>408</v>
      </c>
      <c r="E106" s="9" t="s">
        <v>79</v>
      </c>
      <c r="F106" s="9">
        <v>0</v>
      </c>
      <c r="G106" s="9" t="s">
        <v>409</v>
      </c>
      <c r="H106" s="9">
        <v>45874.679131944446</v>
      </c>
      <c r="I106" s="9" t="s">
        <v>79</v>
      </c>
      <c r="J106" s="9">
        <v>45874.679456018515</v>
      </c>
      <c r="K106" s="9" t="s">
        <v>79</v>
      </c>
      <c r="L106" s="9">
        <v>45874.679456018515</v>
      </c>
      <c r="M106" s="9"/>
      <c r="N106" s="9" t="s">
        <v>1644</v>
      </c>
      <c r="O106" s="9" t="s">
        <v>2052</v>
      </c>
      <c r="P106" s="9" t="s">
        <v>2053</v>
      </c>
      <c r="Q106" s="9" t="s">
        <v>1925</v>
      </c>
      <c r="R106" s="9" t="s">
        <v>1642</v>
      </c>
      <c r="S106" s="9" t="s">
        <v>2054</v>
      </c>
      <c r="T106" s="9" t="s">
        <v>2055</v>
      </c>
      <c r="U106" s="9" t="s">
        <v>1928</v>
      </c>
      <c r="V106" s="9">
        <v>738</v>
      </c>
      <c r="W106" s="9">
        <v>1</v>
      </c>
      <c r="X106" s="9">
        <v>2027</v>
      </c>
      <c r="Y106" s="9">
        <v>2506</v>
      </c>
      <c r="Z106" s="9">
        <v>1</v>
      </c>
      <c r="AA106" s="9">
        <v>4549516901832500</v>
      </c>
      <c r="AB106" s="9" t="s">
        <v>73</v>
      </c>
      <c r="AC106" s="9">
        <v>2027</v>
      </c>
      <c r="AD106" s="9" t="s">
        <v>2001</v>
      </c>
      <c r="AE106" s="9"/>
      <c r="AF106" s="9" t="s">
        <v>1929</v>
      </c>
      <c r="AG106" s="9"/>
      <c r="AH106" s="9" t="s">
        <v>67</v>
      </c>
      <c r="AI106" s="9">
        <v>0</v>
      </c>
      <c r="AJ106" s="9"/>
      <c r="AK106" s="9">
        <v>0</v>
      </c>
      <c r="AL106" s="9" t="s">
        <v>1930</v>
      </c>
      <c r="AM106" s="9">
        <v>1</v>
      </c>
      <c r="AN106" s="9"/>
      <c r="AO106" s="9" t="s">
        <v>1931</v>
      </c>
      <c r="AP106" s="9" t="s">
        <v>69</v>
      </c>
      <c r="AQ106" s="9" t="s">
        <v>1932</v>
      </c>
      <c r="AR106" s="9">
        <v>45874</v>
      </c>
      <c r="AS106" s="9" t="s">
        <v>74</v>
      </c>
      <c r="AT106" s="9" t="s">
        <v>1935</v>
      </c>
      <c r="AU106" s="9" t="s">
        <v>2002</v>
      </c>
      <c r="AV106" s="9">
        <v>0</v>
      </c>
      <c r="AW106" s="9">
        <v>18285</v>
      </c>
      <c r="AX106" s="9" t="s">
        <v>406</v>
      </c>
      <c r="AY106" s="9">
        <v>0</v>
      </c>
      <c r="AZ106" s="9">
        <v>45874.679398148146</v>
      </c>
      <c r="BA106" s="9">
        <v>45874.679398148146</v>
      </c>
      <c r="BB106" s="9">
        <v>1</v>
      </c>
      <c r="BC106" s="9">
        <v>1</v>
      </c>
      <c r="BD106" s="9" t="s">
        <v>2001</v>
      </c>
      <c r="BE106" s="9" t="s">
        <v>407</v>
      </c>
      <c r="BF106" s="9" t="s">
        <v>77</v>
      </c>
      <c r="BG106" s="9"/>
      <c r="BH106" s="9">
        <v>0</v>
      </c>
      <c r="BI106" s="9"/>
      <c r="BJ106" s="9">
        <v>1</v>
      </c>
      <c r="BK106" s="9" t="s">
        <v>1937</v>
      </c>
      <c r="BL106" s="9" t="s">
        <v>1938</v>
      </c>
      <c r="BM106" s="9" t="s">
        <v>75</v>
      </c>
      <c r="BN106" s="9"/>
      <c r="BO106" s="9">
        <v>0</v>
      </c>
      <c r="BP106" s="9"/>
      <c r="BQ106" s="9">
        <v>0</v>
      </c>
      <c r="BR106" s="9"/>
      <c r="BS106" s="9"/>
      <c r="BT106" s="9"/>
      <c r="BU106" s="9"/>
      <c r="BV106" s="9"/>
      <c r="BW106" s="9">
        <v>0</v>
      </c>
      <c r="BX106" s="9"/>
      <c r="BY106" s="9">
        <v>45874.679398148146</v>
      </c>
      <c r="BZ106" s="9"/>
      <c r="CA106" s="9"/>
      <c r="CB106" s="9"/>
      <c r="CC106" s="9"/>
      <c r="CD106" s="9"/>
      <c r="CE106" s="9"/>
      <c r="CF106" s="9"/>
      <c r="CG106" s="9"/>
      <c r="CH106" s="9">
        <v>1</v>
      </c>
      <c r="CI106" s="9">
        <v>0</v>
      </c>
      <c r="CJ106" s="9"/>
      <c r="CK106" s="9"/>
      <c r="CL106" s="9" t="s">
        <v>2056</v>
      </c>
      <c r="CM106" s="9"/>
      <c r="CN106" s="9">
        <v>0</v>
      </c>
      <c r="CO106" s="9" t="s">
        <v>1925</v>
      </c>
      <c r="CP106" s="9"/>
      <c r="CQ106" s="9"/>
    </row>
    <row r="107" spans="1:95" x14ac:dyDescent="0.35">
      <c r="A107" s="9" t="b">
        <f>ISNUMBER(MATCH(Claude[[#This Row],[Id]],ChargentOrders[Id],0))</f>
        <v>1</v>
      </c>
      <c r="B107" t="b">
        <f>INDEX(ChargentOrders[VALIDO],MATCH(Claude[[#This Row],[Id]],ChargentOrders[Id],0))</f>
        <v>1</v>
      </c>
      <c r="C107">
        <f>INDEX(Contract[CB_Subscription__c],MATCH(Claude[[#This Row],[Contract__c]],Contract[Id],0))</f>
        <v>0</v>
      </c>
      <c r="D107" s="9" t="s">
        <v>410</v>
      </c>
      <c r="E107" s="9" t="s">
        <v>79</v>
      </c>
      <c r="F107" s="9">
        <v>0</v>
      </c>
      <c r="G107" s="9" t="s">
        <v>411</v>
      </c>
      <c r="H107" s="9">
        <v>45874.6794212963</v>
      </c>
      <c r="I107" s="9" t="s">
        <v>79</v>
      </c>
      <c r="J107" s="9">
        <v>46217.738564814812</v>
      </c>
      <c r="K107" s="9" t="s">
        <v>78</v>
      </c>
      <c r="L107" s="9">
        <v>46217.738564814812</v>
      </c>
      <c r="M107" s="9"/>
      <c r="N107" s="9" t="s">
        <v>1644</v>
      </c>
      <c r="O107" s="9" t="s">
        <v>2052</v>
      </c>
      <c r="P107" s="9" t="s">
        <v>2053</v>
      </c>
      <c r="Q107" s="9" t="s">
        <v>1925</v>
      </c>
      <c r="R107" s="9" t="s">
        <v>1642</v>
      </c>
      <c r="S107" s="9" t="s">
        <v>2054</v>
      </c>
      <c r="T107" s="9" t="s">
        <v>2055</v>
      </c>
      <c r="U107" s="9" t="s">
        <v>1928</v>
      </c>
      <c r="V107" s="9">
        <v>738</v>
      </c>
      <c r="W107" s="9">
        <v>1</v>
      </c>
      <c r="X107" s="9">
        <v>2027</v>
      </c>
      <c r="Y107" s="9">
        <v>2506</v>
      </c>
      <c r="Z107" s="9">
        <v>1</v>
      </c>
      <c r="AA107" s="9">
        <v>2506</v>
      </c>
      <c r="AB107" s="9" t="s">
        <v>73</v>
      </c>
      <c r="AC107" s="9">
        <v>2027</v>
      </c>
      <c r="AD107" s="9" t="s">
        <v>473</v>
      </c>
      <c r="AE107" s="9">
        <v>30</v>
      </c>
      <c r="AF107" s="9" t="s">
        <v>1929</v>
      </c>
      <c r="AG107" s="9"/>
      <c r="AH107" s="9" t="s">
        <v>67</v>
      </c>
      <c r="AI107" s="9">
        <v>0</v>
      </c>
      <c r="AJ107" s="9"/>
      <c r="AK107" s="9">
        <v>0</v>
      </c>
      <c r="AL107" s="9" t="s">
        <v>1930</v>
      </c>
      <c r="AM107" s="9"/>
      <c r="AN107" s="9"/>
      <c r="AO107" s="9" t="s">
        <v>1943</v>
      </c>
      <c r="AP107" s="9" t="s">
        <v>69</v>
      </c>
      <c r="AQ107" s="9" t="s">
        <v>1932</v>
      </c>
      <c r="AR107" s="9">
        <v>46233</v>
      </c>
      <c r="AS107" s="9" t="s">
        <v>84</v>
      </c>
      <c r="AT107" s="9" t="s">
        <v>1944</v>
      </c>
      <c r="AU107" s="9" t="s">
        <v>473</v>
      </c>
      <c r="AV107" s="9">
        <v>0</v>
      </c>
      <c r="AW107" s="9" t="s">
        <v>92</v>
      </c>
      <c r="AX107" s="9" t="s">
        <v>406</v>
      </c>
      <c r="AY107" s="9">
        <v>0</v>
      </c>
      <c r="AZ107" s="9">
        <v>46048.418877314813</v>
      </c>
      <c r="BA107" s="9">
        <v>46048.418900462966</v>
      </c>
      <c r="BB107" s="9">
        <v>5</v>
      </c>
      <c r="BC107" s="9">
        <v>10</v>
      </c>
      <c r="BD107" s="9" t="s">
        <v>2057</v>
      </c>
      <c r="BE107" s="9" t="s">
        <v>407</v>
      </c>
      <c r="BF107" s="9" t="s">
        <v>76</v>
      </c>
      <c r="BG107" s="9"/>
      <c r="BH107" s="9">
        <v>0</v>
      </c>
      <c r="BI107" s="9"/>
      <c r="BJ107" s="9">
        <v>11</v>
      </c>
      <c r="BK107" s="9" t="s">
        <v>92</v>
      </c>
      <c r="BL107" s="9" t="s">
        <v>92</v>
      </c>
      <c r="BM107" s="9" t="s">
        <v>75</v>
      </c>
      <c r="BN107" s="9"/>
      <c r="BO107" s="9">
        <v>0</v>
      </c>
      <c r="BP107" s="9"/>
      <c r="BQ107" s="9">
        <v>0</v>
      </c>
      <c r="BR107" s="9"/>
      <c r="BS107" s="9"/>
      <c r="BT107" s="9"/>
      <c r="BU107" s="9"/>
      <c r="BV107" s="9"/>
      <c r="BW107" s="9">
        <v>0</v>
      </c>
      <c r="BX107" s="9">
        <v>46203.417060185187</v>
      </c>
      <c r="BY107" s="9">
        <v>46203.417060185187</v>
      </c>
      <c r="BZ107" s="9"/>
      <c r="CA107" s="9"/>
      <c r="CB107" s="9"/>
      <c r="CC107" s="9"/>
      <c r="CD107" s="9"/>
      <c r="CE107" s="9"/>
      <c r="CF107" s="9"/>
      <c r="CG107" s="9"/>
      <c r="CH107" s="9">
        <v>1</v>
      </c>
      <c r="CI107" s="9">
        <v>0</v>
      </c>
      <c r="CJ107" s="9"/>
      <c r="CK107" s="9"/>
      <c r="CL107" s="9" t="s">
        <v>2056</v>
      </c>
      <c r="CM107" s="9"/>
      <c r="CN107" s="9">
        <v>0</v>
      </c>
      <c r="CO107" s="9" t="s">
        <v>1925</v>
      </c>
      <c r="CP107" s="9" t="s">
        <v>2058</v>
      </c>
      <c r="CQ107" s="9">
        <v>0</v>
      </c>
    </row>
    <row r="108" spans="1:95" x14ac:dyDescent="0.35">
      <c r="A108" s="9" t="b">
        <f>ISNUMBER(MATCH(Claude[[#This Row],[Id]],ChargentOrders[Id],0))</f>
        <v>1</v>
      </c>
      <c r="B108" t="b">
        <f>INDEX(ChargentOrders[VALIDO],MATCH(Claude[[#This Row],[Id]],ChargentOrders[Id],0))</f>
        <v>1</v>
      </c>
      <c r="C108">
        <f>INDEX(Contract[CB_Subscription__c],MATCH(Claude[[#This Row],[Contract__c]],Contract[Id],0))</f>
        <v>0</v>
      </c>
      <c r="D108" s="9" t="s">
        <v>412</v>
      </c>
      <c r="E108" s="9" t="s">
        <v>155</v>
      </c>
      <c r="F108" s="9">
        <v>0</v>
      </c>
      <c r="G108" s="9" t="s">
        <v>413</v>
      </c>
      <c r="H108" s="9">
        <v>45883.818333333336</v>
      </c>
      <c r="I108" s="9" t="s">
        <v>155</v>
      </c>
      <c r="J108" s="9">
        <v>45883.818402777775</v>
      </c>
      <c r="K108" s="9" t="s">
        <v>155</v>
      </c>
      <c r="L108" s="9">
        <v>45883.818402777775</v>
      </c>
      <c r="M108" s="9"/>
      <c r="N108" s="9"/>
      <c r="O108" s="9" t="s">
        <v>2059</v>
      </c>
      <c r="P108" s="9" t="s">
        <v>1990</v>
      </c>
      <c r="Q108" s="9" t="s">
        <v>1925</v>
      </c>
      <c r="R108" s="9" t="s">
        <v>1647</v>
      </c>
      <c r="S108" s="9" t="s">
        <v>2060</v>
      </c>
      <c r="T108" s="9" t="s">
        <v>2061</v>
      </c>
      <c r="U108" s="9" t="s">
        <v>1928</v>
      </c>
      <c r="V108" s="9">
        <v>915</v>
      </c>
      <c r="W108" s="9">
        <v>10</v>
      </c>
      <c r="X108" s="9">
        <v>2028</v>
      </c>
      <c r="Y108" s="9">
        <v>2362</v>
      </c>
      <c r="Z108" s="9">
        <v>10</v>
      </c>
      <c r="AA108" s="9">
        <v>4549516362132360</v>
      </c>
      <c r="AB108" s="9" t="s">
        <v>73</v>
      </c>
      <c r="AC108" s="9">
        <v>2028</v>
      </c>
      <c r="AD108" s="9" t="s">
        <v>93</v>
      </c>
      <c r="AE108" s="9"/>
      <c r="AF108" s="9" t="s">
        <v>1929</v>
      </c>
      <c r="AG108" s="9"/>
      <c r="AH108" s="9" t="s">
        <v>67</v>
      </c>
      <c r="AI108" s="9">
        <v>0</v>
      </c>
      <c r="AJ108" s="9"/>
      <c r="AK108" s="9">
        <v>0</v>
      </c>
      <c r="AL108" s="9" t="s">
        <v>1930</v>
      </c>
      <c r="AM108" s="9"/>
      <c r="AN108" s="9"/>
      <c r="AO108" s="9" t="s">
        <v>1931</v>
      </c>
      <c r="AP108" s="9" t="s">
        <v>69</v>
      </c>
      <c r="AQ108" s="9" t="s">
        <v>1932</v>
      </c>
      <c r="AR108" s="9"/>
      <c r="AS108" s="9"/>
      <c r="AT108" s="9"/>
      <c r="AU108" s="9" t="s">
        <v>92</v>
      </c>
      <c r="AV108" s="9">
        <v>0</v>
      </c>
      <c r="AW108" s="9"/>
      <c r="AX108" s="9" t="s">
        <v>414</v>
      </c>
      <c r="AY108" s="9">
        <v>0</v>
      </c>
      <c r="AZ108" s="9"/>
      <c r="BA108" s="9">
        <v>45883.818356481483</v>
      </c>
      <c r="BB108" s="9">
        <v>0</v>
      </c>
      <c r="BC108" s="9">
        <v>1</v>
      </c>
      <c r="BD108" s="9">
        <v>0</v>
      </c>
      <c r="BE108" s="9" t="s">
        <v>415</v>
      </c>
      <c r="BF108" s="9"/>
      <c r="BG108" s="9"/>
      <c r="BH108" s="9">
        <v>0</v>
      </c>
      <c r="BI108" s="9"/>
      <c r="BJ108" s="9">
        <v>1</v>
      </c>
      <c r="BK108" s="9"/>
      <c r="BL108" s="9"/>
      <c r="BM108" s="9" t="s">
        <v>75</v>
      </c>
      <c r="BN108" s="9"/>
      <c r="BO108" s="9">
        <v>0</v>
      </c>
      <c r="BP108" s="9"/>
      <c r="BQ108" s="9">
        <v>1</v>
      </c>
      <c r="BR108" s="9"/>
      <c r="BS108" s="9"/>
      <c r="BT108" s="9"/>
      <c r="BU108" s="9"/>
      <c r="BV108" s="9"/>
      <c r="BW108" s="9">
        <v>0</v>
      </c>
      <c r="BX108" s="9"/>
      <c r="BY108" s="9">
        <v>45883.818356481483</v>
      </c>
      <c r="BZ108" s="9"/>
      <c r="CA108" s="9"/>
      <c r="CB108" s="9"/>
      <c r="CC108" s="9"/>
      <c r="CD108" s="9"/>
      <c r="CE108" s="9"/>
      <c r="CF108" s="9"/>
      <c r="CG108" s="9"/>
      <c r="CH108" s="9">
        <v>1</v>
      </c>
      <c r="CI108" s="9">
        <v>0</v>
      </c>
      <c r="CJ108" s="9"/>
      <c r="CK108" s="9"/>
      <c r="CL108" s="9" t="s">
        <v>2062</v>
      </c>
      <c r="CM108" s="9"/>
      <c r="CN108" s="9">
        <v>0</v>
      </c>
      <c r="CO108" s="9" t="s">
        <v>1925</v>
      </c>
      <c r="CP108" s="9"/>
      <c r="CQ108" s="9"/>
    </row>
    <row r="109" spans="1:95" x14ac:dyDescent="0.35">
      <c r="A109" s="9" t="b">
        <f>ISNUMBER(MATCH(Claude[[#This Row],[Id]],ChargentOrders[Id],0))</f>
        <v>1</v>
      </c>
      <c r="B109" t="b">
        <f>INDEX(ChargentOrders[VALIDO],MATCH(Claude[[#This Row],[Id]],ChargentOrders[Id],0))</f>
        <v>1</v>
      </c>
      <c r="C109">
        <f>INDEX(Contract[CB_Subscription__c],MATCH(Claude[[#This Row],[Contract__c]],Contract[Id],0))</f>
        <v>0</v>
      </c>
      <c r="D109" s="9" t="s">
        <v>416</v>
      </c>
      <c r="E109" s="9" t="s">
        <v>155</v>
      </c>
      <c r="F109" s="9">
        <v>0</v>
      </c>
      <c r="G109" s="9" t="s">
        <v>417</v>
      </c>
      <c r="H109" s="9">
        <v>45883.819247685184</v>
      </c>
      <c r="I109" s="9" t="s">
        <v>155</v>
      </c>
      <c r="J109" s="9">
        <v>45898.431192129632</v>
      </c>
      <c r="K109" s="9" t="s">
        <v>65</v>
      </c>
      <c r="L109" s="9">
        <v>45898.431192129632</v>
      </c>
      <c r="M109" s="9"/>
      <c r="N109" s="9" t="s">
        <v>1649</v>
      </c>
      <c r="O109" s="9" t="s">
        <v>2059</v>
      </c>
      <c r="P109" s="9" t="s">
        <v>1990</v>
      </c>
      <c r="Q109" s="9" t="s">
        <v>1925</v>
      </c>
      <c r="R109" s="9" t="s">
        <v>1647</v>
      </c>
      <c r="S109" s="9" t="s">
        <v>2060</v>
      </c>
      <c r="T109" s="9" t="s">
        <v>2061</v>
      </c>
      <c r="U109" s="9" t="s">
        <v>1928</v>
      </c>
      <c r="V109" s="9">
        <v>915</v>
      </c>
      <c r="W109" s="9">
        <v>10</v>
      </c>
      <c r="X109" s="9">
        <v>2028</v>
      </c>
      <c r="Y109" s="9">
        <v>2362</v>
      </c>
      <c r="Z109" s="9">
        <v>10</v>
      </c>
      <c r="AA109" s="9">
        <v>4549516362132360</v>
      </c>
      <c r="AB109" s="9" t="s">
        <v>73</v>
      </c>
      <c r="AC109" s="9">
        <v>2028</v>
      </c>
      <c r="AD109" s="9" t="s">
        <v>168</v>
      </c>
      <c r="AE109" s="9"/>
      <c r="AF109" s="9" t="s">
        <v>1929</v>
      </c>
      <c r="AG109" s="9"/>
      <c r="AH109" s="9" t="s">
        <v>67</v>
      </c>
      <c r="AI109" s="9">
        <v>0</v>
      </c>
      <c r="AJ109" s="9"/>
      <c r="AK109" s="9">
        <v>0</v>
      </c>
      <c r="AL109" s="9" t="s">
        <v>1930</v>
      </c>
      <c r="AM109" s="9">
        <v>1</v>
      </c>
      <c r="AN109" s="9">
        <v>45898</v>
      </c>
      <c r="AO109" s="9" t="s">
        <v>1931</v>
      </c>
      <c r="AP109" s="9" t="s">
        <v>69</v>
      </c>
      <c r="AQ109" s="9" t="s">
        <v>1932</v>
      </c>
      <c r="AR109" s="9">
        <v>45898</v>
      </c>
      <c r="AS109" s="9" t="s">
        <v>74</v>
      </c>
      <c r="AT109" s="9" t="s">
        <v>1935</v>
      </c>
      <c r="AU109" s="9" t="s">
        <v>374</v>
      </c>
      <c r="AV109" s="9">
        <v>0</v>
      </c>
      <c r="AW109" s="9">
        <v>11385</v>
      </c>
      <c r="AX109" s="9" t="s">
        <v>414</v>
      </c>
      <c r="AY109" s="9">
        <v>0</v>
      </c>
      <c r="AZ109" s="9"/>
      <c r="BA109" s="9"/>
      <c r="BB109" s="9">
        <v>0</v>
      </c>
      <c r="BC109" s="9">
        <v>1</v>
      </c>
      <c r="BD109" s="9">
        <v>0</v>
      </c>
      <c r="BE109" s="9" t="s">
        <v>415</v>
      </c>
      <c r="BF109" s="9" t="s">
        <v>77</v>
      </c>
      <c r="BG109" s="9"/>
      <c r="BH109" s="9">
        <v>0</v>
      </c>
      <c r="BI109" s="9"/>
      <c r="BJ109" s="9">
        <v>1</v>
      </c>
      <c r="BK109" s="9" t="s">
        <v>1937</v>
      </c>
      <c r="BL109" s="9" t="s">
        <v>1938</v>
      </c>
      <c r="BM109" s="9" t="s">
        <v>75</v>
      </c>
      <c r="BN109" s="9"/>
      <c r="BO109" s="9">
        <v>0</v>
      </c>
      <c r="BP109" s="9"/>
      <c r="BQ109" s="9">
        <v>0</v>
      </c>
      <c r="BR109" s="9"/>
      <c r="BS109" s="9"/>
      <c r="BT109" s="9"/>
      <c r="BU109" s="9"/>
      <c r="BV109" s="9"/>
      <c r="BW109" s="9">
        <v>0</v>
      </c>
      <c r="BX109" s="9">
        <v>45898.431122685186</v>
      </c>
      <c r="BY109" s="9">
        <v>45898.431122685186</v>
      </c>
      <c r="BZ109" s="9"/>
      <c r="CA109" s="9"/>
      <c r="CB109" s="9"/>
      <c r="CC109" s="9"/>
      <c r="CD109" s="9"/>
      <c r="CE109" s="9"/>
      <c r="CF109" s="9"/>
      <c r="CG109" s="9"/>
      <c r="CH109" s="9">
        <v>1</v>
      </c>
      <c r="CI109" s="9">
        <v>0</v>
      </c>
      <c r="CJ109" s="9"/>
      <c r="CK109" s="9"/>
      <c r="CL109" s="9" t="s">
        <v>2062</v>
      </c>
      <c r="CM109" s="9"/>
      <c r="CN109" s="9">
        <v>0</v>
      </c>
      <c r="CO109" s="9" t="s">
        <v>1925</v>
      </c>
      <c r="CP109" s="9"/>
      <c r="CQ109" s="9"/>
    </row>
    <row r="110" spans="1:95" x14ac:dyDescent="0.35">
      <c r="A110" s="9" t="b">
        <f>ISNUMBER(MATCH(Claude[[#This Row],[Id]],ChargentOrders[Id],0))</f>
        <v>1</v>
      </c>
      <c r="B110" t="b">
        <f>INDEX(ChargentOrders[VALIDO],MATCH(Claude[[#This Row],[Id]],ChargentOrders[Id],0))</f>
        <v>1</v>
      </c>
      <c r="C110">
        <f>INDEX(Contract[CB_Subscription__c],MATCH(Claude[[#This Row],[Contract__c]],Contract[Id],0))</f>
        <v>0</v>
      </c>
      <c r="D110" s="9" t="s">
        <v>418</v>
      </c>
      <c r="E110" s="9" t="s">
        <v>81</v>
      </c>
      <c r="F110" s="9">
        <v>0</v>
      </c>
      <c r="G110" s="9" t="s">
        <v>419</v>
      </c>
      <c r="H110" s="9">
        <v>45891.421851851854</v>
      </c>
      <c r="I110" s="9" t="s">
        <v>65</v>
      </c>
      <c r="J110" s="9">
        <v>45978.419247685182</v>
      </c>
      <c r="K110" s="9" t="s">
        <v>65</v>
      </c>
      <c r="L110" s="9">
        <v>45978.419247685182</v>
      </c>
      <c r="M110" s="9"/>
      <c r="N110" s="9" t="s">
        <v>1639</v>
      </c>
      <c r="O110" s="9" t="s">
        <v>2043</v>
      </c>
      <c r="P110" s="9" t="s">
        <v>2044</v>
      </c>
      <c r="Q110" s="9" t="s">
        <v>1925</v>
      </c>
      <c r="R110" s="9" t="s">
        <v>1637</v>
      </c>
      <c r="S110" s="9" t="s">
        <v>2045</v>
      </c>
      <c r="T110" s="9" t="s">
        <v>2046</v>
      </c>
      <c r="U110" s="9" t="s">
        <v>1928</v>
      </c>
      <c r="V110" s="9">
        <v>725</v>
      </c>
      <c r="W110" s="9">
        <v>6</v>
      </c>
      <c r="X110" s="9">
        <v>2029</v>
      </c>
      <c r="Y110" s="9">
        <v>3025</v>
      </c>
      <c r="Z110" s="9">
        <v>6</v>
      </c>
      <c r="AA110" s="9">
        <v>5392879776413020</v>
      </c>
      <c r="AB110" s="9" t="s">
        <v>66</v>
      </c>
      <c r="AC110" s="9">
        <v>2029</v>
      </c>
      <c r="AD110" s="9" t="s">
        <v>2063</v>
      </c>
      <c r="AE110" s="9"/>
      <c r="AF110" s="9" t="s">
        <v>1929</v>
      </c>
      <c r="AG110" s="9"/>
      <c r="AH110" s="9" t="s">
        <v>67</v>
      </c>
      <c r="AI110" s="9">
        <v>0</v>
      </c>
      <c r="AJ110" s="9"/>
      <c r="AK110" s="9">
        <v>0</v>
      </c>
      <c r="AL110" s="9" t="s">
        <v>1930</v>
      </c>
      <c r="AM110" s="9">
        <v>1</v>
      </c>
      <c r="AN110" s="9">
        <v>45978</v>
      </c>
      <c r="AO110" s="9" t="s">
        <v>1931</v>
      </c>
      <c r="AP110" s="9" t="s">
        <v>69</v>
      </c>
      <c r="AQ110" s="9" t="s">
        <v>1932</v>
      </c>
      <c r="AR110" s="9">
        <v>45978</v>
      </c>
      <c r="AS110" s="9" t="s">
        <v>74</v>
      </c>
      <c r="AT110" s="9" t="s">
        <v>1935</v>
      </c>
      <c r="AU110" s="9" t="s">
        <v>2063</v>
      </c>
      <c r="AV110" s="9">
        <v>0</v>
      </c>
      <c r="AW110" s="9" t="s">
        <v>92</v>
      </c>
      <c r="AX110" s="9" t="s">
        <v>377</v>
      </c>
      <c r="AY110" s="9">
        <v>0</v>
      </c>
      <c r="AZ110" s="9">
        <v>45978.419189814813</v>
      </c>
      <c r="BA110" s="9">
        <v>45978.41920138889</v>
      </c>
      <c r="BB110" s="9">
        <v>1</v>
      </c>
      <c r="BC110" s="9">
        <v>53</v>
      </c>
      <c r="BD110" s="9" t="s">
        <v>2064</v>
      </c>
      <c r="BE110" s="9" t="s">
        <v>378</v>
      </c>
      <c r="BF110" s="9" t="s">
        <v>71</v>
      </c>
      <c r="BG110" s="9"/>
      <c r="BH110" s="9">
        <v>0</v>
      </c>
      <c r="BI110" s="9"/>
      <c r="BJ110" s="9"/>
      <c r="BK110" s="9" t="s">
        <v>93</v>
      </c>
      <c r="BL110" s="9" t="s">
        <v>93</v>
      </c>
      <c r="BM110" s="9" t="s">
        <v>72</v>
      </c>
      <c r="BN110" s="9" t="s">
        <v>384</v>
      </c>
      <c r="BO110" s="9">
        <v>1</v>
      </c>
      <c r="BP110" s="9" t="s">
        <v>420</v>
      </c>
      <c r="BQ110" s="9">
        <v>0</v>
      </c>
      <c r="BR110" s="9">
        <v>45860.630428240744</v>
      </c>
      <c r="BS110" s="9" t="s">
        <v>109</v>
      </c>
      <c r="BT110" s="9" t="s">
        <v>65</v>
      </c>
      <c r="BU110" s="9"/>
      <c r="BV110" s="9"/>
      <c r="BW110" s="9">
        <v>0</v>
      </c>
      <c r="BX110" s="9">
        <v>45975.421620370369</v>
      </c>
      <c r="BY110" s="9">
        <v>45978.419189814813</v>
      </c>
      <c r="BZ110" s="9"/>
      <c r="CA110" s="9"/>
      <c r="CB110" s="9"/>
      <c r="CC110" s="9"/>
      <c r="CD110" s="9"/>
      <c r="CE110" s="9"/>
      <c r="CF110" s="9"/>
      <c r="CG110" s="9"/>
      <c r="CH110" s="9">
        <v>1</v>
      </c>
      <c r="CI110" s="9">
        <v>0</v>
      </c>
      <c r="CJ110" s="9"/>
      <c r="CK110" s="9"/>
      <c r="CL110" s="9" t="s">
        <v>2047</v>
      </c>
      <c r="CM110" s="9" t="s">
        <v>77</v>
      </c>
      <c r="CN110" s="9">
        <v>0</v>
      </c>
      <c r="CO110" s="9" t="s">
        <v>1925</v>
      </c>
      <c r="CP110" s="9"/>
      <c r="CQ110" s="9"/>
    </row>
    <row r="111" spans="1:95" x14ac:dyDescent="0.35">
      <c r="A111" s="9" t="b">
        <f>ISNUMBER(MATCH(Claude[[#This Row],[Id]],ChargentOrders[Id],0))</f>
        <v>1</v>
      </c>
      <c r="B111" t="b">
        <f>INDEX(ChargentOrders[VALIDO],MATCH(Claude[[#This Row],[Id]],ChargentOrders[Id],0))</f>
        <v>1</v>
      </c>
      <c r="C111">
        <f>INDEX(Contract[CB_Subscription__c],MATCH(Claude[[#This Row],[Contract__c]],Contract[Id],0))</f>
        <v>0</v>
      </c>
      <c r="D111" s="9" t="s">
        <v>421</v>
      </c>
      <c r="E111" s="9" t="s">
        <v>79</v>
      </c>
      <c r="F111" s="9">
        <v>0</v>
      </c>
      <c r="G111" s="9" t="s">
        <v>422</v>
      </c>
      <c r="H111" s="9">
        <v>45894.59306712963</v>
      </c>
      <c r="I111" s="9" t="s">
        <v>79</v>
      </c>
      <c r="J111" s="9">
        <v>45894.593148148146</v>
      </c>
      <c r="K111" s="9" t="s">
        <v>79</v>
      </c>
      <c r="L111" s="9">
        <v>45894.593148148146</v>
      </c>
      <c r="M111" s="9"/>
      <c r="N111" s="9"/>
      <c r="O111" s="9" t="s">
        <v>2065</v>
      </c>
      <c r="P111" s="9" t="s">
        <v>2066</v>
      </c>
      <c r="Q111" s="9" t="s">
        <v>1925</v>
      </c>
      <c r="R111" s="9" t="s">
        <v>1652</v>
      </c>
      <c r="S111" s="9" t="s">
        <v>2067</v>
      </c>
      <c r="T111" s="9" t="s">
        <v>2068</v>
      </c>
      <c r="U111" s="9" t="s">
        <v>1928</v>
      </c>
      <c r="V111" s="9">
        <v>961</v>
      </c>
      <c r="W111" s="9">
        <v>7</v>
      </c>
      <c r="X111" s="9">
        <v>2029</v>
      </c>
      <c r="Y111" s="9">
        <v>6590</v>
      </c>
      <c r="Z111" s="9">
        <v>7</v>
      </c>
      <c r="AA111" s="9">
        <v>5159489901146590</v>
      </c>
      <c r="AB111" s="9" t="s">
        <v>66</v>
      </c>
      <c r="AC111" s="9">
        <v>2029</v>
      </c>
      <c r="AD111" s="9" t="s">
        <v>93</v>
      </c>
      <c r="AE111" s="9"/>
      <c r="AF111" s="9" t="s">
        <v>1929</v>
      </c>
      <c r="AG111" s="9"/>
      <c r="AH111" s="9" t="s">
        <v>67</v>
      </c>
      <c r="AI111" s="9">
        <v>0</v>
      </c>
      <c r="AJ111" s="9"/>
      <c r="AK111" s="9">
        <v>0</v>
      </c>
      <c r="AL111" s="9" t="s">
        <v>1930</v>
      </c>
      <c r="AM111" s="9"/>
      <c r="AN111" s="9"/>
      <c r="AO111" s="9" t="s">
        <v>1931</v>
      </c>
      <c r="AP111" s="9" t="s">
        <v>69</v>
      </c>
      <c r="AQ111" s="9" t="s">
        <v>1932</v>
      </c>
      <c r="AR111" s="9"/>
      <c r="AS111" s="9"/>
      <c r="AT111" s="9"/>
      <c r="AU111" s="9" t="s">
        <v>92</v>
      </c>
      <c r="AV111" s="9">
        <v>0</v>
      </c>
      <c r="AW111" s="9"/>
      <c r="AX111" s="9" t="s">
        <v>423</v>
      </c>
      <c r="AY111" s="9">
        <v>0</v>
      </c>
      <c r="AZ111" s="9"/>
      <c r="BA111" s="9">
        <v>45894.593090277776</v>
      </c>
      <c r="BB111" s="9">
        <v>0</v>
      </c>
      <c r="BC111" s="9">
        <v>1</v>
      </c>
      <c r="BD111" s="9">
        <v>0</v>
      </c>
      <c r="BE111" s="9" t="s">
        <v>424</v>
      </c>
      <c r="BF111" s="9"/>
      <c r="BG111" s="9"/>
      <c r="BH111" s="9">
        <v>0</v>
      </c>
      <c r="BI111" s="9"/>
      <c r="BJ111" s="9">
        <v>1</v>
      </c>
      <c r="BK111" s="9"/>
      <c r="BL111" s="9"/>
      <c r="BM111" s="9" t="s">
        <v>75</v>
      </c>
      <c r="BN111" s="9"/>
      <c r="BO111" s="9">
        <v>0</v>
      </c>
      <c r="BP111" s="9"/>
      <c r="BQ111" s="9">
        <v>1</v>
      </c>
      <c r="BR111" s="9"/>
      <c r="BS111" s="9"/>
      <c r="BT111" s="9"/>
      <c r="BU111" s="9"/>
      <c r="BV111" s="9"/>
      <c r="BW111" s="9">
        <v>0</v>
      </c>
      <c r="BX111" s="9"/>
      <c r="BY111" s="9">
        <v>45894.593090277776</v>
      </c>
      <c r="BZ111" s="9"/>
      <c r="CA111" s="9"/>
      <c r="CB111" s="9"/>
      <c r="CC111" s="9"/>
      <c r="CD111" s="9"/>
      <c r="CE111" s="9"/>
      <c r="CF111" s="9"/>
      <c r="CG111" s="9"/>
      <c r="CH111" s="9">
        <v>1</v>
      </c>
      <c r="CI111" s="9">
        <v>0</v>
      </c>
      <c r="CJ111" s="9"/>
      <c r="CK111" s="9"/>
      <c r="CL111" s="9" t="s">
        <v>2069</v>
      </c>
      <c r="CM111" s="9"/>
      <c r="CN111" s="9">
        <v>0</v>
      </c>
      <c r="CO111" s="9" t="s">
        <v>1925</v>
      </c>
      <c r="CP111" s="9"/>
      <c r="CQ111" s="9"/>
    </row>
    <row r="112" spans="1:95" x14ac:dyDescent="0.35">
      <c r="A112" s="9" t="b">
        <f>ISNUMBER(MATCH(Claude[[#This Row],[Id]],ChargentOrders[Id],0))</f>
        <v>1</v>
      </c>
      <c r="B112" t="b">
        <f>INDEX(ChargentOrders[VALIDO],MATCH(Claude[[#This Row],[Id]],ChargentOrders[Id],0))</f>
        <v>1</v>
      </c>
      <c r="C112">
        <f>INDEX(Contract[CB_Subscription__c],MATCH(Claude[[#This Row],[Contract__c]],Contract[Id],0))</f>
        <v>0</v>
      </c>
      <c r="D112" s="9" t="s">
        <v>425</v>
      </c>
      <c r="E112" s="9" t="s">
        <v>79</v>
      </c>
      <c r="F112" s="9">
        <v>0</v>
      </c>
      <c r="G112" s="9" t="s">
        <v>426</v>
      </c>
      <c r="H112" s="9">
        <v>45894.594328703701</v>
      </c>
      <c r="I112" s="9" t="s">
        <v>79</v>
      </c>
      <c r="J112" s="9">
        <v>45894.59479166667</v>
      </c>
      <c r="K112" s="9" t="s">
        <v>79</v>
      </c>
      <c r="L112" s="9">
        <v>45894.59479166667</v>
      </c>
      <c r="M112" s="9"/>
      <c r="N112" s="9" t="s">
        <v>1654</v>
      </c>
      <c r="O112" s="9" t="s">
        <v>2065</v>
      </c>
      <c r="P112" s="9" t="s">
        <v>2066</v>
      </c>
      <c r="Q112" s="9" t="s">
        <v>1925</v>
      </c>
      <c r="R112" s="9" t="s">
        <v>1652</v>
      </c>
      <c r="S112" s="9" t="s">
        <v>2067</v>
      </c>
      <c r="T112" s="9" t="s">
        <v>2068</v>
      </c>
      <c r="U112" s="9" t="s">
        <v>1928</v>
      </c>
      <c r="V112" s="9">
        <v>961</v>
      </c>
      <c r="W112" s="9">
        <v>7</v>
      </c>
      <c r="X112" s="9">
        <v>2029</v>
      </c>
      <c r="Y112" s="9">
        <v>6590</v>
      </c>
      <c r="Z112" s="9">
        <v>7</v>
      </c>
      <c r="AA112" s="9">
        <v>5159489901146590</v>
      </c>
      <c r="AB112" s="9" t="s">
        <v>66</v>
      </c>
      <c r="AC112" s="9">
        <v>2029</v>
      </c>
      <c r="AD112" s="9" t="s">
        <v>1978</v>
      </c>
      <c r="AE112" s="9"/>
      <c r="AF112" s="9" t="s">
        <v>1929</v>
      </c>
      <c r="AG112" s="9"/>
      <c r="AH112" s="9" t="s">
        <v>67</v>
      </c>
      <c r="AI112" s="9">
        <v>0</v>
      </c>
      <c r="AJ112" s="9"/>
      <c r="AK112" s="9">
        <v>0</v>
      </c>
      <c r="AL112" s="9" t="s">
        <v>1930</v>
      </c>
      <c r="AM112" s="9">
        <v>1</v>
      </c>
      <c r="AN112" s="9"/>
      <c r="AO112" s="9" t="s">
        <v>1931</v>
      </c>
      <c r="AP112" s="9" t="s">
        <v>69</v>
      </c>
      <c r="AQ112" s="9" t="s">
        <v>1932</v>
      </c>
      <c r="AR112" s="9">
        <v>45894</v>
      </c>
      <c r="AS112" s="9" t="s">
        <v>74</v>
      </c>
      <c r="AT112" s="9" t="s">
        <v>1935</v>
      </c>
      <c r="AU112" s="9" t="s">
        <v>1979</v>
      </c>
      <c r="AV112" s="9">
        <v>0</v>
      </c>
      <c r="AW112" s="9">
        <v>13685</v>
      </c>
      <c r="AX112" s="9" t="s">
        <v>423</v>
      </c>
      <c r="AY112" s="9">
        <v>0</v>
      </c>
      <c r="AZ112" s="9">
        <v>45894.594699074078</v>
      </c>
      <c r="BA112" s="9">
        <v>45894.594699074078</v>
      </c>
      <c r="BB112" s="9">
        <v>1</v>
      </c>
      <c r="BC112" s="9">
        <v>1</v>
      </c>
      <c r="BD112" s="9" t="s">
        <v>1978</v>
      </c>
      <c r="BE112" s="9" t="s">
        <v>424</v>
      </c>
      <c r="BF112" s="9" t="s">
        <v>77</v>
      </c>
      <c r="BG112" s="9"/>
      <c r="BH112" s="9">
        <v>0</v>
      </c>
      <c r="BI112" s="9"/>
      <c r="BJ112" s="9">
        <v>1</v>
      </c>
      <c r="BK112" s="9" t="s">
        <v>1937</v>
      </c>
      <c r="BL112" s="9" t="s">
        <v>1938</v>
      </c>
      <c r="BM112" s="9" t="s">
        <v>75</v>
      </c>
      <c r="BN112" s="9"/>
      <c r="BO112" s="9">
        <v>0</v>
      </c>
      <c r="BP112" s="9"/>
      <c r="BQ112" s="9">
        <v>0</v>
      </c>
      <c r="BR112" s="9"/>
      <c r="BS112" s="9"/>
      <c r="BT112" s="9"/>
      <c r="BU112" s="9"/>
      <c r="BV112" s="9"/>
      <c r="BW112" s="9">
        <v>0</v>
      </c>
      <c r="BX112" s="9"/>
      <c r="BY112" s="9">
        <v>45894.594699074078</v>
      </c>
      <c r="BZ112" s="9"/>
      <c r="CA112" s="9"/>
      <c r="CB112" s="9"/>
      <c r="CC112" s="9"/>
      <c r="CD112" s="9"/>
      <c r="CE112" s="9"/>
      <c r="CF112" s="9"/>
      <c r="CG112" s="9"/>
      <c r="CH112" s="9">
        <v>1</v>
      </c>
      <c r="CI112" s="9">
        <v>0</v>
      </c>
      <c r="CJ112" s="9"/>
      <c r="CK112" s="9"/>
      <c r="CL112" s="9" t="s">
        <v>2069</v>
      </c>
      <c r="CM112" s="9"/>
      <c r="CN112" s="9">
        <v>0</v>
      </c>
      <c r="CO112" s="9" t="s">
        <v>1925</v>
      </c>
      <c r="CP112" s="9"/>
      <c r="CQ112" s="9"/>
    </row>
    <row r="113" spans="1:95" x14ac:dyDescent="0.35">
      <c r="A113" s="9" t="b">
        <f>ISNUMBER(MATCH(Claude[[#This Row],[Id]],ChargentOrders[Id],0))</f>
        <v>1</v>
      </c>
      <c r="B113" t="b">
        <f>INDEX(ChargentOrders[VALIDO],MATCH(Claude[[#This Row],[Id]],ChargentOrders[Id],0))</f>
        <v>1</v>
      </c>
      <c r="C113">
        <f>INDEX(Contract[CB_Subscription__c],MATCH(Claude[[#This Row],[Contract__c]],Contract[Id],0))</f>
        <v>0</v>
      </c>
      <c r="D113" s="9" t="s">
        <v>427</v>
      </c>
      <c r="E113" s="9" t="s">
        <v>79</v>
      </c>
      <c r="F113" s="9">
        <v>0</v>
      </c>
      <c r="G113" s="9" t="s">
        <v>428</v>
      </c>
      <c r="H113" s="9">
        <v>45894.594756944447</v>
      </c>
      <c r="I113" s="9" t="s">
        <v>79</v>
      </c>
      <c r="J113" s="9">
        <v>46216.994652777779</v>
      </c>
      <c r="K113" s="9" t="s">
        <v>101</v>
      </c>
      <c r="L113" s="9">
        <v>46216.994652777779</v>
      </c>
      <c r="M113" s="9"/>
      <c r="N113" s="9" t="s">
        <v>1654</v>
      </c>
      <c r="O113" s="9" t="s">
        <v>2065</v>
      </c>
      <c r="P113" s="9" t="s">
        <v>2066</v>
      </c>
      <c r="Q113" s="9" t="s">
        <v>1925</v>
      </c>
      <c r="R113" s="9" t="s">
        <v>1652</v>
      </c>
      <c r="S113" s="9" t="s">
        <v>2067</v>
      </c>
      <c r="T113" s="9" t="s">
        <v>2068</v>
      </c>
      <c r="U113" s="9" t="s">
        <v>1928</v>
      </c>
      <c r="V113" s="9">
        <v>961</v>
      </c>
      <c r="W113" s="9">
        <v>10</v>
      </c>
      <c r="X113" s="9">
        <v>2028</v>
      </c>
      <c r="Y113" s="9">
        <v>1352</v>
      </c>
      <c r="Z113" s="9">
        <v>10</v>
      </c>
      <c r="AA113" s="9">
        <v>1352</v>
      </c>
      <c r="AB113" s="9" t="s">
        <v>66</v>
      </c>
      <c r="AC113" s="9">
        <v>2028</v>
      </c>
      <c r="AD113" s="9" t="s">
        <v>106</v>
      </c>
      <c r="AE113" s="9">
        <v>1</v>
      </c>
      <c r="AF113" s="9" t="s">
        <v>1929</v>
      </c>
      <c r="AG113" s="9"/>
      <c r="AH113" s="9" t="s">
        <v>67</v>
      </c>
      <c r="AI113" s="9">
        <v>0</v>
      </c>
      <c r="AJ113" s="9"/>
      <c r="AK113" s="9">
        <v>0</v>
      </c>
      <c r="AL113" s="9" t="s">
        <v>1930</v>
      </c>
      <c r="AM113" s="9"/>
      <c r="AN113" s="9"/>
      <c r="AO113" s="9" t="s">
        <v>1943</v>
      </c>
      <c r="AP113" s="9" t="s">
        <v>69</v>
      </c>
      <c r="AQ113" s="9" t="s">
        <v>1932</v>
      </c>
      <c r="AR113" s="9">
        <v>46113</v>
      </c>
      <c r="AS113" s="9" t="s">
        <v>90</v>
      </c>
      <c r="AT113" s="9" t="s">
        <v>1944</v>
      </c>
      <c r="AU113" s="9" t="s">
        <v>1942</v>
      </c>
      <c r="AV113" s="9">
        <v>0</v>
      </c>
      <c r="AW113" s="9" t="s">
        <v>93</v>
      </c>
      <c r="AX113" s="9" t="s">
        <v>429</v>
      </c>
      <c r="AY113" s="9">
        <v>0</v>
      </c>
      <c r="AZ113" s="9">
        <v>46083.41747685185</v>
      </c>
      <c r="BA113" s="9">
        <v>46083.41747685185</v>
      </c>
      <c r="BB113" s="9">
        <v>5</v>
      </c>
      <c r="BC113" s="9">
        <v>10</v>
      </c>
      <c r="BD113" s="9" t="s">
        <v>2070</v>
      </c>
      <c r="BE113" s="9" t="s">
        <v>424</v>
      </c>
      <c r="BF113" s="9" t="s">
        <v>76</v>
      </c>
      <c r="BG113" s="9"/>
      <c r="BH113" s="9">
        <v>0</v>
      </c>
      <c r="BI113" s="9"/>
      <c r="BJ113" s="9">
        <v>8</v>
      </c>
      <c r="BK113" s="9" t="s">
        <v>92</v>
      </c>
      <c r="BL113" s="9" t="s">
        <v>92</v>
      </c>
      <c r="BM113" s="9" t="s">
        <v>75</v>
      </c>
      <c r="BN113" s="9"/>
      <c r="BO113" s="9">
        <v>0</v>
      </c>
      <c r="BP113" s="9"/>
      <c r="BQ113" s="9">
        <v>0</v>
      </c>
      <c r="BR113" s="9"/>
      <c r="BS113" s="9"/>
      <c r="BT113" s="9"/>
      <c r="BU113" s="9"/>
      <c r="BV113" s="9"/>
      <c r="BW113" s="9">
        <v>0</v>
      </c>
      <c r="BX113" s="9">
        <v>46216.994641203702</v>
      </c>
      <c r="BY113" s="9">
        <v>46216.994641203702</v>
      </c>
      <c r="BZ113" s="9"/>
      <c r="CA113" s="9"/>
      <c r="CB113" s="9"/>
      <c r="CC113" s="9"/>
      <c r="CD113" s="9"/>
      <c r="CE113" s="9"/>
      <c r="CF113" s="9"/>
      <c r="CG113" s="9"/>
      <c r="CH113" s="9">
        <v>1</v>
      </c>
      <c r="CI113" s="9">
        <v>0</v>
      </c>
      <c r="CJ113" s="9"/>
      <c r="CK113" s="9"/>
      <c r="CL113" s="9" t="s">
        <v>2069</v>
      </c>
      <c r="CM113" s="9"/>
      <c r="CN113" s="9">
        <v>0</v>
      </c>
      <c r="CO113" s="9" t="s">
        <v>1925</v>
      </c>
      <c r="CP113" s="9"/>
      <c r="CQ113" s="9">
        <v>0</v>
      </c>
    </row>
    <row r="114" spans="1:95" x14ac:dyDescent="0.35">
      <c r="A114" s="9" t="b">
        <f>ISNUMBER(MATCH(Claude[[#This Row],[Id]],ChargentOrders[Id],0))</f>
        <v>1</v>
      </c>
      <c r="B114" t="b">
        <f>INDEX(ChargentOrders[VALIDO],MATCH(Claude[[#This Row],[Id]],ChargentOrders[Id],0))</f>
        <v>1</v>
      </c>
      <c r="C114">
        <f>INDEX(Contract[CB_Subscription__c],MATCH(Claude[[#This Row],[Contract__c]],Contract[Id],0))</f>
        <v>0</v>
      </c>
      <c r="D114" s="9" t="s">
        <v>430</v>
      </c>
      <c r="E114" s="9" t="s">
        <v>102</v>
      </c>
      <c r="F114" s="9">
        <v>0</v>
      </c>
      <c r="G114" s="9" t="s">
        <v>431</v>
      </c>
      <c r="H114" s="9">
        <v>45898.417708333334</v>
      </c>
      <c r="I114" s="9" t="s">
        <v>65</v>
      </c>
      <c r="J114" s="9">
        <v>46127.997384259259</v>
      </c>
      <c r="K114" s="9" t="s">
        <v>78</v>
      </c>
      <c r="L114" s="9">
        <v>46127.997384259259</v>
      </c>
      <c r="M114" s="9"/>
      <c r="N114" s="9" t="s">
        <v>1570</v>
      </c>
      <c r="O114" s="9" t="s">
        <v>1923</v>
      </c>
      <c r="P114" s="9" t="s">
        <v>1924</v>
      </c>
      <c r="Q114" s="9" t="s">
        <v>1925</v>
      </c>
      <c r="R114" s="9" t="s">
        <v>1568</v>
      </c>
      <c r="S114" s="9" t="s">
        <v>1926</v>
      </c>
      <c r="T114" s="9" t="s">
        <v>1927</v>
      </c>
      <c r="U114" s="9" t="s">
        <v>1928</v>
      </c>
      <c r="V114" s="9">
        <v>949</v>
      </c>
      <c r="W114" s="9">
        <v>6</v>
      </c>
      <c r="X114" s="9">
        <v>2030</v>
      </c>
      <c r="Y114" s="9">
        <v>2774</v>
      </c>
      <c r="Z114" s="9">
        <v>6</v>
      </c>
      <c r="AA114" s="9">
        <v>2774</v>
      </c>
      <c r="AB114" s="9" t="s">
        <v>73</v>
      </c>
      <c r="AC114" s="9">
        <v>2030</v>
      </c>
      <c r="AD114" s="9" t="s">
        <v>1969</v>
      </c>
      <c r="AE114" s="9"/>
      <c r="AF114" s="9" t="s">
        <v>1929</v>
      </c>
      <c r="AG114" s="9"/>
      <c r="AH114" s="9" t="s">
        <v>67</v>
      </c>
      <c r="AI114" s="9">
        <v>0</v>
      </c>
      <c r="AJ114" s="9"/>
      <c r="AK114" s="9">
        <v>0</v>
      </c>
      <c r="AL114" s="9" t="s">
        <v>1930</v>
      </c>
      <c r="AM114" s="9">
        <v>1</v>
      </c>
      <c r="AN114" s="9">
        <v>45901</v>
      </c>
      <c r="AO114" s="9" t="s">
        <v>1931</v>
      </c>
      <c r="AP114" s="9" t="s">
        <v>69</v>
      </c>
      <c r="AQ114" s="9" t="s">
        <v>1932</v>
      </c>
      <c r="AR114" s="9">
        <v>45918</v>
      </c>
      <c r="AS114" s="9" t="s">
        <v>74</v>
      </c>
      <c r="AT114" s="9" t="s">
        <v>1935</v>
      </c>
      <c r="AU114" s="9" t="s">
        <v>1970</v>
      </c>
      <c r="AV114" s="9">
        <v>0</v>
      </c>
      <c r="AW114" s="9" t="s">
        <v>1971</v>
      </c>
      <c r="AX114" s="9" t="s">
        <v>147</v>
      </c>
      <c r="AY114" s="9">
        <v>0</v>
      </c>
      <c r="AZ114" s="9">
        <v>45918.4216087963</v>
      </c>
      <c r="BA114" s="9">
        <v>45918.421666666669</v>
      </c>
      <c r="BB114" s="9">
        <v>1</v>
      </c>
      <c r="BC114" s="9">
        <v>1</v>
      </c>
      <c r="BD114" s="9" t="s">
        <v>1972</v>
      </c>
      <c r="BE114" s="9" t="s">
        <v>112</v>
      </c>
      <c r="BF114" s="9" t="s">
        <v>71</v>
      </c>
      <c r="BG114" s="9"/>
      <c r="BH114" s="9">
        <v>0</v>
      </c>
      <c r="BI114" s="9"/>
      <c r="BJ114" s="9">
        <v>0</v>
      </c>
      <c r="BK114" s="9" t="s">
        <v>1937</v>
      </c>
      <c r="BL114" s="9" t="s">
        <v>1938</v>
      </c>
      <c r="BM114" s="9" t="s">
        <v>72</v>
      </c>
      <c r="BN114" s="9"/>
      <c r="BO114" s="9">
        <v>1</v>
      </c>
      <c r="BP114" s="9" t="s">
        <v>432</v>
      </c>
      <c r="BQ114" s="9">
        <v>0</v>
      </c>
      <c r="BR114" s="9">
        <v>45170.864606481482</v>
      </c>
      <c r="BS114" s="9" t="s">
        <v>109</v>
      </c>
      <c r="BT114" s="9" t="s">
        <v>65</v>
      </c>
      <c r="BU114" s="9"/>
      <c r="BV114" s="9"/>
      <c r="BW114" s="9">
        <v>0</v>
      </c>
      <c r="BX114" s="9"/>
      <c r="BY114" s="9">
        <v>45918.4216087963</v>
      </c>
      <c r="BZ114" s="9"/>
      <c r="CA114" s="9"/>
      <c r="CB114" s="9"/>
      <c r="CC114" s="9"/>
      <c r="CD114" s="9"/>
      <c r="CE114" s="9"/>
      <c r="CF114" s="9"/>
      <c r="CG114" s="9"/>
      <c r="CH114" s="9">
        <v>1</v>
      </c>
      <c r="CI114" s="9">
        <v>0</v>
      </c>
      <c r="CJ114" s="9"/>
      <c r="CK114" s="9"/>
      <c r="CL114" s="9"/>
      <c r="CM114" s="9" t="s">
        <v>403</v>
      </c>
      <c r="CN114" s="9">
        <v>0</v>
      </c>
      <c r="CO114" s="9" t="s">
        <v>1925</v>
      </c>
      <c r="CP114" s="9"/>
      <c r="CQ114" s="9"/>
    </row>
    <row r="115" spans="1:95" x14ac:dyDescent="0.35">
      <c r="A115" s="9" t="b">
        <f>ISNUMBER(MATCH(Claude[[#This Row],[Id]],ChargentOrders[Id],0))</f>
        <v>1</v>
      </c>
      <c r="B115" t="b">
        <f>INDEX(ChargentOrders[VALIDO],MATCH(Claude[[#This Row],[Id]],ChargentOrders[Id],0))</f>
        <v>1</v>
      </c>
      <c r="C115">
        <f>INDEX(Contract[CB_Subscription__c],MATCH(Claude[[#This Row],[Contract__c]],Contract[Id],0))</f>
        <v>0</v>
      </c>
      <c r="D115" s="9" t="s">
        <v>433</v>
      </c>
      <c r="E115" s="9" t="s">
        <v>79</v>
      </c>
      <c r="F115" s="9">
        <v>0</v>
      </c>
      <c r="G115" s="9" t="s">
        <v>434</v>
      </c>
      <c r="H115" s="9">
        <v>45898.419571759259</v>
      </c>
      <c r="I115" s="9" t="s">
        <v>65</v>
      </c>
      <c r="J115" s="9">
        <v>45905.991111111114</v>
      </c>
      <c r="K115" s="9" t="s">
        <v>101</v>
      </c>
      <c r="L115" s="9">
        <v>45905.991111111114</v>
      </c>
      <c r="M115" s="9"/>
      <c r="N115" s="9" t="s">
        <v>1581</v>
      </c>
      <c r="O115" s="9" t="s">
        <v>1960</v>
      </c>
      <c r="P115" s="9" t="s">
        <v>1961</v>
      </c>
      <c r="Q115" s="9" t="s">
        <v>1925</v>
      </c>
      <c r="R115" s="9" t="s">
        <v>1579</v>
      </c>
      <c r="S115" s="9" t="s">
        <v>1962</v>
      </c>
      <c r="T115" s="9" t="s">
        <v>1963</v>
      </c>
      <c r="U115" s="9" t="s">
        <v>1928</v>
      </c>
      <c r="V115" s="9">
        <v>778</v>
      </c>
      <c r="W115" s="9">
        <v>3</v>
      </c>
      <c r="X115" s="9">
        <v>2027</v>
      </c>
      <c r="Y115" s="9">
        <v>4327</v>
      </c>
      <c r="Z115" s="9">
        <v>3</v>
      </c>
      <c r="AA115" s="9">
        <v>4549516808074320</v>
      </c>
      <c r="AB115" s="9" t="s">
        <v>73</v>
      </c>
      <c r="AC115" s="9">
        <v>2027</v>
      </c>
      <c r="AD115" s="9" t="s">
        <v>104</v>
      </c>
      <c r="AE115" s="9"/>
      <c r="AF115" s="9" t="s">
        <v>1929</v>
      </c>
      <c r="AG115" s="9"/>
      <c r="AH115" s="9" t="s">
        <v>67</v>
      </c>
      <c r="AI115" s="9">
        <v>0</v>
      </c>
      <c r="AJ115" s="9"/>
      <c r="AK115" s="9">
        <v>0</v>
      </c>
      <c r="AL115" s="9" t="s">
        <v>1930</v>
      </c>
      <c r="AM115" s="9">
        <v>1</v>
      </c>
      <c r="AN115" s="9">
        <v>45908</v>
      </c>
      <c r="AO115" s="9" t="s">
        <v>1931</v>
      </c>
      <c r="AP115" s="9" t="s">
        <v>69</v>
      </c>
      <c r="AQ115" s="9" t="s">
        <v>1932</v>
      </c>
      <c r="AR115" s="9">
        <v>45908</v>
      </c>
      <c r="AS115" s="9" t="s">
        <v>74</v>
      </c>
      <c r="AT115" s="9" t="s">
        <v>1935</v>
      </c>
      <c r="AU115" s="9" t="s">
        <v>1952</v>
      </c>
      <c r="AV115" s="9">
        <v>0</v>
      </c>
      <c r="AW115" s="9" t="s">
        <v>1953</v>
      </c>
      <c r="AX115" s="9" t="s">
        <v>165</v>
      </c>
      <c r="AY115" s="9">
        <v>0</v>
      </c>
      <c r="AZ115" s="9">
        <v>45905.991087962961</v>
      </c>
      <c r="BA115" s="9">
        <v>45905.991087962961</v>
      </c>
      <c r="BB115" s="9">
        <v>1</v>
      </c>
      <c r="BC115" s="9">
        <v>6</v>
      </c>
      <c r="BD115" s="9" t="s">
        <v>104</v>
      </c>
      <c r="BE115" s="9" t="s">
        <v>179</v>
      </c>
      <c r="BF115" s="9" t="s">
        <v>71</v>
      </c>
      <c r="BG115" s="9"/>
      <c r="BH115" s="9">
        <v>0</v>
      </c>
      <c r="BI115" s="9"/>
      <c r="BJ115" s="9">
        <v>0</v>
      </c>
      <c r="BK115" s="9" t="s">
        <v>1937</v>
      </c>
      <c r="BL115" s="9" t="s">
        <v>1938</v>
      </c>
      <c r="BM115" s="9" t="s">
        <v>72</v>
      </c>
      <c r="BN115" s="9"/>
      <c r="BO115" s="9">
        <v>1</v>
      </c>
      <c r="BP115" s="9" t="s">
        <v>435</v>
      </c>
      <c r="BQ115" s="9">
        <v>0</v>
      </c>
      <c r="BR115" s="9">
        <v>45898.98296296296</v>
      </c>
      <c r="BS115" s="9" t="s">
        <v>109</v>
      </c>
      <c r="BT115" s="9" t="s">
        <v>65</v>
      </c>
      <c r="BU115" s="9"/>
      <c r="BV115" s="9"/>
      <c r="BW115" s="9">
        <v>0</v>
      </c>
      <c r="BX115" s="9">
        <v>45905.427361111113</v>
      </c>
      <c r="BY115" s="9">
        <v>45905.991087962961</v>
      </c>
      <c r="BZ115" s="9"/>
      <c r="CA115" s="9"/>
      <c r="CB115" s="9"/>
      <c r="CC115" s="9"/>
      <c r="CD115" s="9"/>
      <c r="CE115" s="9"/>
      <c r="CF115" s="9"/>
      <c r="CG115" s="9"/>
      <c r="CH115" s="9">
        <v>1</v>
      </c>
      <c r="CI115" s="9">
        <v>0</v>
      </c>
      <c r="CJ115" s="9"/>
      <c r="CK115" s="9"/>
      <c r="CL115" s="9" t="s">
        <v>1964</v>
      </c>
      <c r="CM115" s="9"/>
      <c r="CN115" s="9">
        <v>0</v>
      </c>
      <c r="CO115" s="9" t="s">
        <v>1925</v>
      </c>
      <c r="CP115" s="9"/>
      <c r="CQ115" s="9"/>
    </row>
    <row r="116" spans="1:95" x14ac:dyDescent="0.35">
      <c r="A116" s="9" t="b">
        <f>ISNUMBER(MATCH(Claude[[#This Row],[Id]],ChargentOrders[Id],0))</f>
        <v>1</v>
      </c>
      <c r="B116" t="b">
        <f>INDEX(ChargentOrders[VALIDO],MATCH(Claude[[#This Row],[Id]],ChargentOrders[Id],0))</f>
        <v>1</v>
      </c>
      <c r="C116">
        <f>INDEX(Contract[CB_Subscription__c],MATCH(Claude[[#This Row],[Contract__c]],Contract[Id],0))</f>
        <v>0</v>
      </c>
      <c r="D116" s="9" t="s">
        <v>436</v>
      </c>
      <c r="E116" s="9" t="s">
        <v>79</v>
      </c>
      <c r="F116" s="9">
        <v>0</v>
      </c>
      <c r="G116" s="9" t="s">
        <v>437</v>
      </c>
      <c r="H116" s="9">
        <v>45898.421712962961</v>
      </c>
      <c r="I116" s="9" t="s">
        <v>65</v>
      </c>
      <c r="J116" s="9">
        <v>45918.422152777777</v>
      </c>
      <c r="K116" s="9" t="s">
        <v>65</v>
      </c>
      <c r="L116" s="9">
        <v>45918.422152777777</v>
      </c>
      <c r="M116" s="9"/>
      <c r="N116" s="9" t="s">
        <v>1591</v>
      </c>
      <c r="O116" s="9" t="s">
        <v>1989</v>
      </c>
      <c r="P116" s="9" t="s">
        <v>1990</v>
      </c>
      <c r="Q116" s="9" t="s">
        <v>1925</v>
      </c>
      <c r="R116" s="9" t="s">
        <v>1589</v>
      </c>
      <c r="S116" s="9" t="s">
        <v>1991</v>
      </c>
      <c r="T116" s="9" t="s">
        <v>1992</v>
      </c>
      <c r="U116" s="9" t="s">
        <v>1928</v>
      </c>
      <c r="V116" s="9">
        <v>915</v>
      </c>
      <c r="W116" s="9">
        <v>2</v>
      </c>
      <c r="X116" s="9">
        <v>2030</v>
      </c>
      <c r="Y116" s="9">
        <v>1962</v>
      </c>
      <c r="Z116" s="9">
        <v>2</v>
      </c>
      <c r="AA116" s="9">
        <v>1962</v>
      </c>
      <c r="AB116" s="9" t="s">
        <v>73</v>
      </c>
      <c r="AC116" s="9">
        <v>2030</v>
      </c>
      <c r="AD116" s="9" t="s">
        <v>104</v>
      </c>
      <c r="AE116" s="9"/>
      <c r="AF116" s="9" t="s">
        <v>1929</v>
      </c>
      <c r="AG116" s="9"/>
      <c r="AH116" s="9" t="s">
        <v>67</v>
      </c>
      <c r="AI116" s="9">
        <v>0</v>
      </c>
      <c r="AJ116" s="9"/>
      <c r="AK116" s="9">
        <v>0</v>
      </c>
      <c r="AL116" s="9" t="s">
        <v>1930</v>
      </c>
      <c r="AM116" s="9">
        <v>1</v>
      </c>
      <c r="AN116" s="9">
        <v>45918</v>
      </c>
      <c r="AO116" s="9" t="s">
        <v>1931</v>
      </c>
      <c r="AP116" s="9" t="s">
        <v>69</v>
      </c>
      <c r="AQ116" s="9" t="s">
        <v>1932</v>
      </c>
      <c r="AR116" s="9">
        <v>45918</v>
      </c>
      <c r="AS116" s="9" t="s">
        <v>74</v>
      </c>
      <c r="AT116" s="9" t="s">
        <v>1935</v>
      </c>
      <c r="AU116" s="9" t="s">
        <v>1952</v>
      </c>
      <c r="AV116" s="9">
        <v>0</v>
      </c>
      <c r="AW116" s="9" t="s">
        <v>1953</v>
      </c>
      <c r="AX116" s="9" t="s">
        <v>240</v>
      </c>
      <c r="AY116" s="9">
        <v>0</v>
      </c>
      <c r="AZ116" s="9">
        <v>45918.422025462962</v>
      </c>
      <c r="BA116" s="9">
        <v>45918.422106481485</v>
      </c>
      <c r="BB116" s="9">
        <v>1</v>
      </c>
      <c r="BC116" s="9">
        <v>8</v>
      </c>
      <c r="BD116" s="9" t="s">
        <v>104</v>
      </c>
      <c r="BE116" s="9" t="s">
        <v>235</v>
      </c>
      <c r="BF116" s="9" t="s">
        <v>71</v>
      </c>
      <c r="BG116" s="9"/>
      <c r="BH116" s="9">
        <v>0</v>
      </c>
      <c r="BI116" s="9"/>
      <c r="BJ116" s="9">
        <v>0</v>
      </c>
      <c r="BK116" s="9" t="s">
        <v>1937</v>
      </c>
      <c r="BL116" s="9" t="s">
        <v>1938</v>
      </c>
      <c r="BM116" s="9" t="s">
        <v>72</v>
      </c>
      <c r="BN116" s="9"/>
      <c r="BO116" s="9">
        <v>1</v>
      </c>
      <c r="BP116" s="9" t="s">
        <v>438</v>
      </c>
      <c r="BQ116" s="9">
        <v>0</v>
      </c>
      <c r="BR116" s="9">
        <v>45702.827997685185</v>
      </c>
      <c r="BS116" s="9" t="s">
        <v>109</v>
      </c>
      <c r="BT116" s="9" t="s">
        <v>65</v>
      </c>
      <c r="BU116" s="9"/>
      <c r="BV116" s="9"/>
      <c r="BW116" s="9">
        <v>0</v>
      </c>
      <c r="BX116" s="9">
        <v>45915.425636574073</v>
      </c>
      <c r="BY116" s="9">
        <v>45918.422025462962</v>
      </c>
      <c r="BZ116" s="9"/>
      <c r="CA116" s="9"/>
      <c r="CB116" s="9"/>
      <c r="CC116" s="9"/>
      <c r="CD116" s="9"/>
      <c r="CE116" s="9"/>
      <c r="CF116" s="9"/>
      <c r="CG116" s="9"/>
      <c r="CH116" s="9">
        <v>1</v>
      </c>
      <c r="CI116" s="9">
        <v>0</v>
      </c>
      <c r="CJ116" s="9"/>
      <c r="CK116" s="9"/>
      <c r="CL116" s="9" t="s">
        <v>1993</v>
      </c>
      <c r="CM116" s="9"/>
      <c r="CN116" s="9">
        <v>0</v>
      </c>
      <c r="CO116" s="9" t="s">
        <v>1925</v>
      </c>
      <c r="CP116" s="9"/>
      <c r="CQ116" s="9"/>
    </row>
    <row r="117" spans="1:95" x14ac:dyDescent="0.35">
      <c r="A117" s="9" t="b">
        <f>ISNUMBER(MATCH(Claude[[#This Row],[Id]],ChargentOrders[Id],0))</f>
        <v>1</v>
      </c>
      <c r="B117" t="b">
        <f>INDEX(ChargentOrders[VALIDO],MATCH(Claude[[#This Row],[Id]],ChargentOrders[Id],0))</f>
        <v>1</v>
      </c>
      <c r="C117">
        <f>INDEX(Contract[CB_Subscription__c],MATCH(Claude[[#This Row],[Contract__c]],Contract[Id],0))</f>
        <v>0</v>
      </c>
      <c r="D117" s="9" t="s">
        <v>439</v>
      </c>
      <c r="E117" s="9" t="s">
        <v>79</v>
      </c>
      <c r="F117" s="9">
        <v>0</v>
      </c>
      <c r="G117" s="9" t="s">
        <v>440</v>
      </c>
      <c r="H117" s="9">
        <v>45898.4221412037</v>
      </c>
      <c r="I117" s="9" t="s">
        <v>65</v>
      </c>
      <c r="J117" s="9">
        <v>46127.997384259259</v>
      </c>
      <c r="K117" s="9" t="s">
        <v>78</v>
      </c>
      <c r="L117" s="9">
        <v>46127.997384259259</v>
      </c>
      <c r="M117" s="9"/>
      <c r="N117" s="9" t="s">
        <v>1596</v>
      </c>
      <c r="O117" s="9" t="s">
        <v>1997</v>
      </c>
      <c r="P117" s="9" t="s">
        <v>1990</v>
      </c>
      <c r="Q117" s="9" t="s">
        <v>1925</v>
      </c>
      <c r="R117" s="9" t="s">
        <v>1594</v>
      </c>
      <c r="S117" s="9" t="s">
        <v>1998</v>
      </c>
      <c r="T117" s="9" t="s">
        <v>1999</v>
      </c>
      <c r="U117" s="9" t="s">
        <v>1928</v>
      </c>
      <c r="V117" s="9">
        <v>901</v>
      </c>
      <c r="W117" s="9">
        <v>2</v>
      </c>
      <c r="X117" s="9">
        <v>2026</v>
      </c>
      <c r="Y117" s="9">
        <v>7405</v>
      </c>
      <c r="Z117" s="9">
        <v>2</v>
      </c>
      <c r="AA117" s="9">
        <v>4549516847817400</v>
      </c>
      <c r="AB117" s="9" t="s">
        <v>73</v>
      </c>
      <c r="AC117" s="9">
        <v>2026</v>
      </c>
      <c r="AD117" s="9" t="s">
        <v>104</v>
      </c>
      <c r="AE117" s="9"/>
      <c r="AF117" s="9" t="s">
        <v>1929</v>
      </c>
      <c r="AG117" s="9"/>
      <c r="AH117" s="9" t="s">
        <v>67</v>
      </c>
      <c r="AI117" s="9">
        <v>0</v>
      </c>
      <c r="AJ117" s="9"/>
      <c r="AK117" s="9">
        <v>0</v>
      </c>
      <c r="AL117" s="9" t="s">
        <v>1930</v>
      </c>
      <c r="AM117" s="9">
        <v>1</v>
      </c>
      <c r="AN117" s="9">
        <v>45933</v>
      </c>
      <c r="AO117" s="9" t="s">
        <v>1931</v>
      </c>
      <c r="AP117" s="9" t="s">
        <v>69</v>
      </c>
      <c r="AQ117" s="9" t="s">
        <v>1932</v>
      </c>
      <c r="AR117" s="9">
        <v>45940</v>
      </c>
      <c r="AS117" s="9" t="s">
        <v>74</v>
      </c>
      <c r="AT117" s="9" t="s">
        <v>1935</v>
      </c>
      <c r="AU117" s="9" t="s">
        <v>1952</v>
      </c>
      <c r="AV117" s="9">
        <v>0</v>
      </c>
      <c r="AW117" s="9" t="s">
        <v>1953</v>
      </c>
      <c r="AX117" s="9" t="s">
        <v>252</v>
      </c>
      <c r="AY117" s="9">
        <v>0</v>
      </c>
      <c r="AZ117" s="9">
        <v>45940.422476851854</v>
      </c>
      <c r="BA117" s="9">
        <v>45940.422511574077</v>
      </c>
      <c r="BB117" s="9">
        <v>1</v>
      </c>
      <c r="BC117" s="9">
        <v>22</v>
      </c>
      <c r="BD117" s="9" t="s">
        <v>104</v>
      </c>
      <c r="BE117" s="9" t="s">
        <v>253</v>
      </c>
      <c r="BF117" s="9" t="s">
        <v>71</v>
      </c>
      <c r="BG117" s="9"/>
      <c r="BH117" s="9">
        <v>0</v>
      </c>
      <c r="BI117" s="9"/>
      <c r="BJ117" s="9">
        <v>0</v>
      </c>
      <c r="BK117" s="9" t="s">
        <v>1937</v>
      </c>
      <c r="BL117" s="9" t="s">
        <v>1938</v>
      </c>
      <c r="BM117" s="9" t="s">
        <v>72</v>
      </c>
      <c r="BN117" s="9"/>
      <c r="BO117" s="9">
        <v>1</v>
      </c>
      <c r="BP117" s="9" t="s">
        <v>441</v>
      </c>
      <c r="BQ117" s="9">
        <v>0</v>
      </c>
      <c r="BR117" s="9">
        <v>45723.426469907405</v>
      </c>
      <c r="BS117" s="9" t="s">
        <v>109</v>
      </c>
      <c r="BT117" s="9" t="s">
        <v>65</v>
      </c>
      <c r="BU117" s="9"/>
      <c r="BV117" s="9"/>
      <c r="BW117" s="9">
        <v>0</v>
      </c>
      <c r="BX117" s="9">
        <v>45930.973356481481</v>
      </c>
      <c r="BY117" s="9">
        <v>45940.422476851854</v>
      </c>
      <c r="BZ117" s="9"/>
      <c r="CA117" s="9"/>
      <c r="CB117" s="9"/>
      <c r="CC117" s="9"/>
      <c r="CD117" s="9"/>
      <c r="CE117" s="9"/>
      <c r="CF117" s="9"/>
      <c r="CG117" s="9"/>
      <c r="CH117" s="9">
        <v>1</v>
      </c>
      <c r="CI117" s="9">
        <v>0</v>
      </c>
      <c r="CJ117" s="9"/>
      <c r="CK117" s="9"/>
      <c r="CL117" s="9" t="s">
        <v>2000</v>
      </c>
      <c r="CM117" s="9" t="s">
        <v>403</v>
      </c>
      <c r="CN117" s="9">
        <v>0</v>
      </c>
      <c r="CO117" s="9" t="s">
        <v>1925</v>
      </c>
      <c r="CP117" s="9"/>
      <c r="CQ117" s="9"/>
    </row>
    <row r="118" spans="1:95" x14ac:dyDescent="0.35">
      <c r="A118" s="9" t="b">
        <f>ISNUMBER(MATCH(Claude[[#This Row],[Id]],ChargentOrders[Id],0))</f>
        <v>1</v>
      </c>
      <c r="B118" t="b">
        <f>INDEX(ChargentOrders[VALIDO],MATCH(Claude[[#This Row],[Id]],ChargentOrders[Id],0))</f>
        <v>1</v>
      </c>
      <c r="C118">
        <f>INDEX(Contract[CB_Subscription__c],MATCH(Claude[[#This Row],[Contract__c]],Contract[Id],0))</f>
        <v>0</v>
      </c>
      <c r="D118" s="9" t="s">
        <v>442</v>
      </c>
      <c r="E118" s="9" t="s">
        <v>155</v>
      </c>
      <c r="F118" s="9">
        <v>0</v>
      </c>
      <c r="G118" s="9" t="s">
        <v>443</v>
      </c>
      <c r="H118" s="9">
        <v>45898.431180555555</v>
      </c>
      <c r="I118" s="9" t="s">
        <v>65</v>
      </c>
      <c r="J118" s="9">
        <v>45901.428726851853</v>
      </c>
      <c r="K118" s="9" t="s">
        <v>65</v>
      </c>
      <c r="L118" s="9">
        <v>45901.428726851853</v>
      </c>
      <c r="M118" s="9"/>
      <c r="N118" s="9" t="s">
        <v>1649</v>
      </c>
      <c r="O118" s="9" t="s">
        <v>2059</v>
      </c>
      <c r="P118" s="9" t="s">
        <v>1990</v>
      </c>
      <c r="Q118" s="9" t="s">
        <v>1925</v>
      </c>
      <c r="R118" s="9" t="s">
        <v>1647</v>
      </c>
      <c r="S118" s="9" t="s">
        <v>2060</v>
      </c>
      <c r="T118" s="9" t="s">
        <v>2061</v>
      </c>
      <c r="U118" s="9" t="s">
        <v>1928</v>
      </c>
      <c r="V118" s="9">
        <v>915</v>
      </c>
      <c r="W118" s="9">
        <v>10</v>
      </c>
      <c r="X118" s="9">
        <v>2028</v>
      </c>
      <c r="Y118" s="9">
        <v>2362</v>
      </c>
      <c r="Z118" s="9">
        <v>10</v>
      </c>
      <c r="AA118" s="9">
        <v>4549516362132360</v>
      </c>
      <c r="AB118" s="9" t="s">
        <v>73</v>
      </c>
      <c r="AC118" s="9">
        <v>2028</v>
      </c>
      <c r="AD118" s="9" t="s">
        <v>450</v>
      </c>
      <c r="AE118" s="9"/>
      <c r="AF118" s="9" t="s">
        <v>1929</v>
      </c>
      <c r="AG118" s="9"/>
      <c r="AH118" s="9" t="s">
        <v>67</v>
      </c>
      <c r="AI118" s="9">
        <v>0</v>
      </c>
      <c r="AJ118" s="9"/>
      <c r="AK118" s="9">
        <v>0</v>
      </c>
      <c r="AL118" s="9" t="s">
        <v>1930</v>
      </c>
      <c r="AM118" s="9">
        <v>1</v>
      </c>
      <c r="AN118" s="9">
        <v>45901</v>
      </c>
      <c r="AO118" s="9" t="s">
        <v>1931</v>
      </c>
      <c r="AP118" s="9" t="s">
        <v>69</v>
      </c>
      <c r="AQ118" s="9" t="s">
        <v>1932</v>
      </c>
      <c r="AR118" s="9">
        <v>45901</v>
      </c>
      <c r="AS118" s="9" t="s">
        <v>74</v>
      </c>
      <c r="AT118" s="9" t="s">
        <v>1935</v>
      </c>
      <c r="AU118" s="9" t="s">
        <v>449</v>
      </c>
      <c r="AV118" s="9">
        <v>0</v>
      </c>
      <c r="AW118" s="9" t="s">
        <v>2071</v>
      </c>
      <c r="AX118" s="9" t="s">
        <v>414</v>
      </c>
      <c r="AY118" s="9">
        <v>0</v>
      </c>
      <c r="AZ118" s="9">
        <v>45901.42869212963</v>
      </c>
      <c r="BA118" s="9">
        <v>45901.42869212963</v>
      </c>
      <c r="BB118" s="9">
        <v>1</v>
      </c>
      <c r="BC118" s="9">
        <v>1</v>
      </c>
      <c r="BD118" s="9" t="s">
        <v>450</v>
      </c>
      <c r="BE118" s="9" t="s">
        <v>415</v>
      </c>
      <c r="BF118" s="9" t="s">
        <v>71</v>
      </c>
      <c r="BG118" s="9"/>
      <c r="BH118" s="9">
        <v>0</v>
      </c>
      <c r="BI118" s="9"/>
      <c r="BJ118" s="9"/>
      <c r="BK118" s="9" t="s">
        <v>1937</v>
      </c>
      <c r="BL118" s="9" t="s">
        <v>1938</v>
      </c>
      <c r="BM118" s="9" t="s">
        <v>72</v>
      </c>
      <c r="BN118" s="9"/>
      <c r="BO118" s="9">
        <v>1</v>
      </c>
      <c r="BP118" s="9" t="s">
        <v>444</v>
      </c>
      <c r="BQ118" s="9">
        <v>0</v>
      </c>
      <c r="BR118" s="9">
        <v>45883.819247685184</v>
      </c>
      <c r="BS118" s="9" t="s">
        <v>109</v>
      </c>
      <c r="BT118" s="9" t="s">
        <v>65</v>
      </c>
      <c r="BU118" s="9"/>
      <c r="BV118" s="9"/>
      <c r="BW118" s="9">
        <v>0</v>
      </c>
      <c r="BX118" s="9"/>
      <c r="BY118" s="9">
        <v>45901.42869212963</v>
      </c>
      <c r="BZ118" s="9"/>
      <c r="CA118" s="9"/>
      <c r="CB118" s="9"/>
      <c r="CC118" s="9"/>
      <c r="CD118" s="9"/>
      <c r="CE118" s="9"/>
      <c r="CF118" s="9"/>
      <c r="CG118" s="9"/>
      <c r="CH118" s="9">
        <v>1</v>
      </c>
      <c r="CI118" s="9">
        <v>0</v>
      </c>
      <c r="CJ118" s="9"/>
      <c r="CK118" s="9"/>
      <c r="CL118" s="9" t="s">
        <v>2062</v>
      </c>
      <c r="CM118" s="9"/>
      <c r="CN118" s="9">
        <v>0</v>
      </c>
      <c r="CO118" s="9" t="s">
        <v>1925</v>
      </c>
      <c r="CP118" s="9"/>
      <c r="CQ118" s="9"/>
    </row>
    <row r="119" spans="1:95" x14ac:dyDescent="0.35">
      <c r="A119" s="9" t="b">
        <f>ISNUMBER(MATCH(Claude[[#This Row],[Id]],ChargentOrders[Id],0))</f>
        <v>1</v>
      </c>
      <c r="B119" t="b">
        <f>INDEX(ChargentOrders[VALIDO],MATCH(Claude[[#This Row],[Id]],ChargentOrders[Id],0))</f>
        <v>1</v>
      </c>
      <c r="C119">
        <f>INDEX(Contract[CB_Subscription__c],MATCH(Claude[[#This Row],[Contract__c]],Contract[Id],0))</f>
        <v>0</v>
      </c>
      <c r="D119" s="9" t="s">
        <v>445</v>
      </c>
      <c r="E119" s="9" t="s">
        <v>155</v>
      </c>
      <c r="F119" s="9">
        <v>0</v>
      </c>
      <c r="G119" s="9" t="s">
        <v>446</v>
      </c>
      <c r="H119" s="9">
        <v>45901.428703703707</v>
      </c>
      <c r="I119" s="9" t="s">
        <v>65</v>
      </c>
      <c r="J119" s="9">
        <v>46217.738564814812</v>
      </c>
      <c r="K119" s="9" t="s">
        <v>78</v>
      </c>
      <c r="L119" s="9">
        <v>46217.738564814812</v>
      </c>
      <c r="M119" s="9"/>
      <c r="N119" s="9" t="s">
        <v>1649</v>
      </c>
      <c r="O119" s="9" t="s">
        <v>2059</v>
      </c>
      <c r="P119" s="9" t="s">
        <v>1990</v>
      </c>
      <c r="Q119" s="9" t="s">
        <v>1925</v>
      </c>
      <c r="R119" s="9" t="s">
        <v>1647</v>
      </c>
      <c r="S119" s="9" t="s">
        <v>2060</v>
      </c>
      <c r="T119" s="9" t="s">
        <v>2061</v>
      </c>
      <c r="U119" s="9" t="s">
        <v>1928</v>
      </c>
      <c r="V119" s="9">
        <v>915</v>
      </c>
      <c r="W119" s="9">
        <v>10</v>
      </c>
      <c r="X119" s="9">
        <v>2028</v>
      </c>
      <c r="Y119" s="9">
        <v>2362</v>
      </c>
      <c r="Z119" s="9">
        <v>10</v>
      </c>
      <c r="AA119" s="9">
        <v>4549516362132360</v>
      </c>
      <c r="AB119" s="9" t="s">
        <v>73</v>
      </c>
      <c r="AC119" s="9">
        <v>2028</v>
      </c>
      <c r="AD119" s="9" t="s">
        <v>374</v>
      </c>
      <c r="AE119" s="9">
        <v>30</v>
      </c>
      <c r="AF119" s="9" t="s">
        <v>1929</v>
      </c>
      <c r="AG119" s="9"/>
      <c r="AH119" s="9" t="s">
        <v>67</v>
      </c>
      <c r="AI119" s="9">
        <v>0</v>
      </c>
      <c r="AJ119" s="9"/>
      <c r="AK119" s="9">
        <v>0</v>
      </c>
      <c r="AL119" s="9" t="s">
        <v>1930</v>
      </c>
      <c r="AM119" s="9"/>
      <c r="AN119" s="9"/>
      <c r="AO119" s="9" t="s">
        <v>1943</v>
      </c>
      <c r="AP119" s="9" t="s">
        <v>69</v>
      </c>
      <c r="AQ119" s="9" t="s">
        <v>1932</v>
      </c>
      <c r="AR119" s="9">
        <v>46233</v>
      </c>
      <c r="AS119" s="9" t="s">
        <v>84</v>
      </c>
      <c r="AT119" s="9" t="s">
        <v>1944</v>
      </c>
      <c r="AU119" s="9" t="s">
        <v>374</v>
      </c>
      <c r="AV119" s="9">
        <v>0</v>
      </c>
      <c r="AW119" s="9" t="s">
        <v>92</v>
      </c>
      <c r="AX119" s="9" t="s">
        <v>414</v>
      </c>
      <c r="AY119" s="9">
        <v>0</v>
      </c>
      <c r="AZ119" s="9">
        <v>46080.41983796296</v>
      </c>
      <c r="BA119" s="9">
        <v>46080.419849537036</v>
      </c>
      <c r="BB119" s="9">
        <v>4</v>
      </c>
      <c r="BC119" s="9">
        <v>10</v>
      </c>
      <c r="BD119" s="9" t="s">
        <v>2072</v>
      </c>
      <c r="BE119" s="9" t="s">
        <v>415</v>
      </c>
      <c r="BF119" s="9" t="s">
        <v>76</v>
      </c>
      <c r="BG119" s="9"/>
      <c r="BH119" s="9">
        <v>0</v>
      </c>
      <c r="BI119" s="9"/>
      <c r="BJ119" s="9">
        <v>11</v>
      </c>
      <c r="BK119" s="9" t="s">
        <v>92</v>
      </c>
      <c r="BL119" s="9" t="s">
        <v>92</v>
      </c>
      <c r="BM119" s="9" t="s">
        <v>75</v>
      </c>
      <c r="BN119" s="9"/>
      <c r="BO119" s="9">
        <v>0</v>
      </c>
      <c r="BP119" s="9"/>
      <c r="BQ119" s="9">
        <v>0</v>
      </c>
      <c r="BR119" s="9"/>
      <c r="BS119" s="9"/>
      <c r="BT119" s="9"/>
      <c r="BU119" s="9"/>
      <c r="BV119" s="9"/>
      <c r="BW119" s="9">
        <v>0</v>
      </c>
      <c r="BX119" s="9">
        <v>46203.417071759257</v>
      </c>
      <c r="BY119" s="9">
        <v>46203.417071759257</v>
      </c>
      <c r="BZ119" s="9"/>
      <c r="CA119" s="9"/>
      <c r="CB119" s="9"/>
      <c r="CC119" s="9"/>
      <c r="CD119" s="9"/>
      <c r="CE119" s="9"/>
      <c r="CF119" s="9"/>
      <c r="CG119" s="9"/>
      <c r="CH119" s="9">
        <v>1</v>
      </c>
      <c r="CI119" s="9">
        <v>0</v>
      </c>
      <c r="CJ119" s="9"/>
      <c r="CK119" s="9"/>
      <c r="CL119" s="9" t="s">
        <v>2062</v>
      </c>
      <c r="CM119" s="9"/>
      <c r="CN119" s="9">
        <v>0</v>
      </c>
      <c r="CO119" s="9" t="s">
        <v>1925</v>
      </c>
      <c r="CP119" s="9" t="s">
        <v>2073</v>
      </c>
      <c r="CQ119" s="9">
        <v>0</v>
      </c>
    </row>
    <row r="120" spans="1:95" x14ac:dyDescent="0.35">
      <c r="A120" s="9" t="b">
        <f>ISNUMBER(MATCH(Claude[[#This Row],[Id]],ChargentOrders[Id],0))</f>
        <v>1</v>
      </c>
      <c r="B120" t="b">
        <f>INDEX(ChargentOrders[VALIDO],MATCH(Claude[[#This Row],[Id]],ChargentOrders[Id],0))</f>
        <v>1</v>
      </c>
      <c r="C120">
        <f>INDEX(Contract[CB_Subscription__c],MATCH(Claude[[#This Row],[Contract__c]],Contract[Id],0))</f>
        <v>0</v>
      </c>
      <c r="D120" s="9" t="s">
        <v>447</v>
      </c>
      <c r="E120" s="9" t="s">
        <v>101</v>
      </c>
      <c r="F120" s="9">
        <v>0</v>
      </c>
      <c r="G120" s="9" t="s">
        <v>448</v>
      </c>
      <c r="H120" s="9">
        <v>45903.645983796298</v>
      </c>
      <c r="I120" s="9" t="s">
        <v>101</v>
      </c>
      <c r="J120" s="9">
        <v>46114.619976851849</v>
      </c>
      <c r="K120" s="9" t="s">
        <v>78</v>
      </c>
      <c r="L120" s="9">
        <v>46114.619976851849</v>
      </c>
      <c r="M120" s="9"/>
      <c r="N120" s="9"/>
      <c r="O120" s="9" t="s">
        <v>1923</v>
      </c>
      <c r="P120" s="9" t="s">
        <v>1924</v>
      </c>
      <c r="Q120" s="9" t="s">
        <v>1925</v>
      </c>
      <c r="R120" s="9" t="s">
        <v>1568</v>
      </c>
      <c r="S120" s="9" t="s">
        <v>1926</v>
      </c>
      <c r="T120" s="9" t="s">
        <v>1927</v>
      </c>
      <c r="U120" s="9" t="s">
        <v>1928</v>
      </c>
      <c r="V120" s="9">
        <v>94</v>
      </c>
      <c r="W120" s="9">
        <v>6</v>
      </c>
      <c r="X120" s="9">
        <v>2030</v>
      </c>
      <c r="Y120" s="9">
        <v>2774</v>
      </c>
      <c r="Z120" s="9">
        <v>6</v>
      </c>
      <c r="AA120" s="9">
        <v>4549516985532770</v>
      </c>
      <c r="AB120" s="9" t="s">
        <v>73</v>
      </c>
      <c r="AC120" s="9">
        <v>2030</v>
      </c>
      <c r="AD120" s="9" t="s">
        <v>93</v>
      </c>
      <c r="AE120" s="9"/>
      <c r="AF120" s="9" t="s">
        <v>1929</v>
      </c>
      <c r="AG120" s="9"/>
      <c r="AH120" s="9" t="s">
        <v>67</v>
      </c>
      <c r="AI120" s="9">
        <v>0</v>
      </c>
      <c r="AJ120" s="9"/>
      <c r="AK120" s="9">
        <v>0</v>
      </c>
      <c r="AL120" s="9" t="s">
        <v>1930</v>
      </c>
      <c r="AM120" s="9"/>
      <c r="AN120" s="9"/>
      <c r="AO120" s="9" t="s">
        <v>1931</v>
      </c>
      <c r="AP120" s="9" t="s">
        <v>69</v>
      </c>
      <c r="AQ120" s="9" t="s">
        <v>1932</v>
      </c>
      <c r="AR120" s="9"/>
      <c r="AS120" s="9"/>
      <c r="AT120" s="9"/>
      <c r="AU120" s="9" t="s">
        <v>92</v>
      </c>
      <c r="AV120" s="9">
        <v>0</v>
      </c>
      <c r="AW120" s="9"/>
      <c r="AX120" s="9" t="s">
        <v>147</v>
      </c>
      <c r="AY120" s="9">
        <v>0</v>
      </c>
      <c r="AZ120" s="9"/>
      <c r="BA120" s="9">
        <v>45903.646006944444</v>
      </c>
      <c r="BB120" s="9">
        <v>0</v>
      </c>
      <c r="BC120" s="9">
        <v>1</v>
      </c>
      <c r="BD120" s="9">
        <v>0</v>
      </c>
      <c r="BE120" s="9" t="s">
        <v>112</v>
      </c>
      <c r="BF120" s="9"/>
      <c r="BG120" s="9"/>
      <c r="BH120" s="9">
        <v>0</v>
      </c>
      <c r="BI120" s="9"/>
      <c r="BJ120" s="9">
        <v>1</v>
      </c>
      <c r="BK120" s="9"/>
      <c r="BL120" s="9"/>
      <c r="BM120" s="9" t="s">
        <v>75</v>
      </c>
      <c r="BN120" s="9"/>
      <c r="BO120" s="9">
        <v>0</v>
      </c>
      <c r="BP120" s="9"/>
      <c r="BQ120" s="9">
        <v>1</v>
      </c>
      <c r="BR120" s="9"/>
      <c r="BS120" s="9"/>
      <c r="BT120" s="9"/>
      <c r="BU120" s="9"/>
      <c r="BV120" s="9"/>
      <c r="BW120" s="9">
        <v>0</v>
      </c>
      <c r="BX120" s="9"/>
      <c r="BY120" s="9">
        <v>45903.646006944444</v>
      </c>
      <c r="BZ120" s="9"/>
      <c r="CA120" s="9"/>
      <c r="CB120" s="9"/>
      <c r="CC120" s="9"/>
      <c r="CD120" s="9"/>
      <c r="CE120" s="9"/>
      <c r="CF120" s="9"/>
      <c r="CG120" s="9"/>
      <c r="CH120" s="9">
        <v>1</v>
      </c>
      <c r="CI120" s="9">
        <v>0</v>
      </c>
      <c r="CJ120" s="9"/>
      <c r="CK120" s="9"/>
      <c r="CL120" s="9" t="s">
        <v>1967</v>
      </c>
      <c r="CM120" s="9"/>
      <c r="CN120" s="9">
        <v>0</v>
      </c>
      <c r="CO120" s="9" t="s">
        <v>1925</v>
      </c>
      <c r="CP120" s="9"/>
      <c r="CQ120" s="9"/>
    </row>
    <row r="121" spans="1:95" x14ac:dyDescent="0.35">
      <c r="A121" s="9" t="b">
        <f>ISNUMBER(MATCH(Claude[[#This Row],[Id]],ChargentOrders[Id],0))</f>
        <v>1</v>
      </c>
      <c r="B121" t="b">
        <f>INDEX(ChargentOrders[VALIDO],MATCH(Claude[[#This Row],[Id]],ChargentOrders[Id],0))</f>
        <v>1</v>
      </c>
      <c r="C121">
        <f>INDEX(Contract[CB_Subscription__c],MATCH(Claude[[#This Row],[Contract__c]],Contract[Id],0))</f>
        <v>0</v>
      </c>
      <c r="D121" s="9" t="s">
        <v>451</v>
      </c>
      <c r="E121" s="9" t="s">
        <v>102</v>
      </c>
      <c r="F121" s="9">
        <v>0</v>
      </c>
      <c r="G121" s="9" t="s">
        <v>452</v>
      </c>
      <c r="H121" s="9">
        <v>45930.41746527778</v>
      </c>
      <c r="I121" s="9" t="s">
        <v>65</v>
      </c>
      <c r="J121" s="9">
        <v>46114.619976851849</v>
      </c>
      <c r="K121" s="9" t="s">
        <v>78</v>
      </c>
      <c r="L121" s="9">
        <v>46114.619976851849</v>
      </c>
      <c r="M121" s="9"/>
      <c r="N121" s="9" t="s">
        <v>1570</v>
      </c>
      <c r="O121" s="9" t="s">
        <v>1923</v>
      </c>
      <c r="P121" s="9" t="s">
        <v>1924</v>
      </c>
      <c r="Q121" s="9" t="s">
        <v>1925</v>
      </c>
      <c r="R121" s="9" t="s">
        <v>1568</v>
      </c>
      <c r="S121" s="9" t="s">
        <v>1926</v>
      </c>
      <c r="T121" s="9" t="s">
        <v>1927</v>
      </c>
      <c r="U121" s="9" t="s">
        <v>1928</v>
      </c>
      <c r="V121" s="9">
        <v>949</v>
      </c>
      <c r="W121" s="9">
        <v>6</v>
      </c>
      <c r="X121" s="9">
        <v>2030</v>
      </c>
      <c r="Y121" s="9">
        <v>2774</v>
      </c>
      <c r="Z121" s="9">
        <v>6</v>
      </c>
      <c r="AA121" s="9">
        <v>2774</v>
      </c>
      <c r="AB121" s="9" t="s">
        <v>73</v>
      </c>
      <c r="AC121" s="9">
        <v>2030</v>
      </c>
      <c r="AD121" s="9" t="s">
        <v>1970</v>
      </c>
      <c r="AE121" s="9"/>
      <c r="AF121" s="9" t="s">
        <v>1929</v>
      </c>
      <c r="AG121" s="9"/>
      <c r="AH121" s="9" t="s">
        <v>67</v>
      </c>
      <c r="AI121" s="9">
        <v>0</v>
      </c>
      <c r="AJ121" s="9"/>
      <c r="AK121" s="9">
        <v>0</v>
      </c>
      <c r="AL121" s="9" t="s">
        <v>1930</v>
      </c>
      <c r="AM121" s="9">
        <v>1</v>
      </c>
      <c r="AN121" s="9">
        <v>45961</v>
      </c>
      <c r="AO121" s="9" t="s">
        <v>1931</v>
      </c>
      <c r="AP121" s="9" t="s">
        <v>69</v>
      </c>
      <c r="AQ121" s="9" t="s">
        <v>1932</v>
      </c>
      <c r="AR121" s="9">
        <v>45974</v>
      </c>
      <c r="AS121" s="9" t="s">
        <v>74</v>
      </c>
      <c r="AT121" s="9" t="s">
        <v>1935</v>
      </c>
      <c r="AU121" s="9" t="s">
        <v>1970</v>
      </c>
      <c r="AV121" s="9">
        <v>0</v>
      </c>
      <c r="AW121" s="9" t="s">
        <v>92</v>
      </c>
      <c r="AX121" s="9" t="s">
        <v>147</v>
      </c>
      <c r="AY121" s="9">
        <v>0</v>
      </c>
      <c r="AZ121" s="9">
        <v>45974.421226851853</v>
      </c>
      <c r="BA121" s="9">
        <v>45974.421284722222</v>
      </c>
      <c r="BB121" s="9">
        <v>1</v>
      </c>
      <c r="BC121" s="9">
        <v>21</v>
      </c>
      <c r="BD121" s="9" t="s">
        <v>94</v>
      </c>
      <c r="BE121" s="9" t="s">
        <v>112</v>
      </c>
      <c r="BF121" s="9" t="s">
        <v>71</v>
      </c>
      <c r="BG121" s="9"/>
      <c r="BH121" s="9">
        <v>0</v>
      </c>
      <c r="BI121" s="9"/>
      <c r="BJ121" s="9">
        <v>0</v>
      </c>
      <c r="BK121" s="9" t="s">
        <v>92</v>
      </c>
      <c r="BL121" s="9" t="s">
        <v>92</v>
      </c>
      <c r="BM121" s="9" t="s">
        <v>72</v>
      </c>
      <c r="BN121" s="9"/>
      <c r="BO121" s="9">
        <v>1</v>
      </c>
      <c r="BP121" s="9" t="s">
        <v>453</v>
      </c>
      <c r="BQ121" s="9">
        <v>0</v>
      </c>
      <c r="BR121" s="9">
        <v>45170.864606481482</v>
      </c>
      <c r="BS121" s="9" t="s">
        <v>109</v>
      </c>
      <c r="BT121" s="9" t="s">
        <v>65</v>
      </c>
      <c r="BU121" s="9"/>
      <c r="BV121" s="9"/>
      <c r="BW121" s="9">
        <v>0</v>
      </c>
      <c r="BX121" s="9">
        <v>45958.954479166663</v>
      </c>
      <c r="BY121" s="9">
        <v>45974.421226851853</v>
      </c>
      <c r="BZ121" s="9"/>
      <c r="CA121" s="9"/>
      <c r="CB121" s="9"/>
      <c r="CC121" s="9"/>
      <c r="CD121" s="9"/>
      <c r="CE121" s="9"/>
      <c r="CF121" s="9"/>
      <c r="CG121" s="9"/>
      <c r="CH121" s="9">
        <v>1</v>
      </c>
      <c r="CI121" s="9">
        <v>0</v>
      </c>
      <c r="CJ121" s="9"/>
      <c r="CK121" s="9"/>
      <c r="CL121" s="9"/>
      <c r="CM121" s="9"/>
      <c r="CN121" s="9">
        <v>0</v>
      </c>
      <c r="CO121" s="9" t="s">
        <v>1925</v>
      </c>
      <c r="CP121" s="9"/>
      <c r="CQ121" s="9"/>
    </row>
    <row r="122" spans="1:95" x14ac:dyDescent="0.35">
      <c r="A122" s="9" t="b">
        <f>ISNUMBER(MATCH(Claude[[#This Row],[Id]],ChargentOrders[Id],0))</f>
        <v>1</v>
      </c>
      <c r="B122" t="b">
        <f>INDEX(ChargentOrders[VALIDO],MATCH(Claude[[#This Row],[Id]],ChargentOrders[Id],0))</f>
        <v>1</v>
      </c>
      <c r="C122">
        <f>INDEX(Contract[CB_Subscription__c],MATCH(Claude[[#This Row],[Contract__c]],Contract[Id],0))</f>
        <v>0</v>
      </c>
      <c r="D122" s="9" t="s">
        <v>454</v>
      </c>
      <c r="E122" s="9" t="s">
        <v>79</v>
      </c>
      <c r="F122" s="9">
        <v>0</v>
      </c>
      <c r="G122" s="9" t="s">
        <v>455</v>
      </c>
      <c r="H122" s="9">
        <v>45930.418310185189</v>
      </c>
      <c r="I122" s="9" t="s">
        <v>65</v>
      </c>
      <c r="J122" s="9">
        <v>45957.423483796294</v>
      </c>
      <c r="K122" s="9" t="s">
        <v>65</v>
      </c>
      <c r="L122" s="9">
        <v>45957.423483796294</v>
      </c>
      <c r="M122" s="9"/>
      <c r="N122" s="9" t="s">
        <v>1576</v>
      </c>
      <c r="O122" s="9" t="s">
        <v>1947</v>
      </c>
      <c r="P122" s="9" t="s">
        <v>1948</v>
      </c>
      <c r="Q122" s="9" t="s">
        <v>1925</v>
      </c>
      <c r="R122" s="9" t="s">
        <v>1574</v>
      </c>
      <c r="S122" s="9" t="s">
        <v>1949</v>
      </c>
      <c r="T122" s="9" t="s">
        <v>1950</v>
      </c>
      <c r="U122" s="9" t="s">
        <v>1928</v>
      </c>
      <c r="V122" s="9">
        <v>769</v>
      </c>
      <c r="W122" s="9">
        <v>7</v>
      </c>
      <c r="X122" s="9">
        <v>2028</v>
      </c>
      <c r="Y122" s="9">
        <v>1524</v>
      </c>
      <c r="Z122" s="9">
        <v>7</v>
      </c>
      <c r="AA122" s="9">
        <v>4549516625621520</v>
      </c>
      <c r="AB122" s="9" t="s">
        <v>73</v>
      </c>
      <c r="AC122" s="9">
        <v>2028</v>
      </c>
      <c r="AD122" s="9" t="s">
        <v>104</v>
      </c>
      <c r="AE122" s="9"/>
      <c r="AF122" s="9" t="s">
        <v>1929</v>
      </c>
      <c r="AG122" s="9"/>
      <c r="AH122" s="9" t="s">
        <v>67</v>
      </c>
      <c r="AI122" s="9">
        <v>0</v>
      </c>
      <c r="AJ122" s="9"/>
      <c r="AK122" s="9">
        <v>0</v>
      </c>
      <c r="AL122" s="9" t="s">
        <v>1930</v>
      </c>
      <c r="AM122" s="9">
        <v>1</v>
      </c>
      <c r="AN122" s="9">
        <v>45957</v>
      </c>
      <c r="AO122" s="9" t="s">
        <v>1931</v>
      </c>
      <c r="AP122" s="9" t="s">
        <v>69</v>
      </c>
      <c r="AQ122" s="9" t="s">
        <v>1932</v>
      </c>
      <c r="AR122" s="9">
        <v>45957</v>
      </c>
      <c r="AS122" s="9" t="s">
        <v>74</v>
      </c>
      <c r="AT122" s="9" t="s">
        <v>1935</v>
      </c>
      <c r="AU122" s="9" t="s">
        <v>1952</v>
      </c>
      <c r="AV122" s="9">
        <v>0</v>
      </c>
      <c r="AW122" s="9" t="s">
        <v>1953</v>
      </c>
      <c r="AX122" s="9" t="s">
        <v>158</v>
      </c>
      <c r="AY122" s="9">
        <v>0</v>
      </c>
      <c r="AZ122" s="9">
        <v>45957.423414351855</v>
      </c>
      <c r="BA122" s="9">
        <v>45957.423437500001</v>
      </c>
      <c r="BB122" s="9">
        <v>1</v>
      </c>
      <c r="BC122" s="9">
        <v>17</v>
      </c>
      <c r="BD122" s="9" t="s">
        <v>104</v>
      </c>
      <c r="BE122" s="9" t="s">
        <v>159</v>
      </c>
      <c r="BF122" s="9" t="s">
        <v>71</v>
      </c>
      <c r="BG122" s="9"/>
      <c r="BH122" s="9">
        <v>0</v>
      </c>
      <c r="BI122" s="9"/>
      <c r="BJ122" s="9">
        <v>0</v>
      </c>
      <c r="BK122" s="9" t="s">
        <v>1937</v>
      </c>
      <c r="BL122" s="9" t="s">
        <v>1938</v>
      </c>
      <c r="BM122" s="9" t="s">
        <v>72</v>
      </c>
      <c r="BN122" s="9"/>
      <c r="BO122" s="9">
        <v>1</v>
      </c>
      <c r="BP122" s="9" t="s">
        <v>456</v>
      </c>
      <c r="BQ122" s="9">
        <v>0</v>
      </c>
      <c r="BR122" s="9">
        <v>45392.867974537039</v>
      </c>
      <c r="BS122" s="9" t="s">
        <v>109</v>
      </c>
      <c r="BT122" s="9" t="s">
        <v>65</v>
      </c>
      <c r="BU122" s="9"/>
      <c r="BV122" s="9"/>
      <c r="BW122" s="9">
        <v>0</v>
      </c>
      <c r="BX122" s="9">
        <v>45954.980798611112</v>
      </c>
      <c r="BY122" s="9">
        <v>45957.423414351855</v>
      </c>
      <c r="BZ122" s="9"/>
      <c r="CA122" s="9"/>
      <c r="CB122" s="9"/>
      <c r="CC122" s="9"/>
      <c r="CD122" s="9"/>
      <c r="CE122" s="9"/>
      <c r="CF122" s="9"/>
      <c r="CG122" s="9"/>
      <c r="CH122" s="9">
        <v>1</v>
      </c>
      <c r="CI122" s="9">
        <v>0</v>
      </c>
      <c r="CJ122" s="9"/>
      <c r="CK122" s="9"/>
      <c r="CL122" s="9"/>
      <c r="CM122" s="9"/>
      <c r="CN122" s="9">
        <v>0</v>
      </c>
      <c r="CO122" s="9" t="s">
        <v>1925</v>
      </c>
      <c r="CP122" s="9"/>
      <c r="CQ122" s="9"/>
    </row>
    <row r="123" spans="1:95" x14ac:dyDescent="0.35">
      <c r="A123" s="9" t="b">
        <f>ISNUMBER(MATCH(Claude[[#This Row],[Id]],ChargentOrders[Id],0))</f>
        <v>1</v>
      </c>
      <c r="B123" t="b">
        <f>INDEX(ChargentOrders[VALIDO],MATCH(Claude[[#This Row],[Id]],ChargentOrders[Id],0))</f>
        <v>1</v>
      </c>
      <c r="C123">
        <f>INDEX(Contract[CB_Subscription__c],MATCH(Claude[[#This Row],[Contract__c]],Contract[Id],0))</f>
        <v>0</v>
      </c>
      <c r="D123" s="9" t="s">
        <v>457</v>
      </c>
      <c r="E123" s="9" t="s">
        <v>79</v>
      </c>
      <c r="F123" s="9">
        <v>0</v>
      </c>
      <c r="G123" s="9" t="s">
        <v>458</v>
      </c>
      <c r="H123" s="9">
        <v>45930.419085648151</v>
      </c>
      <c r="I123" s="9" t="s">
        <v>65</v>
      </c>
      <c r="J123" s="9">
        <v>45933.993495370371</v>
      </c>
      <c r="K123" s="9" t="s">
        <v>101</v>
      </c>
      <c r="L123" s="9">
        <v>45933.993495370371</v>
      </c>
      <c r="M123" s="9"/>
      <c r="N123" s="9" t="s">
        <v>1581</v>
      </c>
      <c r="O123" s="9" t="s">
        <v>1960</v>
      </c>
      <c r="P123" s="9" t="s">
        <v>1961</v>
      </c>
      <c r="Q123" s="9" t="s">
        <v>1925</v>
      </c>
      <c r="R123" s="9" t="s">
        <v>1579</v>
      </c>
      <c r="S123" s="9" t="s">
        <v>1962</v>
      </c>
      <c r="T123" s="9" t="s">
        <v>1963</v>
      </c>
      <c r="U123" s="9" t="s">
        <v>1928</v>
      </c>
      <c r="V123" s="9">
        <v>778</v>
      </c>
      <c r="W123" s="9">
        <v>3</v>
      </c>
      <c r="X123" s="9">
        <v>2027</v>
      </c>
      <c r="Y123" s="9">
        <v>4327</v>
      </c>
      <c r="Z123" s="9">
        <v>3</v>
      </c>
      <c r="AA123" s="9">
        <v>4549516808074320</v>
      </c>
      <c r="AB123" s="9" t="s">
        <v>73</v>
      </c>
      <c r="AC123" s="9">
        <v>2027</v>
      </c>
      <c r="AD123" s="9" t="s">
        <v>104</v>
      </c>
      <c r="AE123" s="9"/>
      <c r="AF123" s="9" t="s">
        <v>1929</v>
      </c>
      <c r="AG123" s="9"/>
      <c r="AH123" s="9" t="s">
        <v>67</v>
      </c>
      <c r="AI123" s="9">
        <v>0</v>
      </c>
      <c r="AJ123" s="9"/>
      <c r="AK123" s="9">
        <v>0</v>
      </c>
      <c r="AL123" s="9" t="s">
        <v>1930</v>
      </c>
      <c r="AM123" s="9">
        <v>1</v>
      </c>
      <c r="AN123" s="9">
        <v>45936</v>
      </c>
      <c r="AO123" s="9" t="s">
        <v>1931</v>
      </c>
      <c r="AP123" s="9" t="s">
        <v>69</v>
      </c>
      <c r="AQ123" s="9" t="s">
        <v>1932</v>
      </c>
      <c r="AR123" s="9">
        <v>45936</v>
      </c>
      <c r="AS123" s="9" t="s">
        <v>74</v>
      </c>
      <c r="AT123" s="9" t="s">
        <v>1935</v>
      </c>
      <c r="AU123" s="9" t="s">
        <v>1952</v>
      </c>
      <c r="AV123" s="9">
        <v>0</v>
      </c>
      <c r="AW123" s="9" t="s">
        <v>1953</v>
      </c>
      <c r="AX123" s="9" t="s">
        <v>165</v>
      </c>
      <c r="AY123" s="9">
        <v>0</v>
      </c>
      <c r="AZ123" s="9">
        <v>45933.993472222224</v>
      </c>
      <c r="BA123" s="9">
        <v>45933.993472222224</v>
      </c>
      <c r="BB123" s="9">
        <v>1</v>
      </c>
      <c r="BC123" s="9">
        <v>4</v>
      </c>
      <c r="BD123" s="9" t="s">
        <v>104</v>
      </c>
      <c r="BE123" s="9" t="s">
        <v>179</v>
      </c>
      <c r="BF123" s="9" t="s">
        <v>71</v>
      </c>
      <c r="BG123" s="9"/>
      <c r="BH123" s="9">
        <v>0</v>
      </c>
      <c r="BI123" s="9"/>
      <c r="BJ123" s="9">
        <v>0</v>
      </c>
      <c r="BK123" s="9" t="s">
        <v>1937</v>
      </c>
      <c r="BL123" s="9" t="s">
        <v>1938</v>
      </c>
      <c r="BM123" s="9" t="s">
        <v>72</v>
      </c>
      <c r="BN123" s="9"/>
      <c r="BO123" s="9">
        <v>1</v>
      </c>
      <c r="BP123" s="9" t="s">
        <v>459</v>
      </c>
      <c r="BQ123" s="9">
        <v>0</v>
      </c>
      <c r="BR123" s="9">
        <v>45546.777881944443</v>
      </c>
      <c r="BS123" s="9" t="s">
        <v>109</v>
      </c>
      <c r="BT123" s="9" t="s">
        <v>65</v>
      </c>
      <c r="BU123" s="9"/>
      <c r="BV123" s="9"/>
      <c r="BW123" s="9">
        <v>0</v>
      </c>
      <c r="BX123" s="9">
        <v>45933.426307870373</v>
      </c>
      <c r="BY123" s="9">
        <v>45933.993472222224</v>
      </c>
      <c r="BZ123" s="9"/>
      <c r="CA123" s="9"/>
      <c r="CB123" s="9"/>
      <c r="CC123" s="9"/>
      <c r="CD123" s="9"/>
      <c r="CE123" s="9"/>
      <c r="CF123" s="9"/>
      <c r="CG123" s="9"/>
      <c r="CH123" s="9">
        <v>1</v>
      </c>
      <c r="CI123" s="9">
        <v>0</v>
      </c>
      <c r="CJ123" s="9"/>
      <c r="CK123" s="9"/>
      <c r="CL123" s="9" t="s">
        <v>1964</v>
      </c>
      <c r="CM123" s="9"/>
      <c r="CN123" s="9">
        <v>0</v>
      </c>
      <c r="CO123" s="9" t="s">
        <v>1925</v>
      </c>
      <c r="CP123" s="9"/>
      <c r="CQ123" s="9"/>
    </row>
    <row r="124" spans="1:95" x14ac:dyDescent="0.35">
      <c r="A124" s="9" t="b">
        <f>ISNUMBER(MATCH(Claude[[#This Row],[Id]],ChargentOrders[Id],0))</f>
        <v>1</v>
      </c>
      <c r="B124" t="b">
        <f>INDEX(ChargentOrders[VALIDO],MATCH(Claude[[#This Row],[Id]],ChargentOrders[Id],0))</f>
        <v>1</v>
      </c>
      <c r="C124">
        <f>INDEX(Contract[CB_Subscription__c],MATCH(Claude[[#This Row],[Contract__c]],Contract[Id],0))</f>
        <v>0</v>
      </c>
      <c r="D124" s="9" t="s">
        <v>460</v>
      </c>
      <c r="E124" s="9" t="s">
        <v>79</v>
      </c>
      <c r="F124" s="9">
        <v>0</v>
      </c>
      <c r="G124" s="9" t="s">
        <v>461</v>
      </c>
      <c r="H124" s="9">
        <v>45930.420856481483</v>
      </c>
      <c r="I124" s="9" t="s">
        <v>65</v>
      </c>
      <c r="J124" s="9">
        <v>45940.426249999997</v>
      </c>
      <c r="K124" s="9" t="s">
        <v>65</v>
      </c>
      <c r="L124" s="9">
        <v>45940.426249999997</v>
      </c>
      <c r="M124" s="9"/>
      <c r="N124" s="9" t="s">
        <v>1596</v>
      </c>
      <c r="O124" s="9" t="s">
        <v>1997</v>
      </c>
      <c r="P124" s="9" t="s">
        <v>1990</v>
      </c>
      <c r="Q124" s="9" t="s">
        <v>1925</v>
      </c>
      <c r="R124" s="9" t="s">
        <v>1594</v>
      </c>
      <c r="S124" s="9" t="s">
        <v>1998</v>
      </c>
      <c r="T124" s="9" t="s">
        <v>1999</v>
      </c>
      <c r="U124" s="9" t="s">
        <v>1928</v>
      </c>
      <c r="V124" s="9">
        <v>901</v>
      </c>
      <c r="W124" s="9">
        <v>2</v>
      </c>
      <c r="X124" s="9">
        <v>2026</v>
      </c>
      <c r="Y124" s="9">
        <v>7405</v>
      </c>
      <c r="Z124" s="9">
        <v>2</v>
      </c>
      <c r="AA124" s="9">
        <v>4549516847817400</v>
      </c>
      <c r="AB124" s="9" t="s">
        <v>73</v>
      </c>
      <c r="AC124" s="9">
        <v>2026</v>
      </c>
      <c r="AD124" s="9" t="s">
        <v>104</v>
      </c>
      <c r="AE124" s="9"/>
      <c r="AF124" s="9" t="s">
        <v>1929</v>
      </c>
      <c r="AG124" s="9"/>
      <c r="AH124" s="9" t="s">
        <v>67</v>
      </c>
      <c r="AI124" s="9">
        <v>0</v>
      </c>
      <c r="AJ124" s="9"/>
      <c r="AK124" s="9">
        <v>0</v>
      </c>
      <c r="AL124" s="9" t="s">
        <v>1930</v>
      </c>
      <c r="AM124" s="9">
        <v>1</v>
      </c>
      <c r="AN124" s="9">
        <v>45933</v>
      </c>
      <c r="AO124" s="9" t="s">
        <v>1931</v>
      </c>
      <c r="AP124" s="9" t="s">
        <v>69</v>
      </c>
      <c r="AQ124" s="9" t="s">
        <v>1932</v>
      </c>
      <c r="AR124" s="9">
        <v>45940</v>
      </c>
      <c r="AS124" s="9" t="s">
        <v>74</v>
      </c>
      <c r="AT124" s="9" t="s">
        <v>1935</v>
      </c>
      <c r="AU124" s="9" t="s">
        <v>1952</v>
      </c>
      <c r="AV124" s="9">
        <v>0</v>
      </c>
      <c r="AW124" s="9" t="s">
        <v>1953</v>
      </c>
      <c r="AX124" s="9" t="s">
        <v>252</v>
      </c>
      <c r="AY124" s="9">
        <v>0</v>
      </c>
      <c r="AZ124" s="9">
        <v>45940.426180555558</v>
      </c>
      <c r="BA124" s="9">
        <v>45940.426203703704</v>
      </c>
      <c r="BB124" s="9">
        <v>1</v>
      </c>
      <c r="BC124" s="9">
        <v>1</v>
      </c>
      <c r="BD124" s="9" t="s">
        <v>104</v>
      </c>
      <c r="BE124" s="9" t="s">
        <v>253</v>
      </c>
      <c r="BF124" s="9" t="s">
        <v>71</v>
      </c>
      <c r="BG124" s="9"/>
      <c r="BH124" s="9">
        <v>0</v>
      </c>
      <c r="BI124" s="9"/>
      <c r="BJ124" s="9">
        <v>0</v>
      </c>
      <c r="BK124" s="9" t="s">
        <v>1937</v>
      </c>
      <c r="BL124" s="9" t="s">
        <v>1938</v>
      </c>
      <c r="BM124" s="9" t="s">
        <v>72</v>
      </c>
      <c r="BN124" s="9"/>
      <c r="BO124" s="9">
        <v>1</v>
      </c>
      <c r="BP124" s="9" t="s">
        <v>462</v>
      </c>
      <c r="BQ124" s="9">
        <v>0</v>
      </c>
      <c r="BR124" s="9">
        <v>45723.426469907405</v>
      </c>
      <c r="BS124" s="9" t="s">
        <v>109</v>
      </c>
      <c r="BT124" s="9" t="s">
        <v>65</v>
      </c>
      <c r="BU124" s="9"/>
      <c r="BV124" s="9"/>
      <c r="BW124" s="9">
        <v>0</v>
      </c>
      <c r="BX124" s="9"/>
      <c r="BY124" s="9">
        <v>45940.426180555558</v>
      </c>
      <c r="BZ124" s="9"/>
      <c r="CA124" s="9"/>
      <c r="CB124" s="9"/>
      <c r="CC124" s="9"/>
      <c r="CD124" s="9"/>
      <c r="CE124" s="9"/>
      <c r="CF124" s="9"/>
      <c r="CG124" s="9"/>
      <c r="CH124" s="9">
        <v>1</v>
      </c>
      <c r="CI124" s="9">
        <v>0</v>
      </c>
      <c r="CJ124" s="9"/>
      <c r="CK124" s="9"/>
      <c r="CL124" s="9" t="s">
        <v>2000</v>
      </c>
      <c r="CM124" s="9" t="s">
        <v>192</v>
      </c>
      <c r="CN124" s="9">
        <v>0</v>
      </c>
      <c r="CO124" s="9" t="s">
        <v>1925</v>
      </c>
      <c r="CP124" s="9"/>
      <c r="CQ124" s="9"/>
    </row>
    <row r="125" spans="1:95" x14ac:dyDescent="0.35">
      <c r="A125" s="9" t="b">
        <f>ISNUMBER(MATCH(Claude[[#This Row],[Id]],ChargentOrders[Id],0))</f>
        <v>1</v>
      </c>
      <c r="B125" t="b">
        <f>INDEX(ChargentOrders[VALIDO],MATCH(Claude[[#This Row],[Id]],ChargentOrders[Id],0))</f>
        <v>1</v>
      </c>
      <c r="C125">
        <f>INDEX(Contract[CB_Subscription__c],MATCH(Claude[[#This Row],[Contract__c]],Contract[Id],0))</f>
        <v>0</v>
      </c>
      <c r="D125" s="9" t="s">
        <v>463</v>
      </c>
      <c r="E125" s="9" t="s">
        <v>81</v>
      </c>
      <c r="F125" s="9">
        <v>0</v>
      </c>
      <c r="G125" s="9" t="s">
        <v>464</v>
      </c>
      <c r="H125" s="9">
        <v>45930.421261574076</v>
      </c>
      <c r="I125" s="9" t="s">
        <v>65</v>
      </c>
      <c r="J125" s="9">
        <v>45943.425555555557</v>
      </c>
      <c r="K125" s="9" t="s">
        <v>65</v>
      </c>
      <c r="L125" s="9">
        <v>45943.425555555557</v>
      </c>
      <c r="M125" s="9"/>
      <c r="N125" s="9" t="s">
        <v>1601</v>
      </c>
      <c r="O125" s="9" t="s">
        <v>2005</v>
      </c>
      <c r="P125" s="9" t="s">
        <v>2006</v>
      </c>
      <c r="Q125" s="9" t="s">
        <v>1925</v>
      </c>
      <c r="R125" s="9" t="s">
        <v>1599</v>
      </c>
      <c r="S125" s="9" t="s">
        <v>2007</v>
      </c>
      <c r="T125" s="9" t="s">
        <v>2008</v>
      </c>
      <c r="U125" s="9" t="s">
        <v>1928</v>
      </c>
      <c r="V125" s="9">
        <v>985</v>
      </c>
      <c r="W125" s="9">
        <v>11</v>
      </c>
      <c r="X125" s="9">
        <v>2029</v>
      </c>
      <c r="Y125" s="9">
        <v>6484</v>
      </c>
      <c r="Z125" s="9">
        <v>11</v>
      </c>
      <c r="AA125" s="9">
        <v>4549518380296480</v>
      </c>
      <c r="AB125" s="9" t="s">
        <v>73</v>
      </c>
      <c r="AC125" s="9">
        <v>2029</v>
      </c>
      <c r="AD125" s="9" t="s">
        <v>104</v>
      </c>
      <c r="AE125" s="9"/>
      <c r="AF125" s="9" t="s">
        <v>1929</v>
      </c>
      <c r="AG125" s="9"/>
      <c r="AH125" s="9" t="s">
        <v>67</v>
      </c>
      <c r="AI125" s="9">
        <v>0</v>
      </c>
      <c r="AJ125" s="9"/>
      <c r="AK125" s="9">
        <v>0</v>
      </c>
      <c r="AL125" s="9" t="s">
        <v>1930</v>
      </c>
      <c r="AM125" s="9">
        <v>1</v>
      </c>
      <c r="AN125" s="9">
        <v>45943</v>
      </c>
      <c r="AO125" s="9" t="s">
        <v>1931</v>
      </c>
      <c r="AP125" s="9" t="s">
        <v>69</v>
      </c>
      <c r="AQ125" s="9" t="s">
        <v>1932</v>
      </c>
      <c r="AR125" s="9">
        <v>45943</v>
      </c>
      <c r="AS125" s="9" t="s">
        <v>74</v>
      </c>
      <c r="AT125" s="9" t="s">
        <v>1935</v>
      </c>
      <c r="AU125" s="9" t="s">
        <v>1952</v>
      </c>
      <c r="AV125" s="9">
        <v>0</v>
      </c>
      <c r="AW125" s="9" t="s">
        <v>1953</v>
      </c>
      <c r="AX125" s="9" t="s">
        <v>264</v>
      </c>
      <c r="AY125" s="9">
        <v>0</v>
      </c>
      <c r="AZ125" s="9">
        <v>45943.425486111111</v>
      </c>
      <c r="BA125" s="9">
        <v>45943.425509259258</v>
      </c>
      <c r="BB125" s="9">
        <v>1</v>
      </c>
      <c r="BC125" s="9">
        <v>13</v>
      </c>
      <c r="BD125" s="9" t="s">
        <v>104</v>
      </c>
      <c r="BE125" s="9" t="s">
        <v>265</v>
      </c>
      <c r="BF125" s="9" t="s">
        <v>71</v>
      </c>
      <c r="BG125" s="9"/>
      <c r="BH125" s="9">
        <v>0</v>
      </c>
      <c r="BI125" s="9"/>
      <c r="BJ125" s="9">
        <v>0</v>
      </c>
      <c r="BK125" s="9" t="s">
        <v>1937</v>
      </c>
      <c r="BL125" s="9" t="s">
        <v>1938</v>
      </c>
      <c r="BM125" s="9" t="s">
        <v>72</v>
      </c>
      <c r="BN125" s="9"/>
      <c r="BO125" s="9">
        <v>1</v>
      </c>
      <c r="BP125" s="9" t="s">
        <v>465</v>
      </c>
      <c r="BQ125" s="9">
        <v>0</v>
      </c>
      <c r="BR125" s="9">
        <v>45744.431817129633</v>
      </c>
      <c r="BS125" s="9" t="s">
        <v>109</v>
      </c>
      <c r="BT125" s="9" t="s">
        <v>65</v>
      </c>
      <c r="BU125" s="9"/>
      <c r="BV125" s="9"/>
      <c r="BW125" s="9">
        <v>0</v>
      </c>
      <c r="BX125" s="9">
        <v>45940.999884259261</v>
      </c>
      <c r="BY125" s="9">
        <v>45943.425486111111</v>
      </c>
      <c r="BZ125" s="9"/>
      <c r="CA125" s="9"/>
      <c r="CB125" s="9"/>
      <c r="CC125" s="9"/>
      <c r="CD125" s="9"/>
      <c r="CE125" s="9"/>
      <c r="CF125" s="9"/>
      <c r="CG125" s="9"/>
      <c r="CH125" s="9">
        <v>1</v>
      </c>
      <c r="CI125" s="9">
        <v>0</v>
      </c>
      <c r="CJ125" s="9"/>
      <c r="CK125" s="9"/>
      <c r="CL125" s="9" t="s">
        <v>2009</v>
      </c>
      <c r="CM125" s="9"/>
      <c r="CN125" s="9">
        <v>0</v>
      </c>
      <c r="CO125" s="9" t="s">
        <v>1925</v>
      </c>
      <c r="CP125" s="9"/>
      <c r="CQ125" s="9"/>
    </row>
    <row r="126" spans="1:95" x14ac:dyDescent="0.35">
      <c r="A126" s="9" t="b">
        <f>ISNUMBER(MATCH(Claude[[#This Row],[Id]],ChargentOrders[Id],0))</f>
        <v>1</v>
      </c>
      <c r="B126" t="b">
        <f>INDEX(ChargentOrders[VALIDO],MATCH(Claude[[#This Row],[Id]],ChargentOrders[Id],0))</f>
        <v>1</v>
      </c>
      <c r="C126">
        <f>INDEX(Contract[CB_Subscription__c],MATCH(Claude[[#This Row],[Contract__c]],Contract[Id],0))</f>
        <v>0</v>
      </c>
      <c r="D126" s="9" t="s">
        <v>466</v>
      </c>
      <c r="E126" s="9" t="s">
        <v>79</v>
      </c>
      <c r="F126" s="9">
        <v>0</v>
      </c>
      <c r="G126" s="9" t="s">
        <v>467</v>
      </c>
      <c r="H126" s="9">
        <v>45930.423206018517</v>
      </c>
      <c r="I126" s="9" t="s">
        <v>65</v>
      </c>
      <c r="J126" s="9">
        <v>45946.663495370369</v>
      </c>
      <c r="K126" s="9" t="s">
        <v>101</v>
      </c>
      <c r="L126" s="9">
        <v>45946.663495370369</v>
      </c>
      <c r="M126" s="9"/>
      <c r="N126" s="9" t="s">
        <v>1654</v>
      </c>
      <c r="O126" s="9" t="s">
        <v>2065</v>
      </c>
      <c r="P126" s="9" t="s">
        <v>2066</v>
      </c>
      <c r="Q126" s="9" t="s">
        <v>1925</v>
      </c>
      <c r="R126" s="9" t="s">
        <v>1652</v>
      </c>
      <c r="S126" s="9" t="s">
        <v>2067</v>
      </c>
      <c r="T126" s="9" t="s">
        <v>2068</v>
      </c>
      <c r="U126" s="9" t="s">
        <v>1928</v>
      </c>
      <c r="V126" s="9">
        <v>961</v>
      </c>
      <c r="W126" s="9">
        <v>4</v>
      </c>
      <c r="X126" s="9">
        <v>2028</v>
      </c>
      <c r="Y126" s="9">
        <v>6590</v>
      </c>
      <c r="Z126" s="9">
        <v>4</v>
      </c>
      <c r="AA126" s="9">
        <v>5159489901146590</v>
      </c>
      <c r="AB126" s="9" t="s">
        <v>66</v>
      </c>
      <c r="AC126" s="9">
        <v>2028</v>
      </c>
      <c r="AD126" s="9" t="s">
        <v>1972</v>
      </c>
      <c r="AE126" s="9"/>
      <c r="AF126" s="9" t="s">
        <v>1929</v>
      </c>
      <c r="AG126" s="9"/>
      <c r="AH126" s="9" t="s">
        <v>67</v>
      </c>
      <c r="AI126" s="9">
        <v>0</v>
      </c>
      <c r="AJ126" s="9"/>
      <c r="AK126" s="9">
        <v>0</v>
      </c>
      <c r="AL126" s="9" t="s">
        <v>1930</v>
      </c>
      <c r="AM126" s="9">
        <v>1</v>
      </c>
      <c r="AN126" s="9">
        <v>45947</v>
      </c>
      <c r="AO126" s="9" t="s">
        <v>1931</v>
      </c>
      <c r="AP126" s="9" t="s">
        <v>69</v>
      </c>
      <c r="AQ126" s="9" t="s">
        <v>1932</v>
      </c>
      <c r="AR126" s="9">
        <v>45947</v>
      </c>
      <c r="AS126" s="9" t="s">
        <v>74</v>
      </c>
      <c r="AT126" s="9" t="s">
        <v>1935</v>
      </c>
      <c r="AU126" s="9" t="s">
        <v>1970</v>
      </c>
      <c r="AV126" s="9">
        <v>0</v>
      </c>
      <c r="AW126" s="9" t="s">
        <v>1957</v>
      </c>
      <c r="AX126" s="9" t="s">
        <v>468</v>
      </c>
      <c r="AY126" s="9">
        <v>0</v>
      </c>
      <c r="AZ126" s="9">
        <v>45946.663460648146</v>
      </c>
      <c r="BA126" s="9">
        <v>45946.663460648146</v>
      </c>
      <c r="BB126" s="9">
        <v>1</v>
      </c>
      <c r="BC126" s="9">
        <v>9</v>
      </c>
      <c r="BD126" s="9" t="s">
        <v>1972</v>
      </c>
      <c r="BE126" s="9" t="s">
        <v>424</v>
      </c>
      <c r="BF126" s="9" t="s">
        <v>71</v>
      </c>
      <c r="BG126" s="9"/>
      <c r="BH126" s="9">
        <v>0</v>
      </c>
      <c r="BI126" s="9"/>
      <c r="BJ126" s="9">
        <v>0</v>
      </c>
      <c r="BK126" s="9" t="s">
        <v>1937</v>
      </c>
      <c r="BL126" s="9" t="s">
        <v>1938</v>
      </c>
      <c r="BM126" s="9" t="s">
        <v>72</v>
      </c>
      <c r="BN126" s="9"/>
      <c r="BO126" s="9">
        <v>1</v>
      </c>
      <c r="BP126" s="9" t="s">
        <v>469</v>
      </c>
      <c r="BQ126" s="9">
        <v>0</v>
      </c>
      <c r="BR126" s="9">
        <v>45894.594756944447</v>
      </c>
      <c r="BS126" s="9" t="s">
        <v>109</v>
      </c>
      <c r="BT126" s="9" t="s">
        <v>65</v>
      </c>
      <c r="BU126" s="9"/>
      <c r="BV126" s="9"/>
      <c r="BW126" s="9">
        <v>0</v>
      </c>
      <c r="BX126" s="9">
        <v>45946.642754629633</v>
      </c>
      <c r="BY126" s="9">
        <v>45946.663460648146</v>
      </c>
      <c r="BZ126" s="9"/>
      <c r="CA126" s="9"/>
      <c r="CB126" s="9"/>
      <c r="CC126" s="9"/>
      <c r="CD126" s="9"/>
      <c r="CE126" s="9"/>
      <c r="CF126" s="9"/>
      <c r="CG126" s="9"/>
      <c r="CH126" s="9">
        <v>1</v>
      </c>
      <c r="CI126" s="9">
        <v>0</v>
      </c>
      <c r="CJ126" s="9"/>
      <c r="CK126" s="9"/>
      <c r="CL126" s="9" t="s">
        <v>2069</v>
      </c>
      <c r="CM126" s="9"/>
      <c r="CN126" s="9">
        <v>0</v>
      </c>
      <c r="CO126" s="9" t="s">
        <v>1925</v>
      </c>
      <c r="CP126" s="9"/>
      <c r="CQ126" s="9"/>
    </row>
    <row r="127" spans="1:95" x14ac:dyDescent="0.35">
      <c r="A127" s="9" t="b">
        <f>ISNUMBER(MATCH(Claude[[#This Row],[Id]],ChargentOrders[Id],0))</f>
        <v>1</v>
      </c>
      <c r="B127" t="b">
        <f>INDEX(ChargentOrders[VALIDO],MATCH(Claude[[#This Row],[Id]],ChargentOrders[Id],0))</f>
        <v>1</v>
      </c>
      <c r="C127">
        <f>INDEX(Contract[CB_Subscription__c],MATCH(Claude[[#This Row],[Contract__c]],Contract[Id],0))</f>
        <v>0</v>
      </c>
      <c r="D127" s="9" t="s">
        <v>470</v>
      </c>
      <c r="E127" s="9" t="s">
        <v>155</v>
      </c>
      <c r="F127" s="9">
        <v>0</v>
      </c>
      <c r="G127" s="9" t="s">
        <v>471</v>
      </c>
      <c r="H127" s="9">
        <v>45930.423680555556</v>
      </c>
      <c r="I127" s="9" t="s">
        <v>65</v>
      </c>
      <c r="J127" s="9">
        <v>45943.426018518519</v>
      </c>
      <c r="K127" s="9" t="s">
        <v>65</v>
      </c>
      <c r="L127" s="9">
        <v>45943.426018518519</v>
      </c>
      <c r="M127" s="9"/>
      <c r="N127" s="9" t="s">
        <v>1649</v>
      </c>
      <c r="O127" s="9" t="s">
        <v>2059</v>
      </c>
      <c r="P127" s="9" t="s">
        <v>1990</v>
      </c>
      <c r="Q127" s="9" t="s">
        <v>1925</v>
      </c>
      <c r="R127" s="9" t="s">
        <v>1647</v>
      </c>
      <c r="S127" s="9" t="s">
        <v>2060</v>
      </c>
      <c r="T127" s="9" t="s">
        <v>2061</v>
      </c>
      <c r="U127" s="9" t="s">
        <v>1928</v>
      </c>
      <c r="V127" s="9">
        <v>915</v>
      </c>
      <c r="W127" s="9">
        <v>10</v>
      </c>
      <c r="X127" s="9">
        <v>2028</v>
      </c>
      <c r="Y127" s="9">
        <v>2362</v>
      </c>
      <c r="Z127" s="9">
        <v>10</v>
      </c>
      <c r="AA127" s="9">
        <v>4549516362132360</v>
      </c>
      <c r="AB127" s="9" t="s">
        <v>73</v>
      </c>
      <c r="AC127" s="9">
        <v>2028</v>
      </c>
      <c r="AD127" s="9" t="s">
        <v>450</v>
      </c>
      <c r="AE127" s="9"/>
      <c r="AF127" s="9" t="s">
        <v>1929</v>
      </c>
      <c r="AG127" s="9"/>
      <c r="AH127" s="9" t="s">
        <v>67</v>
      </c>
      <c r="AI127" s="9">
        <v>0</v>
      </c>
      <c r="AJ127" s="9"/>
      <c r="AK127" s="9">
        <v>0</v>
      </c>
      <c r="AL127" s="9" t="s">
        <v>1930</v>
      </c>
      <c r="AM127" s="9">
        <v>1</v>
      </c>
      <c r="AN127" s="9">
        <v>45943</v>
      </c>
      <c r="AO127" s="9" t="s">
        <v>1931</v>
      </c>
      <c r="AP127" s="9" t="s">
        <v>69</v>
      </c>
      <c r="AQ127" s="9" t="s">
        <v>1932</v>
      </c>
      <c r="AR127" s="9">
        <v>45943</v>
      </c>
      <c r="AS127" s="9" t="s">
        <v>74</v>
      </c>
      <c r="AT127" s="9" t="s">
        <v>1935</v>
      </c>
      <c r="AU127" s="9" t="s">
        <v>449</v>
      </c>
      <c r="AV127" s="9">
        <v>0</v>
      </c>
      <c r="AW127" s="9" t="s">
        <v>2071</v>
      </c>
      <c r="AX127" s="9" t="s">
        <v>414</v>
      </c>
      <c r="AY127" s="9">
        <v>0</v>
      </c>
      <c r="AZ127" s="9">
        <v>45943.425891203704</v>
      </c>
      <c r="BA127" s="9">
        <v>45943.42597222222</v>
      </c>
      <c r="BB127" s="9">
        <v>1</v>
      </c>
      <c r="BC127" s="9">
        <v>17</v>
      </c>
      <c r="BD127" s="9" t="s">
        <v>450</v>
      </c>
      <c r="BE127" s="9" t="s">
        <v>415</v>
      </c>
      <c r="BF127" s="9" t="s">
        <v>71</v>
      </c>
      <c r="BG127" s="9"/>
      <c r="BH127" s="9">
        <v>0</v>
      </c>
      <c r="BI127" s="9"/>
      <c r="BJ127" s="9">
        <v>0</v>
      </c>
      <c r="BK127" s="9" t="s">
        <v>1937</v>
      </c>
      <c r="BL127" s="9" t="s">
        <v>1938</v>
      </c>
      <c r="BM127" s="9" t="s">
        <v>72</v>
      </c>
      <c r="BN127" s="9"/>
      <c r="BO127" s="9">
        <v>1</v>
      </c>
      <c r="BP127" s="9" t="s">
        <v>472</v>
      </c>
      <c r="BQ127" s="9">
        <v>0</v>
      </c>
      <c r="BR127" s="9">
        <v>45930.969502314816</v>
      </c>
      <c r="BS127" s="9" t="s">
        <v>109</v>
      </c>
      <c r="BT127" s="9" t="s">
        <v>65</v>
      </c>
      <c r="BU127" s="9"/>
      <c r="BV127" s="9"/>
      <c r="BW127" s="9">
        <v>0</v>
      </c>
      <c r="BX127" s="9">
        <v>45940.991261574076</v>
      </c>
      <c r="BY127" s="9">
        <v>45943.425891203704</v>
      </c>
      <c r="BZ127" s="9"/>
      <c r="CA127" s="9"/>
      <c r="CB127" s="9"/>
      <c r="CC127" s="9"/>
      <c r="CD127" s="9"/>
      <c r="CE127" s="9"/>
      <c r="CF127" s="9"/>
      <c r="CG127" s="9"/>
      <c r="CH127" s="9">
        <v>1</v>
      </c>
      <c r="CI127" s="9">
        <v>0</v>
      </c>
      <c r="CJ127" s="9"/>
      <c r="CK127" s="9"/>
      <c r="CL127" s="9" t="s">
        <v>2062</v>
      </c>
      <c r="CM127" s="9"/>
      <c r="CN127" s="9">
        <v>0</v>
      </c>
      <c r="CO127" s="9" t="s">
        <v>1925</v>
      </c>
      <c r="CP127" s="9"/>
      <c r="CQ127" s="9"/>
    </row>
    <row r="128" spans="1:95" x14ac:dyDescent="0.35">
      <c r="A128" s="9" t="b">
        <f>ISNUMBER(MATCH(Claude[[#This Row],[Id]],ChargentOrders[Id],0))</f>
        <v>1</v>
      </c>
      <c r="B128" t="b">
        <f>INDEX(ChargentOrders[VALIDO],MATCH(Claude[[#This Row],[Id]],ChargentOrders[Id],0))</f>
        <v>1</v>
      </c>
      <c r="C128">
        <f>INDEX(Contract[CB_Subscription__c],MATCH(Claude[[#This Row],[Contract__c]],Contract[Id],0))</f>
        <v>0</v>
      </c>
      <c r="D128" s="9" t="s">
        <v>474</v>
      </c>
      <c r="E128" s="9" t="s">
        <v>78</v>
      </c>
      <c r="F128" s="9">
        <v>0</v>
      </c>
      <c r="G128" s="9" t="s">
        <v>475</v>
      </c>
      <c r="H128" s="9">
        <v>45933.414282407408</v>
      </c>
      <c r="I128" s="9" t="s">
        <v>78</v>
      </c>
      <c r="J128" s="9">
        <v>45940.427152777775</v>
      </c>
      <c r="K128" s="9" t="s">
        <v>65</v>
      </c>
      <c r="L128" s="9">
        <v>45940.427152777775</v>
      </c>
      <c r="M128" s="9"/>
      <c r="N128" s="9" t="s">
        <v>1596</v>
      </c>
      <c r="O128" s="9" t="s">
        <v>1997</v>
      </c>
      <c r="P128" s="9" t="s">
        <v>1990</v>
      </c>
      <c r="Q128" s="9" t="s">
        <v>1925</v>
      </c>
      <c r="R128" s="9" t="s">
        <v>1594</v>
      </c>
      <c r="S128" s="9" t="s">
        <v>1998</v>
      </c>
      <c r="T128" s="9" t="s">
        <v>1999</v>
      </c>
      <c r="U128" s="9" t="s">
        <v>1925</v>
      </c>
      <c r="V128" s="9">
        <v>901</v>
      </c>
      <c r="W128" s="9">
        <v>2</v>
      </c>
      <c r="X128" s="9">
        <v>2026</v>
      </c>
      <c r="Y128" s="9">
        <v>7405</v>
      </c>
      <c r="Z128" s="9">
        <v>2</v>
      </c>
      <c r="AA128" s="9" t="s">
        <v>1462</v>
      </c>
      <c r="AB128" s="9" t="s">
        <v>73</v>
      </c>
      <c r="AC128" s="9">
        <v>2026</v>
      </c>
      <c r="AD128" s="9" t="s">
        <v>104</v>
      </c>
      <c r="AE128" s="9"/>
      <c r="AF128" s="9"/>
      <c r="AG128" s="9"/>
      <c r="AH128" s="9" t="s">
        <v>67</v>
      </c>
      <c r="AI128" s="9">
        <v>0</v>
      </c>
      <c r="AJ128" s="9"/>
      <c r="AK128" s="9">
        <v>0</v>
      </c>
      <c r="AL128" s="9" t="s">
        <v>1930</v>
      </c>
      <c r="AM128" s="9">
        <v>1</v>
      </c>
      <c r="AN128" s="9">
        <v>45940</v>
      </c>
      <c r="AO128" s="9" t="s">
        <v>1931</v>
      </c>
      <c r="AP128" s="9" t="s">
        <v>69</v>
      </c>
      <c r="AQ128" s="9" t="s">
        <v>1932</v>
      </c>
      <c r="AR128" s="9">
        <v>45940</v>
      </c>
      <c r="AS128" s="9" t="s">
        <v>74</v>
      </c>
      <c r="AT128" s="9" t="s">
        <v>1935</v>
      </c>
      <c r="AU128" s="9" t="s">
        <v>1952</v>
      </c>
      <c r="AV128" s="9">
        <v>0</v>
      </c>
      <c r="AW128" s="9" t="s">
        <v>1953</v>
      </c>
      <c r="AX128" s="9" t="s">
        <v>252</v>
      </c>
      <c r="AY128" s="9">
        <v>0</v>
      </c>
      <c r="AZ128" s="9">
        <v>45940.427025462966</v>
      </c>
      <c r="BA128" s="9">
        <v>45940.427106481482</v>
      </c>
      <c r="BB128" s="9">
        <v>1</v>
      </c>
      <c r="BC128" s="9">
        <v>1</v>
      </c>
      <c r="BD128" s="9" t="s">
        <v>104</v>
      </c>
      <c r="BE128" s="9" t="s">
        <v>253</v>
      </c>
      <c r="BF128" s="9" t="s">
        <v>71</v>
      </c>
      <c r="BG128" s="9" t="s">
        <v>476</v>
      </c>
      <c r="BH128" s="9">
        <v>0</v>
      </c>
      <c r="BI128" s="9"/>
      <c r="BJ128" s="9">
        <v>1</v>
      </c>
      <c r="BK128" s="9">
        <v>1</v>
      </c>
      <c r="BL128" s="9" t="s">
        <v>1959</v>
      </c>
      <c r="BM128" s="9" t="s">
        <v>75</v>
      </c>
      <c r="BN128" s="9"/>
      <c r="BO128" s="9">
        <v>1</v>
      </c>
      <c r="BP128" s="9"/>
      <c r="BQ128" s="9">
        <v>0</v>
      </c>
      <c r="BR128" s="9"/>
      <c r="BS128" s="9" t="s">
        <v>109</v>
      </c>
      <c r="BT128" s="9"/>
      <c r="BU128" s="9"/>
      <c r="BV128" s="9"/>
      <c r="BW128" s="9">
        <v>0</v>
      </c>
      <c r="BX128" s="9"/>
      <c r="BY128" s="9">
        <v>45940.427025462966</v>
      </c>
      <c r="BZ128" s="9"/>
      <c r="CA128" s="9"/>
      <c r="CB128" s="9"/>
      <c r="CC128" s="9"/>
      <c r="CD128" s="9"/>
      <c r="CE128" s="9"/>
      <c r="CF128" s="9"/>
      <c r="CG128" s="9"/>
      <c r="CH128" s="9">
        <v>1</v>
      </c>
      <c r="CI128" s="9">
        <v>0</v>
      </c>
      <c r="CJ128" s="9"/>
      <c r="CK128" s="9"/>
      <c r="CL128" s="9"/>
      <c r="CM128" s="9" t="s">
        <v>346</v>
      </c>
      <c r="CN128" s="9">
        <v>0</v>
      </c>
      <c r="CO128" s="9" t="s">
        <v>1925</v>
      </c>
      <c r="CP128" s="9"/>
      <c r="CQ128" s="9"/>
    </row>
    <row r="129" spans="1:95" x14ac:dyDescent="0.35">
      <c r="A129" s="9" t="b">
        <f>ISNUMBER(MATCH(Claude[[#This Row],[Id]],ChargentOrders[Id],0))</f>
        <v>1</v>
      </c>
      <c r="B129" t="b">
        <f>INDEX(ChargentOrders[VALIDO],MATCH(Claude[[#This Row],[Id]],ChargentOrders[Id],0))</f>
        <v>1</v>
      </c>
      <c r="C129">
        <f>INDEX(Contract[CB_Subscription__c],MATCH(Claude[[#This Row],[Contract__c]],Contract[Id],0))</f>
        <v>0</v>
      </c>
      <c r="D129" s="9" t="s">
        <v>477</v>
      </c>
      <c r="E129" s="9" t="s">
        <v>79</v>
      </c>
      <c r="F129" s="9">
        <v>0</v>
      </c>
      <c r="G129" s="9" t="s">
        <v>478</v>
      </c>
      <c r="H129" s="9">
        <v>45944.638067129628</v>
      </c>
      <c r="I129" s="9" t="s">
        <v>79</v>
      </c>
      <c r="J129" s="9">
        <v>45944.638148148151</v>
      </c>
      <c r="K129" s="9" t="s">
        <v>79</v>
      </c>
      <c r="L129" s="9">
        <v>45944.638148148151</v>
      </c>
      <c r="M129" s="9"/>
      <c r="N129" s="9"/>
      <c r="O129" s="9" t="s">
        <v>2074</v>
      </c>
      <c r="P129" s="9" t="s">
        <v>2066</v>
      </c>
      <c r="Q129" s="9" t="s">
        <v>1925</v>
      </c>
      <c r="R129" s="9" t="s">
        <v>1657</v>
      </c>
      <c r="S129" s="9" t="s">
        <v>2075</v>
      </c>
      <c r="T129" s="9" t="s">
        <v>2076</v>
      </c>
      <c r="U129" s="9" t="s">
        <v>1928</v>
      </c>
      <c r="V129" s="9">
        <v>956</v>
      </c>
      <c r="W129" s="9">
        <v>9</v>
      </c>
      <c r="X129" s="9">
        <v>2030</v>
      </c>
      <c r="Y129" s="9">
        <v>4428</v>
      </c>
      <c r="Z129" s="9">
        <v>9</v>
      </c>
      <c r="AA129" s="9">
        <v>4549519099984420</v>
      </c>
      <c r="AB129" s="9" t="s">
        <v>73</v>
      </c>
      <c r="AC129" s="9">
        <v>2030</v>
      </c>
      <c r="AD129" s="9" t="s">
        <v>93</v>
      </c>
      <c r="AE129" s="9"/>
      <c r="AF129" s="9" t="s">
        <v>1929</v>
      </c>
      <c r="AG129" s="9"/>
      <c r="AH129" s="9" t="s">
        <v>67</v>
      </c>
      <c r="AI129" s="9">
        <v>0</v>
      </c>
      <c r="AJ129" s="9"/>
      <c r="AK129" s="9">
        <v>0</v>
      </c>
      <c r="AL129" s="9" t="s">
        <v>1930</v>
      </c>
      <c r="AM129" s="9"/>
      <c r="AN129" s="9"/>
      <c r="AO129" s="9" t="s">
        <v>1931</v>
      </c>
      <c r="AP129" s="9" t="s">
        <v>69</v>
      </c>
      <c r="AQ129" s="9" t="s">
        <v>1932</v>
      </c>
      <c r="AR129" s="9"/>
      <c r="AS129" s="9"/>
      <c r="AT129" s="9"/>
      <c r="AU129" s="9" t="s">
        <v>92</v>
      </c>
      <c r="AV129" s="9">
        <v>0</v>
      </c>
      <c r="AW129" s="9"/>
      <c r="AX129" s="9" t="s">
        <v>479</v>
      </c>
      <c r="AY129" s="9">
        <v>0</v>
      </c>
      <c r="AZ129" s="9"/>
      <c r="BA129" s="9">
        <v>45944.638090277775</v>
      </c>
      <c r="BB129" s="9">
        <v>0</v>
      </c>
      <c r="BC129" s="9">
        <v>1</v>
      </c>
      <c r="BD129" s="9">
        <v>0</v>
      </c>
      <c r="BE129" s="9" t="s">
        <v>480</v>
      </c>
      <c r="BF129" s="9"/>
      <c r="BG129" s="9"/>
      <c r="BH129" s="9">
        <v>0</v>
      </c>
      <c r="BI129" s="9"/>
      <c r="BJ129" s="9">
        <v>1</v>
      </c>
      <c r="BK129" s="9"/>
      <c r="BL129" s="9"/>
      <c r="BM129" s="9" t="s">
        <v>75</v>
      </c>
      <c r="BN129" s="9"/>
      <c r="BO129" s="9">
        <v>0</v>
      </c>
      <c r="BP129" s="9"/>
      <c r="BQ129" s="9">
        <v>1</v>
      </c>
      <c r="BR129" s="9"/>
      <c r="BS129" s="9"/>
      <c r="BT129" s="9"/>
      <c r="BU129" s="9"/>
      <c r="BV129" s="9"/>
      <c r="BW129" s="9">
        <v>0</v>
      </c>
      <c r="BX129" s="9"/>
      <c r="BY129" s="9">
        <v>45944.638090277775</v>
      </c>
      <c r="BZ129" s="9"/>
      <c r="CA129" s="9"/>
      <c r="CB129" s="9"/>
      <c r="CC129" s="9"/>
      <c r="CD129" s="9"/>
      <c r="CE129" s="9"/>
      <c r="CF129" s="9"/>
      <c r="CG129" s="9"/>
      <c r="CH129" s="9">
        <v>1</v>
      </c>
      <c r="CI129" s="9">
        <v>0</v>
      </c>
      <c r="CJ129" s="9"/>
      <c r="CK129" s="9"/>
      <c r="CL129" s="9" t="s">
        <v>2077</v>
      </c>
      <c r="CM129" s="9"/>
      <c r="CN129" s="9">
        <v>0</v>
      </c>
      <c r="CO129" s="9" t="s">
        <v>1925</v>
      </c>
      <c r="CP129" s="9"/>
      <c r="CQ129" s="9"/>
    </row>
    <row r="130" spans="1:95" x14ac:dyDescent="0.35">
      <c r="A130" s="9" t="b">
        <f>ISNUMBER(MATCH(Claude[[#This Row],[Id]],ChargentOrders[Id],0))</f>
        <v>1</v>
      </c>
      <c r="B130" t="b">
        <f>INDEX(ChargentOrders[VALIDO],MATCH(Claude[[#This Row],[Id]],ChargentOrders[Id],0))</f>
        <v>1</v>
      </c>
      <c r="C130">
        <f>INDEX(Contract[CB_Subscription__c],MATCH(Claude[[#This Row],[Contract__c]],Contract[Id],0))</f>
        <v>0</v>
      </c>
      <c r="D130" s="9" t="s">
        <v>481</v>
      </c>
      <c r="E130" s="9" t="s">
        <v>79</v>
      </c>
      <c r="F130" s="9">
        <v>0</v>
      </c>
      <c r="G130" s="9" t="s">
        <v>482</v>
      </c>
      <c r="H130" s="9">
        <v>45944.639305555553</v>
      </c>
      <c r="I130" s="9" t="s">
        <v>79</v>
      </c>
      <c r="J130" s="9">
        <v>45944.63958333333</v>
      </c>
      <c r="K130" s="9" t="s">
        <v>79</v>
      </c>
      <c r="L130" s="9">
        <v>45944.63958333333</v>
      </c>
      <c r="M130" s="9"/>
      <c r="N130" s="9" t="s">
        <v>1659</v>
      </c>
      <c r="O130" s="9" t="s">
        <v>2074</v>
      </c>
      <c r="P130" s="9" t="s">
        <v>2066</v>
      </c>
      <c r="Q130" s="9" t="s">
        <v>1925</v>
      </c>
      <c r="R130" s="9" t="s">
        <v>1657</v>
      </c>
      <c r="S130" s="9" t="s">
        <v>2075</v>
      </c>
      <c r="T130" s="9" t="s">
        <v>2076</v>
      </c>
      <c r="U130" s="9" t="s">
        <v>1928</v>
      </c>
      <c r="V130" s="9">
        <v>956</v>
      </c>
      <c r="W130" s="9">
        <v>9</v>
      </c>
      <c r="X130" s="9">
        <v>2030</v>
      </c>
      <c r="Y130" s="9">
        <v>4428</v>
      </c>
      <c r="Z130" s="9">
        <v>9</v>
      </c>
      <c r="AA130" s="9">
        <v>4549519099984420</v>
      </c>
      <c r="AB130" s="9" t="s">
        <v>73</v>
      </c>
      <c r="AC130" s="9">
        <v>2030</v>
      </c>
      <c r="AD130" s="9" t="s">
        <v>2078</v>
      </c>
      <c r="AE130" s="9"/>
      <c r="AF130" s="9" t="s">
        <v>1929</v>
      </c>
      <c r="AG130" s="9"/>
      <c r="AH130" s="9" t="s">
        <v>67</v>
      </c>
      <c r="AI130" s="9">
        <v>0</v>
      </c>
      <c r="AJ130" s="9"/>
      <c r="AK130" s="9">
        <v>0</v>
      </c>
      <c r="AL130" s="9" t="s">
        <v>1930</v>
      </c>
      <c r="AM130" s="9">
        <v>1</v>
      </c>
      <c r="AN130" s="9"/>
      <c r="AO130" s="9" t="s">
        <v>1931</v>
      </c>
      <c r="AP130" s="9" t="s">
        <v>69</v>
      </c>
      <c r="AQ130" s="9" t="s">
        <v>1932</v>
      </c>
      <c r="AR130" s="9">
        <v>45944</v>
      </c>
      <c r="AS130" s="9" t="s">
        <v>74</v>
      </c>
      <c r="AT130" s="9" t="s">
        <v>1935</v>
      </c>
      <c r="AU130" s="9" t="s">
        <v>2079</v>
      </c>
      <c r="AV130" s="9">
        <v>0</v>
      </c>
      <c r="AW130" s="9" t="s">
        <v>93</v>
      </c>
      <c r="AX130" s="9" t="s">
        <v>479</v>
      </c>
      <c r="AY130" s="9">
        <v>0</v>
      </c>
      <c r="AZ130" s="9">
        <v>45944.639513888891</v>
      </c>
      <c r="BA130" s="9">
        <v>45944.639513888891</v>
      </c>
      <c r="BB130" s="9">
        <v>1</v>
      </c>
      <c r="BC130" s="9">
        <v>1</v>
      </c>
      <c r="BD130" s="9" t="s">
        <v>2078</v>
      </c>
      <c r="BE130" s="9" t="s">
        <v>480</v>
      </c>
      <c r="BF130" s="9" t="s">
        <v>77</v>
      </c>
      <c r="BG130" s="9"/>
      <c r="BH130" s="9">
        <v>0</v>
      </c>
      <c r="BI130" s="9"/>
      <c r="BJ130" s="9">
        <v>1</v>
      </c>
      <c r="BK130" s="9" t="s">
        <v>92</v>
      </c>
      <c r="BL130" s="9" t="s">
        <v>92</v>
      </c>
      <c r="BM130" s="9" t="s">
        <v>75</v>
      </c>
      <c r="BN130" s="9"/>
      <c r="BO130" s="9">
        <v>0</v>
      </c>
      <c r="BP130" s="9"/>
      <c r="BQ130" s="9">
        <v>0</v>
      </c>
      <c r="BR130" s="9"/>
      <c r="BS130" s="9"/>
      <c r="BT130" s="9"/>
      <c r="BU130" s="9"/>
      <c r="BV130" s="9"/>
      <c r="BW130" s="9">
        <v>0</v>
      </c>
      <c r="BX130" s="9"/>
      <c r="BY130" s="9">
        <v>45944.639513888891</v>
      </c>
      <c r="BZ130" s="9"/>
      <c r="CA130" s="9"/>
      <c r="CB130" s="9"/>
      <c r="CC130" s="9"/>
      <c r="CD130" s="9"/>
      <c r="CE130" s="9"/>
      <c r="CF130" s="9"/>
      <c r="CG130" s="9"/>
      <c r="CH130" s="9">
        <v>1</v>
      </c>
      <c r="CI130" s="9">
        <v>0</v>
      </c>
      <c r="CJ130" s="9"/>
      <c r="CK130" s="9"/>
      <c r="CL130" s="9" t="s">
        <v>2077</v>
      </c>
      <c r="CM130" s="9"/>
      <c r="CN130" s="9">
        <v>0</v>
      </c>
      <c r="CO130" s="9" t="s">
        <v>1925</v>
      </c>
      <c r="CP130" s="9"/>
      <c r="CQ130" s="9"/>
    </row>
    <row r="131" spans="1:95" x14ac:dyDescent="0.35">
      <c r="A131" s="9" t="b">
        <f>ISNUMBER(MATCH(Claude[[#This Row],[Id]],ChargentOrders[Id],0))</f>
        <v>1</v>
      </c>
      <c r="B131" t="b">
        <f>INDEX(ChargentOrders[VALIDO],MATCH(Claude[[#This Row],[Id]],ChargentOrders[Id],0))</f>
        <v>1</v>
      </c>
      <c r="C131">
        <f>INDEX(Contract[CB_Subscription__c],MATCH(Claude[[#This Row],[Contract__c]],Contract[Id],0))</f>
        <v>0</v>
      </c>
      <c r="D131" s="9" t="s">
        <v>483</v>
      </c>
      <c r="E131" s="9" t="s">
        <v>79</v>
      </c>
      <c r="F131" s="9">
        <v>0</v>
      </c>
      <c r="G131" s="9" t="s">
        <v>484</v>
      </c>
      <c r="H131" s="9">
        <v>45944.639537037037</v>
      </c>
      <c r="I131" s="9" t="s">
        <v>79</v>
      </c>
      <c r="J131" s="9">
        <v>46217.738564814812</v>
      </c>
      <c r="K131" s="9" t="s">
        <v>78</v>
      </c>
      <c r="L131" s="9">
        <v>46217.738564814812</v>
      </c>
      <c r="M131" s="9"/>
      <c r="N131" s="9" t="s">
        <v>1659</v>
      </c>
      <c r="O131" s="9" t="s">
        <v>2074</v>
      </c>
      <c r="P131" s="9" t="s">
        <v>2066</v>
      </c>
      <c r="Q131" s="9" t="s">
        <v>1925</v>
      </c>
      <c r="R131" s="9" t="s">
        <v>1657</v>
      </c>
      <c r="S131" s="9" t="s">
        <v>2075</v>
      </c>
      <c r="T131" s="9" t="s">
        <v>2076</v>
      </c>
      <c r="U131" s="9" t="s">
        <v>1928</v>
      </c>
      <c r="V131" s="9">
        <v>956</v>
      </c>
      <c r="W131" s="9">
        <v>9</v>
      </c>
      <c r="X131" s="9">
        <v>2030</v>
      </c>
      <c r="Y131" s="9">
        <v>4428</v>
      </c>
      <c r="Z131" s="9">
        <v>9</v>
      </c>
      <c r="AA131" s="9">
        <v>4428</v>
      </c>
      <c r="AB131" s="9" t="s">
        <v>73</v>
      </c>
      <c r="AC131" s="9">
        <v>2030</v>
      </c>
      <c r="AD131" s="9" t="s">
        <v>108</v>
      </c>
      <c r="AE131" s="9">
        <v>30</v>
      </c>
      <c r="AF131" s="9" t="s">
        <v>1929</v>
      </c>
      <c r="AG131" s="9"/>
      <c r="AH131" s="9" t="s">
        <v>67</v>
      </c>
      <c r="AI131" s="9">
        <v>0</v>
      </c>
      <c r="AJ131" s="9"/>
      <c r="AK131" s="9">
        <v>0</v>
      </c>
      <c r="AL131" s="9" t="s">
        <v>1930</v>
      </c>
      <c r="AM131" s="9"/>
      <c r="AN131" s="9"/>
      <c r="AO131" s="9" t="s">
        <v>1943</v>
      </c>
      <c r="AP131" s="9" t="s">
        <v>69</v>
      </c>
      <c r="AQ131" s="9" t="s">
        <v>1932</v>
      </c>
      <c r="AR131" s="9">
        <v>46233</v>
      </c>
      <c r="AS131" s="9" t="s">
        <v>84</v>
      </c>
      <c r="AT131" s="9" t="s">
        <v>1944</v>
      </c>
      <c r="AU131" s="9" t="s">
        <v>108</v>
      </c>
      <c r="AV131" s="9">
        <v>0</v>
      </c>
      <c r="AW131" s="9" t="s">
        <v>92</v>
      </c>
      <c r="AX131" s="9" t="s">
        <v>479</v>
      </c>
      <c r="AY131" s="9">
        <v>0</v>
      </c>
      <c r="AZ131" s="9"/>
      <c r="BA131" s="9"/>
      <c r="BB131" s="9">
        <v>0</v>
      </c>
      <c r="BC131" s="9">
        <v>8</v>
      </c>
      <c r="BD131" s="9">
        <v>0</v>
      </c>
      <c r="BE131" s="9" t="s">
        <v>480</v>
      </c>
      <c r="BF131" s="9" t="s">
        <v>76</v>
      </c>
      <c r="BG131" s="9"/>
      <c r="BH131" s="9">
        <v>0</v>
      </c>
      <c r="BI131" s="9"/>
      <c r="BJ131" s="9">
        <v>8</v>
      </c>
      <c r="BK131" s="9" t="s">
        <v>92</v>
      </c>
      <c r="BL131" s="9" t="s">
        <v>92</v>
      </c>
      <c r="BM131" s="9" t="s">
        <v>75</v>
      </c>
      <c r="BN131" s="9"/>
      <c r="BO131" s="9">
        <v>0</v>
      </c>
      <c r="BP131" s="9"/>
      <c r="BQ131" s="9">
        <v>0</v>
      </c>
      <c r="BR131" s="9"/>
      <c r="BS131" s="9"/>
      <c r="BT131" s="9"/>
      <c r="BU131" s="9"/>
      <c r="BV131" s="9"/>
      <c r="BW131" s="9">
        <v>0</v>
      </c>
      <c r="BX131" s="9">
        <v>46203.417094907411</v>
      </c>
      <c r="BY131" s="9">
        <v>46203.417094907411</v>
      </c>
      <c r="BZ131" s="9"/>
      <c r="CA131" s="9"/>
      <c r="CB131" s="9"/>
      <c r="CC131" s="9"/>
      <c r="CD131" s="9"/>
      <c r="CE131" s="9"/>
      <c r="CF131" s="9"/>
      <c r="CG131" s="9"/>
      <c r="CH131" s="9">
        <v>1</v>
      </c>
      <c r="CI131" s="9">
        <v>0</v>
      </c>
      <c r="CJ131" s="9"/>
      <c r="CK131" s="9"/>
      <c r="CL131" s="9" t="s">
        <v>2077</v>
      </c>
      <c r="CM131" s="9"/>
      <c r="CN131" s="9">
        <v>0</v>
      </c>
      <c r="CO131" s="9" t="s">
        <v>1925</v>
      </c>
      <c r="CP131" s="9" t="s">
        <v>2080</v>
      </c>
      <c r="CQ131" s="9">
        <v>0</v>
      </c>
    </row>
    <row r="132" spans="1:95" x14ac:dyDescent="0.35">
      <c r="A132" s="9" t="b">
        <f>ISNUMBER(MATCH(Claude[[#This Row],[Id]],ChargentOrders[Id],0))</f>
        <v>1</v>
      </c>
      <c r="B132" t="b">
        <f>INDEX(ChargentOrders[VALIDO],MATCH(Claude[[#This Row],[Id]],ChargentOrders[Id],0))</f>
        <v>1</v>
      </c>
      <c r="C132">
        <f>INDEX(Contract[CB_Subscription__c],MATCH(Claude[[#This Row],[Contract__c]],Contract[Id],0))</f>
        <v>0</v>
      </c>
      <c r="D132" s="9" t="s">
        <v>485</v>
      </c>
      <c r="E132" s="9" t="s">
        <v>101</v>
      </c>
      <c r="F132" s="9">
        <v>0</v>
      </c>
      <c r="G132" s="9" t="s">
        <v>486</v>
      </c>
      <c r="H132" s="9">
        <v>45946.641168981485</v>
      </c>
      <c r="I132" s="9" t="s">
        <v>101</v>
      </c>
      <c r="J132" s="9">
        <v>45946.641250000001</v>
      </c>
      <c r="K132" s="9" t="s">
        <v>101</v>
      </c>
      <c r="L132" s="9">
        <v>45946.641250000001</v>
      </c>
      <c r="M132" s="9"/>
      <c r="N132" s="9"/>
      <c r="O132" s="9" t="s">
        <v>2065</v>
      </c>
      <c r="P132" s="9" t="s">
        <v>2066</v>
      </c>
      <c r="Q132" s="9" t="s">
        <v>1925</v>
      </c>
      <c r="R132" s="9" t="s">
        <v>1652</v>
      </c>
      <c r="S132" s="9" t="s">
        <v>2067</v>
      </c>
      <c r="T132" s="9" t="s">
        <v>2068</v>
      </c>
      <c r="U132" s="9" t="s">
        <v>1928</v>
      </c>
      <c r="V132" s="9">
        <v>961</v>
      </c>
      <c r="W132" s="9">
        <v>4</v>
      </c>
      <c r="X132" s="9">
        <v>2028</v>
      </c>
      <c r="Y132" s="9">
        <v>9582</v>
      </c>
      <c r="Z132" s="9">
        <v>4</v>
      </c>
      <c r="AA132" s="9">
        <v>4870388416529580</v>
      </c>
      <c r="AB132" s="9" t="s">
        <v>73</v>
      </c>
      <c r="AC132" s="9">
        <v>2028</v>
      </c>
      <c r="AD132" s="9" t="s">
        <v>93</v>
      </c>
      <c r="AE132" s="9"/>
      <c r="AF132" s="9" t="s">
        <v>1929</v>
      </c>
      <c r="AG132" s="9"/>
      <c r="AH132" s="9" t="s">
        <v>67</v>
      </c>
      <c r="AI132" s="9">
        <v>0</v>
      </c>
      <c r="AJ132" s="9"/>
      <c r="AK132" s="9">
        <v>0</v>
      </c>
      <c r="AL132" s="9" t="s">
        <v>1930</v>
      </c>
      <c r="AM132" s="9"/>
      <c r="AN132" s="9"/>
      <c r="AO132" s="9" t="s">
        <v>1931</v>
      </c>
      <c r="AP132" s="9" t="s">
        <v>69</v>
      </c>
      <c r="AQ132" s="9" t="s">
        <v>1932</v>
      </c>
      <c r="AR132" s="9"/>
      <c r="AS132" s="9"/>
      <c r="AT132" s="9"/>
      <c r="AU132" s="9" t="s">
        <v>92</v>
      </c>
      <c r="AV132" s="9">
        <v>0</v>
      </c>
      <c r="AW132" s="9"/>
      <c r="AX132" s="9" t="s">
        <v>468</v>
      </c>
      <c r="AY132" s="9">
        <v>0</v>
      </c>
      <c r="AZ132" s="9"/>
      <c r="BA132" s="9">
        <v>45946.641203703701</v>
      </c>
      <c r="BB132" s="9">
        <v>0</v>
      </c>
      <c r="BC132" s="9">
        <v>1</v>
      </c>
      <c r="BD132" s="9">
        <v>0</v>
      </c>
      <c r="BE132" s="9" t="s">
        <v>424</v>
      </c>
      <c r="BF132" s="9"/>
      <c r="BG132" s="9"/>
      <c r="BH132" s="9">
        <v>0</v>
      </c>
      <c r="BI132" s="9"/>
      <c r="BJ132" s="9">
        <v>1</v>
      </c>
      <c r="BK132" s="9"/>
      <c r="BL132" s="9"/>
      <c r="BM132" s="9" t="s">
        <v>75</v>
      </c>
      <c r="BN132" s="9"/>
      <c r="BO132" s="9">
        <v>0</v>
      </c>
      <c r="BP132" s="9"/>
      <c r="BQ132" s="9">
        <v>1</v>
      </c>
      <c r="BR132" s="9"/>
      <c r="BS132" s="9"/>
      <c r="BT132" s="9"/>
      <c r="BU132" s="9"/>
      <c r="BV132" s="9"/>
      <c r="BW132" s="9">
        <v>0</v>
      </c>
      <c r="BX132" s="9"/>
      <c r="BY132" s="9">
        <v>45946.641203703701</v>
      </c>
      <c r="BZ132" s="9"/>
      <c r="CA132" s="9"/>
      <c r="CB132" s="9"/>
      <c r="CC132" s="9"/>
      <c r="CD132" s="9"/>
      <c r="CE132" s="9"/>
      <c r="CF132" s="9"/>
      <c r="CG132" s="9"/>
      <c r="CH132" s="9">
        <v>1</v>
      </c>
      <c r="CI132" s="9">
        <v>0</v>
      </c>
      <c r="CJ132" s="9"/>
      <c r="CK132" s="9"/>
      <c r="CL132" s="9" t="s">
        <v>2069</v>
      </c>
      <c r="CM132" s="9"/>
      <c r="CN132" s="9">
        <v>0</v>
      </c>
      <c r="CO132" s="9" t="s">
        <v>1925</v>
      </c>
      <c r="CP132" s="9"/>
      <c r="CQ132" s="9"/>
    </row>
    <row r="133" spans="1:95" x14ac:dyDescent="0.35">
      <c r="A133" s="9" t="b">
        <f>ISNUMBER(MATCH(Claude[[#This Row],[Id]],ChargentOrders[Id],0))</f>
        <v>1</v>
      </c>
      <c r="B133" t="b">
        <f>INDEX(ChargentOrders[VALIDO],MATCH(Claude[[#This Row],[Id]],ChargentOrders[Id],0))</f>
        <v>1</v>
      </c>
      <c r="C133">
        <f>INDEX(Contract[CB_Subscription__c],MATCH(Claude[[#This Row],[Contract__c]],Contract[Id],0))</f>
        <v>0</v>
      </c>
      <c r="D133" s="9" t="s">
        <v>487</v>
      </c>
      <c r="E133" s="9" t="s">
        <v>155</v>
      </c>
      <c r="F133" s="9">
        <v>0</v>
      </c>
      <c r="G133" s="9" t="s">
        <v>488</v>
      </c>
      <c r="H133" s="9">
        <v>45953.587141203701</v>
      </c>
      <c r="I133" s="9" t="s">
        <v>155</v>
      </c>
      <c r="J133" s="9">
        <v>45953.587233796294</v>
      </c>
      <c r="K133" s="9" t="s">
        <v>155</v>
      </c>
      <c r="L133" s="9">
        <v>45953.587233796294</v>
      </c>
      <c r="M133" s="9"/>
      <c r="N133" s="9"/>
      <c r="O133" s="9" t="s">
        <v>2081</v>
      </c>
      <c r="P133" s="9" t="s">
        <v>2082</v>
      </c>
      <c r="Q133" s="9" t="s">
        <v>2015</v>
      </c>
      <c r="R133" s="9" t="s">
        <v>1662</v>
      </c>
      <c r="S133" s="9" t="s">
        <v>2083</v>
      </c>
      <c r="T133" s="9" t="s">
        <v>2084</v>
      </c>
      <c r="U133" s="9" t="s">
        <v>2085</v>
      </c>
      <c r="V133" s="9">
        <v>17042</v>
      </c>
      <c r="W133" s="9">
        <v>10</v>
      </c>
      <c r="X133" s="9">
        <v>2030</v>
      </c>
      <c r="Y133" s="9">
        <v>3323</v>
      </c>
      <c r="Z133" s="9">
        <v>10</v>
      </c>
      <c r="AA133" s="9"/>
      <c r="AB133" s="9" t="s">
        <v>73</v>
      </c>
      <c r="AC133" s="9">
        <v>2030</v>
      </c>
      <c r="AD133" s="9" t="s">
        <v>93</v>
      </c>
      <c r="AE133" s="9"/>
      <c r="AF133" s="9" t="s">
        <v>1929</v>
      </c>
      <c r="AG133" s="9"/>
      <c r="AH133" s="9" t="s">
        <v>107</v>
      </c>
      <c r="AI133" s="9">
        <v>0</v>
      </c>
      <c r="AJ133" s="9"/>
      <c r="AK133" s="9">
        <v>0</v>
      </c>
      <c r="AL133" s="9" t="s">
        <v>1930</v>
      </c>
      <c r="AM133" s="9"/>
      <c r="AN133" s="9"/>
      <c r="AO133" s="9" t="s">
        <v>1931</v>
      </c>
      <c r="AP133" s="9" t="s">
        <v>69</v>
      </c>
      <c r="AQ133" s="9" t="s">
        <v>1932</v>
      </c>
      <c r="AR133" s="9"/>
      <c r="AS133" s="9"/>
      <c r="AT133" s="9"/>
      <c r="AU133" s="9" t="s">
        <v>92</v>
      </c>
      <c r="AV133" s="9">
        <v>0</v>
      </c>
      <c r="AW133" s="9"/>
      <c r="AX133" s="9" t="s">
        <v>489</v>
      </c>
      <c r="AY133" s="9">
        <v>0</v>
      </c>
      <c r="AZ133" s="9"/>
      <c r="BA133" s="9">
        <v>45953.587175925924</v>
      </c>
      <c r="BB133" s="9">
        <v>0</v>
      </c>
      <c r="BC133" s="9">
        <v>1</v>
      </c>
      <c r="BD133" s="9">
        <v>0</v>
      </c>
      <c r="BE133" s="9" t="s">
        <v>490</v>
      </c>
      <c r="BF133" s="9"/>
      <c r="BG133" s="9"/>
      <c r="BH133" s="9">
        <v>0</v>
      </c>
      <c r="BI133" s="9"/>
      <c r="BJ133" s="9">
        <v>1</v>
      </c>
      <c r="BK133" s="9"/>
      <c r="BL133" s="9"/>
      <c r="BM133" s="9" t="s">
        <v>75</v>
      </c>
      <c r="BN133" s="9"/>
      <c r="BO133" s="9">
        <v>0</v>
      </c>
      <c r="BP133" s="9"/>
      <c r="BQ133" s="9">
        <v>1</v>
      </c>
      <c r="BR133" s="9"/>
      <c r="BS133" s="9"/>
      <c r="BT133" s="9"/>
      <c r="BU133" s="9"/>
      <c r="BV133" s="9"/>
      <c r="BW133" s="9">
        <v>0</v>
      </c>
      <c r="BX133" s="9"/>
      <c r="BY133" s="9">
        <v>45953.587175925924</v>
      </c>
      <c r="BZ133" s="9"/>
      <c r="CA133" s="9"/>
      <c r="CB133" s="9"/>
      <c r="CC133" s="9"/>
      <c r="CD133" s="9"/>
      <c r="CE133" s="9"/>
      <c r="CF133" s="9"/>
      <c r="CG133" s="9"/>
      <c r="CH133" s="9">
        <v>1</v>
      </c>
      <c r="CI133" s="9">
        <v>0</v>
      </c>
      <c r="CJ133" s="9"/>
      <c r="CK133" s="9"/>
      <c r="CL133" s="9" t="s">
        <v>2086</v>
      </c>
      <c r="CM133" s="9"/>
      <c r="CN133" s="9">
        <v>0</v>
      </c>
      <c r="CO133" s="9" t="s">
        <v>1925</v>
      </c>
      <c r="CP133" s="9"/>
      <c r="CQ133" s="9"/>
    </row>
    <row r="134" spans="1:95" x14ac:dyDescent="0.35">
      <c r="A134" s="9" t="b">
        <f>ISNUMBER(MATCH(Claude[[#This Row],[Id]],ChargentOrders[Id],0))</f>
        <v>1</v>
      </c>
      <c r="B134" t="b">
        <f>INDEX(ChargentOrders[VALIDO],MATCH(Claude[[#This Row],[Id]],ChargentOrders[Id],0))</f>
        <v>1</v>
      </c>
      <c r="C134">
        <f>INDEX(Contract[CB_Subscription__c],MATCH(Claude[[#This Row],[Contract__c]],Contract[Id],0))</f>
        <v>0</v>
      </c>
      <c r="D134" s="9" t="s">
        <v>491</v>
      </c>
      <c r="E134" s="9" t="s">
        <v>155</v>
      </c>
      <c r="F134" s="9">
        <v>0</v>
      </c>
      <c r="G134" s="9" t="s">
        <v>492</v>
      </c>
      <c r="H134" s="9">
        <v>45953.587361111109</v>
      </c>
      <c r="I134" s="9" t="s">
        <v>155</v>
      </c>
      <c r="J134" s="9">
        <v>45961.425000000003</v>
      </c>
      <c r="K134" s="9" t="s">
        <v>65</v>
      </c>
      <c r="L134" s="9">
        <v>45961.425000000003</v>
      </c>
      <c r="M134" s="9"/>
      <c r="N134" s="9" t="s">
        <v>1664</v>
      </c>
      <c r="O134" s="9" t="s">
        <v>2081</v>
      </c>
      <c r="P134" s="9" t="s">
        <v>2082</v>
      </c>
      <c r="Q134" s="9" t="s">
        <v>2015</v>
      </c>
      <c r="R134" s="9" t="s">
        <v>1662</v>
      </c>
      <c r="S134" s="9" t="s">
        <v>2083</v>
      </c>
      <c r="T134" s="9" t="s">
        <v>2084</v>
      </c>
      <c r="U134" s="9" t="s">
        <v>2085</v>
      </c>
      <c r="V134" s="9">
        <v>17042</v>
      </c>
      <c r="W134" s="9">
        <v>10</v>
      </c>
      <c r="X134" s="9">
        <v>2030</v>
      </c>
      <c r="Y134" s="9">
        <v>3323</v>
      </c>
      <c r="Z134" s="9">
        <v>10</v>
      </c>
      <c r="AA134" s="9"/>
      <c r="AB134" s="9" t="s">
        <v>73</v>
      </c>
      <c r="AC134" s="9">
        <v>2030</v>
      </c>
      <c r="AD134" s="9" t="s">
        <v>2079</v>
      </c>
      <c r="AE134" s="9"/>
      <c r="AF134" s="9" t="s">
        <v>1929</v>
      </c>
      <c r="AG134" s="9"/>
      <c r="AH134" s="9" t="s">
        <v>107</v>
      </c>
      <c r="AI134" s="9">
        <v>0</v>
      </c>
      <c r="AJ134" s="9"/>
      <c r="AK134" s="9">
        <v>0</v>
      </c>
      <c r="AL134" s="9" t="s">
        <v>1930</v>
      </c>
      <c r="AM134" s="9">
        <v>1</v>
      </c>
      <c r="AN134" s="9"/>
      <c r="AO134" s="9" t="s">
        <v>1931</v>
      </c>
      <c r="AP134" s="9" t="s">
        <v>69</v>
      </c>
      <c r="AQ134" s="9" t="s">
        <v>1932</v>
      </c>
      <c r="AR134" s="9">
        <v>45961</v>
      </c>
      <c r="AS134" s="9" t="s">
        <v>74</v>
      </c>
      <c r="AT134" s="9" t="s">
        <v>1935</v>
      </c>
      <c r="AU134" s="9" t="s">
        <v>2079</v>
      </c>
      <c r="AV134" s="9">
        <v>0</v>
      </c>
      <c r="AW134" s="9" t="s">
        <v>92</v>
      </c>
      <c r="AX134" s="9" t="s">
        <v>489</v>
      </c>
      <c r="AY134" s="9">
        <v>0</v>
      </c>
      <c r="AZ134" s="9">
        <v>45961.424884259257</v>
      </c>
      <c r="BA134" s="9">
        <v>45961.42491898148</v>
      </c>
      <c r="BB134" s="9">
        <v>1</v>
      </c>
      <c r="BC134" s="9">
        <v>1</v>
      </c>
      <c r="BD134" s="9" t="s">
        <v>2078</v>
      </c>
      <c r="BE134" s="9" t="s">
        <v>490</v>
      </c>
      <c r="BF134" s="9" t="s">
        <v>77</v>
      </c>
      <c r="BG134" s="9"/>
      <c r="BH134" s="9">
        <v>0</v>
      </c>
      <c r="BI134" s="9"/>
      <c r="BJ134" s="9">
        <v>1</v>
      </c>
      <c r="BK134" s="9" t="s">
        <v>92</v>
      </c>
      <c r="BL134" s="9" t="s">
        <v>92</v>
      </c>
      <c r="BM134" s="9" t="s">
        <v>75</v>
      </c>
      <c r="BN134" s="9"/>
      <c r="BO134" s="9">
        <v>0</v>
      </c>
      <c r="BP134" s="9"/>
      <c r="BQ134" s="9">
        <v>0</v>
      </c>
      <c r="BR134" s="9"/>
      <c r="BS134" s="9"/>
      <c r="BT134" s="9"/>
      <c r="BU134" s="9"/>
      <c r="BV134" s="9"/>
      <c r="BW134" s="9">
        <v>0</v>
      </c>
      <c r="BX134" s="9"/>
      <c r="BY134" s="9">
        <v>45961.424884259257</v>
      </c>
      <c r="BZ134" s="9"/>
      <c r="CA134" s="9"/>
      <c r="CB134" s="9"/>
      <c r="CC134" s="9"/>
      <c r="CD134" s="9"/>
      <c r="CE134" s="9"/>
      <c r="CF134" s="9"/>
      <c r="CG134" s="9"/>
      <c r="CH134" s="9">
        <v>1</v>
      </c>
      <c r="CI134" s="9">
        <v>0</v>
      </c>
      <c r="CJ134" s="9"/>
      <c r="CK134" s="9"/>
      <c r="CL134" s="9" t="s">
        <v>2086</v>
      </c>
      <c r="CM134" s="9"/>
      <c r="CN134" s="9">
        <v>0</v>
      </c>
      <c r="CO134" s="9" t="s">
        <v>1925</v>
      </c>
      <c r="CP134" s="9"/>
      <c r="CQ134" s="9"/>
    </row>
    <row r="135" spans="1:95" x14ac:dyDescent="0.35">
      <c r="A135" s="9" t="b">
        <f>ISNUMBER(MATCH(Claude[[#This Row],[Id]],ChargentOrders[Id],0))</f>
        <v>1</v>
      </c>
      <c r="B135" t="b">
        <f>INDEX(ChargentOrders[VALIDO],MATCH(Claude[[#This Row],[Id]],ChargentOrders[Id],0))</f>
        <v>1</v>
      </c>
      <c r="C135">
        <f>INDEX(Contract[CB_Subscription__c],MATCH(Claude[[#This Row],[Contract__c]],Contract[Id],0))</f>
        <v>0</v>
      </c>
      <c r="D135" s="9" t="s">
        <v>493</v>
      </c>
      <c r="E135" s="9" t="s">
        <v>79</v>
      </c>
      <c r="F135" s="9">
        <v>0</v>
      </c>
      <c r="G135" s="9" t="s">
        <v>494</v>
      </c>
      <c r="H135" s="9">
        <v>45960.41847222222</v>
      </c>
      <c r="I135" s="9" t="s">
        <v>65</v>
      </c>
      <c r="J135" s="9">
        <v>45964.425324074073</v>
      </c>
      <c r="K135" s="9" t="s">
        <v>65</v>
      </c>
      <c r="L135" s="9">
        <v>45964.425324074073</v>
      </c>
      <c r="M135" s="9"/>
      <c r="N135" s="9" t="s">
        <v>1576</v>
      </c>
      <c r="O135" s="9" t="s">
        <v>1947</v>
      </c>
      <c r="P135" s="9" t="s">
        <v>1948</v>
      </c>
      <c r="Q135" s="9" t="s">
        <v>1925</v>
      </c>
      <c r="R135" s="9" t="s">
        <v>1574</v>
      </c>
      <c r="S135" s="9" t="s">
        <v>1949</v>
      </c>
      <c r="T135" s="9" t="s">
        <v>1950</v>
      </c>
      <c r="U135" s="9" t="s">
        <v>1928</v>
      </c>
      <c r="V135" s="9">
        <v>769</v>
      </c>
      <c r="W135" s="9">
        <v>7</v>
      </c>
      <c r="X135" s="9">
        <v>2028</v>
      </c>
      <c r="Y135" s="9">
        <v>1524</v>
      </c>
      <c r="Z135" s="9">
        <v>7</v>
      </c>
      <c r="AA135" s="9">
        <v>4549516625621520</v>
      </c>
      <c r="AB135" s="9" t="s">
        <v>73</v>
      </c>
      <c r="AC135" s="9">
        <v>2028</v>
      </c>
      <c r="AD135" s="9" t="s">
        <v>104</v>
      </c>
      <c r="AE135" s="9"/>
      <c r="AF135" s="9" t="s">
        <v>1929</v>
      </c>
      <c r="AG135" s="9"/>
      <c r="AH135" s="9" t="s">
        <v>67</v>
      </c>
      <c r="AI135" s="9">
        <v>0</v>
      </c>
      <c r="AJ135" s="9"/>
      <c r="AK135" s="9">
        <v>0</v>
      </c>
      <c r="AL135" s="9" t="s">
        <v>1930</v>
      </c>
      <c r="AM135" s="9">
        <v>1</v>
      </c>
      <c r="AN135" s="9">
        <v>45964</v>
      </c>
      <c r="AO135" s="9" t="s">
        <v>1931</v>
      </c>
      <c r="AP135" s="9" t="s">
        <v>69</v>
      </c>
      <c r="AQ135" s="9" t="s">
        <v>1932</v>
      </c>
      <c r="AR135" s="9">
        <v>45964</v>
      </c>
      <c r="AS135" s="9" t="s">
        <v>74</v>
      </c>
      <c r="AT135" s="9" t="s">
        <v>1935</v>
      </c>
      <c r="AU135" s="9" t="s">
        <v>1952</v>
      </c>
      <c r="AV135" s="9">
        <v>0</v>
      </c>
      <c r="AW135" s="9" t="s">
        <v>1953</v>
      </c>
      <c r="AX135" s="9" t="s">
        <v>158</v>
      </c>
      <c r="AY135" s="9">
        <v>0</v>
      </c>
      <c r="AZ135" s="9">
        <v>45964.42527777778</v>
      </c>
      <c r="BA135" s="9">
        <v>45964.42527777778</v>
      </c>
      <c r="BB135" s="9">
        <v>1</v>
      </c>
      <c r="BC135" s="9">
        <v>4</v>
      </c>
      <c r="BD135" s="9" t="s">
        <v>104</v>
      </c>
      <c r="BE135" s="9" t="s">
        <v>159</v>
      </c>
      <c r="BF135" s="9" t="s">
        <v>71</v>
      </c>
      <c r="BG135" s="9"/>
      <c r="BH135" s="9">
        <v>0</v>
      </c>
      <c r="BI135" s="9"/>
      <c r="BJ135" s="9">
        <v>0</v>
      </c>
      <c r="BK135" s="9" t="s">
        <v>1937</v>
      </c>
      <c r="BL135" s="9" t="s">
        <v>1938</v>
      </c>
      <c r="BM135" s="9" t="s">
        <v>72</v>
      </c>
      <c r="BN135" s="9"/>
      <c r="BO135" s="9">
        <v>1</v>
      </c>
      <c r="BP135" s="9" t="s">
        <v>495</v>
      </c>
      <c r="BQ135" s="9">
        <v>0</v>
      </c>
      <c r="BR135" s="9">
        <v>45961.025983796295</v>
      </c>
      <c r="BS135" s="9" t="s">
        <v>109</v>
      </c>
      <c r="BT135" s="9" t="s">
        <v>65</v>
      </c>
      <c r="BU135" s="9"/>
      <c r="BV135" s="9"/>
      <c r="BW135" s="9">
        <v>0</v>
      </c>
      <c r="BX135" s="9">
        <v>45961.984293981484</v>
      </c>
      <c r="BY135" s="9">
        <v>45964.42527777778</v>
      </c>
      <c r="BZ135" s="9"/>
      <c r="CA135" s="9"/>
      <c r="CB135" s="9"/>
      <c r="CC135" s="9"/>
      <c r="CD135" s="9"/>
      <c r="CE135" s="9"/>
      <c r="CF135" s="9"/>
      <c r="CG135" s="9"/>
      <c r="CH135" s="9">
        <v>1</v>
      </c>
      <c r="CI135" s="9">
        <v>0</v>
      </c>
      <c r="CJ135" s="9"/>
      <c r="CK135" s="9"/>
      <c r="CL135" s="9"/>
      <c r="CM135" s="9"/>
      <c r="CN135" s="9">
        <v>0</v>
      </c>
      <c r="CO135" s="9" t="s">
        <v>1925</v>
      </c>
      <c r="CP135" s="9"/>
      <c r="CQ135" s="9"/>
    </row>
    <row r="136" spans="1:95" x14ac:dyDescent="0.35">
      <c r="A136" s="9" t="b">
        <f>ISNUMBER(MATCH(Claude[[#This Row],[Id]],ChargentOrders[Id],0))</f>
        <v>1</v>
      </c>
      <c r="B136" t="b">
        <f>INDEX(ChargentOrders[VALIDO],MATCH(Claude[[#This Row],[Id]],ChargentOrders[Id],0))</f>
        <v>1</v>
      </c>
      <c r="C136">
        <f>INDEX(Contract[CB_Subscription__c],MATCH(Claude[[#This Row],[Contract__c]],Contract[Id],0))</f>
        <v>0</v>
      </c>
      <c r="D136" s="9" t="s">
        <v>496</v>
      </c>
      <c r="E136" s="9" t="s">
        <v>79</v>
      </c>
      <c r="F136" s="9">
        <v>0</v>
      </c>
      <c r="G136" s="9" t="s">
        <v>497</v>
      </c>
      <c r="H136" s="9">
        <v>45960.420543981483</v>
      </c>
      <c r="I136" s="9" t="s">
        <v>65</v>
      </c>
      <c r="J136" s="9">
        <v>45979.702893518515</v>
      </c>
      <c r="K136" s="9" t="s">
        <v>101</v>
      </c>
      <c r="L136" s="9">
        <v>45979.702893518515</v>
      </c>
      <c r="M136" s="9"/>
      <c r="N136" s="9" t="s">
        <v>1591</v>
      </c>
      <c r="O136" s="9" t="s">
        <v>1989</v>
      </c>
      <c r="P136" s="9" t="s">
        <v>1990</v>
      </c>
      <c r="Q136" s="9" t="s">
        <v>1925</v>
      </c>
      <c r="R136" s="9" t="s">
        <v>1589</v>
      </c>
      <c r="S136" s="9" t="s">
        <v>1991</v>
      </c>
      <c r="T136" s="9" t="s">
        <v>1992</v>
      </c>
      <c r="U136" s="9" t="s">
        <v>1928</v>
      </c>
      <c r="V136" s="9">
        <v>915</v>
      </c>
      <c r="W136" s="9">
        <v>2</v>
      </c>
      <c r="X136" s="9">
        <v>2030</v>
      </c>
      <c r="Y136" s="9">
        <v>1962</v>
      </c>
      <c r="Z136" s="9">
        <v>2</v>
      </c>
      <c r="AA136" s="9">
        <v>1962</v>
      </c>
      <c r="AB136" s="9" t="s">
        <v>73</v>
      </c>
      <c r="AC136" s="9">
        <v>2030</v>
      </c>
      <c r="AD136" s="9" t="s">
        <v>2087</v>
      </c>
      <c r="AE136" s="9"/>
      <c r="AF136" s="9" t="s">
        <v>1929</v>
      </c>
      <c r="AG136" s="9"/>
      <c r="AH136" s="9" t="s">
        <v>67</v>
      </c>
      <c r="AI136" s="9">
        <v>0</v>
      </c>
      <c r="AJ136" s="9"/>
      <c r="AK136" s="9">
        <v>0</v>
      </c>
      <c r="AL136" s="9" t="s">
        <v>1930</v>
      </c>
      <c r="AM136" s="9">
        <v>1</v>
      </c>
      <c r="AN136" s="9">
        <v>45981</v>
      </c>
      <c r="AO136" s="9" t="s">
        <v>1931</v>
      </c>
      <c r="AP136" s="9" t="s">
        <v>69</v>
      </c>
      <c r="AQ136" s="9" t="s">
        <v>1932</v>
      </c>
      <c r="AR136" s="9">
        <v>45981</v>
      </c>
      <c r="AS136" s="9" t="s">
        <v>74</v>
      </c>
      <c r="AT136" s="9" t="s">
        <v>1935</v>
      </c>
      <c r="AU136" s="9" t="s">
        <v>1952</v>
      </c>
      <c r="AV136" s="9">
        <v>0</v>
      </c>
      <c r="AW136" s="9" t="s">
        <v>93</v>
      </c>
      <c r="AX136" s="9" t="s">
        <v>240</v>
      </c>
      <c r="AY136" s="9">
        <v>0</v>
      </c>
      <c r="AZ136" s="9">
        <v>45979.7028587963</v>
      </c>
      <c r="BA136" s="9">
        <v>45979.7028587963</v>
      </c>
      <c r="BB136" s="9">
        <v>1</v>
      </c>
      <c r="BC136" s="9">
        <v>9</v>
      </c>
      <c r="BD136" s="9" t="s">
        <v>2087</v>
      </c>
      <c r="BE136" s="9" t="s">
        <v>235</v>
      </c>
      <c r="BF136" s="9" t="s">
        <v>71</v>
      </c>
      <c r="BG136" s="9"/>
      <c r="BH136" s="9">
        <v>0</v>
      </c>
      <c r="BI136" s="9"/>
      <c r="BJ136" s="9">
        <v>0</v>
      </c>
      <c r="BK136" s="9" t="s">
        <v>92</v>
      </c>
      <c r="BL136" s="9" t="s">
        <v>92</v>
      </c>
      <c r="BM136" s="9" t="s">
        <v>72</v>
      </c>
      <c r="BN136" s="9"/>
      <c r="BO136" s="9">
        <v>1</v>
      </c>
      <c r="BP136" s="9" t="s">
        <v>498</v>
      </c>
      <c r="BQ136" s="9">
        <v>0</v>
      </c>
      <c r="BR136" s="9">
        <v>45702.827997685185</v>
      </c>
      <c r="BS136" s="9" t="s">
        <v>109</v>
      </c>
      <c r="BT136" s="9" t="s">
        <v>65</v>
      </c>
      <c r="BU136" s="9"/>
      <c r="BV136" s="9"/>
      <c r="BW136" s="9">
        <v>0</v>
      </c>
      <c r="BX136" s="9">
        <v>45978.424560185187</v>
      </c>
      <c r="BY136" s="9">
        <v>45979.7028587963</v>
      </c>
      <c r="BZ136" s="9"/>
      <c r="CA136" s="9"/>
      <c r="CB136" s="9"/>
      <c r="CC136" s="9"/>
      <c r="CD136" s="9"/>
      <c r="CE136" s="9"/>
      <c r="CF136" s="9"/>
      <c r="CG136" s="9"/>
      <c r="CH136" s="9">
        <v>1</v>
      </c>
      <c r="CI136" s="9">
        <v>0</v>
      </c>
      <c r="CJ136" s="9"/>
      <c r="CK136" s="9"/>
      <c r="CL136" s="9" t="s">
        <v>1993</v>
      </c>
      <c r="CM136" s="9"/>
      <c r="CN136" s="9">
        <v>0</v>
      </c>
      <c r="CO136" s="9" t="s">
        <v>1925</v>
      </c>
      <c r="CP136" s="9"/>
      <c r="CQ136" s="9"/>
    </row>
    <row r="137" spans="1:95" x14ac:dyDescent="0.35">
      <c r="A137" s="9" t="b">
        <f>ISNUMBER(MATCH(Claude[[#This Row],[Id]],ChargentOrders[Id],0))</f>
        <v>1</v>
      </c>
      <c r="B137" t="b">
        <f>INDEX(ChargentOrders[VALIDO],MATCH(Claude[[#This Row],[Id]],ChargentOrders[Id],0))</f>
        <v>1</v>
      </c>
      <c r="C137">
        <f>INDEX(Contract[CB_Subscription__c],MATCH(Claude[[#This Row],[Contract__c]],Contract[Id],0))</f>
        <v>0</v>
      </c>
      <c r="D137" s="9" t="s">
        <v>499</v>
      </c>
      <c r="E137" s="9" t="s">
        <v>79</v>
      </c>
      <c r="F137" s="9">
        <v>0</v>
      </c>
      <c r="G137" s="9" t="s">
        <v>500</v>
      </c>
      <c r="H137" s="9">
        <v>45960.420694444445</v>
      </c>
      <c r="I137" s="9" t="s">
        <v>65</v>
      </c>
      <c r="J137" s="9">
        <v>45982.424699074072</v>
      </c>
      <c r="K137" s="9" t="s">
        <v>65</v>
      </c>
      <c r="L137" s="9">
        <v>45982.424699074072</v>
      </c>
      <c r="M137" s="9"/>
      <c r="N137" s="9" t="s">
        <v>1988</v>
      </c>
      <c r="O137" s="9" t="s">
        <v>1982</v>
      </c>
      <c r="P137" s="9" t="s">
        <v>1983</v>
      </c>
      <c r="Q137" s="9" t="s">
        <v>1925</v>
      </c>
      <c r="R137" s="9" t="s">
        <v>1984</v>
      </c>
      <c r="S137" s="9" t="s">
        <v>1985</v>
      </c>
      <c r="T137" s="9" t="s">
        <v>1986</v>
      </c>
      <c r="U137" s="9" t="s">
        <v>1928</v>
      </c>
      <c r="V137" s="9">
        <v>771</v>
      </c>
      <c r="W137" s="9">
        <v>7</v>
      </c>
      <c r="X137" s="9">
        <v>2029</v>
      </c>
      <c r="Y137" s="9">
        <v>4040</v>
      </c>
      <c r="Z137" s="9">
        <v>7</v>
      </c>
      <c r="AA137" s="9">
        <v>5392871341924040</v>
      </c>
      <c r="AB137" s="9" t="s">
        <v>66</v>
      </c>
      <c r="AC137" s="9">
        <v>2029</v>
      </c>
      <c r="AD137" s="9" t="s">
        <v>1952</v>
      </c>
      <c r="AE137" s="9"/>
      <c r="AF137" s="9" t="s">
        <v>1929</v>
      </c>
      <c r="AG137" s="9"/>
      <c r="AH137" s="9" t="s">
        <v>67</v>
      </c>
      <c r="AI137" s="9">
        <v>0</v>
      </c>
      <c r="AJ137" s="9"/>
      <c r="AK137" s="9">
        <v>0</v>
      </c>
      <c r="AL137" s="9" t="s">
        <v>1930</v>
      </c>
      <c r="AM137" s="9">
        <v>1</v>
      </c>
      <c r="AN137" s="9">
        <v>45982</v>
      </c>
      <c r="AO137" s="9" t="s">
        <v>1931</v>
      </c>
      <c r="AP137" s="9" t="s">
        <v>69</v>
      </c>
      <c r="AQ137" s="9" t="s">
        <v>1932</v>
      </c>
      <c r="AR137" s="9">
        <v>45982</v>
      </c>
      <c r="AS137" s="9" t="s">
        <v>74</v>
      </c>
      <c r="AT137" s="9" t="s">
        <v>1935</v>
      </c>
      <c r="AU137" s="9" t="s">
        <v>1952</v>
      </c>
      <c r="AV137" s="9">
        <v>0</v>
      </c>
      <c r="AW137" s="9" t="s">
        <v>92</v>
      </c>
      <c r="AX137" s="9" t="s">
        <v>219</v>
      </c>
      <c r="AY137" s="9">
        <v>0</v>
      </c>
      <c r="AZ137" s="9">
        <v>45982.424641203703</v>
      </c>
      <c r="BA137" s="9">
        <v>45982.424641203703</v>
      </c>
      <c r="BB137" s="9">
        <v>1</v>
      </c>
      <c r="BC137" s="9">
        <v>10</v>
      </c>
      <c r="BD137" s="9" t="s">
        <v>2087</v>
      </c>
      <c r="BE137" s="9" t="s">
        <v>220</v>
      </c>
      <c r="BF137" s="9" t="s">
        <v>71</v>
      </c>
      <c r="BG137" s="9"/>
      <c r="BH137" s="9">
        <v>0</v>
      </c>
      <c r="BI137" s="9"/>
      <c r="BJ137" s="9">
        <v>0</v>
      </c>
      <c r="BK137" s="9" t="s">
        <v>92</v>
      </c>
      <c r="BL137" s="9" t="s">
        <v>92</v>
      </c>
      <c r="BM137" s="9" t="s">
        <v>72</v>
      </c>
      <c r="BN137" s="9"/>
      <c r="BO137" s="9">
        <v>1</v>
      </c>
      <c r="BP137" s="9" t="s">
        <v>501</v>
      </c>
      <c r="BQ137" s="9">
        <v>0</v>
      </c>
      <c r="BR137" s="9">
        <v>45716.429675925923</v>
      </c>
      <c r="BS137" s="9" t="s">
        <v>109</v>
      </c>
      <c r="BT137" s="9" t="s">
        <v>65</v>
      </c>
      <c r="BU137" s="9"/>
      <c r="BV137" s="9"/>
      <c r="BW137" s="9">
        <v>0</v>
      </c>
      <c r="BX137" s="9">
        <v>45981.424629629626</v>
      </c>
      <c r="BY137" s="9">
        <v>45982.424641203703</v>
      </c>
      <c r="BZ137" s="9"/>
      <c r="CA137" s="9"/>
      <c r="CB137" s="9"/>
      <c r="CC137" s="9"/>
      <c r="CD137" s="9"/>
      <c r="CE137" s="9"/>
      <c r="CF137" s="9"/>
      <c r="CG137" s="9"/>
      <c r="CH137" s="9">
        <v>1</v>
      </c>
      <c r="CI137" s="9">
        <v>0</v>
      </c>
      <c r="CJ137" s="9"/>
      <c r="CK137" s="9"/>
      <c r="CL137" s="9" t="s">
        <v>1987</v>
      </c>
      <c r="CM137" s="9"/>
      <c r="CN137" s="9">
        <v>0</v>
      </c>
      <c r="CO137" s="9" t="s">
        <v>1925</v>
      </c>
      <c r="CP137" s="9"/>
      <c r="CQ137" s="9"/>
    </row>
    <row r="138" spans="1:95" x14ac:dyDescent="0.35">
      <c r="A138" s="9" t="b">
        <f>ISNUMBER(MATCH(Claude[[#This Row],[Id]],ChargentOrders[Id],0))</f>
        <v>1</v>
      </c>
      <c r="B138" t="b">
        <f>INDEX(ChargentOrders[VALIDO],MATCH(Claude[[#This Row],[Id]],ChargentOrders[Id],0))</f>
        <v>1</v>
      </c>
      <c r="C138">
        <f>INDEX(Contract[CB_Subscription__c],MATCH(Claude[[#This Row],[Contract__c]],Contract[Id],0))</f>
        <v>0</v>
      </c>
      <c r="D138" s="9" t="s">
        <v>502</v>
      </c>
      <c r="E138" s="9" t="s">
        <v>79</v>
      </c>
      <c r="F138" s="9">
        <v>0</v>
      </c>
      <c r="G138" s="9" t="s">
        <v>503</v>
      </c>
      <c r="H138" s="9">
        <v>45960.420856481483</v>
      </c>
      <c r="I138" s="9" t="s">
        <v>65</v>
      </c>
      <c r="J138" s="9">
        <v>45989.423888888887</v>
      </c>
      <c r="K138" s="9" t="s">
        <v>65</v>
      </c>
      <c r="L138" s="9">
        <v>45989.423888888887</v>
      </c>
      <c r="M138" s="9"/>
      <c r="N138" s="9" t="s">
        <v>1596</v>
      </c>
      <c r="O138" s="9" t="s">
        <v>1997</v>
      </c>
      <c r="P138" s="9" t="s">
        <v>1990</v>
      </c>
      <c r="Q138" s="9" t="s">
        <v>1925</v>
      </c>
      <c r="R138" s="9" t="s">
        <v>1594</v>
      </c>
      <c r="S138" s="9" t="s">
        <v>1998</v>
      </c>
      <c r="T138" s="9" t="s">
        <v>1999</v>
      </c>
      <c r="U138" s="9" t="s">
        <v>1928</v>
      </c>
      <c r="V138" s="9">
        <v>901</v>
      </c>
      <c r="W138" s="9">
        <v>2</v>
      </c>
      <c r="X138" s="9">
        <v>2026</v>
      </c>
      <c r="Y138" s="9">
        <v>7405</v>
      </c>
      <c r="Z138" s="9">
        <v>2</v>
      </c>
      <c r="AA138" s="9">
        <v>4549516847817400</v>
      </c>
      <c r="AB138" s="9" t="s">
        <v>73</v>
      </c>
      <c r="AC138" s="9">
        <v>2026</v>
      </c>
      <c r="AD138" s="9" t="s">
        <v>1952</v>
      </c>
      <c r="AE138" s="9"/>
      <c r="AF138" s="9" t="s">
        <v>1929</v>
      </c>
      <c r="AG138" s="9"/>
      <c r="AH138" s="9" t="s">
        <v>67</v>
      </c>
      <c r="AI138" s="9">
        <v>0</v>
      </c>
      <c r="AJ138" s="9"/>
      <c r="AK138" s="9">
        <v>0</v>
      </c>
      <c r="AL138" s="9" t="s">
        <v>1930</v>
      </c>
      <c r="AM138" s="9">
        <v>1</v>
      </c>
      <c r="AN138" s="9">
        <v>45989</v>
      </c>
      <c r="AO138" s="9" t="s">
        <v>1931</v>
      </c>
      <c r="AP138" s="9" t="s">
        <v>69</v>
      </c>
      <c r="AQ138" s="9" t="s">
        <v>1932</v>
      </c>
      <c r="AR138" s="9">
        <v>45989</v>
      </c>
      <c r="AS138" s="9" t="s">
        <v>74</v>
      </c>
      <c r="AT138" s="9" t="s">
        <v>1935</v>
      </c>
      <c r="AU138" s="9" t="s">
        <v>1952</v>
      </c>
      <c r="AV138" s="9">
        <v>0</v>
      </c>
      <c r="AW138" s="9" t="s">
        <v>92</v>
      </c>
      <c r="AX138" s="9" t="s">
        <v>252</v>
      </c>
      <c r="AY138" s="9">
        <v>0</v>
      </c>
      <c r="AZ138" s="9">
        <v>45989.423784722225</v>
      </c>
      <c r="BA138" s="9">
        <v>45989.423854166664</v>
      </c>
      <c r="BB138" s="9">
        <v>1</v>
      </c>
      <c r="BC138" s="9">
        <v>26</v>
      </c>
      <c r="BD138" s="9" t="s">
        <v>2087</v>
      </c>
      <c r="BE138" s="9" t="s">
        <v>253</v>
      </c>
      <c r="BF138" s="9" t="s">
        <v>71</v>
      </c>
      <c r="BG138" s="9"/>
      <c r="BH138" s="9">
        <v>0</v>
      </c>
      <c r="BI138" s="9"/>
      <c r="BJ138" s="9">
        <v>0</v>
      </c>
      <c r="BK138" s="9" t="s">
        <v>92</v>
      </c>
      <c r="BL138" s="9" t="s">
        <v>92</v>
      </c>
      <c r="BM138" s="9" t="s">
        <v>72</v>
      </c>
      <c r="BN138" s="9"/>
      <c r="BO138" s="9">
        <v>1</v>
      </c>
      <c r="BP138" s="9" t="s">
        <v>504</v>
      </c>
      <c r="BQ138" s="9">
        <v>0</v>
      </c>
      <c r="BR138" s="9">
        <v>45723.426469907405</v>
      </c>
      <c r="BS138" s="9" t="s">
        <v>109</v>
      </c>
      <c r="BT138" s="9" t="s">
        <v>65</v>
      </c>
      <c r="BU138" s="9"/>
      <c r="BV138" s="9"/>
      <c r="BW138" s="9">
        <v>0</v>
      </c>
      <c r="BX138" s="9">
        <v>45987.923449074071</v>
      </c>
      <c r="BY138" s="9">
        <v>45989.423784722225</v>
      </c>
      <c r="BZ138" s="9"/>
      <c r="CA138" s="9"/>
      <c r="CB138" s="9"/>
      <c r="CC138" s="9"/>
      <c r="CD138" s="9"/>
      <c r="CE138" s="9"/>
      <c r="CF138" s="9"/>
      <c r="CG138" s="9"/>
      <c r="CH138" s="9">
        <v>1</v>
      </c>
      <c r="CI138" s="9">
        <v>0</v>
      </c>
      <c r="CJ138" s="9"/>
      <c r="CK138" s="9"/>
      <c r="CL138" s="9" t="s">
        <v>2000</v>
      </c>
      <c r="CM138" s="9"/>
      <c r="CN138" s="9">
        <v>0</v>
      </c>
      <c r="CO138" s="9" t="s">
        <v>1925</v>
      </c>
      <c r="CP138" s="9"/>
      <c r="CQ138" s="9"/>
    </row>
    <row r="139" spans="1:95" x14ac:dyDescent="0.35">
      <c r="A139" s="9" t="b">
        <f>ISNUMBER(MATCH(Claude[[#This Row],[Id]],ChargentOrders[Id],0))</f>
        <v>1</v>
      </c>
      <c r="B139" t="b">
        <f>INDEX(ChargentOrders[VALIDO],MATCH(Claude[[#This Row],[Id]],ChargentOrders[Id],0))</f>
        <v>1</v>
      </c>
      <c r="C139">
        <f>INDEX(Contract[CB_Subscription__c],MATCH(Claude[[#This Row],[Contract__c]],Contract[Id],0))</f>
        <v>0</v>
      </c>
      <c r="D139" s="9" t="s">
        <v>505</v>
      </c>
      <c r="E139" s="9" t="s">
        <v>81</v>
      </c>
      <c r="F139" s="9">
        <v>0</v>
      </c>
      <c r="G139" s="9" t="s">
        <v>506</v>
      </c>
      <c r="H139" s="9">
        <v>45960.421157407407</v>
      </c>
      <c r="I139" s="9" t="s">
        <v>65</v>
      </c>
      <c r="J139" s="9">
        <v>45968.42559027778</v>
      </c>
      <c r="K139" s="9" t="s">
        <v>65</v>
      </c>
      <c r="L139" s="9">
        <v>45968.42559027778</v>
      </c>
      <c r="M139" s="9"/>
      <c r="N139" s="9" t="s">
        <v>1601</v>
      </c>
      <c r="O139" s="9" t="s">
        <v>2005</v>
      </c>
      <c r="P139" s="9" t="s">
        <v>2006</v>
      </c>
      <c r="Q139" s="9" t="s">
        <v>1925</v>
      </c>
      <c r="R139" s="9" t="s">
        <v>1599</v>
      </c>
      <c r="S139" s="9" t="s">
        <v>2007</v>
      </c>
      <c r="T139" s="9" t="s">
        <v>2008</v>
      </c>
      <c r="U139" s="9" t="s">
        <v>1928</v>
      </c>
      <c r="V139" s="9">
        <v>985</v>
      </c>
      <c r="W139" s="9">
        <v>11</v>
      </c>
      <c r="X139" s="9">
        <v>2029</v>
      </c>
      <c r="Y139" s="9">
        <v>6484</v>
      </c>
      <c r="Z139" s="9">
        <v>11</v>
      </c>
      <c r="AA139" s="9">
        <v>4549518380296480</v>
      </c>
      <c r="AB139" s="9" t="s">
        <v>73</v>
      </c>
      <c r="AC139" s="9">
        <v>2029</v>
      </c>
      <c r="AD139" s="9" t="s">
        <v>104</v>
      </c>
      <c r="AE139" s="9"/>
      <c r="AF139" s="9" t="s">
        <v>1929</v>
      </c>
      <c r="AG139" s="9"/>
      <c r="AH139" s="9" t="s">
        <v>67</v>
      </c>
      <c r="AI139" s="9">
        <v>0</v>
      </c>
      <c r="AJ139" s="9"/>
      <c r="AK139" s="9">
        <v>0</v>
      </c>
      <c r="AL139" s="9" t="s">
        <v>1930</v>
      </c>
      <c r="AM139" s="9">
        <v>1</v>
      </c>
      <c r="AN139" s="9">
        <v>45968</v>
      </c>
      <c r="AO139" s="9" t="s">
        <v>1931</v>
      </c>
      <c r="AP139" s="9" t="s">
        <v>69</v>
      </c>
      <c r="AQ139" s="9" t="s">
        <v>1932</v>
      </c>
      <c r="AR139" s="9">
        <v>45968</v>
      </c>
      <c r="AS139" s="9" t="s">
        <v>74</v>
      </c>
      <c r="AT139" s="9" t="s">
        <v>1935</v>
      </c>
      <c r="AU139" s="9" t="s">
        <v>1952</v>
      </c>
      <c r="AV139" s="9">
        <v>0</v>
      </c>
      <c r="AW139" s="9" t="s">
        <v>1953</v>
      </c>
      <c r="AX139" s="9" t="s">
        <v>264</v>
      </c>
      <c r="AY139" s="9">
        <v>0</v>
      </c>
      <c r="AZ139" s="9">
        <v>45968.425474537034</v>
      </c>
      <c r="BA139" s="9">
        <v>45968.425543981481</v>
      </c>
      <c r="BB139" s="9">
        <v>1</v>
      </c>
      <c r="BC139" s="9">
        <v>4</v>
      </c>
      <c r="BD139" s="9" t="s">
        <v>104</v>
      </c>
      <c r="BE139" s="9" t="s">
        <v>265</v>
      </c>
      <c r="BF139" s="9" t="s">
        <v>71</v>
      </c>
      <c r="BG139" s="9"/>
      <c r="BH139" s="9">
        <v>0</v>
      </c>
      <c r="BI139" s="9"/>
      <c r="BJ139" s="9">
        <v>0</v>
      </c>
      <c r="BK139" s="9" t="s">
        <v>1937</v>
      </c>
      <c r="BL139" s="9" t="s">
        <v>1938</v>
      </c>
      <c r="BM139" s="9" t="s">
        <v>72</v>
      </c>
      <c r="BN139" s="9"/>
      <c r="BO139" s="9">
        <v>1</v>
      </c>
      <c r="BP139" s="9" t="s">
        <v>507</v>
      </c>
      <c r="BQ139" s="9">
        <v>0</v>
      </c>
      <c r="BR139" s="9">
        <v>45744.431817129633</v>
      </c>
      <c r="BS139" s="9" t="s">
        <v>109</v>
      </c>
      <c r="BT139" s="9" t="s">
        <v>65</v>
      </c>
      <c r="BU139" s="9"/>
      <c r="BV139" s="9"/>
      <c r="BW139" s="9">
        <v>0</v>
      </c>
      <c r="BX139" s="9">
        <v>45967.424259259256</v>
      </c>
      <c r="BY139" s="9">
        <v>45968.425474537034</v>
      </c>
      <c r="BZ139" s="9"/>
      <c r="CA139" s="9"/>
      <c r="CB139" s="9"/>
      <c r="CC139" s="9"/>
      <c r="CD139" s="9"/>
      <c r="CE139" s="9"/>
      <c r="CF139" s="9"/>
      <c r="CG139" s="9"/>
      <c r="CH139" s="9">
        <v>1</v>
      </c>
      <c r="CI139" s="9">
        <v>0</v>
      </c>
      <c r="CJ139" s="9"/>
      <c r="CK139" s="9"/>
      <c r="CL139" s="9" t="s">
        <v>2009</v>
      </c>
      <c r="CM139" s="9"/>
      <c r="CN139" s="9">
        <v>0</v>
      </c>
      <c r="CO139" s="9" t="s">
        <v>1925</v>
      </c>
      <c r="CP139" s="9"/>
      <c r="CQ139" s="9"/>
    </row>
    <row r="140" spans="1:95" x14ac:dyDescent="0.35">
      <c r="A140" s="9" t="b">
        <f>ISNUMBER(MATCH(Claude[[#This Row],[Id]],ChargentOrders[Id],0))</f>
        <v>1</v>
      </c>
      <c r="B140" t="b">
        <f>INDEX(ChargentOrders[VALIDO],MATCH(Claude[[#This Row],[Id]],ChargentOrders[Id],0))</f>
        <v>1</v>
      </c>
      <c r="C140">
        <f>INDEX(Contract[CB_Subscription__c],MATCH(Claude[[#This Row],[Contract__c]],Contract[Id],0))</f>
        <v>0</v>
      </c>
      <c r="D140" s="9" t="s">
        <v>508</v>
      </c>
      <c r="E140" s="9" t="s">
        <v>79</v>
      </c>
      <c r="F140" s="9">
        <v>0</v>
      </c>
      <c r="G140" s="9" t="s">
        <v>509</v>
      </c>
      <c r="H140" s="9">
        <v>45960.423148148147</v>
      </c>
      <c r="I140" s="9" t="s">
        <v>65</v>
      </c>
      <c r="J140" s="9">
        <v>45968.42559027778</v>
      </c>
      <c r="K140" s="9" t="s">
        <v>65</v>
      </c>
      <c r="L140" s="9">
        <v>45968.42559027778</v>
      </c>
      <c r="M140" s="9"/>
      <c r="N140" s="9" t="s">
        <v>1634</v>
      </c>
      <c r="O140" s="9" t="s">
        <v>2037</v>
      </c>
      <c r="P140" s="9" t="s">
        <v>1983</v>
      </c>
      <c r="Q140" s="9" t="s">
        <v>1925</v>
      </c>
      <c r="R140" s="9" t="s">
        <v>1632</v>
      </c>
      <c r="S140" s="9" t="s">
        <v>2038</v>
      </c>
      <c r="T140" s="9" t="s">
        <v>2039</v>
      </c>
      <c r="U140" s="9" t="s">
        <v>1928</v>
      </c>
      <c r="V140" s="9">
        <v>771</v>
      </c>
      <c r="W140" s="9">
        <v>7</v>
      </c>
      <c r="X140" s="9">
        <v>2027</v>
      </c>
      <c r="Y140" s="9">
        <v>233</v>
      </c>
      <c r="Z140" s="9">
        <v>7</v>
      </c>
      <c r="AA140" s="9"/>
      <c r="AB140" s="9" t="s">
        <v>66</v>
      </c>
      <c r="AC140" s="9">
        <v>2027</v>
      </c>
      <c r="AD140" s="9" t="s">
        <v>104</v>
      </c>
      <c r="AE140" s="9"/>
      <c r="AF140" s="9" t="s">
        <v>1929</v>
      </c>
      <c r="AG140" s="9"/>
      <c r="AH140" s="9" t="s">
        <v>107</v>
      </c>
      <c r="AI140" s="9">
        <v>0</v>
      </c>
      <c r="AJ140" s="9"/>
      <c r="AK140" s="9">
        <v>0</v>
      </c>
      <c r="AL140" s="9" t="s">
        <v>1930</v>
      </c>
      <c r="AM140" s="9">
        <v>1</v>
      </c>
      <c r="AN140" s="9">
        <v>45968</v>
      </c>
      <c r="AO140" s="9" t="s">
        <v>1931</v>
      </c>
      <c r="AP140" s="9" t="s">
        <v>69</v>
      </c>
      <c r="AQ140" s="9" t="s">
        <v>1932</v>
      </c>
      <c r="AR140" s="9">
        <v>45968</v>
      </c>
      <c r="AS140" s="9" t="s">
        <v>74</v>
      </c>
      <c r="AT140" s="9" t="s">
        <v>1935</v>
      </c>
      <c r="AU140" s="9" t="s">
        <v>1952</v>
      </c>
      <c r="AV140" s="9">
        <v>0</v>
      </c>
      <c r="AW140" s="9" t="s">
        <v>1953</v>
      </c>
      <c r="AX140" s="9" t="s">
        <v>368</v>
      </c>
      <c r="AY140" s="9">
        <v>0</v>
      </c>
      <c r="AZ140" s="9">
        <v>45968.425543981481</v>
      </c>
      <c r="BA140" s="9">
        <v>45968.425543981481</v>
      </c>
      <c r="BB140" s="9">
        <v>1</v>
      </c>
      <c r="BC140" s="9">
        <v>4</v>
      </c>
      <c r="BD140" s="9" t="s">
        <v>104</v>
      </c>
      <c r="BE140" s="9" t="s">
        <v>369</v>
      </c>
      <c r="BF140" s="9" t="s">
        <v>71</v>
      </c>
      <c r="BG140" s="9"/>
      <c r="BH140" s="9">
        <v>0</v>
      </c>
      <c r="BI140" s="9"/>
      <c r="BJ140" s="9">
        <v>0</v>
      </c>
      <c r="BK140" s="9" t="s">
        <v>1937</v>
      </c>
      <c r="BL140" s="9" t="s">
        <v>1938</v>
      </c>
      <c r="BM140" s="9" t="s">
        <v>72</v>
      </c>
      <c r="BN140" s="9"/>
      <c r="BO140" s="9">
        <v>1</v>
      </c>
      <c r="BP140" s="9" t="s">
        <v>510</v>
      </c>
      <c r="BQ140" s="9">
        <v>0</v>
      </c>
      <c r="BR140" s="9">
        <v>45849.623969907407</v>
      </c>
      <c r="BS140" s="9" t="s">
        <v>109</v>
      </c>
      <c r="BT140" s="9" t="s">
        <v>65</v>
      </c>
      <c r="BU140" s="9"/>
      <c r="BV140" s="9"/>
      <c r="BW140" s="9">
        <v>0</v>
      </c>
      <c r="BX140" s="9"/>
      <c r="BY140" s="9">
        <v>45968.425543981481</v>
      </c>
      <c r="BZ140" s="9"/>
      <c r="CA140" s="9"/>
      <c r="CB140" s="9"/>
      <c r="CC140" s="9"/>
      <c r="CD140" s="9"/>
      <c r="CE140" s="9"/>
      <c r="CF140" s="9"/>
      <c r="CG140" s="9"/>
      <c r="CH140" s="9">
        <v>1</v>
      </c>
      <c r="CI140" s="9">
        <v>0</v>
      </c>
      <c r="CJ140" s="9"/>
      <c r="CK140" s="9"/>
      <c r="CL140" s="9" t="s">
        <v>2040</v>
      </c>
      <c r="CM140" s="9"/>
      <c r="CN140" s="9">
        <v>0</v>
      </c>
      <c r="CO140" s="9" t="s">
        <v>1925</v>
      </c>
      <c r="CP140" s="9"/>
      <c r="CQ140" s="9"/>
    </row>
    <row r="141" spans="1:95" x14ac:dyDescent="0.35">
      <c r="A141" s="9" t="b">
        <f>ISNUMBER(MATCH(Claude[[#This Row],[Id]],ChargentOrders[Id],0))</f>
        <v>1</v>
      </c>
      <c r="B141" t="b">
        <f>INDEX(ChargentOrders[VALIDO],MATCH(Claude[[#This Row],[Id]],ChargentOrders[Id],0))</f>
        <v>1</v>
      </c>
      <c r="C141">
        <f>INDEX(Contract[CB_Subscription__c],MATCH(Claude[[#This Row],[Contract__c]],Contract[Id],0))</f>
        <v>0</v>
      </c>
      <c r="D141" s="9" t="s">
        <v>511</v>
      </c>
      <c r="E141" s="9" t="s">
        <v>155</v>
      </c>
      <c r="F141" s="9">
        <v>0</v>
      </c>
      <c r="G141" s="9" t="s">
        <v>512</v>
      </c>
      <c r="H141" s="9">
        <v>45961.424942129626</v>
      </c>
      <c r="I141" s="9" t="s">
        <v>65</v>
      </c>
      <c r="J141" s="9">
        <v>46217.738564814812</v>
      </c>
      <c r="K141" s="9" t="s">
        <v>78</v>
      </c>
      <c r="L141" s="9">
        <v>46217.738564814812</v>
      </c>
      <c r="M141" s="9"/>
      <c r="N141" s="9" t="s">
        <v>1664</v>
      </c>
      <c r="O141" s="9" t="s">
        <v>2081</v>
      </c>
      <c r="P141" s="9" t="s">
        <v>2082</v>
      </c>
      <c r="Q141" s="9" t="s">
        <v>2015</v>
      </c>
      <c r="R141" s="9" t="s">
        <v>1662</v>
      </c>
      <c r="S141" s="9" t="s">
        <v>2083</v>
      </c>
      <c r="T141" s="9" t="s">
        <v>2084</v>
      </c>
      <c r="U141" s="9" t="s">
        <v>2085</v>
      </c>
      <c r="V141" s="9">
        <v>17042</v>
      </c>
      <c r="W141" s="9">
        <v>10</v>
      </c>
      <c r="X141" s="9">
        <v>2030</v>
      </c>
      <c r="Y141" s="9">
        <v>3323</v>
      </c>
      <c r="Z141" s="9">
        <v>10</v>
      </c>
      <c r="AA141" s="9"/>
      <c r="AB141" s="9" t="s">
        <v>73</v>
      </c>
      <c r="AC141" s="9">
        <v>2030</v>
      </c>
      <c r="AD141" s="9" t="s">
        <v>108</v>
      </c>
      <c r="AE141" s="9">
        <v>30</v>
      </c>
      <c r="AF141" s="9" t="s">
        <v>1929</v>
      </c>
      <c r="AG141" s="9"/>
      <c r="AH141" s="9" t="s">
        <v>107</v>
      </c>
      <c r="AI141" s="9">
        <v>0</v>
      </c>
      <c r="AJ141" s="9"/>
      <c r="AK141" s="9">
        <v>0</v>
      </c>
      <c r="AL141" s="9" t="s">
        <v>1930</v>
      </c>
      <c r="AM141" s="9"/>
      <c r="AN141" s="9"/>
      <c r="AO141" s="9" t="s">
        <v>1943</v>
      </c>
      <c r="AP141" s="9" t="s">
        <v>69</v>
      </c>
      <c r="AQ141" s="9" t="s">
        <v>1932</v>
      </c>
      <c r="AR141" s="9">
        <v>46233</v>
      </c>
      <c r="AS141" s="9" t="s">
        <v>84</v>
      </c>
      <c r="AT141" s="9" t="s">
        <v>1944</v>
      </c>
      <c r="AU141" s="9" t="s">
        <v>108</v>
      </c>
      <c r="AV141" s="9">
        <v>0</v>
      </c>
      <c r="AW141" s="9" t="s">
        <v>92</v>
      </c>
      <c r="AX141" s="9" t="s">
        <v>489</v>
      </c>
      <c r="AY141" s="9">
        <v>0</v>
      </c>
      <c r="AZ141" s="9">
        <v>46048.422662037039</v>
      </c>
      <c r="BA141" s="9">
        <v>46048.422685185185</v>
      </c>
      <c r="BB141" s="9">
        <v>3</v>
      </c>
      <c r="BC141" s="9">
        <v>8</v>
      </c>
      <c r="BD141" s="9" t="s">
        <v>2088</v>
      </c>
      <c r="BE141" s="9" t="s">
        <v>490</v>
      </c>
      <c r="BF141" s="9" t="s">
        <v>76</v>
      </c>
      <c r="BG141" s="9"/>
      <c r="BH141" s="9">
        <v>0</v>
      </c>
      <c r="BI141" s="9"/>
      <c r="BJ141" s="9">
        <v>9</v>
      </c>
      <c r="BK141" s="9" t="s">
        <v>92</v>
      </c>
      <c r="BL141" s="9" t="s">
        <v>92</v>
      </c>
      <c r="BM141" s="9" t="s">
        <v>75</v>
      </c>
      <c r="BN141" s="9"/>
      <c r="BO141" s="9">
        <v>0</v>
      </c>
      <c r="BP141" s="9"/>
      <c r="BQ141" s="9">
        <v>0</v>
      </c>
      <c r="BR141" s="9"/>
      <c r="BS141" s="9"/>
      <c r="BT141" s="9"/>
      <c r="BU141" s="9"/>
      <c r="BV141" s="9"/>
      <c r="BW141" s="9">
        <v>0</v>
      </c>
      <c r="BX141" s="9"/>
      <c r="BY141" s="9">
        <v>46203.417233796295</v>
      </c>
      <c r="BZ141" s="9"/>
      <c r="CA141" s="9"/>
      <c r="CB141" s="9"/>
      <c r="CC141" s="9"/>
      <c r="CD141" s="9"/>
      <c r="CE141" s="9"/>
      <c r="CF141" s="9"/>
      <c r="CG141" s="9"/>
      <c r="CH141" s="9">
        <v>1</v>
      </c>
      <c r="CI141" s="9">
        <v>0</v>
      </c>
      <c r="CJ141" s="9"/>
      <c r="CK141" s="9"/>
      <c r="CL141" s="9" t="s">
        <v>2086</v>
      </c>
      <c r="CM141" s="9"/>
      <c r="CN141" s="9">
        <v>0</v>
      </c>
      <c r="CO141" s="9" t="s">
        <v>1925</v>
      </c>
      <c r="CP141" s="9" t="s">
        <v>2089</v>
      </c>
      <c r="CQ141" s="9">
        <v>0</v>
      </c>
    </row>
    <row r="142" spans="1:95" x14ac:dyDescent="0.35">
      <c r="A142" s="9" t="b">
        <f>ISNUMBER(MATCH(Claude[[#This Row],[Id]],ChargentOrders[Id],0))</f>
        <v>1</v>
      </c>
      <c r="B142" t="b">
        <f>INDEX(ChargentOrders[VALIDO],MATCH(Claude[[#This Row],[Id]],ChargentOrders[Id],0))</f>
        <v>1</v>
      </c>
      <c r="C142">
        <f>INDEX(Contract[CB_Subscription__c],MATCH(Claude[[#This Row],[Contract__c]],Contract[Id],0))</f>
        <v>0</v>
      </c>
      <c r="D142" s="9" t="s">
        <v>513</v>
      </c>
      <c r="E142" s="9" t="s">
        <v>81</v>
      </c>
      <c r="F142" s="9">
        <v>0</v>
      </c>
      <c r="G142" s="9" t="s">
        <v>514</v>
      </c>
      <c r="H142" s="9">
        <v>45974.562164351853</v>
      </c>
      <c r="I142" s="9" t="s">
        <v>81</v>
      </c>
      <c r="J142" s="9">
        <v>45974.5622337963</v>
      </c>
      <c r="K142" s="9" t="s">
        <v>81</v>
      </c>
      <c r="L142" s="9">
        <v>45974.5622337963</v>
      </c>
      <c r="M142" s="9"/>
      <c r="N142" s="9"/>
      <c r="O142" s="9" t="s">
        <v>2090</v>
      </c>
      <c r="P142" s="9" t="s">
        <v>2027</v>
      </c>
      <c r="Q142" s="9" t="s">
        <v>1925</v>
      </c>
      <c r="R142" s="9" t="s">
        <v>1667</v>
      </c>
      <c r="S142" s="9" t="s">
        <v>2091</v>
      </c>
      <c r="T142" s="9" t="s">
        <v>2092</v>
      </c>
      <c r="U142" s="9" t="s">
        <v>1928</v>
      </c>
      <c r="V142" s="9">
        <v>603</v>
      </c>
      <c r="W142" s="9">
        <v>10</v>
      </c>
      <c r="X142" s="9">
        <v>2029</v>
      </c>
      <c r="Y142" s="9">
        <v>1120</v>
      </c>
      <c r="Z142" s="9">
        <v>10</v>
      </c>
      <c r="AA142" s="9">
        <v>4549518508501120</v>
      </c>
      <c r="AB142" s="9" t="s">
        <v>73</v>
      </c>
      <c r="AC142" s="9">
        <v>2029</v>
      </c>
      <c r="AD142" s="9" t="s">
        <v>93</v>
      </c>
      <c r="AE142" s="9"/>
      <c r="AF142" s="9" t="s">
        <v>1929</v>
      </c>
      <c r="AG142" s="9"/>
      <c r="AH142" s="9" t="s">
        <v>67</v>
      </c>
      <c r="AI142" s="9">
        <v>0</v>
      </c>
      <c r="AJ142" s="9"/>
      <c r="AK142" s="9">
        <v>0</v>
      </c>
      <c r="AL142" s="9" t="s">
        <v>1930</v>
      </c>
      <c r="AM142" s="9"/>
      <c r="AN142" s="9"/>
      <c r="AO142" s="9" t="s">
        <v>1931</v>
      </c>
      <c r="AP142" s="9" t="s">
        <v>69</v>
      </c>
      <c r="AQ142" s="9" t="s">
        <v>1932</v>
      </c>
      <c r="AR142" s="9"/>
      <c r="AS142" s="9"/>
      <c r="AT142" s="9"/>
      <c r="AU142" s="9" t="s">
        <v>92</v>
      </c>
      <c r="AV142" s="9">
        <v>0</v>
      </c>
      <c r="AW142" s="9"/>
      <c r="AX142" s="9" t="s">
        <v>515</v>
      </c>
      <c r="AY142" s="9">
        <v>0</v>
      </c>
      <c r="AZ142" s="9"/>
      <c r="BA142" s="9">
        <v>45974.5621875</v>
      </c>
      <c r="BB142" s="9">
        <v>0</v>
      </c>
      <c r="BC142" s="9">
        <v>1</v>
      </c>
      <c r="BD142" s="9">
        <v>0</v>
      </c>
      <c r="BE142" s="9" t="s">
        <v>516</v>
      </c>
      <c r="BF142" s="9"/>
      <c r="BG142" s="9"/>
      <c r="BH142" s="9">
        <v>0</v>
      </c>
      <c r="BI142" s="9"/>
      <c r="BJ142" s="9">
        <v>1</v>
      </c>
      <c r="BK142" s="9"/>
      <c r="BL142" s="9"/>
      <c r="BM142" s="9" t="s">
        <v>75</v>
      </c>
      <c r="BN142" s="9"/>
      <c r="BO142" s="9">
        <v>0</v>
      </c>
      <c r="BP142" s="9"/>
      <c r="BQ142" s="9">
        <v>1</v>
      </c>
      <c r="BR142" s="9"/>
      <c r="BS142" s="9"/>
      <c r="BT142" s="9"/>
      <c r="BU142" s="9"/>
      <c r="BV142" s="9"/>
      <c r="BW142" s="9">
        <v>0</v>
      </c>
      <c r="BX142" s="9"/>
      <c r="BY142" s="9">
        <v>45974.5621875</v>
      </c>
      <c r="BZ142" s="9"/>
      <c r="CA142" s="9"/>
      <c r="CB142" s="9"/>
      <c r="CC142" s="9"/>
      <c r="CD142" s="9"/>
      <c r="CE142" s="9"/>
      <c r="CF142" s="9"/>
      <c r="CG142" s="9"/>
      <c r="CH142" s="9">
        <v>1</v>
      </c>
      <c r="CI142" s="9">
        <v>0</v>
      </c>
      <c r="CJ142" s="9"/>
      <c r="CK142" s="9"/>
      <c r="CL142" s="9" t="s">
        <v>2093</v>
      </c>
      <c r="CM142" s="9"/>
      <c r="CN142" s="9">
        <v>0</v>
      </c>
      <c r="CO142" s="9" t="s">
        <v>1925</v>
      </c>
      <c r="CP142" s="9"/>
      <c r="CQ142" s="9"/>
    </row>
    <row r="143" spans="1:95" x14ac:dyDescent="0.35">
      <c r="A143" s="9" t="b">
        <f>ISNUMBER(MATCH(Claude[[#This Row],[Id]],ChargentOrders[Id],0))</f>
        <v>1</v>
      </c>
      <c r="B143" t="b">
        <f>INDEX(ChargentOrders[VALIDO],MATCH(Claude[[#This Row],[Id]],ChargentOrders[Id],0))</f>
        <v>1</v>
      </c>
      <c r="C143">
        <f>INDEX(Contract[CB_Subscription__c],MATCH(Claude[[#This Row],[Contract__c]],Contract[Id],0))</f>
        <v>0</v>
      </c>
      <c r="D143" s="9" t="s">
        <v>517</v>
      </c>
      <c r="E143" s="9" t="s">
        <v>81</v>
      </c>
      <c r="F143" s="9">
        <v>0</v>
      </c>
      <c r="G143" s="9" t="s">
        <v>518</v>
      </c>
      <c r="H143" s="9">
        <v>45974.566770833335</v>
      </c>
      <c r="I143" s="9" t="s">
        <v>81</v>
      </c>
      <c r="J143" s="9">
        <v>45974.567118055558</v>
      </c>
      <c r="K143" s="9" t="s">
        <v>81</v>
      </c>
      <c r="L143" s="9">
        <v>45974.567118055558</v>
      </c>
      <c r="M143" s="9"/>
      <c r="N143" s="9" t="s">
        <v>1669</v>
      </c>
      <c r="O143" s="9" t="s">
        <v>2090</v>
      </c>
      <c r="P143" s="9" t="s">
        <v>2027</v>
      </c>
      <c r="Q143" s="9" t="s">
        <v>1925</v>
      </c>
      <c r="R143" s="9" t="s">
        <v>1667</v>
      </c>
      <c r="S143" s="9" t="s">
        <v>2091</v>
      </c>
      <c r="T143" s="9" t="s">
        <v>2092</v>
      </c>
      <c r="U143" s="9" t="s">
        <v>1928</v>
      </c>
      <c r="V143" s="9">
        <v>603</v>
      </c>
      <c r="W143" s="9">
        <v>10</v>
      </c>
      <c r="X143" s="9">
        <v>2029</v>
      </c>
      <c r="Y143" s="9">
        <v>1120</v>
      </c>
      <c r="Z143" s="9">
        <v>10</v>
      </c>
      <c r="AA143" s="9">
        <v>4549518508501120</v>
      </c>
      <c r="AB143" s="9" t="s">
        <v>73</v>
      </c>
      <c r="AC143" s="9">
        <v>2029</v>
      </c>
      <c r="AD143" s="9" t="s">
        <v>2094</v>
      </c>
      <c r="AE143" s="9"/>
      <c r="AF143" s="9" t="s">
        <v>1929</v>
      </c>
      <c r="AG143" s="9"/>
      <c r="AH143" s="9" t="s">
        <v>67</v>
      </c>
      <c r="AI143" s="9">
        <v>0</v>
      </c>
      <c r="AJ143" s="9"/>
      <c r="AK143" s="9">
        <v>0</v>
      </c>
      <c r="AL143" s="9" t="s">
        <v>1930</v>
      </c>
      <c r="AM143" s="9">
        <v>1</v>
      </c>
      <c r="AN143" s="9"/>
      <c r="AO143" s="9" t="s">
        <v>1931</v>
      </c>
      <c r="AP143" s="9" t="s">
        <v>69</v>
      </c>
      <c r="AQ143" s="9" t="s">
        <v>1932</v>
      </c>
      <c r="AR143" s="9">
        <v>45974</v>
      </c>
      <c r="AS143" s="9" t="s">
        <v>74</v>
      </c>
      <c r="AT143" s="9" t="s">
        <v>1935</v>
      </c>
      <c r="AU143" s="9" t="s">
        <v>2094</v>
      </c>
      <c r="AV143" s="9">
        <v>0</v>
      </c>
      <c r="AW143" s="9" t="s">
        <v>93</v>
      </c>
      <c r="AX143" s="9" t="s">
        <v>515</v>
      </c>
      <c r="AY143" s="9">
        <v>0</v>
      </c>
      <c r="AZ143" s="9">
        <v>45974.567094907405</v>
      </c>
      <c r="BA143" s="9">
        <v>45974.567094907405</v>
      </c>
      <c r="BB143" s="9">
        <v>1</v>
      </c>
      <c r="BC143" s="9">
        <v>1</v>
      </c>
      <c r="BD143" s="9" t="s">
        <v>2094</v>
      </c>
      <c r="BE143" s="9" t="s">
        <v>516</v>
      </c>
      <c r="BF143" s="9" t="s">
        <v>77</v>
      </c>
      <c r="BG143" s="9"/>
      <c r="BH143" s="9">
        <v>0</v>
      </c>
      <c r="BI143" s="9"/>
      <c r="BJ143" s="9">
        <v>1</v>
      </c>
      <c r="BK143" s="9" t="s">
        <v>92</v>
      </c>
      <c r="BL143" s="9" t="s">
        <v>92</v>
      </c>
      <c r="BM143" s="9" t="s">
        <v>75</v>
      </c>
      <c r="BN143" s="9"/>
      <c r="BO143" s="9">
        <v>0</v>
      </c>
      <c r="BP143" s="9"/>
      <c r="BQ143" s="9">
        <v>0</v>
      </c>
      <c r="BR143" s="9"/>
      <c r="BS143" s="9"/>
      <c r="BT143" s="9"/>
      <c r="BU143" s="9"/>
      <c r="BV143" s="9"/>
      <c r="BW143" s="9">
        <v>0</v>
      </c>
      <c r="BX143" s="9"/>
      <c r="BY143" s="9">
        <v>45974.567094907405</v>
      </c>
      <c r="BZ143" s="9"/>
      <c r="CA143" s="9"/>
      <c r="CB143" s="9"/>
      <c r="CC143" s="9"/>
      <c r="CD143" s="9"/>
      <c r="CE143" s="9"/>
      <c r="CF143" s="9"/>
      <c r="CG143" s="9"/>
      <c r="CH143" s="9">
        <v>1</v>
      </c>
      <c r="CI143" s="9">
        <v>0</v>
      </c>
      <c r="CJ143" s="9"/>
      <c r="CK143" s="9"/>
      <c r="CL143" s="9" t="s">
        <v>2093</v>
      </c>
      <c r="CM143" s="9"/>
      <c r="CN143" s="9">
        <v>0</v>
      </c>
      <c r="CO143" s="9" t="s">
        <v>1925</v>
      </c>
      <c r="CP143" s="9"/>
      <c r="CQ143" s="9"/>
    </row>
    <row r="144" spans="1:95" x14ac:dyDescent="0.35">
      <c r="A144" s="9" t="b">
        <f>ISNUMBER(MATCH(Claude[[#This Row],[Id]],ChargentOrders[Id],0))</f>
        <v>1</v>
      </c>
      <c r="B144" t="b">
        <f>INDEX(ChargentOrders[VALIDO],MATCH(Claude[[#This Row],[Id]],ChargentOrders[Id],0))</f>
        <v>1</v>
      </c>
      <c r="C144">
        <f>INDEX(Contract[CB_Subscription__c],MATCH(Claude[[#This Row],[Contract__c]],Contract[Id],0))</f>
        <v>0</v>
      </c>
      <c r="D144" s="9" t="s">
        <v>519</v>
      </c>
      <c r="E144" s="9" t="s">
        <v>81</v>
      </c>
      <c r="F144" s="9">
        <v>0</v>
      </c>
      <c r="G144" s="9" t="s">
        <v>520</v>
      </c>
      <c r="H144" s="9">
        <v>45974.566770833335</v>
      </c>
      <c r="I144" s="9" t="s">
        <v>81</v>
      </c>
      <c r="J144" s="9">
        <v>45982.878993055558</v>
      </c>
      <c r="K144" s="9" t="s">
        <v>101</v>
      </c>
      <c r="L144" s="9">
        <v>45982.878993055558</v>
      </c>
      <c r="M144" s="9"/>
      <c r="N144" s="9" t="s">
        <v>1669</v>
      </c>
      <c r="O144" s="9" t="s">
        <v>2090</v>
      </c>
      <c r="P144" s="9" t="s">
        <v>2027</v>
      </c>
      <c r="Q144" s="9" t="s">
        <v>1925</v>
      </c>
      <c r="R144" s="9" t="s">
        <v>1667</v>
      </c>
      <c r="S144" s="9" t="s">
        <v>2091</v>
      </c>
      <c r="T144" s="9" t="s">
        <v>2092</v>
      </c>
      <c r="U144" s="9" t="s">
        <v>1928</v>
      </c>
      <c r="V144" s="9">
        <v>603</v>
      </c>
      <c r="W144" s="9">
        <v>10</v>
      </c>
      <c r="X144" s="9">
        <v>2029</v>
      </c>
      <c r="Y144" s="9">
        <v>1120</v>
      </c>
      <c r="Z144" s="9">
        <v>10</v>
      </c>
      <c r="AA144" s="9">
        <v>4549518508501120</v>
      </c>
      <c r="AB144" s="9" t="s">
        <v>73</v>
      </c>
      <c r="AC144" s="9">
        <v>2029</v>
      </c>
      <c r="AD144" s="9" t="s">
        <v>2094</v>
      </c>
      <c r="AE144" s="9"/>
      <c r="AF144" s="9" t="s">
        <v>1929</v>
      </c>
      <c r="AG144" s="9"/>
      <c r="AH144" s="9" t="s">
        <v>67</v>
      </c>
      <c r="AI144" s="9">
        <v>0</v>
      </c>
      <c r="AJ144" s="9"/>
      <c r="AK144" s="9">
        <v>0</v>
      </c>
      <c r="AL144" s="9" t="s">
        <v>1930</v>
      </c>
      <c r="AM144" s="9">
        <v>1</v>
      </c>
      <c r="AN144" s="9"/>
      <c r="AO144" s="9" t="s">
        <v>1931</v>
      </c>
      <c r="AP144" s="9" t="s">
        <v>69</v>
      </c>
      <c r="AQ144" s="9" t="s">
        <v>1932</v>
      </c>
      <c r="AR144" s="9">
        <v>45988</v>
      </c>
      <c r="AS144" s="9" t="s">
        <v>74</v>
      </c>
      <c r="AT144" s="9" t="s">
        <v>1935</v>
      </c>
      <c r="AU144" s="9" t="s">
        <v>2094</v>
      </c>
      <c r="AV144" s="9">
        <v>0</v>
      </c>
      <c r="AW144" s="9" t="s">
        <v>93</v>
      </c>
      <c r="AX144" s="9" t="s">
        <v>515</v>
      </c>
      <c r="AY144" s="9">
        <v>0</v>
      </c>
      <c r="AZ144" s="9">
        <v>45982.878912037035</v>
      </c>
      <c r="BA144" s="9">
        <v>45982.878923611112</v>
      </c>
      <c r="BB144" s="9">
        <v>1</v>
      </c>
      <c r="BC144" s="9">
        <v>1</v>
      </c>
      <c r="BD144" s="9" t="s">
        <v>2094</v>
      </c>
      <c r="BE144" s="9" t="s">
        <v>516</v>
      </c>
      <c r="BF144" s="9" t="s">
        <v>77</v>
      </c>
      <c r="BG144" s="9"/>
      <c r="BH144" s="9">
        <v>0</v>
      </c>
      <c r="BI144" s="9"/>
      <c r="BJ144" s="9">
        <v>1</v>
      </c>
      <c r="BK144" s="9" t="s">
        <v>92</v>
      </c>
      <c r="BL144" s="9" t="s">
        <v>92</v>
      </c>
      <c r="BM144" s="9" t="s">
        <v>75</v>
      </c>
      <c r="BN144" s="9"/>
      <c r="BO144" s="9">
        <v>0</v>
      </c>
      <c r="BP144" s="9"/>
      <c r="BQ144" s="9">
        <v>0</v>
      </c>
      <c r="BR144" s="9"/>
      <c r="BS144" s="9"/>
      <c r="BT144" s="9"/>
      <c r="BU144" s="9"/>
      <c r="BV144" s="9"/>
      <c r="BW144" s="9">
        <v>0</v>
      </c>
      <c r="BX144" s="9"/>
      <c r="BY144" s="9">
        <v>45982.878912037035</v>
      </c>
      <c r="BZ144" s="9"/>
      <c r="CA144" s="9"/>
      <c r="CB144" s="9"/>
      <c r="CC144" s="9"/>
      <c r="CD144" s="9"/>
      <c r="CE144" s="9"/>
      <c r="CF144" s="9"/>
      <c r="CG144" s="9"/>
      <c r="CH144" s="9">
        <v>1</v>
      </c>
      <c r="CI144" s="9">
        <v>0</v>
      </c>
      <c r="CJ144" s="9"/>
      <c r="CK144" s="9"/>
      <c r="CL144" s="9" t="s">
        <v>2093</v>
      </c>
      <c r="CM144" s="9"/>
      <c r="CN144" s="9">
        <v>0</v>
      </c>
      <c r="CO144" s="9" t="s">
        <v>1925</v>
      </c>
      <c r="CP144" s="9"/>
      <c r="CQ144" s="9"/>
    </row>
    <row r="145" spans="1:95" x14ac:dyDescent="0.35">
      <c r="A145" s="9" t="b">
        <f>ISNUMBER(MATCH(Claude[[#This Row],[Id]],ChargentOrders[Id],0))</f>
        <v>0</v>
      </c>
      <c r="B145" t="e">
        <f>INDEX(ChargentOrders[VALIDO],MATCH(Claude[[#This Row],[Id]],ChargentOrders[Id],0))</f>
        <v>#N/A</v>
      </c>
      <c r="C145" t="e">
        <f>INDEX(Contract[CB_Subscription__c],MATCH(Claude[[#This Row],[Contract__c]],Contract[Id],0))</f>
        <v>#N/A</v>
      </c>
      <c r="D145" s="9" t="s">
        <v>521</v>
      </c>
      <c r="E145" s="9" t="s">
        <v>78</v>
      </c>
      <c r="F145" s="9">
        <v>0</v>
      </c>
      <c r="G145" s="9" t="s">
        <v>522</v>
      </c>
      <c r="H145" s="9">
        <v>45978.765474537038</v>
      </c>
      <c r="I145" s="9" t="s">
        <v>78</v>
      </c>
      <c r="J145" s="9">
        <v>45978.770578703705</v>
      </c>
      <c r="K145" s="9" t="s">
        <v>78</v>
      </c>
      <c r="L145" s="9">
        <v>45978.770578703705</v>
      </c>
      <c r="M145" s="9"/>
      <c r="N145" s="9" t="s">
        <v>1671</v>
      </c>
      <c r="O145" s="9" t="s">
        <v>2095</v>
      </c>
      <c r="P145" s="9" t="s">
        <v>2022</v>
      </c>
      <c r="Q145" s="9" t="s">
        <v>1925</v>
      </c>
      <c r="R145" s="9" t="s">
        <v>1670</v>
      </c>
      <c r="S145" s="9" t="s">
        <v>2096</v>
      </c>
      <c r="T145" s="9" t="s">
        <v>2097</v>
      </c>
      <c r="U145" s="9" t="s">
        <v>1928</v>
      </c>
      <c r="V145" s="9">
        <v>918</v>
      </c>
      <c r="W145" s="9">
        <v>5</v>
      </c>
      <c r="X145" s="9">
        <v>2030</v>
      </c>
      <c r="Y145" s="9">
        <v>1111</v>
      </c>
      <c r="Z145" s="9">
        <v>5</v>
      </c>
      <c r="AA145" s="9">
        <v>4111111111111110</v>
      </c>
      <c r="AB145" s="9" t="s">
        <v>73</v>
      </c>
      <c r="AC145" s="9">
        <v>2030</v>
      </c>
      <c r="AD145" s="9" t="s">
        <v>1979</v>
      </c>
      <c r="AE145" s="9"/>
      <c r="AF145" s="9"/>
      <c r="AG145" s="9"/>
      <c r="AH145" s="9" t="s">
        <v>98</v>
      </c>
      <c r="AI145" s="9">
        <v>0</v>
      </c>
      <c r="AJ145" s="9"/>
      <c r="AK145" s="9">
        <v>0</v>
      </c>
      <c r="AL145" s="9" t="s">
        <v>1930</v>
      </c>
      <c r="AM145" s="9"/>
      <c r="AN145" s="9">
        <v>46008</v>
      </c>
      <c r="AO145" s="9" t="s">
        <v>1943</v>
      </c>
      <c r="AP145" s="9" t="s">
        <v>69</v>
      </c>
      <c r="AQ145" s="9"/>
      <c r="AR145" s="9">
        <v>46008</v>
      </c>
      <c r="AS145" s="9" t="s">
        <v>74</v>
      </c>
      <c r="AT145" s="9" t="s">
        <v>1944</v>
      </c>
      <c r="AU145" s="9" t="s">
        <v>1979</v>
      </c>
      <c r="AV145" s="9">
        <v>0</v>
      </c>
      <c r="AW145" s="9">
        <v>0</v>
      </c>
      <c r="AX145" s="9">
        <v>7.4716037998460398E+21</v>
      </c>
      <c r="AY145" s="9">
        <v>0</v>
      </c>
      <c r="AZ145" s="9">
        <v>45975.429166666669</v>
      </c>
      <c r="BA145" s="9">
        <v>45978.769803240742</v>
      </c>
      <c r="BB145" s="9">
        <v>1</v>
      </c>
      <c r="BC145" s="9">
        <v>1</v>
      </c>
      <c r="BD145" s="9">
        <v>124</v>
      </c>
      <c r="BE145" s="9" t="s">
        <v>523</v>
      </c>
      <c r="BF145" s="9" t="s">
        <v>77</v>
      </c>
      <c r="BG145" s="9" t="s">
        <v>524</v>
      </c>
      <c r="BH145" s="9">
        <v>0</v>
      </c>
      <c r="BI145" s="9"/>
      <c r="BJ145" s="9">
        <v>1</v>
      </c>
      <c r="BK145" s="9">
        <v>0</v>
      </c>
      <c r="BL145" s="9">
        <v>0</v>
      </c>
      <c r="BM145" s="9" t="s">
        <v>75</v>
      </c>
      <c r="BN145" s="9"/>
      <c r="BO145" s="9">
        <v>0</v>
      </c>
      <c r="BP145" s="9"/>
      <c r="BQ145" s="9">
        <v>0</v>
      </c>
      <c r="BR145" s="9"/>
      <c r="BS145" s="9">
        <v>0</v>
      </c>
      <c r="BT145" s="9"/>
      <c r="BU145" s="9"/>
      <c r="BV145" s="9"/>
      <c r="BW145" s="9">
        <v>0</v>
      </c>
      <c r="BX145" s="9"/>
      <c r="BY145" s="9">
        <v>45975.429166666669</v>
      </c>
      <c r="BZ145" s="9"/>
      <c r="CA145" s="9"/>
      <c r="CB145" s="9"/>
      <c r="CC145" s="9"/>
      <c r="CD145" s="9"/>
      <c r="CE145" s="9"/>
      <c r="CF145" s="9"/>
      <c r="CG145" s="9"/>
      <c r="CH145" s="9">
        <v>1</v>
      </c>
      <c r="CI145" s="9">
        <v>0</v>
      </c>
      <c r="CJ145" s="9"/>
      <c r="CK145" s="9"/>
      <c r="CL145" s="9"/>
      <c r="CM145" s="9"/>
      <c r="CN145" s="9">
        <v>0</v>
      </c>
      <c r="CO145" s="9" t="s">
        <v>1925</v>
      </c>
      <c r="CP145" s="9"/>
      <c r="CQ145" s="9"/>
    </row>
    <row r="146" spans="1:95" x14ac:dyDescent="0.35">
      <c r="A146" s="9" t="b">
        <f>ISNUMBER(MATCH(Claude[[#This Row],[Id]],ChargentOrders[Id],0))</f>
        <v>0</v>
      </c>
      <c r="B146" t="e">
        <f>INDEX(ChargentOrders[VALIDO],MATCH(Claude[[#This Row],[Id]],ChargentOrders[Id],0))</f>
        <v>#N/A</v>
      </c>
      <c r="C146" t="e">
        <f>INDEX(Contract[CB_Subscription__c],MATCH(Claude[[#This Row],[Contract__c]],Contract[Id],0))</f>
        <v>#N/A</v>
      </c>
      <c r="D146" s="9" t="s">
        <v>525</v>
      </c>
      <c r="E146" s="9" t="s">
        <v>78</v>
      </c>
      <c r="F146" s="9">
        <v>0</v>
      </c>
      <c r="G146" s="9" t="s">
        <v>526</v>
      </c>
      <c r="H146" s="9">
        <v>45978.836898148147</v>
      </c>
      <c r="I146" s="9" t="s">
        <v>78</v>
      </c>
      <c r="J146" s="9">
        <v>45978.839363425926</v>
      </c>
      <c r="K146" s="9" t="s">
        <v>78</v>
      </c>
      <c r="L146" s="9">
        <v>45978.839363425926</v>
      </c>
      <c r="M146" s="9"/>
      <c r="N146" s="9" t="s">
        <v>1673</v>
      </c>
      <c r="O146" s="9" t="s">
        <v>2095</v>
      </c>
      <c r="P146" s="9" t="s">
        <v>2022</v>
      </c>
      <c r="Q146" s="9" t="s">
        <v>1925</v>
      </c>
      <c r="R146" s="9" t="s">
        <v>1672</v>
      </c>
      <c r="S146" s="9" t="s">
        <v>2098</v>
      </c>
      <c r="T146" s="9" t="s">
        <v>2099</v>
      </c>
      <c r="U146" s="9" t="s">
        <v>1928</v>
      </c>
      <c r="V146" s="9">
        <v>918</v>
      </c>
      <c r="W146" s="9">
        <v>5</v>
      </c>
      <c r="X146" s="9">
        <v>2030</v>
      </c>
      <c r="Y146" s="9">
        <v>1111</v>
      </c>
      <c r="Z146" s="9">
        <v>5</v>
      </c>
      <c r="AA146" s="9">
        <v>4111111111111110</v>
      </c>
      <c r="AB146" s="9" t="s">
        <v>73</v>
      </c>
      <c r="AC146" s="9">
        <v>2030</v>
      </c>
      <c r="AD146" s="9" t="s">
        <v>1979</v>
      </c>
      <c r="AE146" s="9"/>
      <c r="AF146" s="9"/>
      <c r="AG146" s="9"/>
      <c r="AH146" s="9" t="s">
        <v>98</v>
      </c>
      <c r="AI146" s="9">
        <v>0</v>
      </c>
      <c r="AJ146" s="9"/>
      <c r="AK146" s="9">
        <v>0</v>
      </c>
      <c r="AL146" s="9" t="s">
        <v>1930</v>
      </c>
      <c r="AM146" s="9"/>
      <c r="AN146" s="9">
        <v>46008</v>
      </c>
      <c r="AO146" s="9" t="s">
        <v>1943</v>
      </c>
      <c r="AP146" s="9" t="s">
        <v>69</v>
      </c>
      <c r="AQ146" s="9"/>
      <c r="AR146" s="9">
        <v>46008</v>
      </c>
      <c r="AS146" s="9" t="s">
        <v>74</v>
      </c>
      <c r="AT146" s="9" t="s">
        <v>1944</v>
      </c>
      <c r="AU146" s="9" t="s">
        <v>1979</v>
      </c>
      <c r="AV146" s="9">
        <v>0</v>
      </c>
      <c r="AW146" s="9">
        <v>0</v>
      </c>
      <c r="AX146" s="9">
        <v>7.4716037998460398E+21</v>
      </c>
      <c r="AY146" s="9">
        <v>0</v>
      </c>
      <c r="AZ146" s="9">
        <v>45975.429166666669</v>
      </c>
      <c r="BA146" s="9">
        <v>45978.838993055557</v>
      </c>
      <c r="BB146" s="9">
        <v>1</v>
      </c>
      <c r="BC146" s="9">
        <v>1</v>
      </c>
      <c r="BD146" s="9">
        <v>124</v>
      </c>
      <c r="BE146" s="9" t="s">
        <v>527</v>
      </c>
      <c r="BF146" s="9" t="s">
        <v>77</v>
      </c>
      <c r="BG146" s="9" t="s">
        <v>524</v>
      </c>
      <c r="BH146" s="9">
        <v>0</v>
      </c>
      <c r="BI146" s="9"/>
      <c r="BJ146" s="9">
        <v>1</v>
      </c>
      <c r="BK146" s="9">
        <v>0</v>
      </c>
      <c r="BL146" s="9">
        <v>0</v>
      </c>
      <c r="BM146" s="9" t="s">
        <v>75</v>
      </c>
      <c r="BN146" s="9"/>
      <c r="BO146" s="9">
        <v>0</v>
      </c>
      <c r="BP146" s="9"/>
      <c r="BQ146" s="9">
        <v>0</v>
      </c>
      <c r="BR146" s="9"/>
      <c r="BS146" s="9">
        <v>0</v>
      </c>
      <c r="BT146" s="9"/>
      <c r="BU146" s="9"/>
      <c r="BV146" s="9"/>
      <c r="BW146" s="9">
        <v>0</v>
      </c>
      <c r="BX146" s="9"/>
      <c r="BY146" s="9">
        <v>45975.429166666669</v>
      </c>
      <c r="BZ146" s="9"/>
      <c r="CA146" s="9"/>
      <c r="CB146" s="9"/>
      <c r="CC146" s="9"/>
      <c r="CD146" s="9"/>
      <c r="CE146" s="9"/>
      <c r="CF146" s="9"/>
      <c r="CG146" s="9"/>
      <c r="CH146" s="9">
        <v>1</v>
      </c>
      <c r="CI146" s="9">
        <v>0</v>
      </c>
      <c r="CJ146" s="9"/>
      <c r="CK146" s="9"/>
      <c r="CL146" s="9"/>
      <c r="CM146" s="9"/>
      <c r="CN146" s="9">
        <v>0</v>
      </c>
      <c r="CO146" s="9" t="s">
        <v>1925</v>
      </c>
      <c r="CP146" s="9"/>
      <c r="CQ146" s="9"/>
    </row>
    <row r="147" spans="1:95" x14ac:dyDescent="0.35">
      <c r="A147" s="9" t="b">
        <f>ISNUMBER(MATCH(Claude[[#This Row],[Id]],ChargentOrders[Id],0))</f>
        <v>0</v>
      </c>
      <c r="B147" t="e">
        <f>INDEX(ChargentOrders[VALIDO],MATCH(Claude[[#This Row],[Id]],ChargentOrders[Id],0))</f>
        <v>#N/A</v>
      </c>
      <c r="C147" t="e">
        <f>INDEX(Contract[CB_Subscription__c],MATCH(Claude[[#This Row],[Contract__c]],Contract[Id],0))</f>
        <v>#N/A</v>
      </c>
      <c r="D147" s="9" t="s">
        <v>528</v>
      </c>
      <c r="E147" s="9" t="s">
        <v>78</v>
      </c>
      <c r="F147" s="9">
        <v>0</v>
      </c>
      <c r="G147" s="9" t="s">
        <v>529</v>
      </c>
      <c r="H147" s="9">
        <v>45979.868298611109</v>
      </c>
      <c r="I147" s="9" t="s">
        <v>78</v>
      </c>
      <c r="J147" s="9">
        <v>45982.668333333335</v>
      </c>
      <c r="K147" s="9" t="s">
        <v>78</v>
      </c>
      <c r="L147" s="9">
        <v>45982.668333333335</v>
      </c>
      <c r="M147" s="9"/>
      <c r="N147" s="9"/>
      <c r="O147" s="9"/>
      <c r="P147" s="9"/>
      <c r="Q147" s="9" t="s">
        <v>1925</v>
      </c>
      <c r="R147" s="9"/>
      <c r="S147" s="9"/>
      <c r="T147" s="9"/>
      <c r="U147" s="9" t="s">
        <v>1928</v>
      </c>
      <c r="V147" s="9"/>
      <c r="W147" s="9">
        <v>5</v>
      </c>
      <c r="X147" s="9">
        <v>2030</v>
      </c>
      <c r="Y147" s="9">
        <v>4111</v>
      </c>
      <c r="Z147" s="9">
        <v>5</v>
      </c>
      <c r="AA147" s="9">
        <v>4111</v>
      </c>
      <c r="AB147" s="9" t="s">
        <v>66</v>
      </c>
      <c r="AC147" s="9">
        <v>2030</v>
      </c>
      <c r="AD147" s="9" t="s">
        <v>93</v>
      </c>
      <c r="AE147" s="9"/>
      <c r="AF147" s="9" t="s">
        <v>1929</v>
      </c>
      <c r="AG147" s="9"/>
      <c r="AH147" s="9" t="s">
        <v>67</v>
      </c>
      <c r="AI147" s="9">
        <v>0</v>
      </c>
      <c r="AJ147" s="9"/>
      <c r="AK147" s="9">
        <v>0</v>
      </c>
      <c r="AL147" s="9" t="s">
        <v>1930</v>
      </c>
      <c r="AM147" s="9"/>
      <c r="AN147" s="9"/>
      <c r="AO147" s="9"/>
      <c r="AP147" s="9" t="s">
        <v>69</v>
      </c>
      <c r="AQ147" s="9" t="s">
        <v>1932</v>
      </c>
      <c r="AR147" s="9"/>
      <c r="AS147" s="9"/>
      <c r="AT147" s="9"/>
      <c r="AU147" s="9" t="s">
        <v>93</v>
      </c>
      <c r="AV147" s="9">
        <v>0</v>
      </c>
      <c r="AW147" s="9"/>
      <c r="AX147" s="9"/>
      <c r="AY147" s="9">
        <v>0</v>
      </c>
      <c r="AZ147" s="9"/>
      <c r="BA147" s="9"/>
      <c r="BB147" s="9">
        <v>0</v>
      </c>
      <c r="BC147" s="9">
        <v>0</v>
      </c>
      <c r="BD147" s="9">
        <v>0</v>
      </c>
      <c r="BE147" s="9" t="s">
        <v>530</v>
      </c>
      <c r="BF147" s="9"/>
      <c r="BG147" s="9"/>
      <c r="BH147" s="9">
        <v>0</v>
      </c>
      <c r="BI147" s="9"/>
      <c r="BJ147" s="9" t="s">
        <v>1958</v>
      </c>
      <c r="BK147" s="9"/>
      <c r="BL147" s="9"/>
      <c r="BM147" s="9" t="s">
        <v>75</v>
      </c>
      <c r="BN147" s="9"/>
      <c r="BO147" s="9">
        <v>0</v>
      </c>
      <c r="BP147" s="9"/>
      <c r="BQ147" s="9">
        <v>1</v>
      </c>
      <c r="BR147" s="9"/>
      <c r="BS147" s="9"/>
      <c r="BT147" s="9"/>
      <c r="BU147" s="9"/>
      <c r="BV147" s="9"/>
      <c r="BW147" s="9">
        <v>0</v>
      </c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>
        <v>1</v>
      </c>
      <c r="CI147" s="9">
        <v>0</v>
      </c>
      <c r="CJ147" s="9"/>
      <c r="CK147" s="9"/>
      <c r="CL147" s="9"/>
      <c r="CM147" s="9"/>
      <c r="CN147" s="9">
        <v>0</v>
      </c>
      <c r="CO147" s="9" t="s">
        <v>1925</v>
      </c>
      <c r="CP147" s="9"/>
      <c r="CQ147" s="9"/>
    </row>
    <row r="148" spans="1:95" x14ac:dyDescent="0.35">
      <c r="A148" s="9" t="b">
        <f>ISNUMBER(MATCH(Claude[[#This Row],[Id]],ChargentOrders[Id],0))</f>
        <v>1</v>
      </c>
      <c r="B148" t="b">
        <f>INDEX(ChargentOrders[VALIDO],MATCH(Claude[[#This Row],[Id]],ChargentOrders[Id],0))</f>
        <v>1</v>
      </c>
      <c r="C148">
        <f>INDEX(Contract[CB_Subscription__c],MATCH(Claude[[#This Row],[Contract__c]],Contract[Id],0))</f>
        <v>0</v>
      </c>
      <c r="D148" s="9" t="s">
        <v>532</v>
      </c>
      <c r="E148" s="9" t="s">
        <v>81</v>
      </c>
      <c r="F148" s="9">
        <v>0</v>
      </c>
      <c r="G148" s="9" t="s">
        <v>533</v>
      </c>
      <c r="H148" s="9">
        <v>45982.878946759258</v>
      </c>
      <c r="I148" s="9" t="s">
        <v>101</v>
      </c>
      <c r="J148" s="9">
        <v>46217.738564814812</v>
      </c>
      <c r="K148" s="9" t="s">
        <v>78</v>
      </c>
      <c r="L148" s="9">
        <v>46217.738564814812</v>
      </c>
      <c r="M148" s="9"/>
      <c r="N148" s="9" t="s">
        <v>1669</v>
      </c>
      <c r="O148" s="9" t="s">
        <v>2090</v>
      </c>
      <c r="P148" s="9" t="s">
        <v>2027</v>
      </c>
      <c r="Q148" s="9" t="s">
        <v>1925</v>
      </c>
      <c r="R148" s="9" t="s">
        <v>1667</v>
      </c>
      <c r="S148" s="9" t="s">
        <v>2091</v>
      </c>
      <c r="T148" s="9" t="s">
        <v>2092</v>
      </c>
      <c r="U148" s="9" t="s">
        <v>1928</v>
      </c>
      <c r="V148" s="9">
        <v>603</v>
      </c>
      <c r="W148" s="9">
        <v>10</v>
      </c>
      <c r="X148" s="9">
        <v>2029</v>
      </c>
      <c r="Y148" s="9">
        <v>1120</v>
      </c>
      <c r="Z148" s="9">
        <v>10</v>
      </c>
      <c r="AA148" s="9">
        <v>4549518508501120</v>
      </c>
      <c r="AB148" s="9" t="s">
        <v>73</v>
      </c>
      <c r="AC148" s="9">
        <v>2029</v>
      </c>
      <c r="AD148" s="9" t="s">
        <v>108</v>
      </c>
      <c r="AE148" s="9">
        <v>30</v>
      </c>
      <c r="AF148" s="9" t="s">
        <v>1929</v>
      </c>
      <c r="AG148" s="9"/>
      <c r="AH148" s="9" t="s">
        <v>67</v>
      </c>
      <c r="AI148" s="9">
        <v>0</v>
      </c>
      <c r="AJ148" s="9"/>
      <c r="AK148" s="9">
        <v>0</v>
      </c>
      <c r="AL148" s="9" t="s">
        <v>1930</v>
      </c>
      <c r="AM148" s="9"/>
      <c r="AN148" s="9"/>
      <c r="AO148" s="9" t="s">
        <v>1943</v>
      </c>
      <c r="AP148" s="9" t="s">
        <v>69</v>
      </c>
      <c r="AQ148" s="9" t="s">
        <v>1932</v>
      </c>
      <c r="AR148" s="9">
        <v>46233</v>
      </c>
      <c r="AS148" s="9" t="s">
        <v>84</v>
      </c>
      <c r="AT148" s="9" t="s">
        <v>1944</v>
      </c>
      <c r="AU148" s="9" t="s">
        <v>108</v>
      </c>
      <c r="AV148" s="9">
        <v>0</v>
      </c>
      <c r="AW148" s="9" t="s">
        <v>92</v>
      </c>
      <c r="AX148" s="9" t="s">
        <v>515</v>
      </c>
      <c r="AY148" s="9">
        <v>0</v>
      </c>
      <c r="AZ148" s="9"/>
      <c r="BA148" s="9"/>
      <c r="BB148" s="9">
        <v>0</v>
      </c>
      <c r="BC148" s="9">
        <v>6</v>
      </c>
      <c r="BD148" s="9">
        <v>0</v>
      </c>
      <c r="BE148" s="9" t="s">
        <v>516</v>
      </c>
      <c r="BF148" s="9" t="s">
        <v>76</v>
      </c>
      <c r="BG148" s="9"/>
      <c r="BH148" s="9">
        <v>0</v>
      </c>
      <c r="BI148" s="9"/>
      <c r="BJ148" s="9">
        <v>7</v>
      </c>
      <c r="BK148" s="9" t="s">
        <v>92</v>
      </c>
      <c r="BL148" s="9" t="s">
        <v>92</v>
      </c>
      <c r="BM148" s="9" t="s">
        <v>75</v>
      </c>
      <c r="BN148" s="9"/>
      <c r="BO148" s="9">
        <v>0</v>
      </c>
      <c r="BP148" s="9"/>
      <c r="BQ148" s="9">
        <v>0</v>
      </c>
      <c r="BR148" s="9"/>
      <c r="BS148" s="9"/>
      <c r="BT148" s="9"/>
      <c r="BU148" s="9"/>
      <c r="BV148" s="9"/>
      <c r="BW148" s="9">
        <v>0</v>
      </c>
      <c r="BX148" s="9">
        <v>46203.417268518519</v>
      </c>
      <c r="BY148" s="9">
        <v>46203.417268518519</v>
      </c>
      <c r="BZ148" s="9"/>
      <c r="CA148" s="9"/>
      <c r="CB148" s="9"/>
      <c r="CC148" s="9"/>
      <c r="CD148" s="9"/>
      <c r="CE148" s="9"/>
      <c r="CF148" s="9"/>
      <c r="CG148" s="9"/>
      <c r="CH148" s="9">
        <v>1</v>
      </c>
      <c r="CI148" s="9">
        <v>0</v>
      </c>
      <c r="CJ148" s="9"/>
      <c r="CK148" s="9"/>
      <c r="CL148" s="9" t="s">
        <v>2093</v>
      </c>
      <c r="CM148" s="9"/>
      <c r="CN148" s="9">
        <v>0</v>
      </c>
      <c r="CO148" s="9" t="s">
        <v>1925</v>
      </c>
      <c r="CP148" s="9" t="s">
        <v>2100</v>
      </c>
      <c r="CQ148" s="9">
        <v>0</v>
      </c>
    </row>
    <row r="149" spans="1:95" x14ac:dyDescent="0.35">
      <c r="A149" s="9" t="b">
        <f>ISNUMBER(MATCH(Claude[[#This Row],[Id]],ChargentOrders[Id],0))</f>
        <v>1</v>
      </c>
      <c r="B149" t="b">
        <f>INDEX(ChargentOrders[VALIDO],MATCH(Claude[[#This Row],[Id]],ChargentOrders[Id],0))</f>
        <v>1</v>
      </c>
      <c r="C149">
        <f>INDEX(Contract[CB_Subscription__c],MATCH(Claude[[#This Row],[Contract__c]],Contract[Id],0))</f>
        <v>0</v>
      </c>
      <c r="D149" s="9" t="s">
        <v>534</v>
      </c>
      <c r="E149" s="9" t="s">
        <v>79</v>
      </c>
      <c r="F149" s="9">
        <v>0</v>
      </c>
      <c r="G149" s="9" t="s">
        <v>535</v>
      </c>
      <c r="H149" s="9">
        <v>45987.418217592596</v>
      </c>
      <c r="I149" s="9" t="s">
        <v>65</v>
      </c>
      <c r="J149" s="9">
        <v>46083.418645833335</v>
      </c>
      <c r="K149" s="9" t="s">
        <v>65</v>
      </c>
      <c r="L149" s="9">
        <v>46083.418645833335</v>
      </c>
      <c r="M149" s="9"/>
      <c r="N149" s="9" t="s">
        <v>1576</v>
      </c>
      <c r="O149" s="9" t="s">
        <v>1947</v>
      </c>
      <c r="P149" s="9" t="s">
        <v>1948</v>
      </c>
      <c r="Q149" s="9" t="s">
        <v>1925</v>
      </c>
      <c r="R149" s="9" t="s">
        <v>1574</v>
      </c>
      <c r="S149" s="9" t="s">
        <v>1949</v>
      </c>
      <c r="T149" s="9" t="s">
        <v>1950</v>
      </c>
      <c r="U149" s="9" t="s">
        <v>1928</v>
      </c>
      <c r="V149" s="9">
        <v>769</v>
      </c>
      <c r="W149" s="9">
        <v>7</v>
      </c>
      <c r="X149" s="9">
        <v>2028</v>
      </c>
      <c r="Y149" s="9">
        <v>1524</v>
      </c>
      <c r="Z149" s="9">
        <v>7</v>
      </c>
      <c r="AA149" s="9">
        <v>4549516625621520</v>
      </c>
      <c r="AB149" s="9" t="s">
        <v>73</v>
      </c>
      <c r="AC149" s="9">
        <v>2028</v>
      </c>
      <c r="AD149" s="9" t="s">
        <v>1952</v>
      </c>
      <c r="AE149" s="9"/>
      <c r="AF149" s="9" t="s">
        <v>1929</v>
      </c>
      <c r="AG149" s="9"/>
      <c r="AH149" s="9" t="s">
        <v>67</v>
      </c>
      <c r="AI149" s="9">
        <v>0</v>
      </c>
      <c r="AJ149" s="9"/>
      <c r="AK149" s="9">
        <v>0</v>
      </c>
      <c r="AL149" s="9" t="s">
        <v>1930</v>
      </c>
      <c r="AM149" s="9">
        <v>1</v>
      </c>
      <c r="AN149" s="9">
        <v>46083</v>
      </c>
      <c r="AO149" s="9" t="s">
        <v>1931</v>
      </c>
      <c r="AP149" s="9" t="s">
        <v>69</v>
      </c>
      <c r="AQ149" s="9" t="s">
        <v>1932</v>
      </c>
      <c r="AR149" s="9">
        <v>46083</v>
      </c>
      <c r="AS149" s="9" t="s">
        <v>74</v>
      </c>
      <c r="AT149" s="9" t="s">
        <v>1935</v>
      </c>
      <c r="AU149" s="9" t="s">
        <v>1952</v>
      </c>
      <c r="AV149" s="9">
        <v>0</v>
      </c>
      <c r="AW149" s="9" t="s">
        <v>92</v>
      </c>
      <c r="AX149" s="9" t="s">
        <v>158</v>
      </c>
      <c r="AY149" s="9">
        <v>0</v>
      </c>
      <c r="AZ149" s="9">
        <v>46083.418564814812</v>
      </c>
      <c r="BA149" s="9">
        <v>46083.418611111112</v>
      </c>
      <c r="BB149" s="9">
        <v>1</v>
      </c>
      <c r="BC149" s="9">
        <v>60</v>
      </c>
      <c r="BD149" s="9" t="s">
        <v>2087</v>
      </c>
      <c r="BE149" s="9" t="s">
        <v>159</v>
      </c>
      <c r="BF149" s="9" t="s">
        <v>71</v>
      </c>
      <c r="BG149" s="9"/>
      <c r="BH149" s="9">
        <v>0</v>
      </c>
      <c r="BI149" s="9"/>
      <c r="BJ149" s="9">
        <v>0</v>
      </c>
      <c r="BK149" s="9" t="s">
        <v>92</v>
      </c>
      <c r="BL149" s="9" t="s">
        <v>92</v>
      </c>
      <c r="BM149" s="9" t="s">
        <v>72</v>
      </c>
      <c r="BN149" s="9"/>
      <c r="BO149" s="9">
        <v>1</v>
      </c>
      <c r="BP149" s="9" t="s">
        <v>536</v>
      </c>
      <c r="BQ149" s="9">
        <v>0</v>
      </c>
      <c r="BR149" s="9">
        <v>45987.722800925927</v>
      </c>
      <c r="BS149" s="9" t="s">
        <v>109</v>
      </c>
      <c r="BT149" s="9" t="s">
        <v>65</v>
      </c>
      <c r="BU149" s="9"/>
      <c r="BV149" s="9"/>
      <c r="BW149" s="9">
        <v>0</v>
      </c>
      <c r="BX149" s="9">
        <v>46080.969849537039</v>
      </c>
      <c r="BY149" s="9">
        <v>46083.418564814812</v>
      </c>
      <c r="BZ149" s="9"/>
      <c r="CA149" s="9"/>
      <c r="CB149" s="9"/>
      <c r="CC149" s="9"/>
      <c r="CD149" s="9"/>
      <c r="CE149" s="9"/>
      <c r="CF149" s="9"/>
      <c r="CG149" s="9"/>
      <c r="CH149" s="9">
        <v>1</v>
      </c>
      <c r="CI149" s="9">
        <v>0</v>
      </c>
      <c r="CJ149" s="9"/>
      <c r="CK149" s="9"/>
      <c r="CL149" s="9"/>
      <c r="CM149" s="9"/>
      <c r="CN149" s="9">
        <v>0</v>
      </c>
      <c r="CO149" s="9" t="s">
        <v>1925</v>
      </c>
      <c r="CP149" s="9"/>
      <c r="CQ149" s="9"/>
    </row>
    <row r="150" spans="1:95" x14ac:dyDescent="0.35">
      <c r="A150" s="9" t="b">
        <f>ISNUMBER(MATCH(Claude[[#This Row],[Id]],ChargentOrders[Id],0))</f>
        <v>1</v>
      </c>
      <c r="B150" t="b">
        <f>INDEX(ChargentOrders[VALIDO],MATCH(Claude[[#This Row],[Id]],ChargentOrders[Id],0))</f>
        <v>1</v>
      </c>
      <c r="C150">
        <f>INDEX(Contract[CB_Subscription__c],MATCH(Claude[[#This Row],[Contract__c]],Contract[Id],0))</f>
        <v>0</v>
      </c>
      <c r="D150" s="9" t="s">
        <v>537</v>
      </c>
      <c r="E150" s="9" t="s">
        <v>79</v>
      </c>
      <c r="F150" s="9">
        <v>0</v>
      </c>
      <c r="G150" s="9" t="s">
        <v>538</v>
      </c>
      <c r="H150" s="9">
        <v>45987.418842592589</v>
      </c>
      <c r="I150" s="9" t="s">
        <v>65</v>
      </c>
      <c r="J150" s="9">
        <v>45989.74113425926</v>
      </c>
      <c r="K150" s="9" t="s">
        <v>101</v>
      </c>
      <c r="L150" s="9">
        <v>45989.74113425926</v>
      </c>
      <c r="M150" s="9"/>
      <c r="N150" s="9" t="s">
        <v>1581</v>
      </c>
      <c r="O150" s="9" t="s">
        <v>1960</v>
      </c>
      <c r="P150" s="9" t="s">
        <v>1961</v>
      </c>
      <c r="Q150" s="9" t="s">
        <v>1925</v>
      </c>
      <c r="R150" s="9" t="s">
        <v>1579</v>
      </c>
      <c r="S150" s="9" t="s">
        <v>1962</v>
      </c>
      <c r="T150" s="9" t="s">
        <v>1963</v>
      </c>
      <c r="U150" s="9" t="s">
        <v>1928</v>
      </c>
      <c r="V150" s="9">
        <v>778</v>
      </c>
      <c r="W150" s="9">
        <v>3</v>
      </c>
      <c r="X150" s="9">
        <v>2027</v>
      </c>
      <c r="Y150" s="9">
        <v>4327</v>
      </c>
      <c r="Z150" s="9">
        <v>3</v>
      </c>
      <c r="AA150" s="9">
        <v>4549516808074320</v>
      </c>
      <c r="AB150" s="9" t="s">
        <v>73</v>
      </c>
      <c r="AC150" s="9">
        <v>2027</v>
      </c>
      <c r="AD150" s="9" t="s">
        <v>91</v>
      </c>
      <c r="AE150" s="9"/>
      <c r="AF150" s="9" t="s">
        <v>1929</v>
      </c>
      <c r="AG150" s="9"/>
      <c r="AH150" s="9" t="s">
        <v>67</v>
      </c>
      <c r="AI150" s="9">
        <v>0</v>
      </c>
      <c r="AJ150" s="9"/>
      <c r="AK150" s="9">
        <v>0</v>
      </c>
      <c r="AL150" s="9" t="s">
        <v>1930</v>
      </c>
      <c r="AM150" s="9">
        <v>1</v>
      </c>
      <c r="AN150" s="9">
        <v>45992</v>
      </c>
      <c r="AO150" s="9" t="s">
        <v>1931</v>
      </c>
      <c r="AP150" s="9" t="s">
        <v>69</v>
      </c>
      <c r="AQ150" s="9" t="s">
        <v>1932</v>
      </c>
      <c r="AR150" s="9">
        <v>45992</v>
      </c>
      <c r="AS150" s="9" t="s">
        <v>74</v>
      </c>
      <c r="AT150" s="9" t="s">
        <v>1935</v>
      </c>
      <c r="AU150" s="9" t="s">
        <v>473</v>
      </c>
      <c r="AV150" s="9">
        <v>0</v>
      </c>
      <c r="AW150" s="9" t="s">
        <v>93</v>
      </c>
      <c r="AX150" s="9" t="s">
        <v>165</v>
      </c>
      <c r="AY150" s="9">
        <v>0</v>
      </c>
      <c r="AZ150" s="9">
        <v>45989.741111111114</v>
      </c>
      <c r="BA150" s="9">
        <v>45989.741111111114</v>
      </c>
      <c r="BB150" s="9">
        <v>1</v>
      </c>
      <c r="BC150" s="9">
        <v>4</v>
      </c>
      <c r="BD150" s="9" t="s">
        <v>91</v>
      </c>
      <c r="BE150" s="9" t="s">
        <v>179</v>
      </c>
      <c r="BF150" s="9" t="s">
        <v>71</v>
      </c>
      <c r="BG150" s="9"/>
      <c r="BH150" s="9">
        <v>0</v>
      </c>
      <c r="BI150" s="9"/>
      <c r="BJ150" s="9">
        <v>0</v>
      </c>
      <c r="BK150" s="9" t="s">
        <v>92</v>
      </c>
      <c r="BL150" s="9" t="s">
        <v>92</v>
      </c>
      <c r="BM150" s="9" t="s">
        <v>72</v>
      </c>
      <c r="BN150" s="9"/>
      <c r="BO150" s="9">
        <v>0</v>
      </c>
      <c r="BP150" s="9" t="s">
        <v>539</v>
      </c>
      <c r="BQ150" s="9">
        <v>0</v>
      </c>
      <c r="BR150" s="9">
        <v>45989.73982638889</v>
      </c>
      <c r="BS150" s="9" t="s">
        <v>92</v>
      </c>
      <c r="BT150" s="9" t="s">
        <v>65</v>
      </c>
      <c r="BU150" s="9"/>
      <c r="BV150" s="9"/>
      <c r="BW150" s="9">
        <v>0</v>
      </c>
      <c r="BX150" s="9">
        <v>45989.667662037034</v>
      </c>
      <c r="BY150" s="9">
        <v>45989.741111111114</v>
      </c>
      <c r="BZ150" s="9"/>
      <c r="CA150" s="9"/>
      <c r="CB150" s="9"/>
      <c r="CC150" s="9"/>
      <c r="CD150" s="9"/>
      <c r="CE150" s="9"/>
      <c r="CF150" s="9"/>
      <c r="CG150" s="9"/>
      <c r="CH150" s="9">
        <v>1</v>
      </c>
      <c r="CI150" s="9">
        <v>0</v>
      </c>
      <c r="CJ150" s="9"/>
      <c r="CK150" s="9"/>
      <c r="CL150" s="9" t="s">
        <v>1964</v>
      </c>
      <c r="CM150" s="9"/>
      <c r="CN150" s="9">
        <v>0</v>
      </c>
      <c r="CO150" s="9" t="s">
        <v>1925</v>
      </c>
      <c r="CP150" s="9"/>
      <c r="CQ150" s="9"/>
    </row>
    <row r="151" spans="1:95" x14ac:dyDescent="0.35">
      <c r="A151" s="9" t="b">
        <f>ISNUMBER(MATCH(Claude[[#This Row],[Id]],ChargentOrders[Id],0))</f>
        <v>1</v>
      </c>
      <c r="B151" t="b">
        <f>INDEX(ChargentOrders[VALIDO],MATCH(Claude[[#This Row],[Id]],ChargentOrders[Id],0))</f>
        <v>1</v>
      </c>
      <c r="C151">
        <f>INDEX(Contract[CB_Subscription__c],MATCH(Claude[[#This Row],[Contract__c]],Contract[Id],0))</f>
        <v>0</v>
      </c>
      <c r="D151" s="9" t="s">
        <v>540</v>
      </c>
      <c r="E151" s="9" t="s">
        <v>79</v>
      </c>
      <c r="F151" s="9">
        <v>0</v>
      </c>
      <c r="G151" s="9" t="s">
        <v>541</v>
      </c>
      <c r="H151" s="9">
        <v>45987.420162037037</v>
      </c>
      <c r="I151" s="9" t="s">
        <v>65</v>
      </c>
      <c r="J151" s="9">
        <v>45992.428865740738</v>
      </c>
      <c r="K151" s="9" t="s">
        <v>65</v>
      </c>
      <c r="L151" s="9">
        <v>45992.428865740738</v>
      </c>
      <c r="M151" s="9"/>
      <c r="N151" s="9" t="s">
        <v>1591</v>
      </c>
      <c r="O151" s="9" t="s">
        <v>1989</v>
      </c>
      <c r="P151" s="9" t="s">
        <v>1990</v>
      </c>
      <c r="Q151" s="9" t="s">
        <v>1925</v>
      </c>
      <c r="R151" s="9" t="s">
        <v>1589</v>
      </c>
      <c r="S151" s="9" t="s">
        <v>1991</v>
      </c>
      <c r="T151" s="9" t="s">
        <v>1992</v>
      </c>
      <c r="U151" s="9" t="s">
        <v>1928</v>
      </c>
      <c r="V151" s="9">
        <v>915</v>
      </c>
      <c r="W151" s="9">
        <v>2</v>
      </c>
      <c r="X151" s="9">
        <v>2030</v>
      </c>
      <c r="Y151" s="9">
        <v>1962</v>
      </c>
      <c r="Z151" s="9">
        <v>2</v>
      </c>
      <c r="AA151" s="9">
        <v>1962</v>
      </c>
      <c r="AB151" s="9" t="s">
        <v>73</v>
      </c>
      <c r="AC151" s="9">
        <v>2030</v>
      </c>
      <c r="AD151" s="9" t="s">
        <v>1952</v>
      </c>
      <c r="AE151" s="9"/>
      <c r="AF151" s="9" t="s">
        <v>1929</v>
      </c>
      <c r="AG151" s="9"/>
      <c r="AH151" s="9" t="s">
        <v>67</v>
      </c>
      <c r="AI151" s="9">
        <v>0</v>
      </c>
      <c r="AJ151" s="9"/>
      <c r="AK151" s="9">
        <v>0</v>
      </c>
      <c r="AL151" s="9" t="s">
        <v>1930</v>
      </c>
      <c r="AM151" s="9">
        <v>1</v>
      </c>
      <c r="AN151" s="9">
        <v>45992</v>
      </c>
      <c r="AO151" s="9" t="s">
        <v>1931</v>
      </c>
      <c r="AP151" s="9" t="s">
        <v>69</v>
      </c>
      <c r="AQ151" s="9" t="s">
        <v>1932</v>
      </c>
      <c r="AR151" s="9">
        <v>45992</v>
      </c>
      <c r="AS151" s="9" t="s">
        <v>74</v>
      </c>
      <c r="AT151" s="9" t="s">
        <v>1935</v>
      </c>
      <c r="AU151" s="9" t="s">
        <v>1952</v>
      </c>
      <c r="AV151" s="9">
        <v>0</v>
      </c>
      <c r="AW151" s="9" t="s">
        <v>92</v>
      </c>
      <c r="AX151" s="9" t="s">
        <v>240</v>
      </c>
      <c r="AY151" s="9">
        <v>0</v>
      </c>
      <c r="AZ151" s="9">
        <v>45992.428819444445</v>
      </c>
      <c r="BA151" s="9">
        <v>45992.428819444445</v>
      </c>
      <c r="BB151" s="9">
        <v>1</v>
      </c>
      <c r="BC151" s="9">
        <v>2</v>
      </c>
      <c r="BD151" s="9" t="s">
        <v>2087</v>
      </c>
      <c r="BE151" s="9" t="s">
        <v>235</v>
      </c>
      <c r="BF151" s="9" t="s">
        <v>71</v>
      </c>
      <c r="BG151" s="9"/>
      <c r="BH151" s="9">
        <v>0</v>
      </c>
      <c r="BI151" s="9"/>
      <c r="BJ151" s="9">
        <v>0</v>
      </c>
      <c r="BK151" s="9" t="s">
        <v>92</v>
      </c>
      <c r="BL151" s="9" t="s">
        <v>92</v>
      </c>
      <c r="BM151" s="9" t="s">
        <v>72</v>
      </c>
      <c r="BN151" s="9"/>
      <c r="BO151" s="9">
        <v>1</v>
      </c>
      <c r="BP151" s="9" t="s">
        <v>542</v>
      </c>
      <c r="BQ151" s="9">
        <v>0</v>
      </c>
      <c r="BR151" s="9">
        <v>45702.827997685185</v>
      </c>
      <c r="BS151" s="9" t="s">
        <v>109</v>
      </c>
      <c r="BT151" s="9" t="s">
        <v>65</v>
      </c>
      <c r="BU151" s="9"/>
      <c r="BV151" s="9"/>
      <c r="BW151" s="9">
        <v>0</v>
      </c>
      <c r="BX151" s="9">
        <v>45989.427905092591</v>
      </c>
      <c r="BY151" s="9">
        <v>45992.428819444445</v>
      </c>
      <c r="BZ151" s="9"/>
      <c r="CA151" s="9"/>
      <c r="CB151" s="9"/>
      <c r="CC151" s="9"/>
      <c r="CD151" s="9"/>
      <c r="CE151" s="9"/>
      <c r="CF151" s="9"/>
      <c r="CG151" s="9"/>
      <c r="CH151" s="9">
        <v>1</v>
      </c>
      <c r="CI151" s="9">
        <v>0</v>
      </c>
      <c r="CJ151" s="9"/>
      <c r="CK151" s="9"/>
      <c r="CL151" s="9" t="s">
        <v>1993</v>
      </c>
      <c r="CM151" s="9"/>
      <c r="CN151" s="9">
        <v>0</v>
      </c>
      <c r="CO151" s="9" t="s">
        <v>1925</v>
      </c>
      <c r="CP151" s="9"/>
      <c r="CQ151" s="9"/>
    </row>
    <row r="152" spans="1:95" x14ac:dyDescent="0.35">
      <c r="A152" s="9" t="b">
        <f>ISNUMBER(MATCH(Claude[[#This Row],[Id]],ChargentOrders[Id],0))</f>
        <v>1</v>
      </c>
      <c r="B152" t="b">
        <f>INDEX(ChargentOrders[VALIDO],MATCH(Claude[[#This Row],[Id]],ChargentOrders[Id],0))</f>
        <v>1</v>
      </c>
      <c r="C152">
        <f>INDEX(Contract[CB_Subscription__c],MATCH(Claude[[#This Row],[Contract__c]],Contract[Id],0))</f>
        <v>0</v>
      </c>
      <c r="D152" s="9" t="s">
        <v>543</v>
      </c>
      <c r="E152" s="9" t="s">
        <v>79</v>
      </c>
      <c r="F152" s="9">
        <v>0</v>
      </c>
      <c r="G152" s="9" t="s">
        <v>544</v>
      </c>
      <c r="H152" s="9">
        <v>45987.420300925929</v>
      </c>
      <c r="I152" s="9" t="s">
        <v>65</v>
      </c>
      <c r="J152" s="9">
        <v>46023.423310185186</v>
      </c>
      <c r="K152" s="9" t="s">
        <v>65</v>
      </c>
      <c r="L152" s="9">
        <v>46023.423310185186</v>
      </c>
      <c r="M152" s="9"/>
      <c r="N152" s="9" t="s">
        <v>1988</v>
      </c>
      <c r="O152" s="9" t="s">
        <v>1982</v>
      </c>
      <c r="P152" s="9" t="s">
        <v>1983</v>
      </c>
      <c r="Q152" s="9" t="s">
        <v>1925</v>
      </c>
      <c r="R152" s="9" t="s">
        <v>1984</v>
      </c>
      <c r="S152" s="9" t="s">
        <v>1985</v>
      </c>
      <c r="T152" s="9" t="s">
        <v>1986</v>
      </c>
      <c r="U152" s="9" t="s">
        <v>1928</v>
      </c>
      <c r="V152" s="9">
        <v>771</v>
      </c>
      <c r="W152" s="9">
        <v>7</v>
      </c>
      <c r="X152" s="9">
        <v>2029</v>
      </c>
      <c r="Y152" s="9">
        <v>4040</v>
      </c>
      <c r="Z152" s="9">
        <v>7</v>
      </c>
      <c r="AA152" s="9">
        <v>5392871341924040</v>
      </c>
      <c r="AB152" s="9" t="s">
        <v>66</v>
      </c>
      <c r="AC152" s="9">
        <v>2029</v>
      </c>
      <c r="AD152" s="9" t="s">
        <v>1952</v>
      </c>
      <c r="AE152" s="9"/>
      <c r="AF152" s="9" t="s">
        <v>1929</v>
      </c>
      <c r="AG152" s="9"/>
      <c r="AH152" s="9" t="s">
        <v>67</v>
      </c>
      <c r="AI152" s="9">
        <v>0</v>
      </c>
      <c r="AJ152" s="9"/>
      <c r="AK152" s="9">
        <v>0</v>
      </c>
      <c r="AL152" s="9" t="s">
        <v>1930</v>
      </c>
      <c r="AM152" s="9">
        <v>1</v>
      </c>
      <c r="AN152" s="9">
        <v>46023</v>
      </c>
      <c r="AO152" s="9" t="s">
        <v>1931</v>
      </c>
      <c r="AP152" s="9" t="s">
        <v>69</v>
      </c>
      <c r="AQ152" s="9" t="s">
        <v>1932</v>
      </c>
      <c r="AR152" s="9">
        <v>46023</v>
      </c>
      <c r="AS152" s="9" t="s">
        <v>74</v>
      </c>
      <c r="AT152" s="9" t="s">
        <v>1935</v>
      </c>
      <c r="AU152" s="9" t="s">
        <v>1952</v>
      </c>
      <c r="AV152" s="9">
        <v>0</v>
      </c>
      <c r="AW152" s="9" t="s">
        <v>92</v>
      </c>
      <c r="AX152" s="9" t="s">
        <v>219</v>
      </c>
      <c r="AY152" s="9">
        <v>0</v>
      </c>
      <c r="AZ152" s="9">
        <v>46023.423194444447</v>
      </c>
      <c r="BA152" s="9">
        <v>46023.423263888886</v>
      </c>
      <c r="BB152" s="9">
        <v>1</v>
      </c>
      <c r="BC152" s="9">
        <v>15</v>
      </c>
      <c r="BD152" s="9" t="s">
        <v>2087</v>
      </c>
      <c r="BE152" s="9" t="s">
        <v>220</v>
      </c>
      <c r="BF152" s="9" t="s">
        <v>71</v>
      </c>
      <c r="BG152" s="9"/>
      <c r="BH152" s="9">
        <v>0</v>
      </c>
      <c r="BI152" s="9"/>
      <c r="BJ152" s="9">
        <v>0</v>
      </c>
      <c r="BK152" s="9" t="s">
        <v>92</v>
      </c>
      <c r="BL152" s="9" t="s">
        <v>92</v>
      </c>
      <c r="BM152" s="9" t="s">
        <v>72</v>
      </c>
      <c r="BN152" s="9"/>
      <c r="BO152" s="9">
        <v>1</v>
      </c>
      <c r="BP152" s="9" t="s">
        <v>545</v>
      </c>
      <c r="BQ152" s="9">
        <v>0</v>
      </c>
      <c r="BR152" s="9">
        <v>45716.429675925923</v>
      </c>
      <c r="BS152" s="9" t="s">
        <v>109</v>
      </c>
      <c r="BT152" s="9" t="s">
        <v>65</v>
      </c>
      <c r="BU152" s="9"/>
      <c r="BV152" s="9"/>
      <c r="BW152" s="9">
        <v>0</v>
      </c>
      <c r="BX152" s="9">
        <v>46020.422673611109</v>
      </c>
      <c r="BY152" s="9">
        <v>46023.423194444447</v>
      </c>
      <c r="BZ152" s="9"/>
      <c r="CA152" s="9"/>
      <c r="CB152" s="9"/>
      <c r="CC152" s="9"/>
      <c r="CD152" s="9"/>
      <c r="CE152" s="9"/>
      <c r="CF152" s="9"/>
      <c r="CG152" s="9"/>
      <c r="CH152" s="9">
        <v>1</v>
      </c>
      <c r="CI152" s="9">
        <v>0</v>
      </c>
      <c r="CJ152" s="9"/>
      <c r="CK152" s="9"/>
      <c r="CL152" s="9" t="s">
        <v>1987</v>
      </c>
      <c r="CM152" s="9"/>
      <c r="CN152" s="9">
        <v>0</v>
      </c>
      <c r="CO152" s="9" t="s">
        <v>1925</v>
      </c>
      <c r="CP152" s="9"/>
      <c r="CQ152" s="9"/>
    </row>
    <row r="153" spans="1:95" x14ac:dyDescent="0.35">
      <c r="A153" s="9" t="b">
        <f>ISNUMBER(MATCH(Claude[[#This Row],[Id]],ChargentOrders[Id],0))</f>
        <v>1</v>
      </c>
      <c r="B153" t="b">
        <f>INDEX(ChargentOrders[VALIDO],MATCH(Claude[[#This Row],[Id]],ChargentOrders[Id],0))</f>
        <v>1</v>
      </c>
      <c r="C153">
        <f>INDEX(Contract[CB_Subscription__c],MATCH(Claude[[#This Row],[Contract__c]],Contract[Id],0))</f>
        <v>0</v>
      </c>
      <c r="D153" s="9" t="s">
        <v>546</v>
      </c>
      <c r="E153" s="9" t="s">
        <v>79</v>
      </c>
      <c r="F153" s="9">
        <v>0</v>
      </c>
      <c r="G153" s="9" t="s">
        <v>547</v>
      </c>
      <c r="H153" s="9">
        <v>45987.420416666668</v>
      </c>
      <c r="I153" s="9" t="s">
        <v>65</v>
      </c>
      <c r="J153" s="9">
        <v>46023.423310185186</v>
      </c>
      <c r="K153" s="9" t="s">
        <v>65</v>
      </c>
      <c r="L153" s="9">
        <v>46023.423310185186</v>
      </c>
      <c r="M153" s="9"/>
      <c r="N153" s="9" t="s">
        <v>1596</v>
      </c>
      <c r="O153" s="9" t="s">
        <v>1997</v>
      </c>
      <c r="P153" s="9" t="s">
        <v>1990</v>
      </c>
      <c r="Q153" s="9" t="s">
        <v>1925</v>
      </c>
      <c r="R153" s="9" t="s">
        <v>1594</v>
      </c>
      <c r="S153" s="9" t="s">
        <v>1998</v>
      </c>
      <c r="T153" s="9" t="s">
        <v>1999</v>
      </c>
      <c r="U153" s="9" t="s">
        <v>1928</v>
      </c>
      <c r="V153" s="9">
        <v>901</v>
      </c>
      <c r="W153" s="9">
        <v>2</v>
      </c>
      <c r="X153" s="9">
        <v>2026</v>
      </c>
      <c r="Y153" s="9">
        <v>7405</v>
      </c>
      <c r="Z153" s="9">
        <v>2</v>
      </c>
      <c r="AA153" s="9">
        <v>4549516847817400</v>
      </c>
      <c r="AB153" s="9" t="s">
        <v>73</v>
      </c>
      <c r="AC153" s="9">
        <v>2026</v>
      </c>
      <c r="AD153" s="9" t="s">
        <v>473</v>
      </c>
      <c r="AE153" s="9"/>
      <c r="AF153" s="9" t="s">
        <v>1929</v>
      </c>
      <c r="AG153" s="9"/>
      <c r="AH153" s="9" t="s">
        <v>67</v>
      </c>
      <c r="AI153" s="9">
        <v>0</v>
      </c>
      <c r="AJ153" s="9"/>
      <c r="AK153" s="9">
        <v>0</v>
      </c>
      <c r="AL153" s="9" t="s">
        <v>1930</v>
      </c>
      <c r="AM153" s="9">
        <v>1</v>
      </c>
      <c r="AN153" s="9">
        <v>46023</v>
      </c>
      <c r="AO153" s="9" t="s">
        <v>1931</v>
      </c>
      <c r="AP153" s="9" t="s">
        <v>69</v>
      </c>
      <c r="AQ153" s="9" t="s">
        <v>1932</v>
      </c>
      <c r="AR153" s="9">
        <v>46023</v>
      </c>
      <c r="AS153" s="9" t="s">
        <v>74</v>
      </c>
      <c r="AT153" s="9" t="s">
        <v>1935</v>
      </c>
      <c r="AU153" s="9" t="s">
        <v>473</v>
      </c>
      <c r="AV153" s="9">
        <v>0</v>
      </c>
      <c r="AW153" s="9" t="s">
        <v>92</v>
      </c>
      <c r="AX153" s="9" t="s">
        <v>252</v>
      </c>
      <c r="AY153" s="9">
        <v>0</v>
      </c>
      <c r="AZ153" s="9">
        <v>46023.423206018517</v>
      </c>
      <c r="BA153" s="9">
        <v>46023.423263888886</v>
      </c>
      <c r="BB153" s="9">
        <v>1</v>
      </c>
      <c r="BC153" s="9">
        <v>30</v>
      </c>
      <c r="BD153" s="9" t="s">
        <v>91</v>
      </c>
      <c r="BE153" s="9" t="s">
        <v>253</v>
      </c>
      <c r="BF153" s="9" t="s">
        <v>71</v>
      </c>
      <c r="BG153" s="9"/>
      <c r="BH153" s="9">
        <v>0</v>
      </c>
      <c r="BI153" s="9"/>
      <c r="BJ153" s="9">
        <v>0</v>
      </c>
      <c r="BK153" s="9" t="s">
        <v>92</v>
      </c>
      <c r="BL153" s="9" t="s">
        <v>92</v>
      </c>
      <c r="BM153" s="9" t="s">
        <v>72</v>
      </c>
      <c r="BN153" s="9"/>
      <c r="BO153" s="9">
        <v>0</v>
      </c>
      <c r="BP153" s="9" t="s">
        <v>548</v>
      </c>
      <c r="BQ153" s="9">
        <v>0</v>
      </c>
      <c r="BR153" s="9">
        <v>46017.909988425927</v>
      </c>
      <c r="BS153" s="9" t="s">
        <v>92</v>
      </c>
      <c r="BT153" s="9" t="s">
        <v>65</v>
      </c>
      <c r="BU153" s="9"/>
      <c r="BV153" s="9"/>
      <c r="BW153" s="9">
        <v>0</v>
      </c>
      <c r="BX153" s="9">
        <v>46020.834247685183</v>
      </c>
      <c r="BY153" s="9">
        <v>46023.423206018517</v>
      </c>
      <c r="BZ153" s="9"/>
      <c r="CA153" s="9"/>
      <c r="CB153" s="9"/>
      <c r="CC153" s="9"/>
      <c r="CD153" s="9"/>
      <c r="CE153" s="9"/>
      <c r="CF153" s="9"/>
      <c r="CG153" s="9"/>
      <c r="CH153" s="9">
        <v>1</v>
      </c>
      <c r="CI153" s="9">
        <v>0</v>
      </c>
      <c r="CJ153" s="9"/>
      <c r="CK153" s="9"/>
      <c r="CL153" s="9" t="s">
        <v>2000</v>
      </c>
      <c r="CM153" s="9"/>
      <c r="CN153" s="9">
        <v>0</v>
      </c>
      <c r="CO153" s="9" t="s">
        <v>1925</v>
      </c>
      <c r="CP153" s="9"/>
      <c r="CQ153" s="9"/>
    </row>
    <row r="154" spans="1:95" x14ac:dyDescent="0.35">
      <c r="A154" s="9" t="b">
        <f>ISNUMBER(MATCH(Claude[[#This Row],[Id]],ChargentOrders[Id],0))</f>
        <v>1</v>
      </c>
      <c r="B154" t="b">
        <f>INDEX(ChargentOrders[VALIDO],MATCH(Claude[[#This Row],[Id]],ChargentOrders[Id],0))</f>
        <v>1</v>
      </c>
      <c r="C154">
        <f>INDEX(Contract[CB_Subscription__c],MATCH(Claude[[#This Row],[Contract__c]],Contract[Id],0))</f>
        <v>0</v>
      </c>
      <c r="D154" s="9" t="s">
        <v>549</v>
      </c>
      <c r="E154" s="9" t="s">
        <v>79</v>
      </c>
      <c r="F154" s="9">
        <v>0</v>
      </c>
      <c r="G154" s="9" t="s">
        <v>550</v>
      </c>
      <c r="H154" s="9">
        <v>45987.422337962962</v>
      </c>
      <c r="I154" s="9" t="s">
        <v>65</v>
      </c>
      <c r="J154" s="9">
        <v>45992.630983796298</v>
      </c>
      <c r="K154" s="9" t="s">
        <v>101</v>
      </c>
      <c r="L154" s="9">
        <v>45992.630983796298</v>
      </c>
      <c r="M154" s="9"/>
      <c r="N154" s="9" t="s">
        <v>1654</v>
      </c>
      <c r="O154" s="9" t="s">
        <v>2065</v>
      </c>
      <c r="P154" s="9" t="s">
        <v>2066</v>
      </c>
      <c r="Q154" s="9" t="s">
        <v>1925</v>
      </c>
      <c r="R154" s="9" t="s">
        <v>1652</v>
      </c>
      <c r="S154" s="9" t="s">
        <v>2067</v>
      </c>
      <c r="T154" s="9" t="s">
        <v>2068</v>
      </c>
      <c r="U154" s="9" t="s">
        <v>1928</v>
      </c>
      <c r="V154" s="9">
        <v>961</v>
      </c>
      <c r="W154" s="9">
        <v>10</v>
      </c>
      <c r="X154" s="9">
        <v>2028</v>
      </c>
      <c r="Y154" s="9">
        <v>6590</v>
      </c>
      <c r="Z154" s="9">
        <v>10</v>
      </c>
      <c r="AA154" s="9">
        <v>5159489901146590</v>
      </c>
      <c r="AB154" s="9" t="s">
        <v>66</v>
      </c>
      <c r="AC154" s="9">
        <v>2028</v>
      </c>
      <c r="AD154" s="9" t="s">
        <v>94</v>
      </c>
      <c r="AE154" s="9"/>
      <c r="AF154" s="9" t="s">
        <v>1929</v>
      </c>
      <c r="AG154" s="9"/>
      <c r="AH154" s="9" t="s">
        <v>67</v>
      </c>
      <c r="AI154" s="9">
        <v>0</v>
      </c>
      <c r="AJ154" s="9"/>
      <c r="AK154" s="9">
        <v>0</v>
      </c>
      <c r="AL154" s="9" t="s">
        <v>1930</v>
      </c>
      <c r="AM154" s="9">
        <v>1</v>
      </c>
      <c r="AN154" s="9">
        <v>45995</v>
      </c>
      <c r="AO154" s="9" t="s">
        <v>1931</v>
      </c>
      <c r="AP154" s="9" t="s">
        <v>69</v>
      </c>
      <c r="AQ154" s="9" t="s">
        <v>1932</v>
      </c>
      <c r="AR154" s="9">
        <v>45995</v>
      </c>
      <c r="AS154" s="9" t="s">
        <v>74</v>
      </c>
      <c r="AT154" s="9" t="s">
        <v>1935</v>
      </c>
      <c r="AU154" s="9" t="s">
        <v>1970</v>
      </c>
      <c r="AV154" s="9">
        <v>0</v>
      </c>
      <c r="AW154" s="9" t="s">
        <v>93</v>
      </c>
      <c r="AX154" s="9" t="s">
        <v>429</v>
      </c>
      <c r="AY154" s="9">
        <v>0</v>
      </c>
      <c r="AZ154" s="9">
        <v>45992.630937499998</v>
      </c>
      <c r="BA154" s="9">
        <v>45992.630949074075</v>
      </c>
      <c r="BB154" s="9">
        <v>1</v>
      </c>
      <c r="BC154" s="9">
        <v>4</v>
      </c>
      <c r="BD154" s="9" t="s">
        <v>94</v>
      </c>
      <c r="BE154" s="9" t="s">
        <v>424</v>
      </c>
      <c r="BF154" s="9" t="s">
        <v>71</v>
      </c>
      <c r="BG154" s="9"/>
      <c r="BH154" s="9">
        <v>0</v>
      </c>
      <c r="BI154" s="9"/>
      <c r="BJ154" s="9">
        <v>0</v>
      </c>
      <c r="BK154" s="9" t="s">
        <v>92</v>
      </c>
      <c r="BL154" s="9" t="s">
        <v>92</v>
      </c>
      <c r="BM154" s="9" t="s">
        <v>72</v>
      </c>
      <c r="BN154" s="9"/>
      <c r="BO154" s="9">
        <v>1</v>
      </c>
      <c r="BP154" s="9" t="s">
        <v>551</v>
      </c>
      <c r="BQ154" s="9">
        <v>0</v>
      </c>
      <c r="BR154" s="9">
        <v>45987.730081018519</v>
      </c>
      <c r="BS154" s="9" t="s">
        <v>109</v>
      </c>
      <c r="BT154" s="9" t="s">
        <v>65</v>
      </c>
      <c r="BU154" s="9"/>
      <c r="BV154" s="9"/>
      <c r="BW154" s="9">
        <v>0</v>
      </c>
      <c r="BX154" s="9">
        <v>45992.429467592592</v>
      </c>
      <c r="BY154" s="9">
        <v>45992.630937499998</v>
      </c>
      <c r="BZ154" s="9"/>
      <c r="CA154" s="9"/>
      <c r="CB154" s="9"/>
      <c r="CC154" s="9"/>
      <c r="CD154" s="9"/>
      <c r="CE154" s="9"/>
      <c r="CF154" s="9"/>
      <c r="CG154" s="9"/>
      <c r="CH154" s="9">
        <v>1</v>
      </c>
      <c r="CI154" s="9">
        <v>0</v>
      </c>
      <c r="CJ154" s="9"/>
      <c r="CK154" s="9"/>
      <c r="CL154" s="9" t="s">
        <v>2069</v>
      </c>
      <c r="CM154" s="9"/>
      <c r="CN154" s="9">
        <v>0</v>
      </c>
      <c r="CO154" s="9" t="s">
        <v>1925</v>
      </c>
      <c r="CP154" s="9"/>
      <c r="CQ154" s="9"/>
    </row>
    <row r="155" spans="1:95" x14ac:dyDescent="0.35">
      <c r="A155" s="9" t="b">
        <f>ISNUMBER(MATCH(Claude[[#This Row],[Id]],ChargentOrders[Id],0))</f>
        <v>1</v>
      </c>
      <c r="B155" t="b">
        <f>INDEX(ChargentOrders[VALIDO],MATCH(Claude[[#This Row],[Id]],ChargentOrders[Id],0))</f>
        <v>1</v>
      </c>
      <c r="C155">
        <f>INDEX(Contract[CB_Subscription__c],MATCH(Claude[[#This Row],[Contract__c]],Contract[Id],0))</f>
        <v>0</v>
      </c>
      <c r="D155" s="9" t="s">
        <v>552</v>
      </c>
      <c r="E155" s="9" t="s">
        <v>79</v>
      </c>
      <c r="F155" s="9">
        <v>0</v>
      </c>
      <c r="G155" s="9" t="s">
        <v>553</v>
      </c>
      <c r="H155" s="9">
        <v>45987.423298611109</v>
      </c>
      <c r="I155" s="9" t="s">
        <v>65</v>
      </c>
      <c r="J155" s="9">
        <v>46038.922025462962</v>
      </c>
      <c r="K155" s="9" t="s">
        <v>101</v>
      </c>
      <c r="L155" s="9">
        <v>46038.922025462962</v>
      </c>
      <c r="M155" s="9"/>
      <c r="N155" s="9" t="s">
        <v>1659</v>
      </c>
      <c r="O155" s="9" t="s">
        <v>2074</v>
      </c>
      <c r="P155" s="9" t="s">
        <v>2066</v>
      </c>
      <c r="Q155" s="9" t="s">
        <v>1925</v>
      </c>
      <c r="R155" s="9" t="s">
        <v>1657</v>
      </c>
      <c r="S155" s="9" t="s">
        <v>2075</v>
      </c>
      <c r="T155" s="9" t="s">
        <v>2076</v>
      </c>
      <c r="U155" s="9" t="s">
        <v>1928</v>
      </c>
      <c r="V155" s="9">
        <v>956</v>
      </c>
      <c r="W155" s="9">
        <v>9</v>
      </c>
      <c r="X155" s="9">
        <v>2030</v>
      </c>
      <c r="Y155" s="9">
        <v>4428</v>
      </c>
      <c r="Z155" s="9">
        <v>9</v>
      </c>
      <c r="AA155" s="9">
        <v>4549519099984420</v>
      </c>
      <c r="AB155" s="9" t="s">
        <v>73</v>
      </c>
      <c r="AC155" s="9">
        <v>2030</v>
      </c>
      <c r="AD155" s="9" t="s">
        <v>95</v>
      </c>
      <c r="AE155" s="9"/>
      <c r="AF155" s="9" t="s">
        <v>1929</v>
      </c>
      <c r="AG155" s="9"/>
      <c r="AH155" s="9" t="s">
        <v>67</v>
      </c>
      <c r="AI155" s="9">
        <v>0</v>
      </c>
      <c r="AJ155" s="9"/>
      <c r="AK155" s="9">
        <v>0</v>
      </c>
      <c r="AL155" s="9" t="s">
        <v>1930</v>
      </c>
      <c r="AM155" s="9">
        <v>1</v>
      </c>
      <c r="AN155" s="9">
        <v>46041</v>
      </c>
      <c r="AO155" s="9" t="s">
        <v>1931</v>
      </c>
      <c r="AP155" s="9" t="s">
        <v>69</v>
      </c>
      <c r="AQ155" s="9" t="s">
        <v>1932</v>
      </c>
      <c r="AR155" s="9">
        <v>46041</v>
      </c>
      <c r="AS155" s="9" t="s">
        <v>74</v>
      </c>
      <c r="AT155" s="9" t="s">
        <v>1935</v>
      </c>
      <c r="AU155" s="9" t="s">
        <v>2101</v>
      </c>
      <c r="AV155" s="9">
        <v>0</v>
      </c>
      <c r="AW155" s="9" t="s">
        <v>93</v>
      </c>
      <c r="AX155" s="9" t="s">
        <v>479</v>
      </c>
      <c r="AY155" s="9">
        <v>0</v>
      </c>
      <c r="AZ155" s="9">
        <v>46038.921990740739</v>
      </c>
      <c r="BA155" s="9">
        <v>46038.921990740739</v>
      </c>
      <c r="BB155" s="9">
        <v>1</v>
      </c>
      <c r="BC155" s="9">
        <v>23</v>
      </c>
      <c r="BD155" s="9" t="s">
        <v>95</v>
      </c>
      <c r="BE155" s="9" t="s">
        <v>480</v>
      </c>
      <c r="BF155" s="9" t="s">
        <v>71</v>
      </c>
      <c r="BG155" s="9"/>
      <c r="BH155" s="9">
        <v>0</v>
      </c>
      <c r="BI155" s="9"/>
      <c r="BJ155" s="9">
        <v>0</v>
      </c>
      <c r="BK155" s="9" t="s">
        <v>92</v>
      </c>
      <c r="BL155" s="9" t="s">
        <v>92</v>
      </c>
      <c r="BM155" s="9" t="s">
        <v>72</v>
      </c>
      <c r="BN155" s="9"/>
      <c r="BO155" s="9">
        <v>1</v>
      </c>
      <c r="BP155" s="9" t="s">
        <v>554</v>
      </c>
      <c r="BQ155" s="9">
        <v>0</v>
      </c>
      <c r="BR155" s="9">
        <v>45944.639537037037</v>
      </c>
      <c r="BS155" s="9" t="s">
        <v>109</v>
      </c>
      <c r="BT155" s="9" t="s">
        <v>65</v>
      </c>
      <c r="BU155" s="9"/>
      <c r="BV155" s="9"/>
      <c r="BW155" s="9">
        <v>0</v>
      </c>
      <c r="BX155" s="9">
        <v>46038.423726851855</v>
      </c>
      <c r="BY155" s="9">
        <v>46038.921990740739</v>
      </c>
      <c r="BZ155" s="9"/>
      <c r="CA155" s="9"/>
      <c r="CB155" s="9"/>
      <c r="CC155" s="9"/>
      <c r="CD155" s="9"/>
      <c r="CE155" s="9"/>
      <c r="CF155" s="9"/>
      <c r="CG155" s="9"/>
      <c r="CH155" s="9">
        <v>1</v>
      </c>
      <c r="CI155" s="9">
        <v>0</v>
      </c>
      <c r="CJ155" s="9"/>
      <c r="CK155" s="9"/>
      <c r="CL155" s="9" t="s">
        <v>2077</v>
      </c>
      <c r="CM155" s="9"/>
      <c r="CN155" s="9">
        <v>0</v>
      </c>
      <c r="CO155" s="9" t="s">
        <v>1925</v>
      </c>
      <c r="CP155" s="9"/>
      <c r="CQ155" s="9"/>
    </row>
    <row r="156" spans="1:95" x14ac:dyDescent="0.35">
      <c r="A156" s="9" t="b">
        <f>ISNUMBER(MATCH(Claude[[#This Row],[Id]],ChargentOrders[Id],0))</f>
        <v>1</v>
      </c>
      <c r="B156" t="b">
        <f>INDEX(ChargentOrders[VALIDO],MATCH(Claude[[#This Row],[Id]],ChargentOrders[Id],0))</f>
        <v>1</v>
      </c>
      <c r="C156">
        <f>INDEX(Contract[CB_Subscription__c],MATCH(Claude[[#This Row],[Contract__c]],Contract[Id],0))</f>
        <v>0</v>
      </c>
      <c r="D156" s="9" t="s">
        <v>555</v>
      </c>
      <c r="E156" s="9" t="s">
        <v>81</v>
      </c>
      <c r="F156" s="9">
        <v>0</v>
      </c>
      <c r="G156" s="9" t="s">
        <v>556</v>
      </c>
      <c r="H156" s="9">
        <v>45989.418032407404</v>
      </c>
      <c r="I156" s="9" t="s">
        <v>65</v>
      </c>
      <c r="J156" s="9">
        <v>45992.430023148147</v>
      </c>
      <c r="K156" s="9" t="s">
        <v>65</v>
      </c>
      <c r="L156" s="9">
        <v>45992.430023148147</v>
      </c>
      <c r="M156" s="9"/>
      <c r="N156" s="9" t="s">
        <v>1639</v>
      </c>
      <c r="O156" s="9" t="s">
        <v>2043</v>
      </c>
      <c r="P156" s="9" t="s">
        <v>2044</v>
      </c>
      <c r="Q156" s="9" t="s">
        <v>1925</v>
      </c>
      <c r="R156" s="9" t="s">
        <v>1637</v>
      </c>
      <c r="S156" s="9" t="s">
        <v>2045</v>
      </c>
      <c r="T156" s="9" t="s">
        <v>2046</v>
      </c>
      <c r="U156" s="9" t="s">
        <v>1928</v>
      </c>
      <c r="V156" s="9">
        <v>725</v>
      </c>
      <c r="W156" s="9">
        <v>6</v>
      </c>
      <c r="X156" s="9">
        <v>2029</v>
      </c>
      <c r="Y156" s="9">
        <v>3025</v>
      </c>
      <c r="Z156" s="9">
        <v>6</v>
      </c>
      <c r="AA156" s="9">
        <v>3025</v>
      </c>
      <c r="AB156" s="9" t="s">
        <v>66</v>
      </c>
      <c r="AC156" s="9">
        <v>2029</v>
      </c>
      <c r="AD156" s="9" t="s">
        <v>1952</v>
      </c>
      <c r="AE156" s="9"/>
      <c r="AF156" s="9" t="s">
        <v>1929</v>
      </c>
      <c r="AG156" s="9"/>
      <c r="AH156" s="9" t="s">
        <v>67</v>
      </c>
      <c r="AI156" s="9">
        <v>0</v>
      </c>
      <c r="AJ156" s="9"/>
      <c r="AK156" s="9">
        <v>0</v>
      </c>
      <c r="AL156" s="9" t="s">
        <v>1930</v>
      </c>
      <c r="AM156" s="9">
        <v>1</v>
      </c>
      <c r="AN156" s="9">
        <v>45992</v>
      </c>
      <c r="AO156" s="9" t="s">
        <v>1931</v>
      </c>
      <c r="AP156" s="9" t="s">
        <v>69</v>
      </c>
      <c r="AQ156" s="9" t="s">
        <v>1932</v>
      </c>
      <c r="AR156" s="9">
        <v>45992</v>
      </c>
      <c r="AS156" s="9" t="s">
        <v>74</v>
      </c>
      <c r="AT156" s="9" t="s">
        <v>1935</v>
      </c>
      <c r="AU156" s="9" t="s">
        <v>1952</v>
      </c>
      <c r="AV156" s="9">
        <v>0</v>
      </c>
      <c r="AW156" s="9" t="s">
        <v>92</v>
      </c>
      <c r="AX156" s="9" t="s">
        <v>377</v>
      </c>
      <c r="AY156" s="9">
        <v>0</v>
      </c>
      <c r="AZ156" s="9">
        <v>45992.429930555554</v>
      </c>
      <c r="BA156" s="9">
        <v>45992.429976851854</v>
      </c>
      <c r="BB156" s="9">
        <v>1</v>
      </c>
      <c r="BC156" s="9">
        <v>3</v>
      </c>
      <c r="BD156" s="9" t="s">
        <v>2087</v>
      </c>
      <c r="BE156" s="9" t="s">
        <v>378</v>
      </c>
      <c r="BF156" s="9" t="s">
        <v>71</v>
      </c>
      <c r="BG156" s="9"/>
      <c r="BH156" s="9">
        <v>0</v>
      </c>
      <c r="BI156" s="9"/>
      <c r="BJ156" s="9">
        <v>0</v>
      </c>
      <c r="BK156" s="9" t="s">
        <v>92</v>
      </c>
      <c r="BL156" s="9" t="s">
        <v>92</v>
      </c>
      <c r="BM156" s="9" t="s">
        <v>72</v>
      </c>
      <c r="BN156" s="9"/>
      <c r="BO156" s="9">
        <v>1</v>
      </c>
      <c r="BP156" s="9" t="s">
        <v>557</v>
      </c>
      <c r="BQ156" s="9">
        <v>0</v>
      </c>
      <c r="BR156" s="9">
        <v>45864.41710648148</v>
      </c>
      <c r="BS156" s="9" t="s">
        <v>109</v>
      </c>
      <c r="BT156" s="9" t="s">
        <v>65</v>
      </c>
      <c r="BU156" s="9"/>
      <c r="BV156" s="9"/>
      <c r="BW156" s="9">
        <v>0</v>
      </c>
      <c r="BX156" s="9">
        <v>45989.986851851849</v>
      </c>
      <c r="BY156" s="9">
        <v>45992.429930555554</v>
      </c>
      <c r="BZ156" s="9"/>
      <c r="CA156" s="9"/>
      <c r="CB156" s="9"/>
      <c r="CC156" s="9"/>
      <c r="CD156" s="9"/>
      <c r="CE156" s="9"/>
      <c r="CF156" s="9"/>
      <c r="CG156" s="9"/>
      <c r="CH156" s="9">
        <v>1</v>
      </c>
      <c r="CI156" s="9">
        <v>0</v>
      </c>
      <c r="CJ156" s="9"/>
      <c r="CK156" s="9"/>
      <c r="CL156" s="9" t="s">
        <v>2047</v>
      </c>
      <c r="CM156" s="9"/>
      <c r="CN156" s="9">
        <v>0</v>
      </c>
      <c r="CO156" s="9" t="s">
        <v>1925</v>
      </c>
      <c r="CP156" s="9"/>
      <c r="CQ156" s="9"/>
    </row>
    <row r="157" spans="1:95" x14ac:dyDescent="0.35">
      <c r="A157" s="9" t="b">
        <f>ISNUMBER(MATCH(Claude[[#This Row],[Id]],ChargentOrders[Id],0))</f>
        <v>1</v>
      </c>
      <c r="B157" t="b">
        <f>INDEX(ChargentOrders[VALIDO],MATCH(Claude[[#This Row],[Id]],ChargentOrders[Id],0))</f>
        <v>1</v>
      </c>
      <c r="C157">
        <f>INDEX(Contract[CB_Subscription__c],MATCH(Claude[[#This Row],[Contract__c]],Contract[Id],0))</f>
        <v>0</v>
      </c>
      <c r="D157" s="9" t="s">
        <v>558</v>
      </c>
      <c r="E157" s="9" t="s">
        <v>101</v>
      </c>
      <c r="F157" s="9">
        <v>0</v>
      </c>
      <c r="G157" s="9" t="s">
        <v>559</v>
      </c>
      <c r="H157" s="9">
        <v>45989.948055555556</v>
      </c>
      <c r="I157" s="9" t="s">
        <v>101</v>
      </c>
      <c r="J157" s="9">
        <v>45989.948113425926</v>
      </c>
      <c r="K157" s="9" t="s">
        <v>101</v>
      </c>
      <c r="L157" s="9">
        <v>45989.948113425926</v>
      </c>
      <c r="M157" s="9"/>
      <c r="N157" s="9"/>
      <c r="O157" s="9" t="s">
        <v>2065</v>
      </c>
      <c r="P157" s="9" t="s">
        <v>2066</v>
      </c>
      <c r="Q157" s="9" t="s">
        <v>1925</v>
      </c>
      <c r="R157" s="9" t="s">
        <v>1652</v>
      </c>
      <c r="S157" s="9" t="s">
        <v>2067</v>
      </c>
      <c r="T157" s="9" t="s">
        <v>2068</v>
      </c>
      <c r="U157" s="9" t="s">
        <v>1928</v>
      </c>
      <c r="V157" s="9">
        <v>961</v>
      </c>
      <c r="W157" s="9">
        <v>10</v>
      </c>
      <c r="X157" s="9">
        <v>2028</v>
      </c>
      <c r="Y157" s="9">
        <v>1352</v>
      </c>
      <c r="Z157" s="9">
        <v>10</v>
      </c>
      <c r="AA157" s="9">
        <v>4870389332151350</v>
      </c>
      <c r="AB157" s="9" t="s">
        <v>73</v>
      </c>
      <c r="AC157" s="9">
        <v>2028</v>
      </c>
      <c r="AD157" s="9" t="s">
        <v>93</v>
      </c>
      <c r="AE157" s="9"/>
      <c r="AF157" s="9" t="s">
        <v>1929</v>
      </c>
      <c r="AG157" s="9"/>
      <c r="AH157" s="9" t="s">
        <v>67</v>
      </c>
      <c r="AI157" s="9">
        <v>0</v>
      </c>
      <c r="AJ157" s="9"/>
      <c r="AK157" s="9">
        <v>0</v>
      </c>
      <c r="AL157" s="9" t="s">
        <v>1930</v>
      </c>
      <c r="AM157" s="9"/>
      <c r="AN157" s="9"/>
      <c r="AO157" s="9" t="s">
        <v>1931</v>
      </c>
      <c r="AP157" s="9" t="s">
        <v>69</v>
      </c>
      <c r="AQ157" s="9" t="s">
        <v>1932</v>
      </c>
      <c r="AR157" s="9"/>
      <c r="AS157" s="9"/>
      <c r="AT157" s="9"/>
      <c r="AU157" s="9" t="s">
        <v>92</v>
      </c>
      <c r="AV157" s="9">
        <v>0</v>
      </c>
      <c r="AW157" s="9"/>
      <c r="AX157" s="9" t="s">
        <v>429</v>
      </c>
      <c r="AY157" s="9">
        <v>0</v>
      </c>
      <c r="AZ157" s="9"/>
      <c r="BA157" s="9">
        <v>45989.948078703703</v>
      </c>
      <c r="BB157" s="9">
        <v>0</v>
      </c>
      <c r="BC157" s="9">
        <v>1</v>
      </c>
      <c r="BD157" s="9">
        <v>0</v>
      </c>
      <c r="BE157" s="9" t="s">
        <v>424</v>
      </c>
      <c r="BF157" s="9"/>
      <c r="BG157" s="9"/>
      <c r="BH157" s="9">
        <v>0</v>
      </c>
      <c r="BI157" s="9"/>
      <c r="BJ157" s="9">
        <v>1</v>
      </c>
      <c r="BK157" s="9"/>
      <c r="BL157" s="9"/>
      <c r="BM157" s="9" t="s">
        <v>75</v>
      </c>
      <c r="BN157" s="9"/>
      <c r="BO157" s="9">
        <v>0</v>
      </c>
      <c r="BP157" s="9"/>
      <c r="BQ157" s="9">
        <v>1</v>
      </c>
      <c r="BR157" s="9"/>
      <c r="BS157" s="9"/>
      <c r="BT157" s="9"/>
      <c r="BU157" s="9"/>
      <c r="BV157" s="9"/>
      <c r="BW157" s="9">
        <v>0</v>
      </c>
      <c r="BX157" s="9"/>
      <c r="BY157" s="9">
        <v>45989.948078703703</v>
      </c>
      <c r="BZ157" s="9"/>
      <c r="CA157" s="9"/>
      <c r="CB157" s="9"/>
      <c r="CC157" s="9"/>
      <c r="CD157" s="9"/>
      <c r="CE157" s="9"/>
      <c r="CF157" s="9"/>
      <c r="CG157" s="9"/>
      <c r="CH157" s="9">
        <v>1</v>
      </c>
      <c r="CI157" s="9">
        <v>0</v>
      </c>
      <c r="CJ157" s="9"/>
      <c r="CK157" s="9"/>
      <c r="CL157" s="9" t="s">
        <v>2069</v>
      </c>
      <c r="CM157" s="9"/>
      <c r="CN157" s="9">
        <v>0</v>
      </c>
      <c r="CO157" s="9" t="s">
        <v>1925</v>
      </c>
      <c r="CP157" s="9"/>
      <c r="CQ157" s="9"/>
    </row>
    <row r="158" spans="1:95" x14ac:dyDescent="0.35">
      <c r="A158" s="9" t="b">
        <f>ISNUMBER(MATCH(Claude[[#This Row],[Id]],ChargentOrders[Id],0))</f>
        <v>1</v>
      </c>
      <c r="B158" t="b">
        <f>INDEX(ChargentOrders[VALIDO],MATCH(Claude[[#This Row],[Id]],ChargentOrders[Id],0))</f>
        <v>1</v>
      </c>
      <c r="C158">
        <f>INDEX(Contract[CB_Subscription__c],MATCH(Claude[[#This Row],[Contract__c]],Contract[Id],0))</f>
        <v>0</v>
      </c>
      <c r="D158" s="9" t="s">
        <v>560</v>
      </c>
      <c r="E158" s="9" t="s">
        <v>531</v>
      </c>
      <c r="F158" s="9">
        <v>0</v>
      </c>
      <c r="G158" s="9" t="s">
        <v>561</v>
      </c>
      <c r="H158" s="9">
        <v>45990.683854166666</v>
      </c>
      <c r="I158" s="9" t="s">
        <v>531</v>
      </c>
      <c r="J158" s="9">
        <v>45990.683912037035</v>
      </c>
      <c r="K158" s="9" t="s">
        <v>531</v>
      </c>
      <c r="L158" s="9">
        <v>45990.683912037035</v>
      </c>
      <c r="M158" s="9"/>
      <c r="N158" s="9"/>
      <c r="O158" s="9" t="s">
        <v>2102</v>
      </c>
      <c r="P158" s="9" t="s">
        <v>2103</v>
      </c>
      <c r="Q158" s="9"/>
      <c r="R158" s="9" t="s">
        <v>1676</v>
      </c>
      <c r="S158" s="9" t="s">
        <v>2104</v>
      </c>
      <c r="T158" s="9" t="s">
        <v>2105</v>
      </c>
      <c r="U158" s="9" t="s">
        <v>1928</v>
      </c>
      <c r="V158" s="9">
        <v>723</v>
      </c>
      <c r="W158" s="9">
        <v>10</v>
      </c>
      <c r="X158" s="9">
        <v>2028</v>
      </c>
      <c r="Y158" s="9">
        <v>5142</v>
      </c>
      <c r="Z158" s="9">
        <v>10</v>
      </c>
      <c r="AA158" s="9">
        <v>5275150098765140</v>
      </c>
      <c r="AB158" s="9" t="s">
        <v>66</v>
      </c>
      <c r="AC158" s="9">
        <v>2028</v>
      </c>
      <c r="AD158" s="9" t="s">
        <v>93</v>
      </c>
      <c r="AE158" s="9"/>
      <c r="AF158" s="9" t="s">
        <v>1929</v>
      </c>
      <c r="AG158" s="9"/>
      <c r="AH158" s="9" t="s">
        <v>67</v>
      </c>
      <c r="AI158" s="9">
        <v>0</v>
      </c>
      <c r="AJ158" s="9"/>
      <c r="AK158" s="9">
        <v>0</v>
      </c>
      <c r="AL158" s="9" t="s">
        <v>1930</v>
      </c>
      <c r="AM158" s="9"/>
      <c r="AN158" s="9"/>
      <c r="AO158" s="9" t="s">
        <v>1931</v>
      </c>
      <c r="AP158" s="9" t="s">
        <v>69</v>
      </c>
      <c r="AQ158" s="9" t="s">
        <v>1932</v>
      </c>
      <c r="AR158" s="9"/>
      <c r="AS158" s="9"/>
      <c r="AT158" s="9"/>
      <c r="AU158" s="9" t="s">
        <v>92</v>
      </c>
      <c r="AV158" s="9">
        <v>0</v>
      </c>
      <c r="AW158" s="9"/>
      <c r="AX158" s="9" t="s">
        <v>562</v>
      </c>
      <c r="AY158" s="9">
        <v>0</v>
      </c>
      <c r="AZ158" s="9"/>
      <c r="BA158" s="9">
        <v>45990.683888888889</v>
      </c>
      <c r="BB158" s="9">
        <v>0</v>
      </c>
      <c r="BC158" s="9">
        <v>1</v>
      </c>
      <c r="BD158" s="9">
        <v>0</v>
      </c>
      <c r="BE158" s="9" t="s">
        <v>563</v>
      </c>
      <c r="BF158" s="9"/>
      <c r="BG158" s="9"/>
      <c r="BH158" s="9">
        <v>0</v>
      </c>
      <c r="BI158" s="9"/>
      <c r="BJ158" s="9">
        <v>1</v>
      </c>
      <c r="BK158" s="9"/>
      <c r="BL158" s="9"/>
      <c r="BM158" s="9" t="s">
        <v>75</v>
      </c>
      <c r="BN158" s="9"/>
      <c r="BO158" s="9">
        <v>0</v>
      </c>
      <c r="BP158" s="9"/>
      <c r="BQ158" s="9">
        <v>1</v>
      </c>
      <c r="BR158" s="9"/>
      <c r="BS158" s="9"/>
      <c r="BT158" s="9"/>
      <c r="BU158" s="9"/>
      <c r="BV158" s="9"/>
      <c r="BW158" s="9">
        <v>0</v>
      </c>
      <c r="BX158" s="9"/>
      <c r="BY158" s="9">
        <v>45990.683888888889</v>
      </c>
      <c r="BZ158" s="9"/>
      <c r="CA158" s="9"/>
      <c r="CB158" s="9"/>
      <c r="CC158" s="9"/>
      <c r="CD158" s="9"/>
      <c r="CE158" s="9"/>
      <c r="CF158" s="9"/>
      <c r="CG158" s="9"/>
      <c r="CH158" s="9">
        <v>1</v>
      </c>
      <c r="CI158" s="9">
        <v>0</v>
      </c>
      <c r="CJ158" s="9"/>
      <c r="CK158" s="9"/>
      <c r="CL158" s="9" t="s">
        <v>2106</v>
      </c>
      <c r="CM158" s="9"/>
      <c r="CN158" s="9">
        <v>0</v>
      </c>
      <c r="CO158" s="9" t="s">
        <v>1925</v>
      </c>
      <c r="CP158" s="9"/>
      <c r="CQ158" s="9"/>
    </row>
    <row r="159" spans="1:95" x14ac:dyDescent="0.35">
      <c r="A159" s="9" t="b">
        <f>ISNUMBER(MATCH(Claude[[#This Row],[Id]],ChargentOrders[Id],0))</f>
        <v>1</v>
      </c>
      <c r="B159" t="b">
        <f>INDEX(ChargentOrders[VALIDO],MATCH(Claude[[#This Row],[Id]],ChargentOrders[Id],0))</f>
        <v>1</v>
      </c>
      <c r="C159">
        <f>INDEX(Contract[CB_Subscription__c],MATCH(Claude[[#This Row],[Contract__c]],Contract[Id],0))</f>
        <v>0</v>
      </c>
      <c r="D159" s="9" t="s">
        <v>564</v>
      </c>
      <c r="E159" s="9" t="s">
        <v>531</v>
      </c>
      <c r="F159" s="9">
        <v>0</v>
      </c>
      <c r="G159" s="9" t="s">
        <v>565</v>
      </c>
      <c r="H159" s="9">
        <v>45990.689004629632</v>
      </c>
      <c r="I159" s="9" t="s">
        <v>531</v>
      </c>
      <c r="J159" s="9">
        <v>46216.95484953704</v>
      </c>
      <c r="K159" s="9" t="s">
        <v>101</v>
      </c>
      <c r="L159" s="9">
        <v>46216.95484953704</v>
      </c>
      <c r="M159" s="9"/>
      <c r="N159" s="9" t="s">
        <v>1678</v>
      </c>
      <c r="O159" s="9" t="s">
        <v>2102</v>
      </c>
      <c r="P159" s="9" t="s">
        <v>2103</v>
      </c>
      <c r="Q159" s="9"/>
      <c r="R159" s="9" t="s">
        <v>1676</v>
      </c>
      <c r="S159" s="9" t="s">
        <v>2104</v>
      </c>
      <c r="T159" s="9" t="s">
        <v>2105</v>
      </c>
      <c r="U159" s="9" t="s">
        <v>1928</v>
      </c>
      <c r="V159" s="9">
        <v>723</v>
      </c>
      <c r="W159" s="9">
        <v>10</v>
      </c>
      <c r="X159" s="9">
        <v>2028</v>
      </c>
      <c r="Y159" s="9">
        <v>5142</v>
      </c>
      <c r="Z159" s="9">
        <v>10</v>
      </c>
      <c r="AA159" s="9">
        <v>5142</v>
      </c>
      <c r="AB159" s="9" t="s">
        <v>66</v>
      </c>
      <c r="AC159" s="9">
        <v>2028</v>
      </c>
      <c r="AD159" s="9" t="s">
        <v>100</v>
      </c>
      <c r="AE159" s="9">
        <v>8</v>
      </c>
      <c r="AF159" s="9" t="s">
        <v>1929</v>
      </c>
      <c r="AG159" s="9"/>
      <c r="AH159" s="9" t="s">
        <v>67</v>
      </c>
      <c r="AI159" s="9">
        <v>0</v>
      </c>
      <c r="AJ159" s="9"/>
      <c r="AK159" s="9">
        <v>0</v>
      </c>
      <c r="AL159" s="9" t="s">
        <v>1930</v>
      </c>
      <c r="AM159" s="9"/>
      <c r="AN159" s="9"/>
      <c r="AO159" s="9" t="s">
        <v>1943</v>
      </c>
      <c r="AP159" s="9" t="s">
        <v>69</v>
      </c>
      <c r="AQ159" s="9" t="s">
        <v>1932</v>
      </c>
      <c r="AR159" s="9">
        <v>46150</v>
      </c>
      <c r="AS159" s="9" t="s">
        <v>90</v>
      </c>
      <c r="AT159" s="9" t="s">
        <v>1944</v>
      </c>
      <c r="AU159" s="9" t="s">
        <v>108</v>
      </c>
      <c r="AV159" s="9">
        <v>0</v>
      </c>
      <c r="AW159" s="9" t="s">
        <v>93</v>
      </c>
      <c r="AX159" s="9" t="s">
        <v>562</v>
      </c>
      <c r="AY159" s="9">
        <v>0</v>
      </c>
      <c r="AZ159" s="9">
        <v>46091.417372685188</v>
      </c>
      <c r="BA159" s="9">
        <v>46091.417372685188</v>
      </c>
      <c r="BB159" s="9">
        <v>1</v>
      </c>
      <c r="BC159" s="9">
        <v>6</v>
      </c>
      <c r="BD159" s="9" t="s">
        <v>100</v>
      </c>
      <c r="BE159" s="9" t="s">
        <v>563</v>
      </c>
      <c r="BF159" s="9" t="s">
        <v>76</v>
      </c>
      <c r="BG159" s="9"/>
      <c r="BH159" s="9">
        <v>0</v>
      </c>
      <c r="BI159" s="9"/>
      <c r="BJ159" s="9">
        <v>6</v>
      </c>
      <c r="BK159" s="9" t="s">
        <v>92</v>
      </c>
      <c r="BL159" s="9" t="s">
        <v>92</v>
      </c>
      <c r="BM159" s="9" t="s">
        <v>75</v>
      </c>
      <c r="BN159" s="9"/>
      <c r="BO159" s="9">
        <v>0</v>
      </c>
      <c r="BP159" s="9"/>
      <c r="BQ159" s="9">
        <v>0</v>
      </c>
      <c r="BR159" s="9"/>
      <c r="BS159" s="9"/>
      <c r="BT159" s="9"/>
      <c r="BU159" s="9"/>
      <c r="BV159" s="9"/>
      <c r="BW159" s="9">
        <v>0</v>
      </c>
      <c r="BX159" s="9">
        <v>46216.954837962963</v>
      </c>
      <c r="BY159" s="9">
        <v>46216.954837962963</v>
      </c>
      <c r="BZ159" s="9"/>
      <c r="CA159" s="9"/>
      <c r="CB159" s="9"/>
      <c r="CC159" s="9"/>
      <c r="CD159" s="9"/>
      <c r="CE159" s="9"/>
      <c r="CF159" s="9"/>
      <c r="CG159" s="9"/>
      <c r="CH159" s="9">
        <v>1</v>
      </c>
      <c r="CI159" s="9">
        <v>0</v>
      </c>
      <c r="CJ159" s="9"/>
      <c r="CK159" s="9"/>
      <c r="CL159" s="9" t="s">
        <v>2106</v>
      </c>
      <c r="CM159" s="9"/>
      <c r="CN159" s="9">
        <v>0</v>
      </c>
      <c r="CO159" s="9" t="s">
        <v>1925</v>
      </c>
      <c r="CP159" s="9"/>
      <c r="CQ159" s="9">
        <v>0</v>
      </c>
    </row>
    <row r="160" spans="1:95" x14ac:dyDescent="0.35">
      <c r="A160" s="9" t="b">
        <f>ISNUMBER(MATCH(Claude[[#This Row],[Id]],ChargentOrders[Id],0))</f>
        <v>1</v>
      </c>
      <c r="B160" t="b">
        <f>INDEX(ChargentOrders[VALIDO],MATCH(Claude[[#This Row],[Id]],ChargentOrders[Id],0))</f>
        <v>1</v>
      </c>
      <c r="C160">
        <f>INDEX(Contract[CB_Subscription__c],MATCH(Claude[[#This Row],[Contract__c]],Contract[Id],0))</f>
        <v>0</v>
      </c>
      <c r="D160" s="9" t="s">
        <v>566</v>
      </c>
      <c r="E160" s="9" t="s">
        <v>78</v>
      </c>
      <c r="F160" s="9">
        <v>0</v>
      </c>
      <c r="G160" s="9" t="s">
        <v>567</v>
      </c>
      <c r="H160" s="9">
        <v>45992.659745370373</v>
      </c>
      <c r="I160" s="9" t="s">
        <v>78</v>
      </c>
      <c r="J160" s="9">
        <v>46127.997060185182</v>
      </c>
      <c r="K160" s="9" t="s">
        <v>78</v>
      </c>
      <c r="L160" s="9">
        <v>46127.997060185182</v>
      </c>
      <c r="M160" s="9"/>
      <c r="N160" s="9" t="s">
        <v>1639</v>
      </c>
      <c r="O160" s="9" t="s">
        <v>2043</v>
      </c>
      <c r="P160" s="9" t="s">
        <v>2044</v>
      </c>
      <c r="Q160" s="9" t="s">
        <v>1925</v>
      </c>
      <c r="R160" s="9" t="s">
        <v>1637</v>
      </c>
      <c r="S160" s="9" t="s">
        <v>2045</v>
      </c>
      <c r="T160" s="9" t="s">
        <v>2046</v>
      </c>
      <c r="U160" s="9" t="s">
        <v>1925</v>
      </c>
      <c r="V160" s="9">
        <v>725</v>
      </c>
      <c r="W160" s="9">
        <v>6</v>
      </c>
      <c r="X160" s="9">
        <v>2029</v>
      </c>
      <c r="Y160" s="9">
        <v>3025</v>
      </c>
      <c r="Z160" s="9">
        <v>6</v>
      </c>
      <c r="AA160" s="9" t="s">
        <v>1452</v>
      </c>
      <c r="AB160" s="9" t="s">
        <v>66</v>
      </c>
      <c r="AC160" s="9">
        <v>2029</v>
      </c>
      <c r="AD160" s="9" t="s">
        <v>1952</v>
      </c>
      <c r="AE160" s="9"/>
      <c r="AF160" s="9"/>
      <c r="AG160" s="9"/>
      <c r="AH160" s="9" t="s">
        <v>67</v>
      </c>
      <c r="AI160" s="9">
        <v>0</v>
      </c>
      <c r="AJ160" s="9"/>
      <c r="AK160" s="9">
        <v>0</v>
      </c>
      <c r="AL160" s="9" t="s">
        <v>1930</v>
      </c>
      <c r="AM160" s="9">
        <v>1</v>
      </c>
      <c r="AN160" s="9">
        <v>46076</v>
      </c>
      <c r="AO160" s="9" t="s">
        <v>1931</v>
      </c>
      <c r="AP160" s="9" t="s">
        <v>69</v>
      </c>
      <c r="AQ160" s="9" t="s">
        <v>1932</v>
      </c>
      <c r="AR160" s="9">
        <v>46076</v>
      </c>
      <c r="AS160" s="9" t="s">
        <v>74</v>
      </c>
      <c r="AT160" s="9" t="s">
        <v>1935</v>
      </c>
      <c r="AU160" s="9" t="s">
        <v>1952</v>
      </c>
      <c r="AV160" s="9">
        <v>0</v>
      </c>
      <c r="AW160" s="9" t="s">
        <v>92</v>
      </c>
      <c r="AX160" s="9" t="s">
        <v>377</v>
      </c>
      <c r="AY160" s="9">
        <v>0</v>
      </c>
      <c r="AZ160" s="9">
        <v>46076.41883101852</v>
      </c>
      <c r="BA160" s="9">
        <v>46076.418842592589</v>
      </c>
      <c r="BB160" s="9">
        <v>1</v>
      </c>
      <c r="BC160" s="9">
        <v>5</v>
      </c>
      <c r="BD160" s="9" t="s">
        <v>2087</v>
      </c>
      <c r="BE160" s="9" t="s">
        <v>378</v>
      </c>
      <c r="BF160" s="9" t="s">
        <v>71</v>
      </c>
      <c r="BG160" s="9" t="s">
        <v>568</v>
      </c>
      <c r="BH160" s="9">
        <v>0</v>
      </c>
      <c r="BI160" s="9"/>
      <c r="BJ160" s="9">
        <v>1</v>
      </c>
      <c r="BK160" s="9">
        <v>0</v>
      </c>
      <c r="BL160" s="9">
        <v>0</v>
      </c>
      <c r="BM160" s="9" t="s">
        <v>75</v>
      </c>
      <c r="BN160" s="9"/>
      <c r="BO160" s="9">
        <v>1</v>
      </c>
      <c r="BP160" s="9"/>
      <c r="BQ160" s="9">
        <v>0</v>
      </c>
      <c r="BR160" s="9"/>
      <c r="BS160" s="9" t="s">
        <v>109</v>
      </c>
      <c r="BT160" s="9"/>
      <c r="BU160" s="9"/>
      <c r="BV160" s="9"/>
      <c r="BW160" s="9">
        <v>0</v>
      </c>
      <c r="BX160" s="9">
        <v>46074.026041666664</v>
      </c>
      <c r="BY160" s="9">
        <v>46076.41883101852</v>
      </c>
      <c r="BZ160" s="9"/>
      <c r="CA160" s="9"/>
      <c r="CB160" s="9"/>
      <c r="CC160" s="9"/>
      <c r="CD160" s="9"/>
      <c r="CE160" s="9"/>
      <c r="CF160" s="9"/>
      <c r="CG160" s="9"/>
      <c r="CH160" s="9">
        <v>1</v>
      </c>
      <c r="CI160" s="9">
        <v>0</v>
      </c>
      <c r="CJ160" s="9"/>
      <c r="CK160" s="9"/>
      <c r="CL160" s="9"/>
      <c r="CM160" s="9" t="s">
        <v>166</v>
      </c>
      <c r="CN160" s="9">
        <v>0</v>
      </c>
      <c r="CO160" s="9" t="s">
        <v>1925</v>
      </c>
      <c r="CP160" s="9"/>
      <c r="CQ160" s="9"/>
    </row>
    <row r="161" spans="1:95" x14ac:dyDescent="0.35">
      <c r="A161" s="9" t="b">
        <f>ISNUMBER(MATCH(Claude[[#This Row],[Id]],ChargentOrders[Id],0))</f>
        <v>1</v>
      </c>
      <c r="B161" t="b">
        <f>INDEX(ChargentOrders[VALIDO],MATCH(Claude[[#This Row],[Id]],ChargentOrders[Id],0))</f>
        <v>1</v>
      </c>
      <c r="C161">
        <f>INDEX(Contract[CB_Subscription__c],MATCH(Claude[[#This Row],[Contract__c]],Contract[Id],0))</f>
        <v>0</v>
      </c>
      <c r="D161" s="9" t="s">
        <v>569</v>
      </c>
      <c r="E161" s="9" t="s">
        <v>78</v>
      </c>
      <c r="F161" s="9">
        <v>0</v>
      </c>
      <c r="G161" s="9" t="s">
        <v>570</v>
      </c>
      <c r="H161" s="9">
        <v>45992.657743055555</v>
      </c>
      <c r="I161" s="9" t="s">
        <v>78</v>
      </c>
      <c r="J161" s="9">
        <v>46032.002662037034</v>
      </c>
      <c r="K161" s="9" t="s">
        <v>101</v>
      </c>
      <c r="L161" s="9">
        <v>46032.002662037034</v>
      </c>
      <c r="M161" s="9"/>
      <c r="N161" s="9" t="s">
        <v>1639</v>
      </c>
      <c r="O161" s="9" t="s">
        <v>2043</v>
      </c>
      <c r="P161" s="9" t="s">
        <v>2044</v>
      </c>
      <c r="Q161" s="9" t="s">
        <v>1925</v>
      </c>
      <c r="R161" s="9" t="s">
        <v>1637</v>
      </c>
      <c r="S161" s="9" t="s">
        <v>2045</v>
      </c>
      <c r="T161" s="9" t="s">
        <v>2046</v>
      </c>
      <c r="U161" s="9" t="s">
        <v>1925</v>
      </c>
      <c r="V161" s="9">
        <v>725</v>
      </c>
      <c r="W161" s="9">
        <v>6</v>
      </c>
      <c r="X161" s="9">
        <v>2029</v>
      </c>
      <c r="Y161" s="9">
        <v>3025</v>
      </c>
      <c r="Z161" s="9">
        <v>6</v>
      </c>
      <c r="AA161" s="9" t="s">
        <v>1452</v>
      </c>
      <c r="AB161" s="9" t="s">
        <v>66</v>
      </c>
      <c r="AC161" s="9">
        <v>2029</v>
      </c>
      <c r="AD161" s="9" t="s">
        <v>2087</v>
      </c>
      <c r="AE161" s="9"/>
      <c r="AF161" s="9"/>
      <c r="AG161" s="9"/>
      <c r="AH161" s="9" t="s">
        <v>67</v>
      </c>
      <c r="AI161" s="9">
        <v>0</v>
      </c>
      <c r="AJ161" s="9"/>
      <c r="AK161" s="9">
        <v>0</v>
      </c>
      <c r="AL161" s="9" t="s">
        <v>1930</v>
      </c>
      <c r="AM161" s="9">
        <v>1</v>
      </c>
      <c r="AN161" s="9">
        <v>46034</v>
      </c>
      <c r="AO161" s="9" t="s">
        <v>1931</v>
      </c>
      <c r="AP161" s="9" t="s">
        <v>69</v>
      </c>
      <c r="AQ161" s="9" t="s">
        <v>1932</v>
      </c>
      <c r="AR161" s="9">
        <v>46034</v>
      </c>
      <c r="AS161" s="9" t="s">
        <v>74</v>
      </c>
      <c r="AT161" s="9" t="s">
        <v>1935</v>
      </c>
      <c r="AU161" s="9" t="s">
        <v>1952</v>
      </c>
      <c r="AV161" s="9">
        <v>0</v>
      </c>
      <c r="AW161" s="9" t="s">
        <v>93</v>
      </c>
      <c r="AX161" s="9" t="s">
        <v>377</v>
      </c>
      <c r="AY161" s="9">
        <v>0</v>
      </c>
      <c r="AZ161" s="9">
        <v>46032.002638888887</v>
      </c>
      <c r="BA161" s="9">
        <v>46032.002638888887</v>
      </c>
      <c r="BB161" s="9">
        <v>1</v>
      </c>
      <c r="BC161" s="9">
        <v>7</v>
      </c>
      <c r="BD161" s="9" t="s">
        <v>2087</v>
      </c>
      <c r="BE161" s="9" t="s">
        <v>378</v>
      </c>
      <c r="BF161" s="9" t="s">
        <v>71</v>
      </c>
      <c r="BG161" s="9" t="s">
        <v>568</v>
      </c>
      <c r="BH161" s="9">
        <v>0</v>
      </c>
      <c r="BI161" s="9"/>
      <c r="BJ161" s="9">
        <v>1</v>
      </c>
      <c r="BK161" s="9">
        <v>0</v>
      </c>
      <c r="BL161" s="9">
        <v>0</v>
      </c>
      <c r="BM161" s="9" t="s">
        <v>75</v>
      </c>
      <c r="BN161" s="9"/>
      <c r="BO161" s="9">
        <v>1</v>
      </c>
      <c r="BP161" s="9"/>
      <c r="BQ161" s="9">
        <v>0</v>
      </c>
      <c r="BR161" s="9">
        <v>46022.770416666666</v>
      </c>
      <c r="BS161" s="9" t="s">
        <v>109</v>
      </c>
      <c r="BT161" s="9"/>
      <c r="BU161" s="9"/>
      <c r="BV161" s="9"/>
      <c r="BW161" s="9">
        <v>0</v>
      </c>
      <c r="BX161" s="9">
        <v>46031.423564814817</v>
      </c>
      <c r="BY161" s="9">
        <v>46032.002638888887</v>
      </c>
      <c r="BZ161" s="9"/>
      <c r="CA161" s="9"/>
      <c r="CB161" s="9"/>
      <c r="CC161" s="9"/>
      <c r="CD161" s="9"/>
      <c r="CE161" s="9"/>
      <c r="CF161" s="9"/>
      <c r="CG161" s="9"/>
      <c r="CH161" s="9">
        <v>1</v>
      </c>
      <c r="CI161" s="9">
        <v>0</v>
      </c>
      <c r="CJ161" s="9"/>
      <c r="CK161" s="9"/>
      <c r="CL161" s="9"/>
      <c r="CM161" s="9" t="s">
        <v>193</v>
      </c>
      <c r="CN161" s="9">
        <v>0</v>
      </c>
      <c r="CO161" s="9" t="s">
        <v>1925</v>
      </c>
      <c r="CP161" s="9"/>
      <c r="CQ161" s="9"/>
    </row>
    <row r="162" spans="1:95" x14ac:dyDescent="0.35">
      <c r="A162" s="9" t="b">
        <f>ISNUMBER(MATCH(Claude[[#This Row],[Id]],ChargentOrders[Id],0))</f>
        <v>1</v>
      </c>
      <c r="B162" t="b">
        <f>INDEX(ChargentOrders[VALIDO],MATCH(Claude[[#This Row],[Id]],ChargentOrders[Id],0))</f>
        <v>1</v>
      </c>
      <c r="C162">
        <f>INDEX(Contract[CB_Subscription__c],MATCH(Claude[[#This Row],[Contract__c]],Contract[Id],0))</f>
        <v>0</v>
      </c>
      <c r="D162" s="9" t="s">
        <v>571</v>
      </c>
      <c r="E162" s="9" t="s">
        <v>78</v>
      </c>
      <c r="F162" s="9">
        <v>0</v>
      </c>
      <c r="G162" s="9" t="s">
        <v>572</v>
      </c>
      <c r="H162" s="9">
        <v>45992.657858796294</v>
      </c>
      <c r="I162" s="9" t="s">
        <v>78</v>
      </c>
      <c r="J162" s="9">
        <v>46217.739004629628</v>
      </c>
      <c r="K162" s="9" t="s">
        <v>78</v>
      </c>
      <c r="L162" s="9">
        <v>46217.739004629628</v>
      </c>
      <c r="M162" s="9"/>
      <c r="N162" s="9" t="s">
        <v>1639</v>
      </c>
      <c r="O162" s="9" t="s">
        <v>2043</v>
      </c>
      <c r="P162" s="9" t="s">
        <v>2044</v>
      </c>
      <c r="Q162" s="9" t="s">
        <v>1925</v>
      </c>
      <c r="R162" s="9" t="s">
        <v>1637</v>
      </c>
      <c r="S162" s="9" t="s">
        <v>2045</v>
      </c>
      <c r="T162" s="9" t="s">
        <v>2046</v>
      </c>
      <c r="U162" s="9" t="s">
        <v>1925</v>
      </c>
      <c r="V162" s="9">
        <v>725</v>
      </c>
      <c r="W162" s="9">
        <v>6</v>
      </c>
      <c r="X162" s="9">
        <v>2029</v>
      </c>
      <c r="Y162" s="9">
        <v>3025</v>
      </c>
      <c r="Z162" s="9">
        <v>6</v>
      </c>
      <c r="AA162" s="9" t="s">
        <v>1452</v>
      </c>
      <c r="AB162" s="9" t="s">
        <v>66</v>
      </c>
      <c r="AC162" s="9">
        <v>2029</v>
      </c>
      <c r="AD162" s="9" t="s">
        <v>1952</v>
      </c>
      <c r="AE162" s="9"/>
      <c r="AF162" s="9"/>
      <c r="AG162" s="9"/>
      <c r="AH162" s="9" t="s">
        <v>67</v>
      </c>
      <c r="AI162" s="9">
        <v>0</v>
      </c>
      <c r="AJ162" s="9"/>
      <c r="AK162" s="9">
        <v>0</v>
      </c>
      <c r="AL162" s="9" t="s">
        <v>1930</v>
      </c>
      <c r="AM162" s="9">
        <v>1</v>
      </c>
      <c r="AN162" s="9">
        <v>46017</v>
      </c>
      <c r="AO162" s="9" t="s">
        <v>1931</v>
      </c>
      <c r="AP162" s="9" t="s">
        <v>69</v>
      </c>
      <c r="AQ162" s="9"/>
      <c r="AR162" s="9">
        <v>46037</v>
      </c>
      <c r="AS162" s="9" t="s">
        <v>84</v>
      </c>
      <c r="AT162" s="9" t="s">
        <v>1935</v>
      </c>
      <c r="AU162" s="9" t="s">
        <v>1952</v>
      </c>
      <c r="AV162" s="9">
        <v>0</v>
      </c>
      <c r="AW162" s="9">
        <v>0</v>
      </c>
      <c r="AX162" s="9" t="s">
        <v>377</v>
      </c>
      <c r="AY162" s="9">
        <v>0</v>
      </c>
      <c r="AZ162" s="9"/>
      <c r="BA162" s="9"/>
      <c r="BB162" s="9">
        <v>0</v>
      </c>
      <c r="BC162" s="9">
        <v>0</v>
      </c>
      <c r="BD162" s="9">
        <v>0</v>
      </c>
      <c r="BE162" s="9" t="s">
        <v>378</v>
      </c>
      <c r="BF162" s="9" t="s">
        <v>71</v>
      </c>
      <c r="BG162" s="9" t="s">
        <v>568</v>
      </c>
      <c r="BH162" s="9">
        <v>0</v>
      </c>
      <c r="BI162" s="9"/>
      <c r="BJ162" s="9">
        <v>1</v>
      </c>
      <c r="BK162" s="9">
        <v>0</v>
      </c>
      <c r="BL162" s="9">
        <v>0</v>
      </c>
      <c r="BM162" s="9" t="s">
        <v>75</v>
      </c>
      <c r="BN162" s="9"/>
      <c r="BO162" s="9">
        <v>1</v>
      </c>
      <c r="BP162" s="9"/>
      <c r="BQ162" s="9">
        <v>0</v>
      </c>
      <c r="BR162" s="9"/>
      <c r="BS162" s="9" t="s">
        <v>109</v>
      </c>
      <c r="BT162" s="9"/>
      <c r="BU162" s="9"/>
      <c r="BV162" s="9"/>
      <c r="BW162" s="9">
        <v>0</v>
      </c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>
        <v>1</v>
      </c>
      <c r="CI162" s="9">
        <v>0</v>
      </c>
      <c r="CJ162" s="9"/>
      <c r="CK162" s="9"/>
      <c r="CL162" s="9"/>
      <c r="CM162" s="9" t="s">
        <v>212</v>
      </c>
      <c r="CN162" s="9">
        <v>0</v>
      </c>
      <c r="CO162" s="9" t="s">
        <v>1925</v>
      </c>
      <c r="CP162" s="9"/>
      <c r="CQ162" s="9">
        <v>0</v>
      </c>
    </row>
    <row r="163" spans="1:95" x14ac:dyDescent="0.35">
      <c r="A163" s="9" t="b">
        <f>ISNUMBER(MATCH(Claude[[#This Row],[Id]],ChargentOrders[Id],0))</f>
        <v>1</v>
      </c>
      <c r="B163" t="b">
        <f>INDEX(ChargentOrders[VALIDO],MATCH(Claude[[#This Row],[Id]],ChargentOrders[Id],0))</f>
        <v>1</v>
      </c>
      <c r="C163">
        <f>INDEX(Contract[CB_Subscription__c],MATCH(Claude[[#This Row],[Contract__c]],Contract[Id],0))</f>
        <v>0</v>
      </c>
      <c r="D163" s="9" t="s">
        <v>573</v>
      </c>
      <c r="E163" s="9" t="s">
        <v>81</v>
      </c>
      <c r="F163" s="9">
        <v>0</v>
      </c>
      <c r="G163" s="9" t="s">
        <v>574</v>
      </c>
      <c r="H163" s="9">
        <v>45992.944212962961</v>
      </c>
      <c r="I163" s="9" t="s">
        <v>81</v>
      </c>
      <c r="J163" s="9">
        <v>45992.94427083333</v>
      </c>
      <c r="K163" s="9" t="s">
        <v>81</v>
      </c>
      <c r="L163" s="9">
        <v>45992.94427083333</v>
      </c>
      <c r="M163" s="9"/>
      <c r="N163" s="9"/>
      <c r="O163" s="9" t="s">
        <v>2107</v>
      </c>
      <c r="P163" s="9" t="s">
        <v>2108</v>
      </c>
      <c r="Q163" s="9" t="s">
        <v>1925</v>
      </c>
      <c r="R163" s="9" t="s">
        <v>1686</v>
      </c>
      <c r="S163" s="9" t="s">
        <v>2109</v>
      </c>
      <c r="T163" s="9" t="s">
        <v>2110</v>
      </c>
      <c r="U163" s="9" t="s">
        <v>1928</v>
      </c>
      <c r="V163" s="9">
        <v>783</v>
      </c>
      <c r="W163" s="9">
        <v>2</v>
      </c>
      <c r="X163" s="9">
        <v>2030</v>
      </c>
      <c r="Y163" s="9">
        <v>6463</v>
      </c>
      <c r="Z163" s="9">
        <v>2</v>
      </c>
      <c r="AA163" s="9">
        <v>4549518066746460</v>
      </c>
      <c r="AB163" s="9" t="s">
        <v>73</v>
      </c>
      <c r="AC163" s="9">
        <v>2030</v>
      </c>
      <c r="AD163" s="9" t="s">
        <v>93</v>
      </c>
      <c r="AE163" s="9"/>
      <c r="AF163" s="9" t="s">
        <v>1929</v>
      </c>
      <c r="AG163" s="9"/>
      <c r="AH163" s="9" t="s">
        <v>67</v>
      </c>
      <c r="AI163" s="9">
        <v>0</v>
      </c>
      <c r="AJ163" s="9"/>
      <c r="AK163" s="9">
        <v>0</v>
      </c>
      <c r="AL163" s="9" t="s">
        <v>1930</v>
      </c>
      <c r="AM163" s="9"/>
      <c r="AN163" s="9"/>
      <c r="AO163" s="9" t="s">
        <v>1931</v>
      </c>
      <c r="AP163" s="9" t="s">
        <v>69</v>
      </c>
      <c r="AQ163" s="9" t="s">
        <v>1932</v>
      </c>
      <c r="AR163" s="9"/>
      <c r="AS163" s="9"/>
      <c r="AT163" s="9"/>
      <c r="AU163" s="9" t="s">
        <v>92</v>
      </c>
      <c r="AV163" s="9">
        <v>0</v>
      </c>
      <c r="AW163" s="9"/>
      <c r="AX163" s="9" t="s">
        <v>575</v>
      </c>
      <c r="AY163" s="9">
        <v>0</v>
      </c>
      <c r="AZ163" s="9"/>
      <c r="BA163" s="9">
        <v>45992.944236111114</v>
      </c>
      <c r="BB163" s="9">
        <v>0</v>
      </c>
      <c r="BC163" s="9">
        <v>1</v>
      </c>
      <c r="BD163" s="9">
        <v>0</v>
      </c>
      <c r="BE163" s="9" t="s">
        <v>576</v>
      </c>
      <c r="BF163" s="9"/>
      <c r="BG163" s="9"/>
      <c r="BH163" s="9">
        <v>0</v>
      </c>
      <c r="BI163" s="9"/>
      <c r="BJ163" s="9">
        <v>1</v>
      </c>
      <c r="BK163" s="9"/>
      <c r="BL163" s="9"/>
      <c r="BM163" s="9" t="s">
        <v>75</v>
      </c>
      <c r="BN163" s="9"/>
      <c r="BO163" s="9">
        <v>0</v>
      </c>
      <c r="BP163" s="9"/>
      <c r="BQ163" s="9">
        <v>1</v>
      </c>
      <c r="BR163" s="9"/>
      <c r="BS163" s="9"/>
      <c r="BT163" s="9"/>
      <c r="BU163" s="9"/>
      <c r="BV163" s="9"/>
      <c r="BW163" s="9">
        <v>0</v>
      </c>
      <c r="BX163" s="9"/>
      <c r="BY163" s="9">
        <v>45992.944236111114</v>
      </c>
      <c r="BZ163" s="9"/>
      <c r="CA163" s="9"/>
      <c r="CB163" s="9"/>
      <c r="CC163" s="9"/>
      <c r="CD163" s="9"/>
      <c r="CE163" s="9"/>
      <c r="CF163" s="9"/>
      <c r="CG163" s="9"/>
      <c r="CH163" s="9">
        <v>1</v>
      </c>
      <c r="CI163" s="9">
        <v>0</v>
      </c>
      <c r="CJ163" s="9"/>
      <c r="CK163" s="9"/>
      <c r="CL163" s="9" t="s">
        <v>2111</v>
      </c>
      <c r="CM163" s="9"/>
      <c r="CN163" s="9">
        <v>0</v>
      </c>
      <c r="CO163" s="9" t="s">
        <v>1925</v>
      </c>
      <c r="CP163" s="9"/>
      <c r="CQ163" s="9"/>
    </row>
    <row r="164" spans="1:95" x14ac:dyDescent="0.35">
      <c r="A164" s="9" t="b">
        <f>ISNUMBER(MATCH(Claude[[#This Row],[Id]],ChargentOrders[Id],0))</f>
        <v>1</v>
      </c>
      <c r="B164" t="b">
        <f>INDEX(ChargentOrders[VALIDO],MATCH(Claude[[#This Row],[Id]],ChargentOrders[Id],0))</f>
        <v>1</v>
      </c>
      <c r="C164">
        <f>INDEX(Contract[CB_Subscription__c],MATCH(Claude[[#This Row],[Contract__c]],Contract[Id],0))</f>
        <v>0</v>
      </c>
      <c r="D164" s="9" t="s">
        <v>577</v>
      </c>
      <c r="E164" s="9" t="s">
        <v>81</v>
      </c>
      <c r="F164" s="9">
        <v>0</v>
      </c>
      <c r="G164" s="9" t="s">
        <v>578</v>
      </c>
      <c r="H164" s="9">
        <v>45992.945196759261</v>
      </c>
      <c r="I164" s="9" t="s">
        <v>81</v>
      </c>
      <c r="J164" s="9">
        <v>46217.738564814812</v>
      </c>
      <c r="K164" s="9" t="s">
        <v>78</v>
      </c>
      <c r="L164" s="9">
        <v>46217.738564814812</v>
      </c>
      <c r="M164" s="9"/>
      <c r="N164" s="9" t="s">
        <v>1688</v>
      </c>
      <c r="O164" s="9" t="s">
        <v>2107</v>
      </c>
      <c r="P164" s="9" t="s">
        <v>2108</v>
      </c>
      <c r="Q164" s="9" t="s">
        <v>1925</v>
      </c>
      <c r="R164" s="9" t="s">
        <v>1686</v>
      </c>
      <c r="S164" s="9" t="s">
        <v>2109</v>
      </c>
      <c r="T164" s="9" t="s">
        <v>2110</v>
      </c>
      <c r="U164" s="9" t="s">
        <v>1928</v>
      </c>
      <c r="V164" s="9">
        <v>783</v>
      </c>
      <c r="W164" s="9">
        <v>2</v>
      </c>
      <c r="X164" s="9">
        <v>2030</v>
      </c>
      <c r="Y164" s="9">
        <v>6463</v>
      </c>
      <c r="Z164" s="9">
        <v>2</v>
      </c>
      <c r="AA164" s="9">
        <v>4549518066746460</v>
      </c>
      <c r="AB164" s="9" t="s">
        <v>73</v>
      </c>
      <c r="AC164" s="9">
        <v>2030</v>
      </c>
      <c r="AD164" s="9" t="s">
        <v>100</v>
      </c>
      <c r="AE164" s="9">
        <v>29</v>
      </c>
      <c r="AF164" s="9" t="s">
        <v>1929</v>
      </c>
      <c r="AG164" s="9"/>
      <c r="AH164" s="9" t="s">
        <v>67</v>
      </c>
      <c r="AI164" s="9">
        <v>0</v>
      </c>
      <c r="AJ164" s="9"/>
      <c r="AK164" s="9">
        <v>0</v>
      </c>
      <c r="AL164" s="9" t="s">
        <v>1930</v>
      </c>
      <c r="AM164" s="9"/>
      <c r="AN164" s="9"/>
      <c r="AO164" s="9" t="s">
        <v>1943</v>
      </c>
      <c r="AP164" s="9" t="s">
        <v>69</v>
      </c>
      <c r="AQ164" s="9" t="s">
        <v>1932</v>
      </c>
      <c r="AR164" s="9">
        <v>46263</v>
      </c>
      <c r="AS164" s="9" t="s">
        <v>84</v>
      </c>
      <c r="AT164" s="9" t="s">
        <v>1944</v>
      </c>
      <c r="AU164" s="9" t="s">
        <v>108</v>
      </c>
      <c r="AV164" s="9">
        <v>0</v>
      </c>
      <c r="AW164" s="9" t="s">
        <v>93</v>
      </c>
      <c r="AX164" s="9" t="s">
        <v>575</v>
      </c>
      <c r="AY164" s="9">
        <v>0</v>
      </c>
      <c r="AZ164" s="9">
        <v>46216.984166666669</v>
      </c>
      <c r="BA164" s="9">
        <v>46216.984178240738</v>
      </c>
      <c r="BB164" s="9">
        <v>6</v>
      </c>
      <c r="BC164" s="9">
        <v>6</v>
      </c>
      <c r="BD164" s="9" t="s">
        <v>2112</v>
      </c>
      <c r="BE164" s="9" t="s">
        <v>576</v>
      </c>
      <c r="BF164" s="9" t="s">
        <v>76</v>
      </c>
      <c r="BG164" s="9"/>
      <c r="BH164" s="9">
        <v>0</v>
      </c>
      <c r="BI164" s="9"/>
      <c r="BJ164" s="9">
        <v>6</v>
      </c>
      <c r="BK164" s="9" t="s">
        <v>92</v>
      </c>
      <c r="BL164" s="9" t="s">
        <v>92</v>
      </c>
      <c r="BM164" s="9" t="s">
        <v>75</v>
      </c>
      <c r="BN164" s="9"/>
      <c r="BO164" s="9">
        <v>0</v>
      </c>
      <c r="BP164" s="9"/>
      <c r="BQ164" s="9">
        <v>0</v>
      </c>
      <c r="BR164" s="9"/>
      <c r="BS164" s="9"/>
      <c r="BT164" s="9"/>
      <c r="BU164" s="9"/>
      <c r="BV164" s="9"/>
      <c r="BW164" s="9">
        <v>0</v>
      </c>
      <c r="BX164" s="9"/>
      <c r="BY164" s="9">
        <v>46216.984166666669</v>
      </c>
      <c r="BZ164" s="9"/>
      <c r="CA164" s="9"/>
      <c r="CB164" s="9"/>
      <c r="CC164" s="9"/>
      <c r="CD164" s="9"/>
      <c r="CE164" s="9"/>
      <c r="CF164" s="9"/>
      <c r="CG164" s="9"/>
      <c r="CH164" s="9">
        <v>1</v>
      </c>
      <c r="CI164" s="9">
        <v>0</v>
      </c>
      <c r="CJ164" s="9"/>
      <c r="CK164" s="9"/>
      <c r="CL164" s="9" t="s">
        <v>2111</v>
      </c>
      <c r="CM164" s="9"/>
      <c r="CN164" s="9">
        <v>0</v>
      </c>
      <c r="CO164" s="9" t="s">
        <v>1925</v>
      </c>
      <c r="CP164" s="9"/>
      <c r="CQ164" s="9">
        <v>0</v>
      </c>
    </row>
    <row r="165" spans="1:95" x14ac:dyDescent="0.35">
      <c r="A165" s="9" t="b">
        <f>ISNUMBER(MATCH(Claude[[#This Row],[Id]],ChargentOrders[Id],0))</f>
        <v>1</v>
      </c>
      <c r="B165" t="b">
        <f>INDEX(ChargentOrders[VALIDO],MATCH(Claude[[#This Row],[Id]],ChargentOrders[Id],0))</f>
        <v>1</v>
      </c>
      <c r="C165">
        <f>INDEX(Contract[CB_Subscription__c],MATCH(Claude[[#This Row],[Contract__c]],Contract[Id],0))</f>
        <v>0</v>
      </c>
      <c r="D165" s="9" t="s">
        <v>579</v>
      </c>
      <c r="E165" s="9" t="s">
        <v>81</v>
      </c>
      <c r="F165" s="9">
        <v>0</v>
      </c>
      <c r="G165" s="9" t="s">
        <v>580</v>
      </c>
      <c r="H165" s="9">
        <v>45992.951527777775</v>
      </c>
      <c r="I165" s="9" t="s">
        <v>81</v>
      </c>
      <c r="J165" s="9">
        <v>45992.951597222222</v>
      </c>
      <c r="K165" s="9" t="s">
        <v>81</v>
      </c>
      <c r="L165" s="9">
        <v>45992.951597222222</v>
      </c>
      <c r="M165" s="9"/>
      <c r="N165" s="9"/>
      <c r="O165" s="9" t="s">
        <v>2107</v>
      </c>
      <c r="P165" s="9" t="s">
        <v>2108</v>
      </c>
      <c r="Q165" s="9" t="s">
        <v>1925</v>
      </c>
      <c r="R165" s="9" t="s">
        <v>1681</v>
      </c>
      <c r="S165" s="9" t="s">
        <v>2109</v>
      </c>
      <c r="T165" s="9" t="s">
        <v>2110</v>
      </c>
      <c r="U165" s="9" t="s">
        <v>1928</v>
      </c>
      <c r="V165" s="9">
        <v>783</v>
      </c>
      <c r="W165" s="9">
        <v>2</v>
      </c>
      <c r="X165" s="9">
        <v>2030</v>
      </c>
      <c r="Y165" s="9">
        <v>6463</v>
      </c>
      <c r="Z165" s="9">
        <v>2</v>
      </c>
      <c r="AA165" s="9">
        <v>4549518066746460</v>
      </c>
      <c r="AB165" s="9" t="s">
        <v>73</v>
      </c>
      <c r="AC165" s="9">
        <v>2030</v>
      </c>
      <c r="AD165" s="9" t="s">
        <v>93</v>
      </c>
      <c r="AE165" s="9"/>
      <c r="AF165" s="9" t="s">
        <v>1929</v>
      </c>
      <c r="AG165" s="9"/>
      <c r="AH165" s="9" t="s">
        <v>67</v>
      </c>
      <c r="AI165" s="9">
        <v>0</v>
      </c>
      <c r="AJ165" s="9"/>
      <c r="AK165" s="9">
        <v>0</v>
      </c>
      <c r="AL165" s="9" t="s">
        <v>1930</v>
      </c>
      <c r="AM165" s="9"/>
      <c r="AN165" s="9"/>
      <c r="AO165" s="9" t="s">
        <v>1931</v>
      </c>
      <c r="AP165" s="9" t="s">
        <v>69</v>
      </c>
      <c r="AQ165" s="9" t="s">
        <v>1932</v>
      </c>
      <c r="AR165" s="9"/>
      <c r="AS165" s="9"/>
      <c r="AT165" s="9"/>
      <c r="AU165" s="9" t="s">
        <v>92</v>
      </c>
      <c r="AV165" s="9">
        <v>0</v>
      </c>
      <c r="AW165" s="9"/>
      <c r="AX165" s="9" t="s">
        <v>581</v>
      </c>
      <c r="AY165" s="9">
        <v>0</v>
      </c>
      <c r="AZ165" s="9"/>
      <c r="BA165" s="9">
        <v>45992.951562499999</v>
      </c>
      <c r="BB165" s="9">
        <v>0</v>
      </c>
      <c r="BC165" s="9">
        <v>1</v>
      </c>
      <c r="BD165" s="9">
        <v>0</v>
      </c>
      <c r="BE165" s="9" t="s">
        <v>582</v>
      </c>
      <c r="BF165" s="9"/>
      <c r="BG165" s="9"/>
      <c r="BH165" s="9">
        <v>0</v>
      </c>
      <c r="BI165" s="9"/>
      <c r="BJ165" s="9">
        <v>1</v>
      </c>
      <c r="BK165" s="9"/>
      <c r="BL165" s="9"/>
      <c r="BM165" s="9" t="s">
        <v>75</v>
      </c>
      <c r="BN165" s="9"/>
      <c r="BO165" s="9">
        <v>0</v>
      </c>
      <c r="BP165" s="9"/>
      <c r="BQ165" s="9">
        <v>1</v>
      </c>
      <c r="BR165" s="9"/>
      <c r="BS165" s="9"/>
      <c r="BT165" s="9"/>
      <c r="BU165" s="9"/>
      <c r="BV165" s="9"/>
      <c r="BW165" s="9">
        <v>0</v>
      </c>
      <c r="BX165" s="9"/>
      <c r="BY165" s="9">
        <v>45992.951562499999</v>
      </c>
      <c r="BZ165" s="9"/>
      <c r="CA165" s="9"/>
      <c r="CB165" s="9"/>
      <c r="CC165" s="9"/>
      <c r="CD165" s="9"/>
      <c r="CE165" s="9"/>
      <c r="CF165" s="9"/>
      <c r="CG165" s="9"/>
      <c r="CH165" s="9">
        <v>1</v>
      </c>
      <c r="CI165" s="9">
        <v>0</v>
      </c>
      <c r="CJ165" s="9"/>
      <c r="CK165" s="9"/>
      <c r="CL165" s="9" t="s">
        <v>2113</v>
      </c>
      <c r="CM165" s="9"/>
      <c r="CN165" s="9">
        <v>0</v>
      </c>
      <c r="CO165" s="9" t="s">
        <v>1925</v>
      </c>
      <c r="CP165" s="9"/>
      <c r="CQ165" s="9"/>
    </row>
    <row r="166" spans="1:95" x14ac:dyDescent="0.35">
      <c r="A166" s="9" t="b">
        <f>ISNUMBER(MATCH(Claude[[#This Row],[Id]],ChargentOrders[Id],0))</f>
        <v>1</v>
      </c>
      <c r="B166" t="b">
        <f>INDEX(ChargentOrders[VALIDO],MATCH(Claude[[#This Row],[Id]],ChargentOrders[Id],0))</f>
        <v>1</v>
      </c>
      <c r="C166">
        <f>INDEX(Contract[CB_Subscription__c],MATCH(Claude[[#This Row],[Contract__c]],Contract[Id],0))</f>
        <v>0</v>
      </c>
      <c r="D166" s="9" t="s">
        <v>583</v>
      </c>
      <c r="E166" s="9" t="s">
        <v>81</v>
      </c>
      <c r="F166" s="9">
        <v>0</v>
      </c>
      <c r="G166" s="9" t="s">
        <v>584</v>
      </c>
      <c r="H166" s="9">
        <v>45992.952453703707</v>
      </c>
      <c r="I166" s="9" t="s">
        <v>81</v>
      </c>
      <c r="J166" s="9">
        <v>46217.738564814812</v>
      </c>
      <c r="K166" s="9" t="s">
        <v>78</v>
      </c>
      <c r="L166" s="9">
        <v>46217.738564814812</v>
      </c>
      <c r="M166" s="9"/>
      <c r="N166" s="9" t="s">
        <v>1683</v>
      </c>
      <c r="O166" s="9" t="s">
        <v>2107</v>
      </c>
      <c r="P166" s="9" t="s">
        <v>2108</v>
      </c>
      <c r="Q166" s="9" t="s">
        <v>1925</v>
      </c>
      <c r="R166" s="9" t="s">
        <v>1681</v>
      </c>
      <c r="S166" s="9" t="s">
        <v>2109</v>
      </c>
      <c r="T166" s="9" t="s">
        <v>2110</v>
      </c>
      <c r="U166" s="9" t="s">
        <v>1928</v>
      </c>
      <c r="V166" s="9">
        <v>783</v>
      </c>
      <c r="W166" s="9">
        <v>2</v>
      </c>
      <c r="X166" s="9">
        <v>2030</v>
      </c>
      <c r="Y166" s="9">
        <v>6463</v>
      </c>
      <c r="Z166" s="9">
        <v>2</v>
      </c>
      <c r="AA166" s="9">
        <v>4549518066746460</v>
      </c>
      <c r="AB166" s="9" t="s">
        <v>73</v>
      </c>
      <c r="AC166" s="9">
        <v>2030</v>
      </c>
      <c r="AD166" s="9" t="s">
        <v>100</v>
      </c>
      <c r="AE166" s="9">
        <v>29</v>
      </c>
      <c r="AF166" s="9" t="s">
        <v>1929</v>
      </c>
      <c r="AG166" s="9"/>
      <c r="AH166" s="9" t="s">
        <v>67</v>
      </c>
      <c r="AI166" s="9">
        <v>0</v>
      </c>
      <c r="AJ166" s="9"/>
      <c r="AK166" s="9">
        <v>0</v>
      </c>
      <c r="AL166" s="9" t="s">
        <v>1930</v>
      </c>
      <c r="AM166" s="9"/>
      <c r="AN166" s="9"/>
      <c r="AO166" s="9" t="s">
        <v>1943</v>
      </c>
      <c r="AP166" s="9" t="s">
        <v>69</v>
      </c>
      <c r="AQ166" s="9" t="s">
        <v>1932</v>
      </c>
      <c r="AR166" s="9">
        <v>46263</v>
      </c>
      <c r="AS166" s="9" t="s">
        <v>84</v>
      </c>
      <c r="AT166" s="9" t="s">
        <v>1944</v>
      </c>
      <c r="AU166" s="9" t="s">
        <v>108</v>
      </c>
      <c r="AV166" s="9">
        <v>0</v>
      </c>
      <c r="AW166" s="9" t="s">
        <v>93</v>
      </c>
      <c r="AX166" s="9" t="s">
        <v>581</v>
      </c>
      <c r="AY166" s="9">
        <v>0</v>
      </c>
      <c r="AZ166" s="9">
        <v>46216.958425925928</v>
      </c>
      <c r="BA166" s="9">
        <v>46216.958425925928</v>
      </c>
      <c r="BB166" s="9">
        <v>6</v>
      </c>
      <c r="BC166" s="9">
        <v>6</v>
      </c>
      <c r="BD166" s="9" t="s">
        <v>2112</v>
      </c>
      <c r="BE166" s="9" t="s">
        <v>582</v>
      </c>
      <c r="BF166" s="9" t="s">
        <v>76</v>
      </c>
      <c r="BG166" s="9"/>
      <c r="BH166" s="9">
        <v>0</v>
      </c>
      <c r="BI166" s="9"/>
      <c r="BJ166" s="9">
        <v>6</v>
      </c>
      <c r="BK166" s="9" t="s">
        <v>92</v>
      </c>
      <c r="BL166" s="9" t="s">
        <v>92</v>
      </c>
      <c r="BM166" s="9" t="s">
        <v>75</v>
      </c>
      <c r="BN166" s="9"/>
      <c r="BO166" s="9">
        <v>0</v>
      </c>
      <c r="BP166" s="9"/>
      <c r="BQ166" s="9">
        <v>0</v>
      </c>
      <c r="BR166" s="9"/>
      <c r="BS166" s="9"/>
      <c r="BT166" s="9"/>
      <c r="BU166" s="9"/>
      <c r="BV166" s="9"/>
      <c r="BW166" s="9">
        <v>0</v>
      </c>
      <c r="BX166" s="9"/>
      <c r="BY166" s="9">
        <v>46216.958425925928</v>
      </c>
      <c r="BZ166" s="9"/>
      <c r="CA166" s="9"/>
      <c r="CB166" s="9"/>
      <c r="CC166" s="9"/>
      <c r="CD166" s="9"/>
      <c r="CE166" s="9"/>
      <c r="CF166" s="9"/>
      <c r="CG166" s="9"/>
      <c r="CH166" s="9">
        <v>1</v>
      </c>
      <c r="CI166" s="9">
        <v>0</v>
      </c>
      <c r="CJ166" s="9"/>
      <c r="CK166" s="9"/>
      <c r="CL166" s="9" t="s">
        <v>2113</v>
      </c>
      <c r="CM166" s="9"/>
      <c r="CN166" s="9">
        <v>0</v>
      </c>
      <c r="CO166" s="9" t="s">
        <v>1925</v>
      </c>
      <c r="CP166" s="9"/>
      <c r="CQ166" s="9">
        <v>0</v>
      </c>
    </row>
    <row r="167" spans="1:95" x14ac:dyDescent="0.35">
      <c r="A167" s="9" t="b">
        <f>ISNUMBER(MATCH(Claude[[#This Row],[Id]],ChargentOrders[Id],0))</f>
        <v>1</v>
      </c>
      <c r="B167" t="b">
        <f>INDEX(ChargentOrders[VALIDO],MATCH(Claude[[#This Row],[Id]],ChargentOrders[Id],0))</f>
        <v>1</v>
      </c>
      <c r="C167">
        <f>INDEX(Contract[CB_Subscription__c],MATCH(Claude[[#This Row],[Contract__c]],Contract[Id],0))</f>
        <v>0</v>
      </c>
      <c r="D167" s="9" t="s">
        <v>585</v>
      </c>
      <c r="E167" s="9" t="s">
        <v>79</v>
      </c>
      <c r="F167" s="9">
        <v>0</v>
      </c>
      <c r="G167" s="9" t="s">
        <v>586</v>
      </c>
      <c r="H167" s="9">
        <v>45996.767546296294</v>
      </c>
      <c r="I167" s="9" t="s">
        <v>79</v>
      </c>
      <c r="J167" s="9">
        <v>45996.767604166664</v>
      </c>
      <c r="K167" s="9" t="s">
        <v>79</v>
      </c>
      <c r="L167" s="9">
        <v>45996.767604166664</v>
      </c>
      <c r="M167" s="9"/>
      <c r="N167" s="9"/>
      <c r="O167" s="9" t="s">
        <v>2114</v>
      </c>
      <c r="P167" s="9" t="s">
        <v>1924</v>
      </c>
      <c r="Q167" s="9" t="s">
        <v>1925</v>
      </c>
      <c r="R167" s="9" t="s">
        <v>1696</v>
      </c>
      <c r="S167" s="9" t="s">
        <v>2115</v>
      </c>
      <c r="T167" s="9" t="s">
        <v>2116</v>
      </c>
      <c r="U167" s="9" t="s">
        <v>1928</v>
      </c>
      <c r="V167" s="9">
        <v>949</v>
      </c>
      <c r="W167" s="9">
        <v>6</v>
      </c>
      <c r="X167" s="9">
        <v>2027</v>
      </c>
      <c r="Y167" s="9">
        <v>8346</v>
      </c>
      <c r="Z167" s="9">
        <v>6</v>
      </c>
      <c r="AA167" s="9">
        <v>4549516852918340</v>
      </c>
      <c r="AB167" s="9" t="s">
        <v>73</v>
      </c>
      <c r="AC167" s="9">
        <v>2027</v>
      </c>
      <c r="AD167" s="9" t="s">
        <v>93</v>
      </c>
      <c r="AE167" s="9"/>
      <c r="AF167" s="9" t="s">
        <v>1929</v>
      </c>
      <c r="AG167" s="9"/>
      <c r="AH167" s="9" t="s">
        <v>67</v>
      </c>
      <c r="AI167" s="9">
        <v>0</v>
      </c>
      <c r="AJ167" s="9"/>
      <c r="AK167" s="9">
        <v>0</v>
      </c>
      <c r="AL167" s="9" t="s">
        <v>1930</v>
      </c>
      <c r="AM167" s="9"/>
      <c r="AN167" s="9"/>
      <c r="AO167" s="9" t="s">
        <v>1931</v>
      </c>
      <c r="AP167" s="9" t="s">
        <v>69</v>
      </c>
      <c r="AQ167" s="9" t="s">
        <v>1932</v>
      </c>
      <c r="AR167" s="9"/>
      <c r="AS167" s="9"/>
      <c r="AT167" s="9"/>
      <c r="AU167" s="9" t="s">
        <v>92</v>
      </c>
      <c r="AV167" s="9">
        <v>0</v>
      </c>
      <c r="AW167" s="9"/>
      <c r="AX167" s="9" t="s">
        <v>587</v>
      </c>
      <c r="AY167" s="9">
        <v>0</v>
      </c>
      <c r="AZ167" s="9"/>
      <c r="BA167" s="9">
        <v>45996.767569444448</v>
      </c>
      <c r="BB167" s="9">
        <v>0</v>
      </c>
      <c r="BC167" s="9">
        <v>1</v>
      </c>
      <c r="BD167" s="9">
        <v>0</v>
      </c>
      <c r="BE167" s="9" t="s">
        <v>588</v>
      </c>
      <c r="BF167" s="9"/>
      <c r="BG167" s="9"/>
      <c r="BH167" s="9">
        <v>0</v>
      </c>
      <c r="BI167" s="9"/>
      <c r="BJ167" s="9">
        <v>1</v>
      </c>
      <c r="BK167" s="9"/>
      <c r="BL167" s="9"/>
      <c r="BM167" s="9" t="s">
        <v>75</v>
      </c>
      <c r="BN167" s="9"/>
      <c r="BO167" s="9">
        <v>0</v>
      </c>
      <c r="BP167" s="9"/>
      <c r="BQ167" s="9">
        <v>1</v>
      </c>
      <c r="BR167" s="9"/>
      <c r="BS167" s="9"/>
      <c r="BT167" s="9"/>
      <c r="BU167" s="9"/>
      <c r="BV167" s="9"/>
      <c r="BW167" s="9">
        <v>0</v>
      </c>
      <c r="BX167" s="9"/>
      <c r="BY167" s="9">
        <v>45996.767569444448</v>
      </c>
      <c r="BZ167" s="9"/>
      <c r="CA167" s="9"/>
      <c r="CB167" s="9"/>
      <c r="CC167" s="9"/>
      <c r="CD167" s="9"/>
      <c r="CE167" s="9"/>
      <c r="CF167" s="9"/>
      <c r="CG167" s="9"/>
      <c r="CH167" s="9">
        <v>1</v>
      </c>
      <c r="CI167" s="9">
        <v>0</v>
      </c>
      <c r="CJ167" s="9"/>
      <c r="CK167" s="9"/>
      <c r="CL167" s="9" t="s">
        <v>2117</v>
      </c>
      <c r="CM167" s="9"/>
      <c r="CN167" s="9">
        <v>0</v>
      </c>
      <c r="CO167" s="9" t="s">
        <v>1925</v>
      </c>
      <c r="CP167" s="9"/>
      <c r="CQ167" s="9"/>
    </row>
    <row r="168" spans="1:95" x14ac:dyDescent="0.35">
      <c r="A168" s="9" t="b">
        <f>ISNUMBER(MATCH(Claude[[#This Row],[Id]],ChargentOrders[Id],0))</f>
        <v>1</v>
      </c>
      <c r="B168" t="b">
        <f>INDEX(ChargentOrders[VALIDO],MATCH(Claude[[#This Row],[Id]],ChargentOrders[Id],0))</f>
        <v>1</v>
      </c>
      <c r="C168">
        <f>INDEX(Contract[CB_Subscription__c],MATCH(Claude[[#This Row],[Contract__c]],Contract[Id],0))</f>
        <v>0</v>
      </c>
      <c r="D168" s="9" t="s">
        <v>589</v>
      </c>
      <c r="E168" s="9" t="s">
        <v>79</v>
      </c>
      <c r="F168" s="9">
        <v>0</v>
      </c>
      <c r="G168" s="9" t="s">
        <v>590</v>
      </c>
      <c r="H168" s="9">
        <v>45996.768148148149</v>
      </c>
      <c r="I168" s="9" t="s">
        <v>79</v>
      </c>
      <c r="J168" s="9">
        <v>46006.432129629633</v>
      </c>
      <c r="K168" s="9" t="s">
        <v>65</v>
      </c>
      <c r="L168" s="9">
        <v>46006.432129629633</v>
      </c>
      <c r="M168" s="9"/>
      <c r="N168" s="9" t="s">
        <v>1698</v>
      </c>
      <c r="O168" s="9" t="s">
        <v>2114</v>
      </c>
      <c r="P168" s="9" t="s">
        <v>1924</v>
      </c>
      <c r="Q168" s="9" t="s">
        <v>1925</v>
      </c>
      <c r="R168" s="9" t="s">
        <v>1696</v>
      </c>
      <c r="S168" s="9" t="s">
        <v>2115</v>
      </c>
      <c r="T168" s="9" t="s">
        <v>2116</v>
      </c>
      <c r="U168" s="9" t="s">
        <v>1928</v>
      </c>
      <c r="V168" s="9">
        <v>949</v>
      </c>
      <c r="W168" s="9">
        <v>6</v>
      </c>
      <c r="X168" s="9">
        <v>2027</v>
      </c>
      <c r="Y168" s="9">
        <v>8346</v>
      </c>
      <c r="Z168" s="9">
        <v>6</v>
      </c>
      <c r="AA168" s="9">
        <v>4549516852918340</v>
      </c>
      <c r="AB168" s="9" t="s">
        <v>73</v>
      </c>
      <c r="AC168" s="9">
        <v>2027</v>
      </c>
      <c r="AD168" s="9" t="s">
        <v>2079</v>
      </c>
      <c r="AE168" s="9"/>
      <c r="AF168" s="9" t="s">
        <v>1929</v>
      </c>
      <c r="AG168" s="9"/>
      <c r="AH168" s="9" t="s">
        <v>67</v>
      </c>
      <c r="AI168" s="9">
        <v>0</v>
      </c>
      <c r="AJ168" s="9"/>
      <c r="AK168" s="9">
        <v>0</v>
      </c>
      <c r="AL168" s="9" t="s">
        <v>1930</v>
      </c>
      <c r="AM168" s="9">
        <v>1</v>
      </c>
      <c r="AN168" s="9"/>
      <c r="AO168" s="9" t="s">
        <v>1931</v>
      </c>
      <c r="AP168" s="9" t="s">
        <v>69</v>
      </c>
      <c r="AQ168" s="9" t="s">
        <v>1932</v>
      </c>
      <c r="AR168" s="9">
        <v>46006</v>
      </c>
      <c r="AS168" s="9" t="s">
        <v>74</v>
      </c>
      <c r="AT168" s="9" t="s">
        <v>1935</v>
      </c>
      <c r="AU168" s="9" t="s">
        <v>2079</v>
      </c>
      <c r="AV168" s="9">
        <v>0</v>
      </c>
      <c r="AW168" s="9" t="s">
        <v>92</v>
      </c>
      <c r="AX168" s="9" t="s">
        <v>587</v>
      </c>
      <c r="AY168" s="9">
        <v>0</v>
      </c>
      <c r="AZ168" s="9">
        <v>46006.432002314818</v>
      </c>
      <c r="BA168" s="9">
        <v>46006.432013888887</v>
      </c>
      <c r="BB168" s="9">
        <v>1</v>
      </c>
      <c r="BC168" s="9">
        <v>1</v>
      </c>
      <c r="BD168" s="9" t="s">
        <v>2078</v>
      </c>
      <c r="BE168" s="9" t="s">
        <v>588</v>
      </c>
      <c r="BF168" s="9" t="s">
        <v>77</v>
      </c>
      <c r="BG168" s="9"/>
      <c r="BH168" s="9">
        <v>0</v>
      </c>
      <c r="BI168" s="9"/>
      <c r="BJ168" s="9">
        <v>1</v>
      </c>
      <c r="BK168" s="9" t="s">
        <v>92</v>
      </c>
      <c r="BL168" s="9" t="s">
        <v>92</v>
      </c>
      <c r="BM168" s="9" t="s">
        <v>75</v>
      </c>
      <c r="BN168" s="9"/>
      <c r="BO168" s="9">
        <v>0</v>
      </c>
      <c r="BP168" s="9"/>
      <c r="BQ168" s="9">
        <v>0</v>
      </c>
      <c r="BR168" s="9"/>
      <c r="BS168" s="9"/>
      <c r="BT168" s="9"/>
      <c r="BU168" s="9"/>
      <c r="BV168" s="9"/>
      <c r="BW168" s="9">
        <v>0</v>
      </c>
      <c r="BX168" s="9"/>
      <c r="BY168" s="9">
        <v>46006.432002314818</v>
      </c>
      <c r="BZ168" s="9"/>
      <c r="CA168" s="9"/>
      <c r="CB168" s="9"/>
      <c r="CC168" s="9"/>
      <c r="CD168" s="9"/>
      <c r="CE168" s="9"/>
      <c r="CF168" s="9"/>
      <c r="CG168" s="9"/>
      <c r="CH168" s="9">
        <v>1</v>
      </c>
      <c r="CI168" s="9">
        <v>0</v>
      </c>
      <c r="CJ168" s="9"/>
      <c r="CK168" s="9"/>
      <c r="CL168" s="9" t="s">
        <v>2117</v>
      </c>
      <c r="CM168" s="9"/>
      <c r="CN168" s="9">
        <v>0</v>
      </c>
      <c r="CO168" s="9" t="s">
        <v>1925</v>
      </c>
      <c r="CP168" s="9"/>
      <c r="CQ168" s="9"/>
    </row>
    <row r="169" spans="1:95" x14ac:dyDescent="0.35">
      <c r="A169" s="9" t="b">
        <f>ISNUMBER(MATCH(Claude[[#This Row],[Id]],ChargentOrders[Id],0))</f>
        <v>1</v>
      </c>
      <c r="B169" t="b">
        <f>INDEX(ChargentOrders[VALIDO],MATCH(Claude[[#This Row],[Id]],ChargentOrders[Id],0))</f>
        <v>1</v>
      </c>
      <c r="C169">
        <f>INDEX(Contract[CB_Subscription__c],MATCH(Claude[[#This Row],[Contract__c]],Contract[Id],0))</f>
        <v>0</v>
      </c>
      <c r="D169" s="9" t="s">
        <v>591</v>
      </c>
      <c r="E169" s="9" t="s">
        <v>531</v>
      </c>
      <c r="F169" s="9">
        <v>0</v>
      </c>
      <c r="G169" s="9" t="s">
        <v>592</v>
      </c>
      <c r="H169" s="9">
        <v>46001.417812500003</v>
      </c>
      <c r="I169" s="9" t="s">
        <v>65</v>
      </c>
      <c r="J169" s="9">
        <v>46023.424710648149</v>
      </c>
      <c r="K169" s="9" t="s">
        <v>65</v>
      </c>
      <c r="L169" s="9">
        <v>46023.424710648149</v>
      </c>
      <c r="M169" s="9"/>
      <c r="N169" s="9" t="s">
        <v>1678</v>
      </c>
      <c r="O169" s="9" t="s">
        <v>2102</v>
      </c>
      <c r="P169" s="9" t="s">
        <v>2103</v>
      </c>
      <c r="Q169" s="9"/>
      <c r="R169" s="9" t="s">
        <v>1676</v>
      </c>
      <c r="S169" s="9" t="s">
        <v>2104</v>
      </c>
      <c r="T169" s="9" t="s">
        <v>2105</v>
      </c>
      <c r="U169" s="9" t="s">
        <v>1928</v>
      </c>
      <c r="V169" s="9">
        <v>723</v>
      </c>
      <c r="W169" s="9">
        <v>10</v>
      </c>
      <c r="X169" s="9">
        <v>2028</v>
      </c>
      <c r="Y169" s="9">
        <v>5142</v>
      </c>
      <c r="Z169" s="9">
        <v>10</v>
      </c>
      <c r="AA169" s="9">
        <v>5275150098765140</v>
      </c>
      <c r="AB169" s="9" t="s">
        <v>66</v>
      </c>
      <c r="AC169" s="9">
        <v>2028</v>
      </c>
      <c r="AD169" s="9" t="s">
        <v>2101</v>
      </c>
      <c r="AE169" s="9"/>
      <c r="AF169" s="9" t="s">
        <v>1929</v>
      </c>
      <c r="AG169" s="9"/>
      <c r="AH169" s="9" t="s">
        <v>67</v>
      </c>
      <c r="AI169" s="9">
        <v>0</v>
      </c>
      <c r="AJ169" s="9"/>
      <c r="AK169" s="9">
        <v>0</v>
      </c>
      <c r="AL169" s="9" t="s">
        <v>1930</v>
      </c>
      <c r="AM169" s="9">
        <v>1</v>
      </c>
      <c r="AN169" s="9">
        <v>46023</v>
      </c>
      <c r="AO169" s="9" t="s">
        <v>1931</v>
      </c>
      <c r="AP169" s="9" t="s">
        <v>69</v>
      </c>
      <c r="AQ169" s="9" t="s">
        <v>1932</v>
      </c>
      <c r="AR169" s="9">
        <v>46023</v>
      </c>
      <c r="AS169" s="9" t="s">
        <v>74</v>
      </c>
      <c r="AT169" s="9" t="s">
        <v>1935</v>
      </c>
      <c r="AU169" s="9" t="s">
        <v>2101</v>
      </c>
      <c r="AV169" s="9">
        <v>0</v>
      </c>
      <c r="AW169" s="9" t="s">
        <v>92</v>
      </c>
      <c r="AX169" s="9" t="s">
        <v>562</v>
      </c>
      <c r="AY169" s="9">
        <v>0</v>
      </c>
      <c r="AZ169" s="9">
        <v>46023.424583333333</v>
      </c>
      <c r="BA169" s="9">
        <v>46023.424641203703</v>
      </c>
      <c r="BB169" s="9">
        <v>1</v>
      </c>
      <c r="BC169" s="9">
        <v>9</v>
      </c>
      <c r="BD169" s="9" t="s">
        <v>95</v>
      </c>
      <c r="BE169" s="9" t="s">
        <v>563</v>
      </c>
      <c r="BF169" s="9" t="s">
        <v>71</v>
      </c>
      <c r="BG169" s="9"/>
      <c r="BH169" s="9">
        <v>0</v>
      </c>
      <c r="BI169" s="9"/>
      <c r="BJ169" s="9">
        <v>0</v>
      </c>
      <c r="BK169" s="9" t="s">
        <v>92</v>
      </c>
      <c r="BL169" s="9" t="s">
        <v>92</v>
      </c>
      <c r="BM169" s="9" t="s">
        <v>72</v>
      </c>
      <c r="BN169" s="9"/>
      <c r="BO169" s="9">
        <v>1</v>
      </c>
      <c r="BP169" s="9" t="s">
        <v>593</v>
      </c>
      <c r="BQ169" s="9">
        <v>0</v>
      </c>
      <c r="BR169" s="9">
        <v>45990.689004629632</v>
      </c>
      <c r="BS169" s="9" t="s">
        <v>109</v>
      </c>
      <c r="BT169" s="9" t="s">
        <v>65</v>
      </c>
      <c r="BU169" s="9"/>
      <c r="BV169" s="9"/>
      <c r="BW169" s="9">
        <v>0</v>
      </c>
      <c r="BX169" s="9">
        <v>46020.423842592594</v>
      </c>
      <c r="BY169" s="9">
        <v>46023.424583333333</v>
      </c>
      <c r="BZ169" s="9"/>
      <c r="CA169" s="9"/>
      <c r="CB169" s="9"/>
      <c r="CC169" s="9"/>
      <c r="CD169" s="9"/>
      <c r="CE169" s="9"/>
      <c r="CF169" s="9"/>
      <c r="CG169" s="9"/>
      <c r="CH169" s="9">
        <v>1</v>
      </c>
      <c r="CI169" s="9">
        <v>0</v>
      </c>
      <c r="CJ169" s="9"/>
      <c r="CK169" s="9"/>
      <c r="CL169" s="9" t="s">
        <v>2106</v>
      </c>
      <c r="CM169" s="9"/>
      <c r="CN169" s="9">
        <v>0</v>
      </c>
      <c r="CO169" s="9" t="s">
        <v>1925</v>
      </c>
      <c r="CP169" s="9"/>
      <c r="CQ169" s="9"/>
    </row>
    <row r="170" spans="1:95" x14ac:dyDescent="0.35">
      <c r="A170" s="9" t="b">
        <f>ISNUMBER(MATCH(Claude[[#This Row],[Id]],ChargentOrders[Id],0))</f>
        <v>1</v>
      </c>
      <c r="B170" t="b">
        <f>INDEX(ChargentOrders[VALIDO],MATCH(Claude[[#This Row],[Id]],ChargentOrders[Id],0))</f>
        <v>1</v>
      </c>
      <c r="C170">
        <f>INDEX(Contract[CB_Subscription__c],MATCH(Claude[[#This Row],[Contract__c]],Contract[Id],0))</f>
        <v>0</v>
      </c>
      <c r="D170" s="9" t="s">
        <v>594</v>
      </c>
      <c r="E170" s="9" t="s">
        <v>79</v>
      </c>
      <c r="F170" s="9">
        <v>0</v>
      </c>
      <c r="G170" s="9" t="s">
        <v>595</v>
      </c>
      <c r="H170" s="9">
        <v>46001.616701388892</v>
      </c>
      <c r="I170" s="9" t="s">
        <v>79</v>
      </c>
      <c r="J170" s="9">
        <v>46162.521898148145</v>
      </c>
      <c r="K170" s="9" t="s">
        <v>78</v>
      </c>
      <c r="L170" s="9">
        <v>46162.521898148145</v>
      </c>
      <c r="M170" s="9"/>
      <c r="N170" s="9"/>
      <c r="O170" s="9" t="s">
        <v>2118</v>
      </c>
      <c r="P170" s="9" t="s">
        <v>2119</v>
      </c>
      <c r="Q170" s="9" t="s">
        <v>1925</v>
      </c>
      <c r="R170" s="9" t="s">
        <v>2120</v>
      </c>
      <c r="S170" s="9" t="s">
        <v>2121</v>
      </c>
      <c r="T170" s="9" t="s">
        <v>2122</v>
      </c>
      <c r="U170" s="9" t="s">
        <v>1928</v>
      </c>
      <c r="V170" s="9">
        <v>736</v>
      </c>
      <c r="W170" s="9">
        <v>9</v>
      </c>
      <c r="X170" s="9">
        <v>2027</v>
      </c>
      <c r="Y170" s="9">
        <v>3412</v>
      </c>
      <c r="Z170" s="9">
        <v>9</v>
      </c>
      <c r="AA170" s="9">
        <v>4549259008423410</v>
      </c>
      <c r="AB170" s="9" t="s">
        <v>73</v>
      </c>
      <c r="AC170" s="9">
        <v>2027</v>
      </c>
      <c r="AD170" s="9" t="s">
        <v>93</v>
      </c>
      <c r="AE170" s="9"/>
      <c r="AF170" s="9" t="s">
        <v>1929</v>
      </c>
      <c r="AG170" s="9"/>
      <c r="AH170" s="9" t="s">
        <v>67</v>
      </c>
      <c r="AI170" s="9">
        <v>0</v>
      </c>
      <c r="AJ170" s="9"/>
      <c r="AK170" s="9">
        <v>0</v>
      </c>
      <c r="AL170" s="9" t="s">
        <v>1930</v>
      </c>
      <c r="AM170" s="9"/>
      <c r="AN170" s="9"/>
      <c r="AO170" s="9" t="s">
        <v>1931</v>
      </c>
      <c r="AP170" s="9" t="s">
        <v>69</v>
      </c>
      <c r="AQ170" s="9" t="s">
        <v>1932</v>
      </c>
      <c r="AR170" s="9"/>
      <c r="AS170" s="9" t="s">
        <v>218</v>
      </c>
      <c r="AT170" s="9"/>
      <c r="AU170" s="9" t="s">
        <v>92</v>
      </c>
      <c r="AV170" s="9">
        <v>0</v>
      </c>
      <c r="AW170" s="9"/>
      <c r="AX170" s="9" t="s">
        <v>596</v>
      </c>
      <c r="AY170" s="9">
        <v>0</v>
      </c>
      <c r="AZ170" s="9"/>
      <c r="BA170" s="9">
        <v>46001.616724537038</v>
      </c>
      <c r="BB170" s="9">
        <v>0</v>
      </c>
      <c r="BC170" s="9">
        <v>1</v>
      </c>
      <c r="BD170" s="9">
        <v>0</v>
      </c>
      <c r="BE170" s="9" t="s">
        <v>597</v>
      </c>
      <c r="BF170" s="9"/>
      <c r="BG170" s="9"/>
      <c r="BH170" s="9">
        <v>0</v>
      </c>
      <c r="BI170" s="9"/>
      <c r="BJ170" s="9">
        <v>1</v>
      </c>
      <c r="BK170" s="9"/>
      <c r="BL170" s="9"/>
      <c r="BM170" s="9" t="s">
        <v>75</v>
      </c>
      <c r="BN170" s="9"/>
      <c r="BO170" s="9">
        <v>0</v>
      </c>
      <c r="BP170" s="9"/>
      <c r="BQ170" s="9">
        <v>1</v>
      </c>
      <c r="BR170" s="9"/>
      <c r="BS170" s="9"/>
      <c r="BT170" s="9"/>
      <c r="BU170" s="9"/>
      <c r="BV170" s="9"/>
      <c r="BW170" s="9">
        <v>0</v>
      </c>
      <c r="BX170" s="9"/>
      <c r="BY170" s="9">
        <v>46001.616724537038</v>
      </c>
      <c r="BZ170" s="9"/>
      <c r="CA170" s="9"/>
      <c r="CB170" s="9"/>
      <c r="CC170" s="9"/>
      <c r="CD170" s="9"/>
      <c r="CE170" s="9"/>
      <c r="CF170" s="9"/>
      <c r="CG170" s="9"/>
      <c r="CH170" s="9">
        <v>1</v>
      </c>
      <c r="CI170" s="9">
        <v>0</v>
      </c>
      <c r="CJ170" s="9"/>
      <c r="CK170" s="9"/>
      <c r="CL170" s="9" t="s">
        <v>2123</v>
      </c>
      <c r="CM170" s="9"/>
      <c r="CN170" s="9">
        <v>0</v>
      </c>
      <c r="CO170" s="9" t="s">
        <v>1925</v>
      </c>
      <c r="CP170" s="9"/>
      <c r="CQ170" s="9"/>
    </row>
    <row r="171" spans="1:95" x14ac:dyDescent="0.35">
      <c r="A171" s="9" t="b">
        <f>ISNUMBER(MATCH(Claude[[#This Row],[Id]],ChargentOrders[Id],0))</f>
        <v>1</v>
      </c>
      <c r="B171" t="b">
        <f>INDEX(ChargentOrders[VALIDO],MATCH(Claude[[#This Row],[Id]],ChargentOrders[Id],0))</f>
        <v>1</v>
      </c>
      <c r="C171">
        <f>INDEX(Contract[CB_Subscription__c],MATCH(Claude[[#This Row],[Contract__c]],Contract[Id],0))</f>
        <v>0</v>
      </c>
      <c r="D171" s="9" t="s">
        <v>598</v>
      </c>
      <c r="E171" s="9" t="s">
        <v>79</v>
      </c>
      <c r="F171" s="9">
        <v>0</v>
      </c>
      <c r="G171" s="9" t="s">
        <v>599</v>
      </c>
      <c r="H171" s="9">
        <v>46001.617118055554</v>
      </c>
      <c r="I171" s="9" t="s">
        <v>79</v>
      </c>
      <c r="J171" s="9">
        <v>46001.617465277777</v>
      </c>
      <c r="K171" s="9" t="s">
        <v>79</v>
      </c>
      <c r="L171" s="9">
        <v>46001.617465277777</v>
      </c>
      <c r="M171" s="9"/>
      <c r="N171" s="9" t="s">
        <v>2124</v>
      </c>
      <c r="O171" s="9" t="s">
        <v>2118</v>
      </c>
      <c r="P171" s="9" t="s">
        <v>2119</v>
      </c>
      <c r="Q171" s="9" t="s">
        <v>1925</v>
      </c>
      <c r="R171" s="9" t="s">
        <v>2120</v>
      </c>
      <c r="S171" s="9" t="s">
        <v>2121</v>
      </c>
      <c r="T171" s="9" t="s">
        <v>2122</v>
      </c>
      <c r="U171" s="9" t="s">
        <v>1928</v>
      </c>
      <c r="V171" s="9">
        <v>736</v>
      </c>
      <c r="W171" s="9">
        <v>9</v>
      </c>
      <c r="X171" s="9">
        <v>2027</v>
      </c>
      <c r="Y171" s="9">
        <v>3412</v>
      </c>
      <c r="Z171" s="9">
        <v>9</v>
      </c>
      <c r="AA171" s="9">
        <v>4549259008423410</v>
      </c>
      <c r="AB171" s="9" t="s">
        <v>73</v>
      </c>
      <c r="AC171" s="9">
        <v>2027</v>
      </c>
      <c r="AD171" s="9" t="s">
        <v>2078</v>
      </c>
      <c r="AE171" s="9"/>
      <c r="AF171" s="9" t="s">
        <v>1929</v>
      </c>
      <c r="AG171" s="9"/>
      <c r="AH171" s="9" t="s">
        <v>67</v>
      </c>
      <c r="AI171" s="9">
        <v>0</v>
      </c>
      <c r="AJ171" s="9"/>
      <c r="AK171" s="9">
        <v>0</v>
      </c>
      <c r="AL171" s="9" t="s">
        <v>1930</v>
      </c>
      <c r="AM171" s="9">
        <v>1</v>
      </c>
      <c r="AN171" s="9"/>
      <c r="AO171" s="9" t="s">
        <v>1931</v>
      </c>
      <c r="AP171" s="9" t="s">
        <v>69</v>
      </c>
      <c r="AQ171" s="9" t="s">
        <v>1932</v>
      </c>
      <c r="AR171" s="9">
        <v>46001</v>
      </c>
      <c r="AS171" s="9" t="s">
        <v>74</v>
      </c>
      <c r="AT171" s="9" t="s">
        <v>1935</v>
      </c>
      <c r="AU171" s="9" t="s">
        <v>2079</v>
      </c>
      <c r="AV171" s="9">
        <v>0</v>
      </c>
      <c r="AW171" s="9" t="s">
        <v>93</v>
      </c>
      <c r="AX171" s="9" t="s">
        <v>596</v>
      </c>
      <c r="AY171" s="9">
        <v>0</v>
      </c>
      <c r="AZ171" s="9">
        <v>46001.617407407408</v>
      </c>
      <c r="BA171" s="9">
        <v>46001.617407407408</v>
      </c>
      <c r="BB171" s="9">
        <v>1</v>
      </c>
      <c r="BC171" s="9">
        <v>1</v>
      </c>
      <c r="BD171" s="9" t="s">
        <v>2078</v>
      </c>
      <c r="BE171" s="9" t="s">
        <v>597</v>
      </c>
      <c r="BF171" s="9" t="s">
        <v>77</v>
      </c>
      <c r="BG171" s="9"/>
      <c r="BH171" s="9">
        <v>0</v>
      </c>
      <c r="BI171" s="9"/>
      <c r="BJ171" s="9">
        <v>1</v>
      </c>
      <c r="BK171" s="9" t="s">
        <v>92</v>
      </c>
      <c r="BL171" s="9" t="s">
        <v>92</v>
      </c>
      <c r="BM171" s="9" t="s">
        <v>75</v>
      </c>
      <c r="BN171" s="9"/>
      <c r="BO171" s="9">
        <v>0</v>
      </c>
      <c r="BP171" s="9"/>
      <c r="BQ171" s="9">
        <v>0</v>
      </c>
      <c r="BR171" s="9"/>
      <c r="BS171" s="9"/>
      <c r="BT171" s="9"/>
      <c r="BU171" s="9"/>
      <c r="BV171" s="9"/>
      <c r="BW171" s="9">
        <v>0</v>
      </c>
      <c r="BX171" s="9"/>
      <c r="BY171" s="9">
        <v>46001.617407407408</v>
      </c>
      <c r="BZ171" s="9"/>
      <c r="CA171" s="9"/>
      <c r="CB171" s="9"/>
      <c r="CC171" s="9"/>
      <c r="CD171" s="9"/>
      <c r="CE171" s="9"/>
      <c r="CF171" s="9"/>
      <c r="CG171" s="9"/>
      <c r="CH171" s="9">
        <v>1</v>
      </c>
      <c r="CI171" s="9">
        <v>0</v>
      </c>
      <c r="CJ171" s="9"/>
      <c r="CK171" s="9"/>
      <c r="CL171" s="9" t="s">
        <v>2123</v>
      </c>
      <c r="CM171" s="9"/>
      <c r="CN171" s="9">
        <v>0</v>
      </c>
      <c r="CO171" s="9" t="s">
        <v>1925</v>
      </c>
      <c r="CP171" s="9"/>
      <c r="CQ171" s="9"/>
    </row>
    <row r="172" spans="1:95" x14ac:dyDescent="0.35">
      <c r="A172" s="9" t="b">
        <f>ISNUMBER(MATCH(Claude[[#This Row],[Id]],ChargentOrders[Id],0))</f>
        <v>1</v>
      </c>
      <c r="B172" t="b">
        <f>INDEX(ChargentOrders[VALIDO],MATCH(Claude[[#This Row],[Id]],ChargentOrders[Id],0))</f>
        <v>1</v>
      </c>
      <c r="C172">
        <f>INDEX(Contract[CB_Subscription__c],MATCH(Claude[[#This Row],[Contract__c]],Contract[Id],0))</f>
        <v>0</v>
      </c>
      <c r="D172" s="9" t="s">
        <v>600</v>
      </c>
      <c r="E172" s="9" t="s">
        <v>79</v>
      </c>
      <c r="F172" s="9">
        <v>0</v>
      </c>
      <c r="G172" s="9" t="s">
        <v>601</v>
      </c>
      <c r="H172" s="9">
        <v>46001.617430555554</v>
      </c>
      <c r="I172" s="9" t="s">
        <v>79</v>
      </c>
      <c r="J172" s="9">
        <v>46217.739004629628</v>
      </c>
      <c r="K172" s="9" t="s">
        <v>78</v>
      </c>
      <c r="L172" s="9">
        <v>46217.739004629628</v>
      </c>
      <c r="M172" s="9"/>
      <c r="N172" s="9" t="s">
        <v>2124</v>
      </c>
      <c r="O172" s="9" t="s">
        <v>2118</v>
      </c>
      <c r="P172" s="9" t="s">
        <v>2119</v>
      </c>
      <c r="Q172" s="9" t="s">
        <v>1925</v>
      </c>
      <c r="R172" s="9" t="s">
        <v>2120</v>
      </c>
      <c r="S172" s="9" t="s">
        <v>2121</v>
      </c>
      <c r="T172" s="9" t="s">
        <v>2122</v>
      </c>
      <c r="U172" s="9" t="s">
        <v>1928</v>
      </c>
      <c r="V172" s="9">
        <v>736</v>
      </c>
      <c r="W172" s="9">
        <v>9</v>
      </c>
      <c r="X172" s="9">
        <v>2027</v>
      </c>
      <c r="Y172" s="9">
        <v>3412</v>
      </c>
      <c r="Z172" s="9">
        <v>9</v>
      </c>
      <c r="AA172" s="9">
        <v>4549259008423410</v>
      </c>
      <c r="AB172" s="9" t="s">
        <v>73</v>
      </c>
      <c r="AC172" s="9">
        <v>2027</v>
      </c>
      <c r="AD172" s="9" t="s">
        <v>473</v>
      </c>
      <c r="AE172" s="9">
        <v>29</v>
      </c>
      <c r="AF172" s="9" t="s">
        <v>1929</v>
      </c>
      <c r="AG172" s="9"/>
      <c r="AH172" s="9" t="s">
        <v>67</v>
      </c>
      <c r="AI172" s="9">
        <v>0</v>
      </c>
      <c r="AJ172" s="9"/>
      <c r="AK172" s="9">
        <v>0</v>
      </c>
      <c r="AL172" s="9" t="s">
        <v>1930</v>
      </c>
      <c r="AM172" s="9"/>
      <c r="AN172" s="9"/>
      <c r="AO172" s="9" t="s">
        <v>1943</v>
      </c>
      <c r="AP172" s="9" t="s">
        <v>69</v>
      </c>
      <c r="AQ172" s="9" t="s">
        <v>1932</v>
      </c>
      <c r="AR172" s="9">
        <v>46171</v>
      </c>
      <c r="AS172" s="9" t="s">
        <v>84</v>
      </c>
      <c r="AT172" s="9" t="s">
        <v>1944</v>
      </c>
      <c r="AU172" s="9" t="s">
        <v>473</v>
      </c>
      <c r="AV172" s="9">
        <v>0</v>
      </c>
      <c r="AW172" s="9" t="s">
        <v>92</v>
      </c>
      <c r="AX172" s="9" t="s">
        <v>596</v>
      </c>
      <c r="AY172" s="9">
        <v>0</v>
      </c>
      <c r="AZ172" s="9">
        <v>46142.423009259262</v>
      </c>
      <c r="BA172" s="9">
        <v>46142.423009259262</v>
      </c>
      <c r="BB172" s="9">
        <v>4</v>
      </c>
      <c r="BC172" s="9">
        <v>4</v>
      </c>
      <c r="BD172" s="9" t="s">
        <v>2125</v>
      </c>
      <c r="BE172" s="9" t="s">
        <v>597</v>
      </c>
      <c r="BF172" s="9" t="s">
        <v>76</v>
      </c>
      <c r="BG172" s="9"/>
      <c r="BH172" s="9">
        <v>0</v>
      </c>
      <c r="BI172" s="9"/>
      <c r="BJ172" s="9">
        <v>5</v>
      </c>
      <c r="BK172" s="9" t="s">
        <v>92</v>
      </c>
      <c r="BL172" s="9" t="s">
        <v>92</v>
      </c>
      <c r="BM172" s="9" t="s">
        <v>75</v>
      </c>
      <c r="BN172" s="9"/>
      <c r="BO172" s="9">
        <v>0</v>
      </c>
      <c r="BP172" s="9"/>
      <c r="BQ172" s="9">
        <v>0</v>
      </c>
      <c r="BR172" s="9"/>
      <c r="BS172" s="9"/>
      <c r="BT172" s="9"/>
      <c r="BU172" s="9"/>
      <c r="BV172" s="9"/>
      <c r="BW172" s="9">
        <v>0</v>
      </c>
      <c r="BX172" s="9"/>
      <c r="BY172" s="9">
        <v>46142.423009259262</v>
      </c>
      <c r="BZ172" s="9"/>
      <c r="CA172" s="9"/>
      <c r="CB172" s="9"/>
      <c r="CC172" s="9"/>
      <c r="CD172" s="9"/>
      <c r="CE172" s="9"/>
      <c r="CF172" s="9"/>
      <c r="CG172" s="9"/>
      <c r="CH172" s="9">
        <v>1</v>
      </c>
      <c r="CI172" s="9">
        <v>0</v>
      </c>
      <c r="CJ172" s="9"/>
      <c r="CK172" s="9"/>
      <c r="CL172" s="9" t="s">
        <v>2123</v>
      </c>
      <c r="CM172" s="9"/>
      <c r="CN172" s="9">
        <v>0</v>
      </c>
      <c r="CO172" s="9" t="s">
        <v>1925</v>
      </c>
      <c r="CP172" s="9"/>
      <c r="CQ172" s="9">
        <v>0</v>
      </c>
    </row>
    <row r="173" spans="1:95" x14ac:dyDescent="0.35">
      <c r="A173" s="9" t="b">
        <f>ISNUMBER(MATCH(Claude[[#This Row],[Id]],ChargentOrders[Id],0))</f>
        <v>1</v>
      </c>
      <c r="B173" t="b">
        <f>INDEX(ChargentOrders[VALIDO],MATCH(Claude[[#This Row],[Id]],ChargentOrders[Id],0))</f>
        <v>1</v>
      </c>
      <c r="C173">
        <f>INDEX(Contract[CB_Subscription__c],MATCH(Claude[[#This Row],[Contract__c]],Contract[Id],0))</f>
        <v>0</v>
      </c>
      <c r="D173" s="9" t="s">
        <v>602</v>
      </c>
      <c r="E173" s="9" t="s">
        <v>531</v>
      </c>
      <c r="F173" s="9">
        <v>0</v>
      </c>
      <c r="G173" s="9" t="s">
        <v>603</v>
      </c>
      <c r="H173" s="9">
        <v>46001.851898148147</v>
      </c>
      <c r="I173" s="9" t="s">
        <v>531</v>
      </c>
      <c r="J173" s="9">
        <v>46024.949641203704</v>
      </c>
      <c r="K173" s="9" t="s">
        <v>101</v>
      </c>
      <c r="L173" s="9">
        <v>46024.949641203704</v>
      </c>
      <c r="M173" s="9"/>
      <c r="N173" s="9"/>
      <c r="O173" s="9" t="s">
        <v>2126</v>
      </c>
      <c r="P173" s="9" t="s">
        <v>2127</v>
      </c>
      <c r="Q173" s="9"/>
      <c r="R173" s="9" t="s">
        <v>1701</v>
      </c>
      <c r="S173" s="9" t="s">
        <v>2128</v>
      </c>
      <c r="T173" s="9" t="s">
        <v>2129</v>
      </c>
      <c r="U173" s="9" t="s">
        <v>1928</v>
      </c>
      <c r="V173" s="9">
        <v>718</v>
      </c>
      <c r="W173" s="9">
        <v>9</v>
      </c>
      <c r="X173" s="9">
        <v>2029</v>
      </c>
      <c r="Y173" s="9">
        <v>1669</v>
      </c>
      <c r="Z173" s="9">
        <v>9</v>
      </c>
      <c r="AA173" s="9">
        <v>4549518614741660</v>
      </c>
      <c r="AB173" s="9" t="s">
        <v>73</v>
      </c>
      <c r="AC173" s="9">
        <v>2029</v>
      </c>
      <c r="AD173" s="9" t="s">
        <v>93</v>
      </c>
      <c r="AE173" s="9"/>
      <c r="AF173" s="9" t="s">
        <v>1929</v>
      </c>
      <c r="AG173" s="9"/>
      <c r="AH173" s="9" t="s">
        <v>67</v>
      </c>
      <c r="AI173" s="9">
        <v>0</v>
      </c>
      <c r="AJ173" s="9"/>
      <c r="AK173" s="9">
        <v>0</v>
      </c>
      <c r="AL173" s="9" t="s">
        <v>1930</v>
      </c>
      <c r="AM173" s="9"/>
      <c r="AN173" s="9"/>
      <c r="AO173" s="9" t="s">
        <v>1931</v>
      </c>
      <c r="AP173" s="9" t="s">
        <v>69</v>
      </c>
      <c r="AQ173" s="9" t="s">
        <v>1932</v>
      </c>
      <c r="AR173" s="9"/>
      <c r="AS173" s="9"/>
      <c r="AT173" s="9"/>
      <c r="AU173" s="9" t="s">
        <v>92</v>
      </c>
      <c r="AV173" s="9">
        <v>0</v>
      </c>
      <c r="AW173" s="9"/>
      <c r="AX173" s="9" t="s">
        <v>604</v>
      </c>
      <c r="AY173" s="9">
        <v>0</v>
      </c>
      <c r="AZ173" s="9"/>
      <c r="BA173" s="9">
        <v>46001.851921296293</v>
      </c>
      <c r="BB173" s="9">
        <v>0</v>
      </c>
      <c r="BC173" s="9">
        <v>1</v>
      </c>
      <c r="BD173" s="9">
        <v>0</v>
      </c>
      <c r="BE173" s="9" t="s">
        <v>605</v>
      </c>
      <c r="BF173" s="9"/>
      <c r="BG173" s="9"/>
      <c r="BH173" s="9">
        <v>0</v>
      </c>
      <c r="BI173" s="9"/>
      <c r="BJ173" s="9">
        <v>1</v>
      </c>
      <c r="BK173" s="9"/>
      <c r="BL173" s="9"/>
      <c r="BM173" s="9" t="s">
        <v>75</v>
      </c>
      <c r="BN173" s="9"/>
      <c r="BO173" s="9">
        <v>0</v>
      </c>
      <c r="BP173" s="9"/>
      <c r="BQ173" s="9">
        <v>1</v>
      </c>
      <c r="BR173" s="9"/>
      <c r="BS173" s="9"/>
      <c r="BT173" s="9"/>
      <c r="BU173" s="9"/>
      <c r="BV173" s="9"/>
      <c r="BW173" s="9">
        <v>0</v>
      </c>
      <c r="BX173" s="9"/>
      <c r="BY173" s="9">
        <v>46001.851921296293</v>
      </c>
      <c r="BZ173" s="9"/>
      <c r="CA173" s="9"/>
      <c r="CB173" s="9"/>
      <c r="CC173" s="9"/>
      <c r="CD173" s="9"/>
      <c r="CE173" s="9"/>
      <c r="CF173" s="9"/>
      <c r="CG173" s="9"/>
      <c r="CH173" s="9">
        <v>1</v>
      </c>
      <c r="CI173" s="9">
        <v>0</v>
      </c>
      <c r="CJ173" s="9"/>
      <c r="CK173" s="9"/>
      <c r="CL173" s="9" t="s">
        <v>2130</v>
      </c>
      <c r="CM173" s="9"/>
      <c r="CN173" s="9">
        <v>0</v>
      </c>
      <c r="CO173" s="9" t="s">
        <v>1925</v>
      </c>
      <c r="CP173" s="9"/>
      <c r="CQ173" s="9"/>
    </row>
    <row r="174" spans="1:95" x14ac:dyDescent="0.35">
      <c r="A174" s="9" t="b">
        <f>ISNUMBER(MATCH(Claude[[#This Row],[Id]],ChargentOrders[Id],0))</f>
        <v>1</v>
      </c>
      <c r="B174" t="b">
        <f>INDEX(ChargentOrders[VALIDO],MATCH(Claude[[#This Row],[Id]],ChargentOrders[Id],0))</f>
        <v>1</v>
      </c>
      <c r="C174">
        <f>INDEX(Contract[CB_Subscription__c],MATCH(Claude[[#This Row],[Contract__c]],Contract[Id],0))</f>
        <v>0</v>
      </c>
      <c r="D174" s="9" t="s">
        <v>606</v>
      </c>
      <c r="E174" s="9" t="s">
        <v>531</v>
      </c>
      <c r="F174" s="9">
        <v>0</v>
      </c>
      <c r="G174" s="9" t="s">
        <v>607</v>
      </c>
      <c r="H174" s="9">
        <v>46001.880995370368</v>
      </c>
      <c r="I174" s="9" t="s">
        <v>531</v>
      </c>
      <c r="J174" s="9">
        <v>46041.423472222225</v>
      </c>
      <c r="K174" s="9" t="s">
        <v>65</v>
      </c>
      <c r="L174" s="9">
        <v>46041.423472222225</v>
      </c>
      <c r="M174" s="9"/>
      <c r="N174" s="9" t="s">
        <v>1703</v>
      </c>
      <c r="O174" s="9" t="s">
        <v>2126</v>
      </c>
      <c r="P174" s="9" t="s">
        <v>2127</v>
      </c>
      <c r="Q174" s="9"/>
      <c r="R174" s="9" t="s">
        <v>1701</v>
      </c>
      <c r="S174" s="9" t="s">
        <v>2128</v>
      </c>
      <c r="T174" s="9" t="s">
        <v>2129</v>
      </c>
      <c r="U174" s="9" t="s">
        <v>1928</v>
      </c>
      <c r="V174" s="9">
        <v>718</v>
      </c>
      <c r="W174" s="9">
        <v>9</v>
      </c>
      <c r="X174" s="9">
        <v>2029</v>
      </c>
      <c r="Y174" s="9">
        <v>1669</v>
      </c>
      <c r="Z174" s="9">
        <v>9</v>
      </c>
      <c r="AA174" s="9">
        <v>4549518614741660</v>
      </c>
      <c r="AB174" s="9" t="s">
        <v>73</v>
      </c>
      <c r="AC174" s="9">
        <v>2029</v>
      </c>
      <c r="AD174" s="9" t="s">
        <v>2131</v>
      </c>
      <c r="AE174" s="9"/>
      <c r="AF174" s="9" t="s">
        <v>1929</v>
      </c>
      <c r="AG174" s="9"/>
      <c r="AH174" s="9" t="s">
        <v>67</v>
      </c>
      <c r="AI174" s="9">
        <v>0</v>
      </c>
      <c r="AJ174" s="9"/>
      <c r="AK174" s="9">
        <v>0</v>
      </c>
      <c r="AL174" s="9" t="s">
        <v>1930</v>
      </c>
      <c r="AM174" s="9">
        <v>1</v>
      </c>
      <c r="AN174" s="9"/>
      <c r="AO174" s="9" t="s">
        <v>1931</v>
      </c>
      <c r="AP174" s="9" t="s">
        <v>69</v>
      </c>
      <c r="AQ174" s="9" t="s">
        <v>1932</v>
      </c>
      <c r="AR174" s="9">
        <v>46041</v>
      </c>
      <c r="AS174" s="9" t="s">
        <v>74</v>
      </c>
      <c r="AT174" s="9" t="s">
        <v>1935</v>
      </c>
      <c r="AU174" s="9" t="s">
        <v>2131</v>
      </c>
      <c r="AV174" s="9">
        <v>0</v>
      </c>
      <c r="AW174" s="9" t="s">
        <v>92</v>
      </c>
      <c r="AX174" s="9" t="s">
        <v>604</v>
      </c>
      <c r="AY174" s="9">
        <v>0</v>
      </c>
      <c r="AZ174" s="9">
        <v>46041.423368055555</v>
      </c>
      <c r="BA174" s="9">
        <v>46041.423402777778</v>
      </c>
      <c r="BB174" s="9">
        <v>1</v>
      </c>
      <c r="BC174" s="9">
        <v>1</v>
      </c>
      <c r="BD174" s="9" t="s">
        <v>2094</v>
      </c>
      <c r="BE174" s="9" t="s">
        <v>605</v>
      </c>
      <c r="BF174" s="9" t="s">
        <v>77</v>
      </c>
      <c r="BG174" s="9"/>
      <c r="BH174" s="9">
        <v>0</v>
      </c>
      <c r="BI174" s="9"/>
      <c r="BJ174" s="9">
        <v>1</v>
      </c>
      <c r="BK174" s="9" t="s">
        <v>92</v>
      </c>
      <c r="BL174" s="9" t="s">
        <v>92</v>
      </c>
      <c r="BM174" s="9" t="s">
        <v>75</v>
      </c>
      <c r="BN174" s="9"/>
      <c r="BO174" s="9">
        <v>0</v>
      </c>
      <c r="BP174" s="9"/>
      <c r="BQ174" s="9">
        <v>0</v>
      </c>
      <c r="BR174" s="9"/>
      <c r="BS174" s="9"/>
      <c r="BT174" s="9"/>
      <c r="BU174" s="9"/>
      <c r="BV174" s="9"/>
      <c r="BW174" s="9">
        <v>0</v>
      </c>
      <c r="BX174" s="9"/>
      <c r="BY174" s="9">
        <v>46041.423368055555</v>
      </c>
      <c r="BZ174" s="9"/>
      <c r="CA174" s="9"/>
      <c r="CB174" s="9"/>
      <c r="CC174" s="9"/>
      <c r="CD174" s="9"/>
      <c r="CE174" s="9"/>
      <c r="CF174" s="9"/>
      <c r="CG174" s="9"/>
      <c r="CH174" s="9">
        <v>1</v>
      </c>
      <c r="CI174" s="9">
        <v>0</v>
      </c>
      <c r="CJ174" s="9"/>
      <c r="CK174" s="9"/>
      <c r="CL174" s="9" t="s">
        <v>2130</v>
      </c>
      <c r="CM174" s="9"/>
      <c r="CN174" s="9">
        <v>0</v>
      </c>
      <c r="CO174" s="9" t="s">
        <v>1925</v>
      </c>
      <c r="CP174" s="9"/>
      <c r="CQ174" s="9"/>
    </row>
    <row r="175" spans="1:95" x14ac:dyDescent="0.35">
      <c r="A175" s="9" t="b">
        <f>ISNUMBER(MATCH(Claude[[#This Row],[Id]],ChargentOrders[Id],0))</f>
        <v>1</v>
      </c>
      <c r="B175" t="b">
        <f>INDEX(ChargentOrders[VALIDO],MATCH(Claude[[#This Row],[Id]],ChargentOrders[Id],0))</f>
        <v>1</v>
      </c>
      <c r="C175">
        <f>INDEX(Contract[CB_Subscription__c],MATCH(Claude[[#This Row],[Contract__c]],Contract[Id],0))</f>
        <v>0</v>
      </c>
      <c r="D175" s="9" t="s">
        <v>608</v>
      </c>
      <c r="E175" s="9" t="s">
        <v>531</v>
      </c>
      <c r="F175" s="9">
        <v>0</v>
      </c>
      <c r="G175" s="9" t="s">
        <v>609</v>
      </c>
      <c r="H175" s="9">
        <v>46001.880995370368</v>
      </c>
      <c r="I175" s="9" t="s">
        <v>531</v>
      </c>
      <c r="J175" s="9">
        <v>46055.422743055555</v>
      </c>
      <c r="K175" s="9" t="s">
        <v>65</v>
      </c>
      <c r="L175" s="9">
        <v>46055.422743055555</v>
      </c>
      <c r="M175" s="9"/>
      <c r="N175" s="9" t="s">
        <v>1703</v>
      </c>
      <c r="O175" s="9" t="s">
        <v>2126</v>
      </c>
      <c r="P175" s="9" t="s">
        <v>2127</v>
      </c>
      <c r="Q175" s="9"/>
      <c r="R175" s="9" t="s">
        <v>1701</v>
      </c>
      <c r="S175" s="9" t="s">
        <v>2128</v>
      </c>
      <c r="T175" s="9" t="s">
        <v>2129</v>
      </c>
      <c r="U175" s="9" t="s">
        <v>1928</v>
      </c>
      <c r="V175" s="9">
        <v>718</v>
      </c>
      <c r="W175" s="9">
        <v>9</v>
      </c>
      <c r="X175" s="9">
        <v>2029</v>
      </c>
      <c r="Y175" s="9">
        <v>1669</v>
      </c>
      <c r="Z175" s="9">
        <v>9</v>
      </c>
      <c r="AA175" s="9">
        <v>4549518614741660</v>
      </c>
      <c r="AB175" s="9" t="s">
        <v>73</v>
      </c>
      <c r="AC175" s="9">
        <v>2029</v>
      </c>
      <c r="AD175" s="9" t="s">
        <v>2131</v>
      </c>
      <c r="AE175" s="9"/>
      <c r="AF175" s="9" t="s">
        <v>1929</v>
      </c>
      <c r="AG175" s="9"/>
      <c r="AH175" s="9" t="s">
        <v>67</v>
      </c>
      <c r="AI175" s="9">
        <v>0</v>
      </c>
      <c r="AJ175" s="9"/>
      <c r="AK175" s="9">
        <v>0</v>
      </c>
      <c r="AL175" s="9" t="s">
        <v>1930</v>
      </c>
      <c r="AM175" s="9">
        <v>1</v>
      </c>
      <c r="AN175" s="9"/>
      <c r="AO175" s="9" t="s">
        <v>1931</v>
      </c>
      <c r="AP175" s="9" t="s">
        <v>69</v>
      </c>
      <c r="AQ175" s="9" t="s">
        <v>1932</v>
      </c>
      <c r="AR175" s="9">
        <v>46055</v>
      </c>
      <c r="AS175" s="9" t="s">
        <v>74</v>
      </c>
      <c r="AT175" s="9" t="s">
        <v>1935</v>
      </c>
      <c r="AU175" s="9" t="s">
        <v>2131</v>
      </c>
      <c r="AV175" s="9">
        <v>0</v>
      </c>
      <c r="AW175" s="9" t="s">
        <v>92</v>
      </c>
      <c r="AX175" s="9" t="s">
        <v>604</v>
      </c>
      <c r="AY175" s="9">
        <v>0</v>
      </c>
      <c r="AZ175" s="9">
        <v>46055.422638888886</v>
      </c>
      <c r="BA175" s="9">
        <v>46055.422662037039</v>
      </c>
      <c r="BB175" s="9">
        <v>1</v>
      </c>
      <c r="BC175" s="9">
        <v>1</v>
      </c>
      <c r="BD175" s="9" t="s">
        <v>2094</v>
      </c>
      <c r="BE175" s="9" t="s">
        <v>605</v>
      </c>
      <c r="BF175" s="9" t="s">
        <v>77</v>
      </c>
      <c r="BG175" s="9"/>
      <c r="BH175" s="9">
        <v>0</v>
      </c>
      <c r="BI175" s="9"/>
      <c r="BJ175" s="9">
        <v>1</v>
      </c>
      <c r="BK175" s="9" t="s">
        <v>92</v>
      </c>
      <c r="BL175" s="9" t="s">
        <v>92</v>
      </c>
      <c r="BM175" s="9" t="s">
        <v>75</v>
      </c>
      <c r="BN175" s="9"/>
      <c r="BO175" s="9">
        <v>0</v>
      </c>
      <c r="BP175" s="9"/>
      <c r="BQ175" s="9">
        <v>0</v>
      </c>
      <c r="BR175" s="9"/>
      <c r="BS175" s="9"/>
      <c r="BT175" s="9"/>
      <c r="BU175" s="9"/>
      <c r="BV175" s="9"/>
      <c r="BW175" s="9">
        <v>0</v>
      </c>
      <c r="BX175" s="9"/>
      <c r="BY175" s="9">
        <v>46055.422638888886</v>
      </c>
      <c r="BZ175" s="9"/>
      <c r="CA175" s="9"/>
      <c r="CB175" s="9"/>
      <c r="CC175" s="9"/>
      <c r="CD175" s="9"/>
      <c r="CE175" s="9"/>
      <c r="CF175" s="9"/>
      <c r="CG175" s="9"/>
      <c r="CH175" s="9">
        <v>1</v>
      </c>
      <c r="CI175" s="9">
        <v>0</v>
      </c>
      <c r="CJ175" s="9"/>
      <c r="CK175" s="9"/>
      <c r="CL175" s="9" t="s">
        <v>2130</v>
      </c>
      <c r="CM175" s="9"/>
      <c r="CN175" s="9">
        <v>0</v>
      </c>
      <c r="CO175" s="9" t="s">
        <v>1925</v>
      </c>
      <c r="CP175" s="9"/>
      <c r="CQ175" s="9"/>
    </row>
    <row r="176" spans="1:95" x14ac:dyDescent="0.35">
      <c r="A176" s="9" t="b">
        <f>ISNUMBER(MATCH(Claude[[#This Row],[Id]],ChargentOrders[Id],0))</f>
        <v>1</v>
      </c>
      <c r="B176" t="b">
        <f>INDEX(ChargentOrders[VALIDO],MATCH(Claude[[#This Row],[Id]],ChargentOrders[Id],0))</f>
        <v>1</v>
      </c>
      <c r="C176">
        <f>INDEX(Contract[CB_Subscription__c],MATCH(Claude[[#This Row],[Contract__c]],Contract[Id],0))</f>
        <v>0</v>
      </c>
      <c r="D176" s="9" t="s">
        <v>611</v>
      </c>
      <c r="E176" s="9" t="s">
        <v>79</v>
      </c>
      <c r="F176" s="9">
        <v>0</v>
      </c>
      <c r="G176" s="9" t="s">
        <v>612</v>
      </c>
      <c r="H176" s="9">
        <v>46006.432083333333</v>
      </c>
      <c r="I176" s="9" t="s">
        <v>65</v>
      </c>
      <c r="J176" s="9">
        <v>46163.935578703706</v>
      </c>
      <c r="K176" s="9" t="s">
        <v>78</v>
      </c>
      <c r="L176" s="9">
        <v>46163.935578703706</v>
      </c>
      <c r="M176" s="9"/>
      <c r="N176" s="9" t="s">
        <v>1698</v>
      </c>
      <c r="O176" s="9" t="s">
        <v>2114</v>
      </c>
      <c r="P176" s="9" t="s">
        <v>1924</v>
      </c>
      <c r="Q176" s="9" t="s">
        <v>1925</v>
      </c>
      <c r="R176" s="9" t="s">
        <v>1696</v>
      </c>
      <c r="S176" s="9" t="s">
        <v>2115</v>
      </c>
      <c r="T176" s="9" t="s">
        <v>2116</v>
      </c>
      <c r="U176" s="9" t="s">
        <v>1928</v>
      </c>
      <c r="V176" s="9">
        <v>949</v>
      </c>
      <c r="W176" s="9">
        <v>6</v>
      </c>
      <c r="X176" s="9">
        <v>2027</v>
      </c>
      <c r="Y176" s="9">
        <v>8346</v>
      </c>
      <c r="Z176" s="9">
        <v>6</v>
      </c>
      <c r="AA176" s="9">
        <v>4549516852918340</v>
      </c>
      <c r="AB176" s="9" t="s">
        <v>73</v>
      </c>
      <c r="AC176" s="9">
        <v>2027</v>
      </c>
      <c r="AD176" s="9" t="s">
        <v>473</v>
      </c>
      <c r="AE176" s="9">
        <v>29</v>
      </c>
      <c r="AF176" s="9" t="s">
        <v>1929</v>
      </c>
      <c r="AG176" s="9"/>
      <c r="AH176" s="9" t="s">
        <v>67</v>
      </c>
      <c r="AI176" s="9">
        <v>0</v>
      </c>
      <c r="AJ176" s="9"/>
      <c r="AK176" s="9">
        <v>0</v>
      </c>
      <c r="AL176" s="9" t="s">
        <v>1930</v>
      </c>
      <c r="AM176" s="9"/>
      <c r="AN176" s="9"/>
      <c r="AO176" s="9" t="s">
        <v>1943</v>
      </c>
      <c r="AP176" s="9" t="s">
        <v>69</v>
      </c>
      <c r="AQ176" s="9" t="s">
        <v>1932</v>
      </c>
      <c r="AR176" s="9">
        <v>46171</v>
      </c>
      <c r="AS176" s="9" t="s">
        <v>613</v>
      </c>
      <c r="AT176" s="9" t="s">
        <v>1944</v>
      </c>
      <c r="AU176" s="9" t="s">
        <v>473</v>
      </c>
      <c r="AV176" s="9">
        <v>0</v>
      </c>
      <c r="AW176" s="9" t="s">
        <v>92</v>
      </c>
      <c r="AX176" s="9" t="s">
        <v>587</v>
      </c>
      <c r="AY176" s="9">
        <v>0</v>
      </c>
      <c r="AZ176" s="9">
        <v>46142.423402777778</v>
      </c>
      <c r="BA176" s="9">
        <v>46142.423449074071</v>
      </c>
      <c r="BB176" s="9">
        <v>4</v>
      </c>
      <c r="BC176" s="9">
        <v>4</v>
      </c>
      <c r="BD176" s="9" t="s">
        <v>2125</v>
      </c>
      <c r="BE176" s="9" t="s">
        <v>588</v>
      </c>
      <c r="BF176" s="9" t="s">
        <v>76</v>
      </c>
      <c r="BG176" s="9"/>
      <c r="BH176" s="9">
        <v>0</v>
      </c>
      <c r="BI176" s="9"/>
      <c r="BJ176" s="9">
        <v>5</v>
      </c>
      <c r="BK176" s="9" t="s">
        <v>92</v>
      </c>
      <c r="BL176" s="9" t="s">
        <v>92</v>
      </c>
      <c r="BM176" s="9" t="s">
        <v>75</v>
      </c>
      <c r="BN176" s="9"/>
      <c r="BO176" s="9">
        <v>0</v>
      </c>
      <c r="BP176" s="9"/>
      <c r="BQ176" s="9">
        <v>0</v>
      </c>
      <c r="BR176" s="9"/>
      <c r="BS176" s="9"/>
      <c r="BT176" s="9"/>
      <c r="BU176" s="9"/>
      <c r="BV176" s="9"/>
      <c r="BW176" s="9">
        <v>0</v>
      </c>
      <c r="BX176" s="9"/>
      <c r="BY176" s="9">
        <v>46142.423402777778</v>
      </c>
      <c r="BZ176" s="9"/>
      <c r="CA176" s="9"/>
      <c r="CB176" s="9"/>
      <c r="CC176" s="9"/>
      <c r="CD176" s="9"/>
      <c r="CE176" s="9"/>
      <c r="CF176" s="9"/>
      <c r="CG176" s="9"/>
      <c r="CH176" s="9">
        <v>1</v>
      </c>
      <c r="CI176" s="9">
        <v>0</v>
      </c>
      <c r="CJ176" s="9"/>
      <c r="CK176" s="9"/>
      <c r="CL176" s="9" t="s">
        <v>2117</v>
      </c>
      <c r="CM176" s="9"/>
      <c r="CN176" s="9">
        <v>0</v>
      </c>
      <c r="CO176" s="9" t="s">
        <v>1925</v>
      </c>
      <c r="CP176" s="9"/>
      <c r="CQ176" s="9">
        <v>0</v>
      </c>
    </row>
    <row r="177" spans="1:95" x14ac:dyDescent="0.35">
      <c r="A177" s="9" t="b">
        <f>ISNUMBER(MATCH(Claude[[#This Row],[Id]],ChargentOrders[Id],0))</f>
        <v>1</v>
      </c>
      <c r="B177" t="b">
        <f>INDEX(ChargentOrders[VALIDO],MATCH(Claude[[#This Row],[Id]],ChargentOrders[Id],0))</f>
        <v>1</v>
      </c>
      <c r="C177">
        <f>INDEX(Contract[CB_Subscription__c],MATCH(Claude[[#This Row],[Contract__c]],Contract[Id],0))</f>
        <v>0</v>
      </c>
      <c r="D177" s="9" t="s">
        <v>614</v>
      </c>
      <c r="E177" s="9" t="s">
        <v>79</v>
      </c>
      <c r="F177" s="9">
        <v>0</v>
      </c>
      <c r="G177" s="9" t="s">
        <v>615</v>
      </c>
      <c r="H177" s="9">
        <v>46007.789212962962</v>
      </c>
      <c r="I177" s="9" t="s">
        <v>79</v>
      </c>
      <c r="J177" s="9">
        <v>46017.428877314815</v>
      </c>
      <c r="K177" s="9" t="s">
        <v>65</v>
      </c>
      <c r="L177" s="9">
        <v>46017.428877314815</v>
      </c>
      <c r="M177" s="9"/>
      <c r="N177" s="9" t="s">
        <v>1708</v>
      </c>
      <c r="O177" s="9" t="s">
        <v>2132</v>
      </c>
      <c r="P177" s="9" t="s">
        <v>2066</v>
      </c>
      <c r="Q177" s="9" t="s">
        <v>1925</v>
      </c>
      <c r="R177" s="9" t="s">
        <v>1706</v>
      </c>
      <c r="S177" s="9" t="s">
        <v>2133</v>
      </c>
      <c r="T177" s="9" t="s">
        <v>2134</v>
      </c>
      <c r="U177" s="9" t="s">
        <v>1928</v>
      </c>
      <c r="V177" s="9">
        <v>956</v>
      </c>
      <c r="W177" s="9">
        <v>10</v>
      </c>
      <c r="X177" s="9">
        <v>2030</v>
      </c>
      <c r="Y177" s="9">
        <v>2772</v>
      </c>
      <c r="Z177" s="9">
        <v>10</v>
      </c>
      <c r="AA177" s="9">
        <v>4549519496022770</v>
      </c>
      <c r="AB177" s="9" t="s">
        <v>73</v>
      </c>
      <c r="AC177" s="9">
        <v>2030</v>
      </c>
      <c r="AD177" s="9" t="s">
        <v>2079</v>
      </c>
      <c r="AE177" s="9"/>
      <c r="AF177" s="9" t="s">
        <v>1929</v>
      </c>
      <c r="AG177" s="9"/>
      <c r="AH177" s="9" t="s">
        <v>67</v>
      </c>
      <c r="AI177" s="9">
        <v>0</v>
      </c>
      <c r="AJ177" s="9"/>
      <c r="AK177" s="9">
        <v>0</v>
      </c>
      <c r="AL177" s="9" t="s">
        <v>1930</v>
      </c>
      <c r="AM177" s="9">
        <v>1</v>
      </c>
      <c r="AN177" s="9">
        <v>46017</v>
      </c>
      <c r="AO177" s="9" t="s">
        <v>1931</v>
      </c>
      <c r="AP177" s="9" t="s">
        <v>69</v>
      </c>
      <c r="AQ177" s="9" t="s">
        <v>1932</v>
      </c>
      <c r="AR177" s="9">
        <v>46017</v>
      </c>
      <c r="AS177" s="9" t="s">
        <v>74</v>
      </c>
      <c r="AT177" s="9" t="s">
        <v>1935</v>
      </c>
      <c r="AU177" s="9" t="s">
        <v>2079</v>
      </c>
      <c r="AV177" s="9">
        <v>0</v>
      </c>
      <c r="AW177" s="9" t="s">
        <v>92</v>
      </c>
      <c r="AX177" s="9" t="s">
        <v>616</v>
      </c>
      <c r="AY177" s="9">
        <v>0</v>
      </c>
      <c r="AZ177" s="9"/>
      <c r="BA177" s="9"/>
      <c r="BB177" s="9">
        <v>0</v>
      </c>
      <c r="BC177" s="9">
        <v>1</v>
      </c>
      <c r="BD177" s="9">
        <v>0</v>
      </c>
      <c r="BE177" s="9" t="s">
        <v>617</v>
      </c>
      <c r="BF177" s="9" t="s">
        <v>77</v>
      </c>
      <c r="BG177" s="9"/>
      <c r="BH177" s="9">
        <v>0</v>
      </c>
      <c r="BI177" s="9"/>
      <c r="BJ177" s="9">
        <v>1</v>
      </c>
      <c r="BK177" s="9" t="s">
        <v>92</v>
      </c>
      <c r="BL177" s="9" t="s">
        <v>92</v>
      </c>
      <c r="BM177" s="9" t="s">
        <v>75</v>
      </c>
      <c r="BN177" s="9"/>
      <c r="BO177" s="9">
        <v>0</v>
      </c>
      <c r="BP177" s="9"/>
      <c r="BQ177" s="9">
        <v>0</v>
      </c>
      <c r="BR177" s="9"/>
      <c r="BS177" s="9"/>
      <c r="BT177" s="9"/>
      <c r="BU177" s="9"/>
      <c r="BV177" s="9"/>
      <c r="BW177" s="9">
        <v>0</v>
      </c>
      <c r="BX177" s="9">
        <v>46017.428773148145</v>
      </c>
      <c r="BY177" s="9">
        <v>46017.428773148145</v>
      </c>
      <c r="BZ177" s="9"/>
      <c r="CA177" s="9"/>
      <c r="CB177" s="9"/>
      <c r="CC177" s="9"/>
      <c r="CD177" s="9"/>
      <c r="CE177" s="9"/>
      <c r="CF177" s="9"/>
      <c r="CG177" s="9"/>
      <c r="CH177" s="9">
        <v>1</v>
      </c>
      <c r="CI177" s="9">
        <v>0</v>
      </c>
      <c r="CJ177" s="9"/>
      <c r="CK177" s="9"/>
      <c r="CL177" s="9" t="s">
        <v>2135</v>
      </c>
      <c r="CM177" s="9"/>
      <c r="CN177" s="9">
        <v>0</v>
      </c>
      <c r="CO177" s="9" t="s">
        <v>1925</v>
      </c>
      <c r="CP177" s="9"/>
      <c r="CQ177" s="9"/>
    </row>
    <row r="178" spans="1:95" x14ac:dyDescent="0.35">
      <c r="A178" s="9" t="b">
        <f>ISNUMBER(MATCH(Claude[[#This Row],[Id]],ChargentOrders[Id],0))</f>
        <v>1</v>
      </c>
      <c r="B178" t="b">
        <f>INDEX(ChargentOrders[VALIDO],MATCH(Claude[[#This Row],[Id]],ChargentOrders[Id],0))</f>
        <v>1</v>
      </c>
      <c r="C178">
        <f>INDEX(Contract[CB_Subscription__c],MATCH(Claude[[#This Row],[Contract__c]],Contract[Id],0))</f>
        <v>0</v>
      </c>
      <c r="D178" s="9" t="s">
        <v>618</v>
      </c>
      <c r="E178" s="9" t="s">
        <v>79</v>
      </c>
      <c r="F178" s="9">
        <v>0</v>
      </c>
      <c r="G178" s="9" t="s">
        <v>619</v>
      </c>
      <c r="H178" s="9">
        <v>46007.788946759261</v>
      </c>
      <c r="I178" s="9" t="s">
        <v>79</v>
      </c>
      <c r="J178" s="9">
        <v>46007.789004629631</v>
      </c>
      <c r="K178" s="9" t="s">
        <v>79</v>
      </c>
      <c r="L178" s="9">
        <v>46007.789004629631</v>
      </c>
      <c r="M178" s="9"/>
      <c r="N178" s="9"/>
      <c r="O178" s="9" t="s">
        <v>2132</v>
      </c>
      <c r="P178" s="9" t="s">
        <v>2066</v>
      </c>
      <c r="Q178" s="9" t="s">
        <v>1925</v>
      </c>
      <c r="R178" s="9" t="s">
        <v>1706</v>
      </c>
      <c r="S178" s="9" t="s">
        <v>2133</v>
      </c>
      <c r="T178" s="9" t="s">
        <v>2134</v>
      </c>
      <c r="U178" s="9" t="s">
        <v>1928</v>
      </c>
      <c r="V178" s="9">
        <v>956</v>
      </c>
      <c r="W178" s="9">
        <v>10</v>
      </c>
      <c r="X178" s="9">
        <v>2030</v>
      </c>
      <c r="Y178" s="9">
        <v>2772</v>
      </c>
      <c r="Z178" s="9">
        <v>10</v>
      </c>
      <c r="AA178" s="9">
        <v>4549519496022770</v>
      </c>
      <c r="AB178" s="9" t="s">
        <v>73</v>
      </c>
      <c r="AC178" s="9">
        <v>2030</v>
      </c>
      <c r="AD178" s="9" t="s">
        <v>93</v>
      </c>
      <c r="AE178" s="9"/>
      <c r="AF178" s="9" t="s">
        <v>1929</v>
      </c>
      <c r="AG178" s="9"/>
      <c r="AH178" s="9" t="s">
        <v>67</v>
      </c>
      <c r="AI178" s="9">
        <v>0</v>
      </c>
      <c r="AJ178" s="9"/>
      <c r="AK178" s="9">
        <v>0</v>
      </c>
      <c r="AL178" s="9" t="s">
        <v>1930</v>
      </c>
      <c r="AM178" s="9"/>
      <c r="AN178" s="9"/>
      <c r="AO178" s="9" t="s">
        <v>1931</v>
      </c>
      <c r="AP178" s="9" t="s">
        <v>69</v>
      </c>
      <c r="AQ178" s="9" t="s">
        <v>1932</v>
      </c>
      <c r="AR178" s="9"/>
      <c r="AS178" s="9"/>
      <c r="AT178" s="9"/>
      <c r="AU178" s="9" t="s">
        <v>92</v>
      </c>
      <c r="AV178" s="9">
        <v>0</v>
      </c>
      <c r="AW178" s="9"/>
      <c r="AX178" s="9" t="s">
        <v>616</v>
      </c>
      <c r="AY178" s="9">
        <v>0</v>
      </c>
      <c r="AZ178" s="9"/>
      <c r="BA178" s="9">
        <v>46007.788969907408</v>
      </c>
      <c r="BB178" s="9">
        <v>0</v>
      </c>
      <c r="BC178" s="9">
        <v>1</v>
      </c>
      <c r="BD178" s="9">
        <v>0</v>
      </c>
      <c r="BE178" s="9" t="s">
        <v>617</v>
      </c>
      <c r="BF178" s="9"/>
      <c r="BG178" s="9"/>
      <c r="BH178" s="9">
        <v>0</v>
      </c>
      <c r="BI178" s="9"/>
      <c r="BJ178" s="9">
        <v>1</v>
      </c>
      <c r="BK178" s="9"/>
      <c r="BL178" s="9"/>
      <c r="BM178" s="9" t="s">
        <v>75</v>
      </c>
      <c r="BN178" s="9"/>
      <c r="BO178" s="9">
        <v>0</v>
      </c>
      <c r="BP178" s="9"/>
      <c r="BQ178" s="9">
        <v>1</v>
      </c>
      <c r="BR178" s="9"/>
      <c r="BS178" s="9"/>
      <c r="BT178" s="9"/>
      <c r="BU178" s="9"/>
      <c r="BV178" s="9"/>
      <c r="BW178" s="9">
        <v>0</v>
      </c>
      <c r="BX178" s="9"/>
      <c r="BY178" s="9">
        <v>46007.788969907408</v>
      </c>
      <c r="BZ178" s="9"/>
      <c r="CA178" s="9"/>
      <c r="CB178" s="9"/>
      <c r="CC178" s="9"/>
      <c r="CD178" s="9"/>
      <c r="CE178" s="9"/>
      <c r="CF178" s="9"/>
      <c r="CG178" s="9"/>
      <c r="CH178" s="9">
        <v>1</v>
      </c>
      <c r="CI178" s="9">
        <v>0</v>
      </c>
      <c r="CJ178" s="9"/>
      <c r="CK178" s="9"/>
      <c r="CL178" s="9" t="s">
        <v>2135</v>
      </c>
      <c r="CM178" s="9"/>
      <c r="CN178" s="9">
        <v>0</v>
      </c>
      <c r="CO178" s="9" t="s">
        <v>1925</v>
      </c>
      <c r="CP178" s="9"/>
      <c r="CQ178" s="9"/>
    </row>
    <row r="179" spans="1:95" x14ac:dyDescent="0.35">
      <c r="A179" s="9" t="b">
        <f>ISNUMBER(MATCH(Claude[[#This Row],[Id]],ChargentOrders[Id],0))</f>
        <v>1</v>
      </c>
      <c r="B179" t="b">
        <f>INDEX(ChargentOrders[VALIDO],MATCH(Claude[[#This Row],[Id]],ChargentOrders[Id],0))</f>
        <v>1</v>
      </c>
      <c r="C179">
        <f>INDEX(Contract[CB_Subscription__c],MATCH(Claude[[#This Row],[Contract__c]],Contract[Id],0))</f>
        <v>0</v>
      </c>
      <c r="D179" s="9" t="s">
        <v>620</v>
      </c>
      <c r="E179" s="9" t="s">
        <v>155</v>
      </c>
      <c r="F179" s="9">
        <v>0</v>
      </c>
      <c r="G179" s="9" t="s">
        <v>621</v>
      </c>
      <c r="H179" s="9">
        <v>46007.851550925923</v>
      </c>
      <c r="I179" s="9" t="s">
        <v>155</v>
      </c>
      <c r="J179" s="9">
        <v>46007.851620370369</v>
      </c>
      <c r="K179" s="9" t="s">
        <v>155</v>
      </c>
      <c r="L179" s="9">
        <v>46007.851620370369</v>
      </c>
      <c r="M179" s="9"/>
      <c r="N179" s="9"/>
      <c r="O179" s="9" t="s">
        <v>2136</v>
      </c>
      <c r="P179" s="9" t="s">
        <v>2137</v>
      </c>
      <c r="Q179" s="9" t="s">
        <v>1925</v>
      </c>
      <c r="R179" s="9" t="s">
        <v>1711</v>
      </c>
      <c r="S179" s="9" t="s">
        <v>2138</v>
      </c>
      <c r="T179" s="9" t="s">
        <v>2139</v>
      </c>
      <c r="U179" s="9" t="s">
        <v>1928</v>
      </c>
      <c r="V179" s="9">
        <v>676</v>
      </c>
      <c r="W179" s="9">
        <v>10</v>
      </c>
      <c r="X179" s="9">
        <v>2030</v>
      </c>
      <c r="Y179" s="9">
        <v>7110</v>
      </c>
      <c r="Z179" s="9">
        <v>10</v>
      </c>
      <c r="AA179" s="9">
        <v>4549519598587110</v>
      </c>
      <c r="AB179" s="9" t="s">
        <v>73</v>
      </c>
      <c r="AC179" s="9">
        <v>2030</v>
      </c>
      <c r="AD179" s="9" t="s">
        <v>93</v>
      </c>
      <c r="AE179" s="9"/>
      <c r="AF179" s="9" t="s">
        <v>1929</v>
      </c>
      <c r="AG179" s="9"/>
      <c r="AH179" s="9" t="s">
        <v>67</v>
      </c>
      <c r="AI179" s="9">
        <v>0</v>
      </c>
      <c r="AJ179" s="9"/>
      <c r="AK179" s="9">
        <v>0</v>
      </c>
      <c r="AL179" s="9" t="s">
        <v>1930</v>
      </c>
      <c r="AM179" s="9"/>
      <c r="AN179" s="9"/>
      <c r="AO179" s="9" t="s">
        <v>1931</v>
      </c>
      <c r="AP179" s="9" t="s">
        <v>69</v>
      </c>
      <c r="AQ179" s="9" t="s">
        <v>1932</v>
      </c>
      <c r="AR179" s="9"/>
      <c r="AS179" s="9"/>
      <c r="AT179" s="9"/>
      <c r="AU179" s="9" t="s">
        <v>92</v>
      </c>
      <c r="AV179" s="9">
        <v>0</v>
      </c>
      <c r="AW179" s="9"/>
      <c r="AX179" s="9" t="s">
        <v>622</v>
      </c>
      <c r="AY179" s="9">
        <v>0</v>
      </c>
      <c r="AZ179" s="9"/>
      <c r="BA179" s="9">
        <v>46007.851585648146</v>
      </c>
      <c r="BB179" s="9">
        <v>0</v>
      </c>
      <c r="BC179" s="9">
        <v>1</v>
      </c>
      <c r="BD179" s="9">
        <v>0</v>
      </c>
      <c r="BE179" s="9" t="s">
        <v>623</v>
      </c>
      <c r="BF179" s="9"/>
      <c r="BG179" s="9"/>
      <c r="BH179" s="9">
        <v>0</v>
      </c>
      <c r="BI179" s="9"/>
      <c r="BJ179" s="9">
        <v>1</v>
      </c>
      <c r="BK179" s="9"/>
      <c r="BL179" s="9"/>
      <c r="BM179" s="9" t="s">
        <v>75</v>
      </c>
      <c r="BN179" s="9"/>
      <c r="BO179" s="9">
        <v>0</v>
      </c>
      <c r="BP179" s="9"/>
      <c r="BQ179" s="9">
        <v>1</v>
      </c>
      <c r="BR179" s="9"/>
      <c r="BS179" s="9"/>
      <c r="BT179" s="9"/>
      <c r="BU179" s="9"/>
      <c r="BV179" s="9"/>
      <c r="BW179" s="9">
        <v>0</v>
      </c>
      <c r="BX179" s="9"/>
      <c r="BY179" s="9">
        <v>46007.851585648146</v>
      </c>
      <c r="BZ179" s="9"/>
      <c r="CA179" s="9"/>
      <c r="CB179" s="9"/>
      <c r="CC179" s="9"/>
      <c r="CD179" s="9"/>
      <c r="CE179" s="9"/>
      <c r="CF179" s="9"/>
      <c r="CG179" s="9"/>
      <c r="CH179" s="9">
        <v>1</v>
      </c>
      <c r="CI179" s="9">
        <v>0</v>
      </c>
      <c r="CJ179" s="9"/>
      <c r="CK179" s="9"/>
      <c r="CL179" s="9" t="s">
        <v>2140</v>
      </c>
      <c r="CM179" s="9"/>
      <c r="CN179" s="9">
        <v>0</v>
      </c>
      <c r="CO179" s="9" t="s">
        <v>1925</v>
      </c>
      <c r="CP179" s="9"/>
      <c r="CQ179" s="9"/>
    </row>
    <row r="180" spans="1:95" x14ac:dyDescent="0.35">
      <c r="A180" s="9" t="b">
        <f>ISNUMBER(MATCH(Claude[[#This Row],[Id]],ChargentOrders[Id],0))</f>
        <v>1</v>
      </c>
      <c r="B180" t="b">
        <f>INDEX(ChargentOrders[VALIDO],MATCH(Claude[[#This Row],[Id]],ChargentOrders[Id],0))</f>
        <v>1</v>
      </c>
      <c r="C180">
        <f>INDEX(Contract[CB_Subscription__c],MATCH(Claude[[#This Row],[Contract__c]],Contract[Id],0))</f>
        <v>0</v>
      </c>
      <c r="D180" s="9" t="s">
        <v>624</v>
      </c>
      <c r="E180" s="9" t="s">
        <v>155</v>
      </c>
      <c r="F180" s="9">
        <v>0</v>
      </c>
      <c r="G180" s="9" t="s">
        <v>625</v>
      </c>
      <c r="H180" s="9">
        <v>46007.85297453704</v>
      </c>
      <c r="I180" s="9" t="s">
        <v>155</v>
      </c>
      <c r="J180" s="9">
        <v>46008.417858796296</v>
      </c>
      <c r="K180" s="9" t="s">
        <v>65</v>
      </c>
      <c r="L180" s="9">
        <v>46008.417858796296</v>
      </c>
      <c r="M180" s="9"/>
      <c r="N180" s="9" t="s">
        <v>1713</v>
      </c>
      <c r="O180" s="9" t="s">
        <v>2136</v>
      </c>
      <c r="P180" s="9" t="s">
        <v>2137</v>
      </c>
      <c r="Q180" s="9" t="s">
        <v>1925</v>
      </c>
      <c r="R180" s="9" t="s">
        <v>1711</v>
      </c>
      <c r="S180" s="9" t="s">
        <v>2138</v>
      </c>
      <c r="T180" s="9" t="s">
        <v>2139</v>
      </c>
      <c r="U180" s="9" t="s">
        <v>1928</v>
      </c>
      <c r="V180" s="9">
        <v>676</v>
      </c>
      <c r="W180" s="9">
        <v>10</v>
      </c>
      <c r="X180" s="9">
        <v>2030</v>
      </c>
      <c r="Y180" s="9">
        <v>7110</v>
      </c>
      <c r="Z180" s="9">
        <v>10</v>
      </c>
      <c r="AA180" s="9">
        <v>4549519598587110</v>
      </c>
      <c r="AB180" s="9" t="s">
        <v>73</v>
      </c>
      <c r="AC180" s="9">
        <v>2030</v>
      </c>
      <c r="AD180" s="9" t="s">
        <v>2079</v>
      </c>
      <c r="AE180" s="9"/>
      <c r="AF180" s="9" t="s">
        <v>1929</v>
      </c>
      <c r="AG180" s="9"/>
      <c r="AH180" s="9" t="s">
        <v>67</v>
      </c>
      <c r="AI180" s="9">
        <v>0</v>
      </c>
      <c r="AJ180" s="9"/>
      <c r="AK180" s="9">
        <v>0</v>
      </c>
      <c r="AL180" s="9" t="s">
        <v>1930</v>
      </c>
      <c r="AM180" s="9">
        <v>1</v>
      </c>
      <c r="AN180" s="9"/>
      <c r="AO180" s="9" t="s">
        <v>1931</v>
      </c>
      <c r="AP180" s="9" t="s">
        <v>69</v>
      </c>
      <c r="AQ180" s="9" t="s">
        <v>1932</v>
      </c>
      <c r="AR180" s="9">
        <v>46008</v>
      </c>
      <c r="AS180" s="9" t="s">
        <v>74</v>
      </c>
      <c r="AT180" s="9" t="s">
        <v>1935</v>
      </c>
      <c r="AU180" s="9" t="s">
        <v>2079</v>
      </c>
      <c r="AV180" s="9">
        <v>0</v>
      </c>
      <c r="AW180" s="9" t="s">
        <v>92</v>
      </c>
      <c r="AX180" s="9" t="s">
        <v>622</v>
      </c>
      <c r="AY180" s="9">
        <v>0</v>
      </c>
      <c r="AZ180" s="9">
        <v>46008.41778935185</v>
      </c>
      <c r="BA180" s="9">
        <v>46008.417800925927</v>
      </c>
      <c r="BB180" s="9">
        <v>1</v>
      </c>
      <c r="BC180" s="9">
        <v>1</v>
      </c>
      <c r="BD180" s="9" t="s">
        <v>2078</v>
      </c>
      <c r="BE180" s="9" t="s">
        <v>623</v>
      </c>
      <c r="BF180" s="9" t="s">
        <v>77</v>
      </c>
      <c r="BG180" s="9"/>
      <c r="BH180" s="9">
        <v>0</v>
      </c>
      <c r="BI180" s="9"/>
      <c r="BJ180" s="9">
        <v>1</v>
      </c>
      <c r="BK180" s="9" t="s">
        <v>92</v>
      </c>
      <c r="BL180" s="9" t="s">
        <v>92</v>
      </c>
      <c r="BM180" s="9" t="s">
        <v>75</v>
      </c>
      <c r="BN180" s="9"/>
      <c r="BO180" s="9">
        <v>0</v>
      </c>
      <c r="BP180" s="9"/>
      <c r="BQ180" s="9">
        <v>0</v>
      </c>
      <c r="BR180" s="9"/>
      <c r="BS180" s="9"/>
      <c r="BT180" s="9"/>
      <c r="BU180" s="9"/>
      <c r="BV180" s="9"/>
      <c r="BW180" s="9">
        <v>0</v>
      </c>
      <c r="BX180" s="9"/>
      <c r="BY180" s="9">
        <v>46008.41778935185</v>
      </c>
      <c r="BZ180" s="9"/>
      <c r="CA180" s="9"/>
      <c r="CB180" s="9"/>
      <c r="CC180" s="9"/>
      <c r="CD180" s="9"/>
      <c r="CE180" s="9"/>
      <c r="CF180" s="9"/>
      <c r="CG180" s="9"/>
      <c r="CH180" s="9">
        <v>1</v>
      </c>
      <c r="CI180" s="9">
        <v>0</v>
      </c>
      <c r="CJ180" s="9"/>
      <c r="CK180" s="9"/>
      <c r="CL180" s="9" t="s">
        <v>2140</v>
      </c>
      <c r="CM180" s="9"/>
      <c r="CN180" s="9">
        <v>0</v>
      </c>
      <c r="CO180" s="9" t="s">
        <v>1925</v>
      </c>
      <c r="CP180" s="9"/>
      <c r="CQ180" s="9"/>
    </row>
    <row r="181" spans="1:95" x14ac:dyDescent="0.35">
      <c r="A181" s="9" t="b">
        <f>ISNUMBER(MATCH(Claude[[#This Row],[Id]],ChargentOrders[Id],0))</f>
        <v>1</v>
      </c>
      <c r="B181" t="b">
        <f>INDEX(ChargentOrders[VALIDO],MATCH(Claude[[#This Row],[Id]],ChargentOrders[Id],0))</f>
        <v>1</v>
      </c>
      <c r="C181">
        <f>INDEX(Contract[CB_Subscription__c],MATCH(Claude[[#This Row],[Contract__c]],Contract[Id],0))</f>
        <v>0</v>
      </c>
      <c r="D181" s="9" t="s">
        <v>626</v>
      </c>
      <c r="E181" s="9" t="s">
        <v>155</v>
      </c>
      <c r="F181" s="9">
        <v>0</v>
      </c>
      <c r="G181" s="9" t="s">
        <v>627</v>
      </c>
      <c r="H181" s="9">
        <v>46008.417824074073</v>
      </c>
      <c r="I181" s="9" t="s">
        <v>65</v>
      </c>
      <c r="J181" s="9">
        <v>46163.935578703706</v>
      </c>
      <c r="K181" s="9" t="s">
        <v>78</v>
      </c>
      <c r="L181" s="9">
        <v>46163.935578703706</v>
      </c>
      <c r="M181" s="9"/>
      <c r="N181" s="9" t="s">
        <v>1713</v>
      </c>
      <c r="O181" s="9" t="s">
        <v>2136</v>
      </c>
      <c r="P181" s="9" t="s">
        <v>2137</v>
      </c>
      <c r="Q181" s="9" t="s">
        <v>1925</v>
      </c>
      <c r="R181" s="9" t="s">
        <v>1711</v>
      </c>
      <c r="S181" s="9" t="s">
        <v>2138</v>
      </c>
      <c r="T181" s="9" t="s">
        <v>2139</v>
      </c>
      <c r="U181" s="9" t="s">
        <v>1928</v>
      </c>
      <c r="V181" s="9">
        <v>676</v>
      </c>
      <c r="W181" s="9">
        <v>10</v>
      </c>
      <c r="X181" s="9">
        <v>2030</v>
      </c>
      <c r="Y181" s="9">
        <v>7110</v>
      </c>
      <c r="Z181" s="9">
        <v>10</v>
      </c>
      <c r="AA181" s="9">
        <v>7110</v>
      </c>
      <c r="AB181" s="9" t="s">
        <v>73</v>
      </c>
      <c r="AC181" s="9">
        <v>2030</v>
      </c>
      <c r="AD181" s="9" t="s">
        <v>473</v>
      </c>
      <c r="AE181" s="9">
        <v>15</v>
      </c>
      <c r="AF181" s="9" t="s">
        <v>1929</v>
      </c>
      <c r="AG181" s="9"/>
      <c r="AH181" s="9" t="s">
        <v>67</v>
      </c>
      <c r="AI181" s="9">
        <v>0</v>
      </c>
      <c r="AJ181" s="9"/>
      <c r="AK181" s="9">
        <v>0</v>
      </c>
      <c r="AL181" s="9" t="s">
        <v>1930</v>
      </c>
      <c r="AM181" s="9"/>
      <c r="AN181" s="9"/>
      <c r="AO181" s="9" t="s">
        <v>1943</v>
      </c>
      <c r="AP181" s="9" t="s">
        <v>69</v>
      </c>
      <c r="AQ181" s="9" t="s">
        <v>1932</v>
      </c>
      <c r="AR181" s="9">
        <v>46127</v>
      </c>
      <c r="AS181" s="9" t="s">
        <v>613</v>
      </c>
      <c r="AT181" s="9" t="s">
        <v>1944</v>
      </c>
      <c r="AU181" s="9" t="s">
        <v>473</v>
      </c>
      <c r="AV181" s="9">
        <v>0</v>
      </c>
      <c r="AW181" s="9" t="s">
        <v>92</v>
      </c>
      <c r="AX181" s="9" t="s">
        <v>622</v>
      </c>
      <c r="AY181" s="9">
        <v>0</v>
      </c>
      <c r="AZ181" s="9">
        <v>46157.419664351852</v>
      </c>
      <c r="BA181" s="9">
        <v>46157.419664351852</v>
      </c>
      <c r="BB181" s="9">
        <v>5</v>
      </c>
      <c r="BC181" s="9">
        <v>5</v>
      </c>
      <c r="BD181" s="9" t="s">
        <v>2141</v>
      </c>
      <c r="BE181" s="9" t="s">
        <v>623</v>
      </c>
      <c r="BF181" s="9" t="s">
        <v>76</v>
      </c>
      <c r="BG181" s="9"/>
      <c r="BH181" s="9">
        <v>0</v>
      </c>
      <c r="BI181" s="9"/>
      <c r="BJ181" s="9">
        <v>6</v>
      </c>
      <c r="BK181" s="9" t="s">
        <v>92</v>
      </c>
      <c r="BL181" s="9" t="s">
        <v>92</v>
      </c>
      <c r="BM181" s="9" t="s">
        <v>75</v>
      </c>
      <c r="BN181" s="9"/>
      <c r="BO181" s="9">
        <v>0</v>
      </c>
      <c r="BP181" s="9"/>
      <c r="BQ181" s="9">
        <v>0</v>
      </c>
      <c r="BR181" s="9"/>
      <c r="BS181" s="9"/>
      <c r="BT181" s="9"/>
      <c r="BU181" s="9"/>
      <c r="BV181" s="9"/>
      <c r="BW181" s="9">
        <v>0</v>
      </c>
      <c r="BX181" s="9"/>
      <c r="BY181" s="9">
        <v>46157.419664351852</v>
      </c>
      <c r="BZ181" s="9"/>
      <c r="CA181" s="9"/>
      <c r="CB181" s="9"/>
      <c r="CC181" s="9"/>
      <c r="CD181" s="9"/>
      <c r="CE181" s="9"/>
      <c r="CF181" s="9"/>
      <c r="CG181" s="9"/>
      <c r="CH181" s="9">
        <v>1</v>
      </c>
      <c r="CI181" s="9">
        <v>0</v>
      </c>
      <c r="CJ181" s="9"/>
      <c r="CK181" s="9"/>
      <c r="CL181" s="9" t="s">
        <v>2140</v>
      </c>
      <c r="CM181" s="9"/>
      <c r="CN181" s="9">
        <v>0</v>
      </c>
      <c r="CO181" s="9" t="s">
        <v>1925</v>
      </c>
      <c r="CP181" s="9"/>
      <c r="CQ181" s="9">
        <v>0</v>
      </c>
    </row>
    <row r="182" spans="1:95" x14ac:dyDescent="0.35">
      <c r="A182" s="9" t="b">
        <f>ISNUMBER(MATCH(Claude[[#This Row],[Id]],ChargentOrders[Id],0))</f>
        <v>1</v>
      </c>
      <c r="B182" t="b">
        <f>INDEX(ChargentOrders[VALIDO],MATCH(Claude[[#This Row],[Id]],ChargentOrders[Id],0))</f>
        <v>1</v>
      </c>
      <c r="C182">
        <f>INDEX(Contract[CB_Subscription__c],MATCH(Claude[[#This Row],[Contract__c]],Contract[Id],0))</f>
        <v>0</v>
      </c>
      <c r="D182" s="9" t="s">
        <v>628</v>
      </c>
      <c r="E182" s="9" t="s">
        <v>81</v>
      </c>
      <c r="F182" s="9">
        <v>0</v>
      </c>
      <c r="G182" s="9" t="s">
        <v>629</v>
      </c>
      <c r="H182" s="9">
        <v>46008.770844907405</v>
      </c>
      <c r="I182" s="9" t="s">
        <v>81</v>
      </c>
      <c r="J182" s="9">
        <v>46017.429050925923</v>
      </c>
      <c r="K182" s="9" t="s">
        <v>65</v>
      </c>
      <c r="L182" s="9">
        <v>46017.429050925923</v>
      </c>
      <c r="M182" s="9"/>
      <c r="N182" s="9" t="s">
        <v>1718</v>
      </c>
      <c r="O182" s="9" t="s">
        <v>2142</v>
      </c>
      <c r="P182" s="9" t="s">
        <v>2143</v>
      </c>
      <c r="Q182" s="9" t="s">
        <v>1925</v>
      </c>
      <c r="R182" s="9" t="s">
        <v>1716</v>
      </c>
      <c r="S182" s="9" t="s">
        <v>2144</v>
      </c>
      <c r="T182" s="9" t="s">
        <v>2145</v>
      </c>
      <c r="U182" s="9" t="s">
        <v>1928</v>
      </c>
      <c r="V182" s="9">
        <v>641</v>
      </c>
      <c r="W182" s="9">
        <v>8</v>
      </c>
      <c r="X182" s="9">
        <v>2030</v>
      </c>
      <c r="Y182" s="9">
        <v>9728</v>
      </c>
      <c r="Z182" s="9">
        <v>8</v>
      </c>
      <c r="AA182" s="9">
        <v>4549525023689720</v>
      </c>
      <c r="AB182" s="9" t="s">
        <v>73</v>
      </c>
      <c r="AC182" s="9">
        <v>2030</v>
      </c>
      <c r="AD182" s="9" t="s">
        <v>1979</v>
      </c>
      <c r="AE182" s="9"/>
      <c r="AF182" s="9" t="s">
        <v>1929</v>
      </c>
      <c r="AG182" s="9"/>
      <c r="AH182" s="9" t="s">
        <v>98</v>
      </c>
      <c r="AI182" s="9">
        <v>0</v>
      </c>
      <c r="AJ182" s="9"/>
      <c r="AK182" s="9">
        <v>0</v>
      </c>
      <c r="AL182" s="9" t="s">
        <v>1930</v>
      </c>
      <c r="AM182" s="9">
        <v>1</v>
      </c>
      <c r="AN182" s="9"/>
      <c r="AO182" s="9" t="s">
        <v>1931</v>
      </c>
      <c r="AP182" s="9" t="s">
        <v>69</v>
      </c>
      <c r="AQ182" s="9" t="s">
        <v>1932</v>
      </c>
      <c r="AR182" s="9">
        <v>46017</v>
      </c>
      <c r="AS182" s="9" t="s">
        <v>74</v>
      </c>
      <c r="AT182" s="9" t="s">
        <v>1935</v>
      </c>
      <c r="AU182" s="9" t="s">
        <v>1979</v>
      </c>
      <c r="AV182" s="9">
        <v>0</v>
      </c>
      <c r="AW182" s="9" t="s">
        <v>92</v>
      </c>
      <c r="AX182" s="9">
        <v>7.6599600037667296E+21</v>
      </c>
      <c r="AY182" s="9">
        <v>0</v>
      </c>
      <c r="AZ182" s="9">
        <v>46017.428935185184</v>
      </c>
      <c r="BA182" s="9">
        <v>46017.428993055553</v>
      </c>
      <c r="BB182" s="9">
        <v>1</v>
      </c>
      <c r="BC182" s="9">
        <v>1</v>
      </c>
      <c r="BD182" s="9" t="s">
        <v>2146</v>
      </c>
      <c r="BE182" s="9" t="s">
        <v>631</v>
      </c>
      <c r="BF182" s="9" t="s">
        <v>77</v>
      </c>
      <c r="BG182" s="9"/>
      <c r="BH182" s="9">
        <v>0</v>
      </c>
      <c r="BI182" s="9"/>
      <c r="BJ182" s="9">
        <v>1</v>
      </c>
      <c r="BK182" s="9" t="s">
        <v>92</v>
      </c>
      <c r="BL182" s="9" t="s">
        <v>92</v>
      </c>
      <c r="BM182" s="9" t="s">
        <v>75</v>
      </c>
      <c r="BN182" s="9"/>
      <c r="BO182" s="9">
        <v>0</v>
      </c>
      <c r="BP182" s="9"/>
      <c r="BQ182" s="9">
        <v>0</v>
      </c>
      <c r="BR182" s="9"/>
      <c r="BS182" s="9"/>
      <c r="BT182" s="9"/>
      <c r="BU182" s="9"/>
      <c r="BV182" s="9"/>
      <c r="BW182" s="9">
        <v>0</v>
      </c>
      <c r="BX182" s="9"/>
      <c r="BY182" s="9">
        <v>46017.428935185184</v>
      </c>
      <c r="BZ182" s="9"/>
      <c r="CA182" s="9"/>
      <c r="CB182" s="9"/>
      <c r="CC182" s="9"/>
      <c r="CD182" s="9"/>
      <c r="CE182" s="9"/>
      <c r="CF182" s="9"/>
      <c r="CG182" s="9"/>
      <c r="CH182" s="9">
        <v>1</v>
      </c>
      <c r="CI182" s="9">
        <v>0</v>
      </c>
      <c r="CJ182" s="9"/>
      <c r="CK182" s="9"/>
      <c r="CL182" s="9" t="s">
        <v>2147</v>
      </c>
      <c r="CM182" s="9"/>
      <c r="CN182" s="9">
        <v>0</v>
      </c>
      <c r="CO182" s="9" t="s">
        <v>1925</v>
      </c>
      <c r="CP182" s="9"/>
      <c r="CQ182" s="9"/>
    </row>
    <row r="183" spans="1:95" x14ac:dyDescent="0.35">
      <c r="A183" s="9" t="b">
        <f>ISNUMBER(MATCH(Claude[[#This Row],[Id]],ChargentOrders[Id],0))</f>
        <v>1</v>
      </c>
      <c r="B183" t="b">
        <f>INDEX(ChargentOrders[VALIDO],MATCH(Claude[[#This Row],[Id]],ChargentOrders[Id],0))</f>
        <v>1</v>
      </c>
      <c r="C183">
        <f>INDEX(Contract[CB_Subscription__c],MATCH(Claude[[#This Row],[Contract__c]],Contract[Id],0))</f>
        <v>0</v>
      </c>
      <c r="D183" s="9" t="s">
        <v>632</v>
      </c>
      <c r="E183" s="9" t="s">
        <v>531</v>
      </c>
      <c r="F183" s="9">
        <v>0</v>
      </c>
      <c r="G183" s="9" t="s">
        <v>633</v>
      </c>
      <c r="H183" s="9">
        <v>46008.727361111109</v>
      </c>
      <c r="I183" s="9" t="s">
        <v>531</v>
      </c>
      <c r="J183" s="9">
        <v>46120.802233796298</v>
      </c>
      <c r="K183" s="9" t="s">
        <v>78</v>
      </c>
      <c r="L183" s="9">
        <v>46120.802233796298</v>
      </c>
      <c r="M183" s="9"/>
      <c r="N183" s="9"/>
      <c r="O183" s="9" t="s">
        <v>2148</v>
      </c>
      <c r="P183" s="9" t="s">
        <v>1990</v>
      </c>
      <c r="Q183" s="9" t="s">
        <v>1925</v>
      </c>
      <c r="R183" s="9" t="s">
        <v>2149</v>
      </c>
      <c r="S183" s="9" t="s">
        <v>2150</v>
      </c>
      <c r="T183" s="9" t="s">
        <v>2151</v>
      </c>
      <c r="U183" s="9" t="s">
        <v>1928</v>
      </c>
      <c r="V183" s="9">
        <v>916</v>
      </c>
      <c r="W183" s="9">
        <v>4</v>
      </c>
      <c r="X183" s="9">
        <v>2030</v>
      </c>
      <c r="Y183" s="9">
        <v>883</v>
      </c>
      <c r="Z183" s="9">
        <v>4</v>
      </c>
      <c r="AA183" s="9">
        <v>4549519853410880</v>
      </c>
      <c r="AB183" s="9" t="s">
        <v>73</v>
      </c>
      <c r="AC183" s="9">
        <v>2030</v>
      </c>
      <c r="AD183" s="9" t="s">
        <v>93</v>
      </c>
      <c r="AE183" s="9"/>
      <c r="AF183" s="9" t="s">
        <v>1929</v>
      </c>
      <c r="AG183" s="9"/>
      <c r="AH183" s="9" t="s">
        <v>67</v>
      </c>
      <c r="AI183" s="9">
        <v>0</v>
      </c>
      <c r="AJ183" s="9"/>
      <c r="AK183" s="9">
        <v>0</v>
      </c>
      <c r="AL183" s="9" t="s">
        <v>1930</v>
      </c>
      <c r="AM183" s="9"/>
      <c r="AN183" s="9"/>
      <c r="AO183" s="9" t="s">
        <v>1931</v>
      </c>
      <c r="AP183" s="9" t="s">
        <v>69</v>
      </c>
      <c r="AQ183" s="9" t="s">
        <v>1932</v>
      </c>
      <c r="AR183" s="9"/>
      <c r="AS183" s="9" t="s">
        <v>218</v>
      </c>
      <c r="AT183" s="9"/>
      <c r="AU183" s="9" t="s">
        <v>92</v>
      </c>
      <c r="AV183" s="9">
        <v>0</v>
      </c>
      <c r="AW183" s="9"/>
      <c r="AX183" s="9" t="s">
        <v>634</v>
      </c>
      <c r="AY183" s="9">
        <v>0</v>
      </c>
      <c r="AZ183" s="9"/>
      <c r="BA183" s="9">
        <v>46008.727384259262</v>
      </c>
      <c r="BB183" s="9">
        <v>0</v>
      </c>
      <c r="BC183" s="9">
        <v>1</v>
      </c>
      <c r="BD183" s="9">
        <v>0</v>
      </c>
      <c r="BE183" s="9" t="s">
        <v>635</v>
      </c>
      <c r="BF183" s="9"/>
      <c r="BG183" s="9"/>
      <c r="BH183" s="9">
        <v>0</v>
      </c>
      <c r="BI183" s="9"/>
      <c r="BJ183" s="9">
        <v>1</v>
      </c>
      <c r="BK183" s="9"/>
      <c r="BL183" s="9"/>
      <c r="BM183" s="9" t="s">
        <v>75</v>
      </c>
      <c r="BN183" s="9"/>
      <c r="BO183" s="9">
        <v>0</v>
      </c>
      <c r="BP183" s="9"/>
      <c r="BQ183" s="9">
        <v>1</v>
      </c>
      <c r="BR183" s="9"/>
      <c r="BS183" s="9"/>
      <c r="BT183" s="9"/>
      <c r="BU183" s="9"/>
      <c r="BV183" s="9"/>
      <c r="BW183" s="9">
        <v>0</v>
      </c>
      <c r="BX183" s="9"/>
      <c r="BY183" s="9">
        <v>46008.727384259262</v>
      </c>
      <c r="BZ183" s="9"/>
      <c r="CA183" s="9"/>
      <c r="CB183" s="9"/>
      <c r="CC183" s="9"/>
      <c r="CD183" s="9"/>
      <c r="CE183" s="9"/>
      <c r="CF183" s="9"/>
      <c r="CG183" s="9"/>
      <c r="CH183" s="9">
        <v>1</v>
      </c>
      <c r="CI183" s="9">
        <v>0</v>
      </c>
      <c r="CJ183" s="9"/>
      <c r="CK183" s="9"/>
      <c r="CL183" s="9" t="s">
        <v>2152</v>
      </c>
      <c r="CM183" s="9"/>
      <c r="CN183" s="9">
        <v>0</v>
      </c>
      <c r="CO183" s="9" t="s">
        <v>1925</v>
      </c>
      <c r="CP183" s="9"/>
      <c r="CQ183" s="9"/>
    </row>
    <row r="184" spans="1:95" x14ac:dyDescent="0.35">
      <c r="A184" s="9" t="b">
        <f>ISNUMBER(MATCH(Claude[[#This Row],[Id]],ChargentOrders[Id],0))</f>
        <v>1</v>
      </c>
      <c r="B184" t="b">
        <f>INDEX(ChargentOrders[VALIDO],MATCH(Claude[[#This Row],[Id]],ChargentOrders[Id],0))</f>
        <v>1</v>
      </c>
      <c r="C184">
        <f>INDEX(Contract[CB_Subscription__c],MATCH(Claude[[#This Row],[Contract__c]],Contract[Id],0))</f>
        <v>0</v>
      </c>
      <c r="D184" s="9" t="s">
        <v>636</v>
      </c>
      <c r="E184" s="9" t="s">
        <v>531</v>
      </c>
      <c r="F184" s="9">
        <v>0</v>
      </c>
      <c r="G184" s="9" t="s">
        <v>637</v>
      </c>
      <c r="H184" s="9">
        <v>46008.733819444446</v>
      </c>
      <c r="I184" s="9" t="s">
        <v>531</v>
      </c>
      <c r="J184" s="9">
        <v>46114.620729166665</v>
      </c>
      <c r="K184" s="9" t="s">
        <v>78</v>
      </c>
      <c r="L184" s="9">
        <v>46114.620729166665</v>
      </c>
      <c r="M184" s="9"/>
      <c r="N184" s="9" t="s">
        <v>2153</v>
      </c>
      <c r="O184" s="9" t="s">
        <v>2148</v>
      </c>
      <c r="P184" s="9" t="s">
        <v>1990</v>
      </c>
      <c r="Q184" s="9" t="s">
        <v>1925</v>
      </c>
      <c r="R184" s="9" t="s">
        <v>2149</v>
      </c>
      <c r="S184" s="9" t="s">
        <v>2150</v>
      </c>
      <c r="T184" s="9" t="s">
        <v>2151</v>
      </c>
      <c r="U184" s="9" t="s">
        <v>1928</v>
      </c>
      <c r="V184" s="9">
        <v>916</v>
      </c>
      <c r="W184" s="9">
        <v>4</v>
      </c>
      <c r="X184" s="9">
        <v>2030</v>
      </c>
      <c r="Y184" s="9">
        <v>883</v>
      </c>
      <c r="Z184" s="9">
        <v>4</v>
      </c>
      <c r="AA184" s="9">
        <v>4549519853410880</v>
      </c>
      <c r="AB184" s="9" t="s">
        <v>73</v>
      </c>
      <c r="AC184" s="9">
        <v>2030</v>
      </c>
      <c r="AD184" s="9" t="s">
        <v>2131</v>
      </c>
      <c r="AE184" s="9"/>
      <c r="AF184" s="9" t="s">
        <v>1929</v>
      </c>
      <c r="AG184" s="9"/>
      <c r="AH184" s="9" t="s">
        <v>67</v>
      </c>
      <c r="AI184" s="9">
        <v>0</v>
      </c>
      <c r="AJ184" s="9"/>
      <c r="AK184" s="9">
        <v>0</v>
      </c>
      <c r="AL184" s="9" t="s">
        <v>1930</v>
      </c>
      <c r="AM184" s="9">
        <v>1</v>
      </c>
      <c r="AN184" s="9"/>
      <c r="AO184" s="9" t="s">
        <v>1931</v>
      </c>
      <c r="AP184" s="9" t="s">
        <v>69</v>
      </c>
      <c r="AQ184" s="9" t="s">
        <v>1932</v>
      </c>
      <c r="AR184" s="9">
        <v>46038</v>
      </c>
      <c r="AS184" s="9" t="s">
        <v>74</v>
      </c>
      <c r="AT184" s="9" t="s">
        <v>1935</v>
      </c>
      <c r="AU184" s="9" t="s">
        <v>2131</v>
      </c>
      <c r="AV184" s="9">
        <v>0</v>
      </c>
      <c r="AW184" s="9" t="s">
        <v>92</v>
      </c>
      <c r="AX184" s="9" t="s">
        <v>634</v>
      </c>
      <c r="AY184" s="9">
        <v>0</v>
      </c>
      <c r="AZ184" s="9">
        <v>46038.425381944442</v>
      </c>
      <c r="BA184" s="9">
        <v>46038.425405092596</v>
      </c>
      <c r="BB184" s="9">
        <v>1</v>
      </c>
      <c r="BC184" s="9">
        <v>1</v>
      </c>
      <c r="BD184" s="9" t="s">
        <v>2094</v>
      </c>
      <c r="BE184" s="9" t="s">
        <v>635</v>
      </c>
      <c r="BF184" s="9" t="s">
        <v>77</v>
      </c>
      <c r="BG184" s="9"/>
      <c r="BH184" s="9">
        <v>0</v>
      </c>
      <c r="BI184" s="9"/>
      <c r="BJ184" s="9">
        <v>1</v>
      </c>
      <c r="BK184" s="9" t="s">
        <v>92</v>
      </c>
      <c r="BL184" s="9" t="s">
        <v>92</v>
      </c>
      <c r="BM184" s="9" t="s">
        <v>75</v>
      </c>
      <c r="BN184" s="9"/>
      <c r="BO184" s="9">
        <v>0</v>
      </c>
      <c r="BP184" s="9"/>
      <c r="BQ184" s="9">
        <v>0</v>
      </c>
      <c r="BR184" s="9"/>
      <c r="BS184" s="9"/>
      <c r="BT184" s="9"/>
      <c r="BU184" s="9"/>
      <c r="BV184" s="9"/>
      <c r="BW184" s="9">
        <v>0</v>
      </c>
      <c r="BX184" s="9"/>
      <c r="BY184" s="9">
        <v>46038.425381944442</v>
      </c>
      <c r="BZ184" s="9"/>
      <c r="CA184" s="9"/>
      <c r="CB184" s="9"/>
      <c r="CC184" s="9"/>
      <c r="CD184" s="9"/>
      <c r="CE184" s="9"/>
      <c r="CF184" s="9"/>
      <c r="CG184" s="9"/>
      <c r="CH184" s="9">
        <v>1</v>
      </c>
      <c r="CI184" s="9">
        <v>0</v>
      </c>
      <c r="CJ184" s="9"/>
      <c r="CK184" s="9"/>
      <c r="CL184" s="9" t="s">
        <v>2152</v>
      </c>
      <c r="CM184" s="9"/>
      <c r="CN184" s="9">
        <v>0</v>
      </c>
      <c r="CO184" s="9" t="s">
        <v>1925</v>
      </c>
      <c r="CP184" s="9"/>
      <c r="CQ184" s="9"/>
    </row>
    <row r="185" spans="1:95" x14ac:dyDescent="0.35">
      <c r="A185" s="9" t="b">
        <f>ISNUMBER(MATCH(Claude[[#This Row],[Id]],ChargentOrders[Id],0))</f>
        <v>1</v>
      </c>
      <c r="B185" t="b">
        <f>INDEX(ChargentOrders[VALIDO],MATCH(Claude[[#This Row],[Id]],ChargentOrders[Id],0))</f>
        <v>1</v>
      </c>
      <c r="C185">
        <f>INDEX(Contract[CB_Subscription__c],MATCH(Claude[[#This Row],[Contract__c]],Contract[Id],0))</f>
        <v>0</v>
      </c>
      <c r="D185" s="9" t="s">
        <v>638</v>
      </c>
      <c r="E185" s="9" t="s">
        <v>531</v>
      </c>
      <c r="F185" s="9">
        <v>0</v>
      </c>
      <c r="G185" s="9" t="s">
        <v>639</v>
      </c>
      <c r="H185" s="9">
        <v>46008.733819444446</v>
      </c>
      <c r="I185" s="9" t="s">
        <v>531</v>
      </c>
      <c r="J185" s="9">
        <v>46114.620729166665</v>
      </c>
      <c r="K185" s="9" t="s">
        <v>78</v>
      </c>
      <c r="L185" s="9">
        <v>46114.620729166665</v>
      </c>
      <c r="M185" s="9"/>
      <c r="N185" s="9" t="s">
        <v>2153</v>
      </c>
      <c r="O185" s="9" t="s">
        <v>2148</v>
      </c>
      <c r="P185" s="9" t="s">
        <v>1990</v>
      </c>
      <c r="Q185" s="9" t="s">
        <v>1925</v>
      </c>
      <c r="R185" s="9" t="s">
        <v>2149</v>
      </c>
      <c r="S185" s="9" t="s">
        <v>2150</v>
      </c>
      <c r="T185" s="9" t="s">
        <v>2151</v>
      </c>
      <c r="U185" s="9" t="s">
        <v>1928</v>
      </c>
      <c r="V185" s="9">
        <v>916</v>
      </c>
      <c r="W185" s="9">
        <v>4</v>
      </c>
      <c r="X185" s="9">
        <v>2030</v>
      </c>
      <c r="Y185" s="9">
        <v>883</v>
      </c>
      <c r="Z185" s="9">
        <v>4</v>
      </c>
      <c r="AA185" s="9">
        <v>4549519853410880</v>
      </c>
      <c r="AB185" s="9" t="s">
        <v>73</v>
      </c>
      <c r="AC185" s="9">
        <v>2030</v>
      </c>
      <c r="AD185" s="9" t="s">
        <v>2131</v>
      </c>
      <c r="AE185" s="9"/>
      <c r="AF185" s="9" t="s">
        <v>1929</v>
      </c>
      <c r="AG185" s="9"/>
      <c r="AH185" s="9" t="s">
        <v>67</v>
      </c>
      <c r="AI185" s="9">
        <v>0</v>
      </c>
      <c r="AJ185" s="9"/>
      <c r="AK185" s="9">
        <v>0</v>
      </c>
      <c r="AL185" s="9" t="s">
        <v>1930</v>
      </c>
      <c r="AM185" s="9">
        <v>1</v>
      </c>
      <c r="AN185" s="9"/>
      <c r="AO185" s="9" t="s">
        <v>1931</v>
      </c>
      <c r="AP185" s="9" t="s">
        <v>69</v>
      </c>
      <c r="AQ185" s="9" t="s">
        <v>1932</v>
      </c>
      <c r="AR185" s="9">
        <v>46052</v>
      </c>
      <c r="AS185" s="9" t="s">
        <v>74</v>
      </c>
      <c r="AT185" s="9" t="s">
        <v>1935</v>
      </c>
      <c r="AU185" s="9" t="s">
        <v>2131</v>
      </c>
      <c r="AV185" s="9">
        <v>0</v>
      </c>
      <c r="AW185" s="9" t="s">
        <v>92</v>
      </c>
      <c r="AX185" s="9" t="s">
        <v>634</v>
      </c>
      <c r="AY185" s="9">
        <v>0</v>
      </c>
      <c r="AZ185" s="9">
        <v>46052.434733796297</v>
      </c>
      <c r="BA185" s="9">
        <v>46052.43476851852</v>
      </c>
      <c r="BB185" s="9">
        <v>1</v>
      </c>
      <c r="BC185" s="9">
        <v>1</v>
      </c>
      <c r="BD185" s="9" t="s">
        <v>2094</v>
      </c>
      <c r="BE185" s="9" t="s">
        <v>635</v>
      </c>
      <c r="BF185" s="9" t="s">
        <v>77</v>
      </c>
      <c r="BG185" s="9"/>
      <c r="BH185" s="9">
        <v>0</v>
      </c>
      <c r="BI185" s="9"/>
      <c r="BJ185" s="9">
        <v>1</v>
      </c>
      <c r="BK185" s="9" t="s">
        <v>92</v>
      </c>
      <c r="BL185" s="9" t="s">
        <v>92</v>
      </c>
      <c r="BM185" s="9" t="s">
        <v>75</v>
      </c>
      <c r="BN185" s="9"/>
      <c r="BO185" s="9">
        <v>0</v>
      </c>
      <c r="BP185" s="9"/>
      <c r="BQ185" s="9">
        <v>0</v>
      </c>
      <c r="BR185" s="9"/>
      <c r="BS185" s="9"/>
      <c r="BT185" s="9"/>
      <c r="BU185" s="9"/>
      <c r="BV185" s="9"/>
      <c r="BW185" s="9">
        <v>0</v>
      </c>
      <c r="BX185" s="9"/>
      <c r="BY185" s="9">
        <v>46052.434733796297</v>
      </c>
      <c r="BZ185" s="9"/>
      <c r="CA185" s="9"/>
      <c r="CB185" s="9"/>
      <c r="CC185" s="9"/>
      <c r="CD185" s="9"/>
      <c r="CE185" s="9"/>
      <c r="CF185" s="9"/>
      <c r="CG185" s="9"/>
      <c r="CH185" s="9">
        <v>1</v>
      </c>
      <c r="CI185" s="9">
        <v>0</v>
      </c>
      <c r="CJ185" s="9"/>
      <c r="CK185" s="9"/>
      <c r="CL185" s="9" t="s">
        <v>2152</v>
      </c>
      <c r="CM185" s="9"/>
      <c r="CN185" s="9">
        <v>0</v>
      </c>
      <c r="CO185" s="9" t="s">
        <v>1925</v>
      </c>
      <c r="CP185" s="9"/>
      <c r="CQ185" s="9"/>
    </row>
    <row r="186" spans="1:95" x14ac:dyDescent="0.35">
      <c r="A186" s="9" t="b">
        <f>ISNUMBER(MATCH(Claude[[#This Row],[Id]],ChargentOrders[Id],0))</f>
        <v>1</v>
      </c>
      <c r="B186" t="b">
        <f>INDEX(ChargentOrders[VALIDO],MATCH(Claude[[#This Row],[Id]],ChargentOrders[Id],0))</f>
        <v>1</v>
      </c>
      <c r="C186">
        <f>INDEX(Contract[CB_Subscription__c],MATCH(Claude[[#This Row],[Contract__c]],Contract[Id],0))</f>
        <v>0</v>
      </c>
      <c r="D186" s="9" t="s">
        <v>640</v>
      </c>
      <c r="E186" s="9" t="s">
        <v>81</v>
      </c>
      <c r="F186" s="9">
        <v>0</v>
      </c>
      <c r="G186" s="9" t="s">
        <v>641</v>
      </c>
      <c r="H186" s="9">
        <v>46008.768495370372</v>
      </c>
      <c r="I186" s="9" t="s">
        <v>81</v>
      </c>
      <c r="J186" s="9">
        <v>46008.768564814818</v>
      </c>
      <c r="K186" s="9" t="s">
        <v>81</v>
      </c>
      <c r="L186" s="9">
        <v>46008.768564814818</v>
      </c>
      <c r="M186" s="9"/>
      <c r="N186" s="9"/>
      <c r="O186" s="9" t="s">
        <v>2142</v>
      </c>
      <c r="P186" s="9" t="s">
        <v>2143</v>
      </c>
      <c r="Q186" s="9" t="s">
        <v>1925</v>
      </c>
      <c r="R186" s="9" t="s">
        <v>1716</v>
      </c>
      <c r="S186" s="9" t="s">
        <v>2144</v>
      </c>
      <c r="T186" s="9" t="s">
        <v>2145</v>
      </c>
      <c r="U186" s="9" t="s">
        <v>1928</v>
      </c>
      <c r="V186" s="9">
        <v>641</v>
      </c>
      <c r="W186" s="9">
        <v>8</v>
      </c>
      <c r="X186" s="9">
        <v>2030</v>
      </c>
      <c r="Y186" s="9">
        <v>9728</v>
      </c>
      <c r="Z186" s="9">
        <v>8</v>
      </c>
      <c r="AA186" s="9">
        <v>4549525023689720</v>
      </c>
      <c r="AB186" s="9" t="s">
        <v>73</v>
      </c>
      <c r="AC186" s="9">
        <v>2030</v>
      </c>
      <c r="AD186" s="9" t="s">
        <v>93</v>
      </c>
      <c r="AE186" s="9"/>
      <c r="AF186" s="9" t="s">
        <v>1929</v>
      </c>
      <c r="AG186" s="9"/>
      <c r="AH186" s="9" t="s">
        <v>98</v>
      </c>
      <c r="AI186" s="9">
        <v>0</v>
      </c>
      <c r="AJ186" s="9"/>
      <c r="AK186" s="9">
        <v>0</v>
      </c>
      <c r="AL186" s="9" t="s">
        <v>1930</v>
      </c>
      <c r="AM186" s="9"/>
      <c r="AN186" s="9"/>
      <c r="AO186" s="9" t="s">
        <v>1931</v>
      </c>
      <c r="AP186" s="9" t="s">
        <v>69</v>
      </c>
      <c r="AQ186" s="9" t="s">
        <v>1932</v>
      </c>
      <c r="AR186" s="9"/>
      <c r="AS186" s="9"/>
      <c r="AT186" s="9"/>
      <c r="AU186" s="9" t="s">
        <v>92</v>
      </c>
      <c r="AV186" s="9">
        <v>0</v>
      </c>
      <c r="AW186" s="9"/>
      <c r="AX186" s="9">
        <v>7.6599600037667296E+21</v>
      </c>
      <c r="AY186" s="9">
        <v>0</v>
      </c>
      <c r="AZ186" s="9"/>
      <c r="BA186" s="9">
        <v>46008.768530092595</v>
      </c>
      <c r="BB186" s="9">
        <v>0</v>
      </c>
      <c r="BC186" s="9">
        <v>1</v>
      </c>
      <c r="BD186" s="9">
        <v>0</v>
      </c>
      <c r="BE186" s="9" t="s">
        <v>631</v>
      </c>
      <c r="BF186" s="9"/>
      <c r="BG186" s="9"/>
      <c r="BH186" s="9">
        <v>0</v>
      </c>
      <c r="BI186" s="9"/>
      <c r="BJ186" s="9">
        <v>1</v>
      </c>
      <c r="BK186" s="9"/>
      <c r="BL186" s="9"/>
      <c r="BM186" s="9" t="s">
        <v>75</v>
      </c>
      <c r="BN186" s="9"/>
      <c r="BO186" s="9">
        <v>0</v>
      </c>
      <c r="BP186" s="9"/>
      <c r="BQ186" s="9">
        <v>1</v>
      </c>
      <c r="BR186" s="9"/>
      <c r="BS186" s="9"/>
      <c r="BT186" s="9"/>
      <c r="BU186" s="9"/>
      <c r="BV186" s="9"/>
      <c r="BW186" s="9">
        <v>0</v>
      </c>
      <c r="BX186" s="9"/>
      <c r="BY186" s="9">
        <v>46008.768530092595</v>
      </c>
      <c r="BZ186" s="9"/>
      <c r="CA186" s="9"/>
      <c r="CB186" s="9"/>
      <c r="CC186" s="9"/>
      <c r="CD186" s="9"/>
      <c r="CE186" s="9"/>
      <c r="CF186" s="9"/>
      <c r="CG186" s="9"/>
      <c r="CH186" s="9">
        <v>1</v>
      </c>
      <c r="CI186" s="9">
        <v>0</v>
      </c>
      <c r="CJ186" s="9"/>
      <c r="CK186" s="9"/>
      <c r="CL186" s="9" t="s">
        <v>2147</v>
      </c>
      <c r="CM186" s="9"/>
      <c r="CN186" s="9">
        <v>0</v>
      </c>
      <c r="CO186" s="9" t="s">
        <v>1925</v>
      </c>
      <c r="CP186" s="9"/>
      <c r="CQ186" s="9"/>
    </row>
    <row r="187" spans="1:95" x14ac:dyDescent="0.35">
      <c r="A187" s="9" t="b">
        <f>ISNUMBER(MATCH(Claude[[#This Row],[Id]],ChargentOrders[Id],0))</f>
        <v>1</v>
      </c>
      <c r="B187" t="b">
        <f>INDEX(ChargentOrders[VALIDO],MATCH(Claude[[#This Row],[Id]],ChargentOrders[Id],0))</f>
        <v>1</v>
      </c>
      <c r="C187">
        <f>INDEX(Contract[CB_Subscription__c],MATCH(Claude[[#This Row],[Contract__c]],Contract[Id],0))</f>
        <v>0</v>
      </c>
      <c r="D187" s="9" t="s">
        <v>642</v>
      </c>
      <c r="E187" s="9" t="s">
        <v>531</v>
      </c>
      <c r="F187" s="9">
        <v>0</v>
      </c>
      <c r="G187" s="9" t="s">
        <v>643</v>
      </c>
      <c r="H187" s="9">
        <v>46009.620300925926</v>
      </c>
      <c r="I187" s="9" t="s">
        <v>531</v>
      </c>
      <c r="J187" s="9">
        <v>46009.620358796295</v>
      </c>
      <c r="K187" s="9" t="s">
        <v>531</v>
      </c>
      <c r="L187" s="9">
        <v>46009.620358796295</v>
      </c>
      <c r="M187" s="9"/>
      <c r="N187" s="9"/>
      <c r="O187" s="9" t="s">
        <v>2154</v>
      </c>
      <c r="P187" s="9" t="s">
        <v>2155</v>
      </c>
      <c r="Q187" s="9"/>
      <c r="R187" s="9" t="s">
        <v>1721</v>
      </c>
      <c r="S187" s="9" t="s">
        <v>2156</v>
      </c>
      <c r="T187" s="9" t="s">
        <v>2157</v>
      </c>
      <c r="U187" s="9" t="s">
        <v>1928</v>
      </c>
      <c r="V187" s="9">
        <v>680</v>
      </c>
      <c r="W187" s="9">
        <v>1</v>
      </c>
      <c r="X187" s="9">
        <v>2029</v>
      </c>
      <c r="Y187" s="9">
        <v>3070</v>
      </c>
      <c r="Z187" s="9">
        <v>1</v>
      </c>
      <c r="AA187" s="9">
        <v>5189207065123070</v>
      </c>
      <c r="AB187" s="9" t="s">
        <v>66</v>
      </c>
      <c r="AC187" s="9">
        <v>2029</v>
      </c>
      <c r="AD187" s="9" t="s">
        <v>93</v>
      </c>
      <c r="AE187" s="9"/>
      <c r="AF187" s="9" t="s">
        <v>1929</v>
      </c>
      <c r="AG187" s="9"/>
      <c r="AH187" s="9" t="s">
        <v>98</v>
      </c>
      <c r="AI187" s="9">
        <v>0</v>
      </c>
      <c r="AJ187" s="9"/>
      <c r="AK187" s="9">
        <v>0</v>
      </c>
      <c r="AL187" s="9" t="s">
        <v>1930</v>
      </c>
      <c r="AM187" s="9"/>
      <c r="AN187" s="9"/>
      <c r="AO187" s="9" t="s">
        <v>1931</v>
      </c>
      <c r="AP187" s="9" t="s">
        <v>69</v>
      </c>
      <c r="AQ187" s="9" t="s">
        <v>1932</v>
      </c>
      <c r="AR187" s="9"/>
      <c r="AS187" s="9"/>
      <c r="AT187" s="9"/>
      <c r="AU187" s="9" t="s">
        <v>92</v>
      </c>
      <c r="AV187" s="9">
        <v>0</v>
      </c>
      <c r="AW187" s="9"/>
      <c r="AX187" s="9">
        <v>7.6606959579565402E+21</v>
      </c>
      <c r="AY187" s="9">
        <v>0</v>
      </c>
      <c r="AZ187" s="9"/>
      <c r="BA187" s="9">
        <v>46009.620324074072</v>
      </c>
      <c r="BB187" s="9">
        <v>0</v>
      </c>
      <c r="BC187" s="9">
        <v>1</v>
      </c>
      <c r="BD187" s="9">
        <v>0</v>
      </c>
      <c r="BE187" s="9" t="s">
        <v>645</v>
      </c>
      <c r="BF187" s="9"/>
      <c r="BG187" s="9"/>
      <c r="BH187" s="9">
        <v>0</v>
      </c>
      <c r="BI187" s="9"/>
      <c r="BJ187" s="9">
        <v>1</v>
      </c>
      <c r="BK187" s="9"/>
      <c r="BL187" s="9"/>
      <c r="BM187" s="9" t="s">
        <v>75</v>
      </c>
      <c r="BN187" s="9"/>
      <c r="BO187" s="9">
        <v>0</v>
      </c>
      <c r="BP187" s="9"/>
      <c r="BQ187" s="9">
        <v>1</v>
      </c>
      <c r="BR187" s="9"/>
      <c r="BS187" s="9"/>
      <c r="BT187" s="9"/>
      <c r="BU187" s="9"/>
      <c r="BV187" s="9"/>
      <c r="BW187" s="9">
        <v>0</v>
      </c>
      <c r="BX187" s="9"/>
      <c r="BY187" s="9">
        <v>46009.620324074072</v>
      </c>
      <c r="BZ187" s="9"/>
      <c r="CA187" s="9"/>
      <c r="CB187" s="9"/>
      <c r="CC187" s="9"/>
      <c r="CD187" s="9"/>
      <c r="CE187" s="9"/>
      <c r="CF187" s="9"/>
      <c r="CG187" s="9"/>
      <c r="CH187" s="9">
        <v>1</v>
      </c>
      <c r="CI187" s="9">
        <v>0</v>
      </c>
      <c r="CJ187" s="9"/>
      <c r="CK187" s="9"/>
      <c r="CL187" s="9" t="s">
        <v>2158</v>
      </c>
      <c r="CM187" s="9"/>
      <c r="CN187" s="9">
        <v>0</v>
      </c>
      <c r="CO187" s="9" t="s">
        <v>1925</v>
      </c>
      <c r="CP187" s="9"/>
      <c r="CQ187" s="9"/>
    </row>
    <row r="188" spans="1:95" x14ac:dyDescent="0.35">
      <c r="A188" s="9" t="b">
        <f>ISNUMBER(MATCH(Claude[[#This Row],[Id]],ChargentOrders[Id],0))</f>
        <v>1</v>
      </c>
      <c r="B188" t="b">
        <f>INDEX(ChargentOrders[VALIDO],MATCH(Claude[[#This Row],[Id]],ChargentOrders[Id],0))</f>
        <v>1</v>
      </c>
      <c r="C188">
        <f>INDEX(Contract[CB_Subscription__c],MATCH(Claude[[#This Row],[Contract__c]],Contract[Id],0))</f>
        <v>0</v>
      </c>
      <c r="D188" s="9" t="s">
        <v>646</v>
      </c>
      <c r="E188" s="9" t="s">
        <v>531</v>
      </c>
      <c r="F188" s="9">
        <v>0</v>
      </c>
      <c r="G188" s="9" t="s">
        <v>647</v>
      </c>
      <c r="H188" s="9">
        <v>46009.624386574076</v>
      </c>
      <c r="I188" s="9" t="s">
        <v>531</v>
      </c>
      <c r="J188" s="9">
        <v>46052.435127314813</v>
      </c>
      <c r="K188" s="9" t="s">
        <v>65</v>
      </c>
      <c r="L188" s="9">
        <v>46052.435127314813</v>
      </c>
      <c r="M188" s="9"/>
      <c r="N188" s="9" t="s">
        <v>1723</v>
      </c>
      <c r="O188" s="9" t="s">
        <v>2154</v>
      </c>
      <c r="P188" s="9" t="s">
        <v>2155</v>
      </c>
      <c r="Q188" s="9"/>
      <c r="R188" s="9" t="s">
        <v>1721</v>
      </c>
      <c r="S188" s="9" t="s">
        <v>2156</v>
      </c>
      <c r="T188" s="9" t="s">
        <v>2157</v>
      </c>
      <c r="U188" s="9" t="s">
        <v>1928</v>
      </c>
      <c r="V188" s="9">
        <v>680</v>
      </c>
      <c r="W188" s="9">
        <v>1</v>
      </c>
      <c r="X188" s="9">
        <v>2029</v>
      </c>
      <c r="Y188" s="9">
        <v>3070</v>
      </c>
      <c r="Z188" s="9">
        <v>1</v>
      </c>
      <c r="AA188" s="9">
        <v>5189207065123070</v>
      </c>
      <c r="AB188" s="9" t="s">
        <v>66</v>
      </c>
      <c r="AC188" s="9">
        <v>2029</v>
      </c>
      <c r="AD188" s="9" t="s">
        <v>1979</v>
      </c>
      <c r="AE188" s="9"/>
      <c r="AF188" s="9" t="s">
        <v>1929</v>
      </c>
      <c r="AG188" s="9"/>
      <c r="AH188" s="9" t="s">
        <v>98</v>
      </c>
      <c r="AI188" s="9">
        <v>0</v>
      </c>
      <c r="AJ188" s="9"/>
      <c r="AK188" s="9">
        <v>0</v>
      </c>
      <c r="AL188" s="9" t="s">
        <v>1930</v>
      </c>
      <c r="AM188" s="9">
        <v>1</v>
      </c>
      <c r="AN188" s="9"/>
      <c r="AO188" s="9" t="s">
        <v>1931</v>
      </c>
      <c r="AP188" s="9" t="s">
        <v>69</v>
      </c>
      <c r="AQ188" s="9" t="s">
        <v>1932</v>
      </c>
      <c r="AR188" s="9">
        <v>46052</v>
      </c>
      <c r="AS188" s="9" t="s">
        <v>74</v>
      </c>
      <c r="AT188" s="9" t="s">
        <v>1935</v>
      </c>
      <c r="AU188" s="9" t="s">
        <v>1979</v>
      </c>
      <c r="AV188" s="9">
        <v>0</v>
      </c>
      <c r="AW188" s="9" t="s">
        <v>92</v>
      </c>
      <c r="AX188" s="9">
        <v>7.6606959579565402E+21</v>
      </c>
      <c r="AY188" s="9">
        <v>0</v>
      </c>
      <c r="AZ188" s="9">
        <v>46052.434930555559</v>
      </c>
      <c r="BA188" s="9">
        <v>46052.435069444444</v>
      </c>
      <c r="BB188" s="9">
        <v>1</v>
      </c>
      <c r="BC188" s="9">
        <v>1</v>
      </c>
      <c r="BD188" s="9" t="s">
        <v>2146</v>
      </c>
      <c r="BE188" s="9" t="s">
        <v>645</v>
      </c>
      <c r="BF188" s="9" t="s">
        <v>77</v>
      </c>
      <c r="BG188" s="9"/>
      <c r="BH188" s="9">
        <v>0</v>
      </c>
      <c r="BI188" s="9"/>
      <c r="BJ188" s="9">
        <v>1</v>
      </c>
      <c r="BK188" s="9" t="s">
        <v>92</v>
      </c>
      <c r="BL188" s="9" t="s">
        <v>92</v>
      </c>
      <c r="BM188" s="9" t="s">
        <v>75</v>
      </c>
      <c r="BN188" s="9"/>
      <c r="BO188" s="9">
        <v>0</v>
      </c>
      <c r="BP188" s="9"/>
      <c r="BQ188" s="9">
        <v>0</v>
      </c>
      <c r="BR188" s="9"/>
      <c r="BS188" s="9"/>
      <c r="BT188" s="9"/>
      <c r="BU188" s="9"/>
      <c r="BV188" s="9"/>
      <c r="BW188" s="9">
        <v>0</v>
      </c>
      <c r="BX188" s="9"/>
      <c r="BY188" s="9">
        <v>46052.434930555559</v>
      </c>
      <c r="BZ188" s="9"/>
      <c r="CA188" s="9"/>
      <c r="CB188" s="9"/>
      <c r="CC188" s="9"/>
      <c r="CD188" s="9"/>
      <c r="CE188" s="9"/>
      <c r="CF188" s="9"/>
      <c r="CG188" s="9"/>
      <c r="CH188" s="9">
        <v>1</v>
      </c>
      <c r="CI188" s="9">
        <v>0</v>
      </c>
      <c r="CJ188" s="9"/>
      <c r="CK188" s="9"/>
      <c r="CL188" s="9" t="s">
        <v>2158</v>
      </c>
      <c r="CM188" s="9"/>
      <c r="CN188" s="9">
        <v>0</v>
      </c>
      <c r="CO188" s="9" t="s">
        <v>1925</v>
      </c>
      <c r="CP188" s="9"/>
      <c r="CQ188" s="9"/>
    </row>
    <row r="189" spans="1:95" x14ac:dyDescent="0.35">
      <c r="A189" s="9" t="b">
        <f>ISNUMBER(MATCH(Claude[[#This Row],[Id]],ChargentOrders[Id],0))</f>
        <v>1</v>
      </c>
      <c r="B189" t="b">
        <f>INDEX(ChargentOrders[VALIDO],MATCH(Claude[[#This Row],[Id]],ChargentOrders[Id],0))</f>
        <v>1</v>
      </c>
      <c r="C189">
        <f>INDEX(Contract[CB_Subscription__c],MATCH(Claude[[#This Row],[Contract__c]],Contract[Id],0))</f>
        <v>0</v>
      </c>
      <c r="D189" s="9" t="s">
        <v>648</v>
      </c>
      <c r="E189" s="9" t="s">
        <v>81</v>
      </c>
      <c r="F189" s="9">
        <v>0</v>
      </c>
      <c r="G189" s="9" t="s">
        <v>649</v>
      </c>
      <c r="H189" s="9">
        <v>46009.783958333333</v>
      </c>
      <c r="I189" s="9" t="s">
        <v>81</v>
      </c>
      <c r="J189" s="9">
        <v>46217.738564814812</v>
      </c>
      <c r="K189" s="9" t="s">
        <v>78</v>
      </c>
      <c r="L189" s="9">
        <v>46217.738564814812</v>
      </c>
      <c r="M189" s="9"/>
      <c r="N189" s="9" t="s">
        <v>1728</v>
      </c>
      <c r="O189" s="9" t="s">
        <v>2159</v>
      </c>
      <c r="P189" s="9" t="s">
        <v>2006</v>
      </c>
      <c r="Q189" s="9" t="s">
        <v>1925</v>
      </c>
      <c r="R189" s="9" t="s">
        <v>1726</v>
      </c>
      <c r="S189" s="9" t="s">
        <v>1949</v>
      </c>
      <c r="T189" s="9" t="s">
        <v>2160</v>
      </c>
      <c r="U189" s="9" t="s">
        <v>1928</v>
      </c>
      <c r="V189" s="9">
        <v>985</v>
      </c>
      <c r="W189" s="9">
        <v>9</v>
      </c>
      <c r="X189" s="9">
        <v>2027</v>
      </c>
      <c r="Y189" s="9">
        <v>6139</v>
      </c>
      <c r="Z189" s="9">
        <v>9</v>
      </c>
      <c r="AA189" s="9">
        <v>4549516240226130</v>
      </c>
      <c r="AB189" s="9" t="s">
        <v>73</v>
      </c>
      <c r="AC189" s="9">
        <v>2027</v>
      </c>
      <c r="AD189" s="9" t="s">
        <v>473</v>
      </c>
      <c r="AE189" s="9">
        <v>30</v>
      </c>
      <c r="AF189" s="9" t="s">
        <v>1929</v>
      </c>
      <c r="AG189" s="9"/>
      <c r="AH189" s="9" t="s">
        <v>67</v>
      </c>
      <c r="AI189" s="9">
        <v>0</v>
      </c>
      <c r="AJ189" s="9"/>
      <c r="AK189" s="9">
        <v>0</v>
      </c>
      <c r="AL189" s="9" t="s">
        <v>1930</v>
      </c>
      <c r="AM189" s="9"/>
      <c r="AN189" s="9"/>
      <c r="AO189" s="9" t="s">
        <v>1943</v>
      </c>
      <c r="AP189" s="9" t="s">
        <v>69</v>
      </c>
      <c r="AQ189" s="9" t="s">
        <v>1932</v>
      </c>
      <c r="AR189" s="9">
        <v>46203</v>
      </c>
      <c r="AS189" s="9" t="s">
        <v>84</v>
      </c>
      <c r="AT189" s="9" t="s">
        <v>1944</v>
      </c>
      <c r="AU189" s="9" t="s">
        <v>473</v>
      </c>
      <c r="AV189" s="9">
        <v>0</v>
      </c>
      <c r="AW189" s="9" t="s">
        <v>92</v>
      </c>
      <c r="AX189" s="9" t="s">
        <v>650</v>
      </c>
      <c r="AY189" s="9">
        <v>0</v>
      </c>
      <c r="AZ189" s="9">
        <v>46203.417303240742</v>
      </c>
      <c r="BA189" s="9">
        <v>46203.417326388888</v>
      </c>
      <c r="BB189" s="9">
        <v>5</v>
      </c>
      <c r="BC189" s="9">
        <v>6</v>
      </c>
      <c r="BD189" s="9" t="s">
        <v>2141</v>
      </c>
      <c r="BE189" s="9" t="s">
        <v>651</v>
      </c>
      <c r="BF189" s="9" t="s">
        <v>76</v>
      </c>
      <c r="BG189" s="9"/>
      <c r="BH189" s="9">
        <v>0</v>
      </c>
      <c r="BI189" s="9"/>
      <c r="BJ189" s="9">
        <v>7</v>
      </c>
      <c r="BK189" s="9" t="s">
        <v>92</v>
      </c>
      <c r="BL189" s="9" t="s">
        <v>92</v>
      </c>
      <c r="BM189" s="9" t="s">
        <v>75</v>
      </c>
      <c r="BN189" s="9"/>
      <c r="BO189" s="9">
        <v>0</v>
      </c>
      <c r="BP189" s="9"/>
      <c r="BQ189" s="9">
        <v>0</v>
      </c>
      <c r="BR189" s="9"/>
      <c r="BS189" s="9"/>
      <c r="BT189" s="9"/>
      <c r="BU189" s="9"/>
      <c r="BV189" s="9"/>
      <c r="BW189" s="9">
        <v>0</v>
      </c>
      <c r="BX189" s="9">
        <v>46160.417685185188</v>
      </c>
      <c r="BY189" s="9">
        <v>46203.417303240742</v>
      </c>
      <c r="BZ189" s="9"/>
      <c r="CA189" s="9"/>
      <c r="CB189" s="9"/>
      <c r="CC189" s="9"/>
      <c r="CD189" s="9"/>
      <c r="CE189" s="9"/>
      <c r="CF189" s="9"/>
      <c r="CG189" s="9"/>
      <c r="CH189" s="9">
        <v>1</v>
      </c>
      <c r="CI189" s="9">
        <v>0</v>
      </c>
      <c r="CJ189" s="9"/>
      <c r="CK189" s="9"/>
      <c r="CL189" s="9" t="s">
        <v>2161</v>
      </c>
      <c r="CM189" s="9"/>
      <c r="CN189" s="9">
        <v>0</v>
      </c>
      <c r="CO189" s="9" t="s">
        <v>1925</v>
      </c>
      <c r="CP189" s="9"/>
      <c r="CQ189" s="9">
        <v>0</v>
      </c>
    </row>
    <row r="190" spans="1:95" x14ac:dyDescent="0.35">
      <c r="A190" s="9" t="b">
        <f>ISNUMBER(MATCH(Claude[[#This Row],[Id]],ChargentOrders[Id],0))</f>
        <v>1</v>
      </c>
      <c r="B190" t="b">
        <f>INDEX(ChargentOrders[VALIDO],MATCH(Claude[[#This Row],[Id]],ChargentOrders[Id],0))</f>
        <v>1</v>
      </c>
      <c r="C190">
        <f>INDEX(Contract[CB_Subscription__c],MATCH(Claude[[#This Row],[Contract__c]],Contract[Id],0))</f>
        <v>0</v>
      </c>
      <c r="D190" s="9" t="s">
        <v>652</v>
      </c>
      <c r="E190" s="9" t="s">
        <v>81</v>
      </c>
      <c r="F190" s="9">
        <v>0</v>
      </c>
      <c r="G190" s="9" t="s">
        <v>653</v>
      </c>
      <c r="H190" s="9">
        <v>46009.782604166663</v>
      </c>
      <c r="I190" s="9" t="s">
        <v>81</v>
      </c>
      <c r="J190" s="9">
        <v>46009.782673611109</v>
      </c>
      <c r="K190" s="9" t="s">
        <v>81</v>
      </c>
      <c r="L190" s="9">
        <v>46009.782673611109</v>
      </c>
      <c r="M190" s="9"/>
      <c r="N190" s="9"/>
      <c r="O190" s="9" t="s">
        <v>2159</v>
      </c>
      <c r="P190" s="9" t="s">
        <v>2006</v>
      </c>
      <c r="Q190" s="9" t="s">
        <v>1925</v>
      </c>
      <c r="R190" s="9" t="s">
        <v>1726</v>
      </c>
      <c r="S190" s="9" t="s">
        <v>1949</v>
      </c>
      <c r="T190" s="9" t="s">
        <v>2160</v>
      </c>
      <c r="U190" s="9" t="s">
        <v>1928</v>
      </c>
      <c r="V190" s="9">
        <v>985</v>
      </c>
      <c r="W190" s="9">
        <v>2</v>
      </c>
      <c r="X190" s="9">
        <v>2029</v>
      </c>
      <c r="Y190" s="9">
        <v>6139</v>
      </c>
      <c r="Z190" s="9">
        <v>2</v>
      </c>
      <c r="AA190" s="9">
        <v>4549516240226130</v>
      </c>
      <c r="AB190" s="9" t="s">
        <v>73</v>
      </c>
      <c r="AC190" s="9">
        <v>2029</v>
      </c>
      <c r="AD190" s="9" t="s">
        <v>93</v>
      </c>
      <c r="AE190" s="9"/>
      <c r="AF190" s="9" t="s">
        <v>1929</v>
      </c>
      <c r="AG190" s="9"/>
      <c r="AH190" s="9" t="s">
        <v>67</v>
      </c>
      <c r="AI190" s="9">
        <v>0</v>
      </c>
      <c r="AJ190" s="9"/>
      <c r="AK190" s="9">
        <v>0</v>
      </c>
      <c r="AL190" s="9" t="s">
        <v>1930</v>
      </c>
      <c r="AM190" s="9"/>
      <c r="AN190" s="9"/>
      <c r="AO190" s="9" t="s">
        <v>1931</v>
      </c>
      <c r="AP190" s="9" t="s">
        <v>69</v>
      </c>
      <c r="AQ190" s="9" t="s">
        <v>1932</v>
      </c>
      <c r="AR190" s="9"/>
      <c r="AS190" s="9"/>
      <c r="AT190" s="9"/>
      <c r="AU190" s="9" t="s">
        <v>92</v>
      </c>
      <c r="AV190" s="9">
        <v>0</v>
      </c>
      <c r="AW190" s="9"/>
      <c r="AX190" s="9" t="s">
        <v>654</v>
      </c>
      <c r="AY190" s="9">
        <v>0</v>
      </c>
      <c r="AZ190" s="9"/>
      <c r="BA190" s="9">
        <v>46009.782638888886</v>
      </c>
      <c r="BB190" s="9">
        <v>0</v>
      </c>
      <c r="BC190" s="9">
        <v>1</v>
      </c>
      <c r="BD190" s="9">
        <v>0</v>
      </c>
      <c r="BE190" s="9" t="s">
        <v>651</v>
      </c>
      <c r="BF190" s="9"/>
      <c r="BG190" s="9"/>
      <c r="BH190" s="9">
        <v>0</v>
      </c>
      <c r="BI190" s="9"/>
      <c r="BJ190" s="9">
        <v>1</v>
      </c>
      <c r="BK190" s="9"/>
      <c r="BL190" s="9"/>
      <c r="BM190" s="9" t="s">
        <v>75</v>
      </c>
      <c r="BN190" s="9"/>
      <c r="BO190" s="9">
        <v>0</v>
      </c>
      <c r="BP190" s="9"/>
      <c r="BQ190" s="9">
        <v>1</v>
      </c>
      <c r="BR190" s="9"/>
      <c r="BS190" s="9"/>
      <c r="BT190" s="9"/>
      <c r="BU190" s="9"/>
      <c r="BV190" s="9"/>
      <c r="BW190" s="9">
        <v>0</v>
      </c>
      <c r="BX190" s="9"/>
      <c r="BY190" s="9">
        <v>46009.782638888886</v>
      </c>
      <c r="BZ190" s="9"/>
      <c r="CA190" s="9"/>
      <c r="CB190" s="9"/>
      <c r="CC190" s="9"/>
      <c r="CD190" s="9"/>
      <c r="CE190" s="9"/>
      <c r="CF190" s="9"/>
      <c r="CG190" s="9"/>
      <c r="CH190" s="9">
        <v>1</v>
      </c>
      <c r="CI190" s="9">
        <v>0</v>
      </c>
      <c r="CJ190" s="9"/>
      <c r="CK190" s="9"/>
      <c r="CL190" s="9" t="s">
        <v>2161</v>
      </c>
      <c r="CM190" s="9"/>
      <c r="CN190" s="9">
        <v>0</v>
      </c>
      <c r="CO190" s="9" t="s">
        <v>1925</v>
      </c>
      <c r="CP190" s="9"/>
      <c r="CQ190" s="9"/>
    </row>
    <row r="191" spans="1:95" x14ac:dyDescent="0.35">
      <c r="A191" s="9" t="b">
        <f>ISNUMBER(MATCH(Claude[[#This Row],[Id]],ChargentOrders[Id],0))</f>
        <v>1</v>
      </c>
      <c r="B191" t="b">
        <f>INDEX(ChargentOrders[VALIDO],MATCH(Claude[[#This Row],[Id]],ChargentOrders[Id],0))</f>
        <v>1</v>
      </c>
      <c r="C191">
        <f>INDEX(Contract[CB_Subscription__c],MATCH(Claude[[#This Row],[Contract__c]],Contract[Id],0))</f>
        <v>0</v>
      </c>
      <c r="D191" s="9" t="s">
        <v>655</v>
      </c>
      <c r="E191" s="9" t="s">
        <v>81</v>
      </c>
      <c r="F191" s="9">
        <v>0</v>
      </c>
      <c r="G191" s="9" t="s">
        <v>656</v>
      </c>
      <c r="H191" s="9">
        <v>46009.783078703702</v>
      </c>
      <c r="I191" s="9" t="s">
        <v>81</v>
      </c>
      <c r="J191" s="9">
        <v>46009.783993055556</v>
      </c>
      <c r="K191" s="9" t="s">
        <v>81</v>
      </c>
      <c r="L191" s="9">
        <v>46009.783993055556</v>
      </c>
      <c r="M191" s="9"/>
      <c r="N191" s="9" t="s">
        <v>1728</v>
      </c>
      <c r="O191" s="9" t="s">
        <v>2159</v>
      </c>
      <c r="P191" s="9" t="s">
        <v>2006</v>
      </c>
      <c r="Q191" s="9" t="s">
        <v>1925</v>
      </c>
      <c r="R191" s="9" t="s">
        <v>1726</v>
      </c>
      <c r="S191" s="9" t="s">
        <v>1949</v>
      </c>
      <c r="T191" s="9" t="s">
        <v>2160</v>
      </c>
      <c r="U191" s="9" t="s">
        <v>1928</v>
      </c>
      <c r="V191" s="9">
        <v>985</v>
      </c>
      <c r="W191" s="9">
        <v>2</v>
      </c>
      <c r="X191" s="9">
        <v>2029</v>
      </c>
      <c r="Y191" s="9">
        <v>6139</v>
      </c>
      <c r="Z191" s="9">
        <v>2</v>
      </c>
      <c r="AA191" s="9">
        <v>4549516240226130</v>
      </c>
      <c r="AB191" s="9" t="s">
        <v>73</v>
      </c>
      <c r="AC191" s="9">
        <v>2029</v>
      </c>
      <c r="AD191" s="9" t="s">
        <v>2078</v>
      </c>
      <c r="AE191" s="9"/>
      <c r="AF191" s="9" t="s">
        <v>1929</v>
      </c>
      <c r="AG191" s="9"/>
      <c r="AH191" s="9" t="s">
        <v>67</v>
      </c>
      <c r="AI191" s="9">
        <v>0</v>
      </c>
      <c r="AJ191" s="9"/>
      <c r="AK191" s="9">
        <v>0</v>
      </c>
      <c r="AL191" s="9" t="s">
        <v>1930</v>
      </c>
      <c r="AM191" s="9">
        <v>1</v>
      </c>
      <c r="AN191" s="9"/>
      <c r="AO191" s="9" t="s">
        <v>1931</v>
      </c>
      <c r="AP191" s="9" t="s">
        <v>69</v>
      </c>
      <c r="AQ191" s="9" t="s">
        <v>1932</v>
      </c>
      <c r="AR191" s="9">
        <v>46009</v>
      </c>
      <c r="AS191" s="9" t="s">
        <v>74</v>
      </c>
      <c r="AT191" s="9" t="s">
        <v>1935</v>
      </c>
      <c r="AU191" s="9" t="s">
        <v>2079</v>
      </c>
      <c r="AV191" s="9">
        <v>0</v>
      </c>
      <c r="AW191" s="9" t="s">
        <v>93</v>
      </c>
      <c r="AX191" s="9" t="s">
        <v>654</v>
      </c>
      <c r="AY191" s="9">
        <v>0</v>
      </c>
      <c r="AZ191" s="9">
        <v>46009.783935185187</v>
      </c>
      <c r="BA191" s="9">
        <v>46009.783946759257</v>
      </c>
      <c r="BB191" s="9">
        <v>1</v>
      </c>
      <c r="BC191" s="9">
        <v>1</v>
      </c>
      <c r="BD191" s="9" t="s">
        <v>2078</v>
      </c>
      <c r="BE191" s="9" t="s">
        <v>651</v>
      </c>
      <c r="BF191" s="9" t="s">
        <v>77</v>
      </c>
      <c r="BG191" s="9"/>
      <c r="BH191" s="9">
        <v>0</v>
      </c>
      <c r="BI191" s="9"/>
      <c r="BJ191" s="9">
        <v>1</v>
      </c>
      <c r="BK191" s="9" t="s">
        <v>92</v>
      </c>
      <c r="BL191" s="9" t="s">
        <v>92</v>
      </c>
      <c r="BM191" s="9" t="s">
        <v>75</v>
      </c>
      <c r="BN191" s="9"/>
      <c r="BO191" s="9">
        <v>0</v>
      </c>
      <c r="BP191" s="9"/>
      <c r="BQ191" s="9">
        <v>0</v>
      </c>
      <c r="BR191" s="9"/>
      <c r="BS191" s="9"/>
      <c r="BT191" s="9"/>
      <c r="BU191" s="9"/>
      <c r="BV191" s="9"/>
      <c r="BW191" s="9">
        <v>0</v>
      </c>
      <c r="BX191" s="9"/>
      <c r="BY191" s="9">
        <v>46009.783935185187</v>
      </c>
      <c r="BZ191" s="9"/>
      <c r="CA191" s="9"/>
      <c r="CB191" s="9"/>
      <c r="CC191" s="9"/>
      <c r="CD191" s="9"/>
      <c r="CE191" s="9"/>
      <c r="CF191" s="9"/>
      <c r="CG191" s="9"/>
      <c r="CH191" s="9">
        <v>1</v>
      </c>
      <c r="CI191" s="9">
        <v>0</v>
      </c>
      <c r="CJ191" s="9"/>
      <c r="CK191" s="9"/>
      <c r="CL191" s="9" t="s">
        <v>2161</v>
      </c>
      <c r="CM191" s="9"/>
      <c r="CN191" s="9">
        <v>0</v>
      </c>
      <c r="CO191" s="9" t="s">
        <v>1925</v>
      </c>
      <c r="CP191" s="9"/>
      <c r="CQ191" s="9"/>
    </row>
    <row r="192" spans="1:95" x14ac:dyDescent="0.35">
      <c r="A192" s="9" t="b">
        <f>ISNUMBER(MATCH(Claude[[#This Row],[Id]],ChargentOrders[Id],0))</f>
        <v>1</v>
      </c>
      <c r="B192" t="b">
        <f>INDEX(ChargentOrders[VALIDO],MATCH(Claude[[#This Row],[Id]],ChargentOrders[Id],0))</f>
        <v>1</v>
      </c>
      <c r="C192">
        <f>INDEX(Contract[CB_Subscription__c],MATCH(Claude[[#This Row],[Contract__c]],Contract[Id],0))</f>
        <v>0</v>
      </c>
      <c r="D192" s="9" t="s">
        <v>657</v>
      </c>
      <c r="E192" s="9" t="s">
        <v>81</v>
      </c>
      <c r="F192" s="9">
        <v>0</v>
      </c>
      <c r="G192" s="9" t="s">
        <v>658</v>
      </c>
      <c r="H192" s="9">
        <v>46017.418877314813</v>
      </c>
      <c r="I192" s="9" t="s">
        <v>65</v>
      </c>
      <c r="J192" s="9">
        <v>46038.426469907405</v>
      </c>
      <c r="K192" s="9" t="s">
        <v>65</v>
      </c>
      <c r="L192" s="9">
        <v>46038.426469907405</v>
      </c>
      <c r="M192" s="9"/>
      <c r="N192" s="9" t="s">
        <v>1601</v>
      </c>
      <c r="O192" s="9" t="s">
        <v>2005</v>
      </c>
      <c r="P192" s="9" t="s">
        <v>2006</v>
      </c>
      <c r="Q192" s="9" t="s">
        <v>1925</v>
      </c>
      <c r="R192" s="9" t="s">
        <v>1599</v>
      </c>
      <c r="S192" s="9" t="s">
        <v>2007</v>
      </c>
      <c r="T192" s="9" t="s">
        <v>2008</v>
      </c>
      <c r="U192" s="9" t="s">
        <v>1928</v>
      </c>
      <c r="V192" s="9">
        <v>985</v>
      </c>
      <c r="W192" s="9">
        <v>11</v>
      </c>
      <c r="X192" s="9">
        <v>2029</v>
      </c>
      <c r="Y192" s="9">
        <v>6484</v>
      </c>
      <c r="Z192" s="9">
        <v>11</v>
      </c>
      <c r="AA192" s="9">
        <v>4549518380296480</v>
      </c>
      <c r="AB192" s="9" t="s">
        <v>73</v>
      </c>
      <c r="AC192" s="9">
        <v>2029</v>
      </c>
      <c r="AD192" s="9" t="s">
        <v>1952</v>
      </c>
      <c r="AE192" s="9"/>
      <c r="AF192" s="9" t="s">
        <v>1929</v>
      </c>
      <c r="AG192" s="9"/>
      <c r="AH192" s="9" t="s">
        <v>67</v>
      </c>
      <c r="AI192" s="9">
        <v>0</v>
      </c>
      <c r="AJ192" s="9"/>
      <c r="AK192" s="9">
        <v>0</v>
      </c>
      <c r="AL192" s="9" t="s">
        <v>1930</v>
      </c>
      <c r="AM192" s="9">
        <v>1</v>
      </c>
      <c r="AN192" s="9">
        <v>46038</v>
      </c>
      <c r="AO192" s="9" t="s">
        <v>1931</v>
      </c>
      <c r="AP192" s="9" t="s">
        <v>69</v>
      </c>
      <c r="AQ192" s="9" t="s">
        <v>1932</v>
      </c>
      <c r="AR192" s="9">
        <v>46038</v>
      </c>
      <c r="AS192" s="9" t="s">
        <v>74</v>
      </c>
      <c r="AT192" s="9" t="s">
        <v>1935</v>
      </c>
      <c r="AU192" s="9" t="s">
        <v>1952</v>
      </c>
      <c r="AV192" s="9">
        <v>0</v>
      </c>
      <c r="AW192" s="9" t="s">
        <v>92</v>
      </c>
      <c r="AX192" s="9" t="s">
        <v>264</v>
      </c>
      <c r="AY192" s="9">
        <v>0</v>
      </c>
      <c r="AZ192" s="9">
        <v>46038.426377314812</v>
      </c>
      <c r="BA192" s="9">
        <v>46038.426423611112</v>
      </c>
      <c r="BB192" s="9">
        <v>1</v>
      </c>
      <c r="BC192" s="9">
        <v>9</v>
      </c>
      <c r="BD192" s="9" t="s">
        <v>2087</v>
      </c>
      <c r="BE192" s="9" t="s">
        <v>265</v>
      </c>
      <c r="BF192" s="9" t="s">
        <v>71</v>
      </c>
      <c r="BG192" s="9"/>
      <c r="BH192" s="9">
        <v>0</v>
      </c>
      <c r="BI192" s="9"/>
      <c r="BJ192" s="9">
        <v>0</v>
      </c>
      <c r="BK192" s="9" t="s">
        <v>92</v>
      </c>
      <c r="BL192" s="9" t="s">
        <v>92</v>
      </c>
      <c r="BM192" s="9" t="s">
        <v>72</v>
      </c>
      <c r="BN192" s="9"/>
      <c r="BO192" s="9">
        <v>1</v>
      </c>
      <c r="BP192" s="9" t="s">
        <v>659</v>
      </c>
      <c r="BQ192" s="9">
        <v>0</v>
      </c>
      <c r="BR192" s="9">
        <v>45744.431817129633</v>
      </c>
      <c r="BS192" s="9" t="s">
        <v>109</v>
      </c>
      <c r="BT192" s="9" t="s">
        <v>65</v>
      </c>
      <c r="BU192" s="9"/>
      <c r="BV192" s="9"/>
      <c r="BW192" s="9">
        <v>0</v>
      </c>
      <c r="BX192" s="9">
        <v>46037.428541666668</v>
      </c>
      <c r="BY192" s="9">
        <v>46038.426377314812</v>
      </c>
      <c r="BZ192" s="9"/>
      <c r="CA192" s="9"/>
      <c r="CB192" s="9"/>
      <c r="CC192" s="9"/>
      <c r="CD192" s="9"/>
      <c r="CE192" s="9"/>
      <c r="CF192" s="9"/>
      <c r="CG192" s="9"/>
      <c r="CH192" s="9">
        <v>1</v>
      </c>
      <c r="CI192" s="9">
        <v>0</v>
      </c>
      <c r="CJ192" s="9"/>
      <c r="CK192" s="9"/>
      <c r="CL192" s="9" t="s">
        <v>2009</v>
      </c>
      <c r="CM192" s="9"/>
      <c r="CN192" s="9">
        <v>0</v>
      </c>
      <c r="CO192" s="9" t="s">
        <v>1925</v>
      </c>
      <c r="CP192" s="9"/>
      <c r="CQ192" s="9"/>
    </row>
    <row r="193" spans="1:95" x14ac:dyDescent="0.35">
      <c r="A193" s="9" t="b">
        <f>ISNUMBER(MATCH(Claude[[#This Row],[Id]],ChargentOrders[Id],0))</f>
        <v>1</v>
      </c>
      <c r="B193" t="b">
        <f>INDEX(ChargentOrders[VALIDO],MATCH(Claude[[#This Row],[Id]],ChargentOrders[Id],0))</f>
        <v>1</v>
      </c>
      <c r="C193">
        <f>INDEX(Contract[CB_Subscription__c],MATCH(Claude[[#This Row],[Contract__c]],Contract[Id],0))</f>
        <v>0</v>
      </c>
      <c r="D193" s="9" t="s">
        <v>660</v>
      </c>
      <c r="E193" s="9" t="s">
        <v>79</v>
      </c>
      <c r="F193" s="9">
        <v>0</v>
      </c>
      <c r="G193" s="9" t="s">
        <v>661</v>
      </c>
      <c r="H193" s="9">
        <v>46017.419259259259</v>
      </c>
      <c r="I193" s="9" t="s">
        <v>65</v>
      </c>
      <c r="J193" s="9">
        <v>46037.428761574076</v>
      </c>
      <c r="K193" s="9" t="s">
        <v>65</v>
      </c>
      <c r="L193" s="9">
        <v>46037.428761574076</v>
      </c>
      <c r="M193" s="9"/>
      <c r="N193" s="9" t="s">
        <v>1629</v>
      </c>
      <c r="O193" s="9" t="s">
        <v>2032</v>
      </c>
      <c r="P193" s="9" t="s">
        <v>2033</v>
      </c>
      <c r="Q193" s="9" t="s">
        <v>1925</v>
      </c>
      <c r="R193" s="9" t="s">
        <v>1627</v>
      </c>
      <c r="S193" s="9" t="s">
        <v>1949</v>
      </c>
      <c r="T193" s="9" t="s">
        <v>2034</v>
      </c>
      <c r="U193" s="9" t="s">
        <v>1928</v>
      </c>
      <c r="V193" s="9">
        <v>754</v>
      </c>
      <c r="W193" s="9">
        <v>7</v>
      </c>
      <c r="X193" s="9">
        <v>2028</v>
      </c>
      <c r="Y193" s="9">
        <v>6818</v>
      </c>
      <c r="Z193" s="9">
        <v>7</v>
      </c>
      <c r="AA193" s="9">
        <v>4870388115256810</v>
      </c>
      <c r="AB193" s="9" t="s">
        <v>73</v>
      </c>
      <c r="AC193" s="9">
        <v>2028</v>
      </c>
      <c r="AD193" s="9" t="s">
        <v>1952</v>
      </c>
      <c r="AE193" s="9"/>
      <c r="AF193" s="9" t="s">
        <v>1929</v>
      </c>
      <c r="AG193" s="9"/>
      <c r="AH193" s="9" t="s">
        <v>67</v>
      </c>
      <c r="AI193" s="9">
        <v>0</v>
      </c>
      <c r="AJ193" s="9"/>
      <c r="AK193" s="9">
        <v>0</v>
      </c>
      <c r="AL193" s="9" t="s">
        <v>1930</v>
      </c>
      <c r="AM193" s="9">
        <v>1</v>
      </c>
      <c r="AN193" s="9">
        <v>46037</v>
      </c>
      <c r="AO193" s="9" t="s">
        <v>1931</v>
      </c>
      <c r="AP193" s="9" t="s">
        <v>69</v>
      </c>
      <c r="AQ193" s="9" t="s">
        <v>1932</v>
      </c>
      <c r="AR193" s="9">
        <v>46037</v>
      </c>
      <c r="AS193" s="9" t="s">
        <v>74</v>
      </c>
      <c r="AT193" s="9" t="s">
        <v>1935</v>
      </c>
      <c r="AU193" s="9" t="s">
        <v>1952</v>
      </c>
      <c r="AV193" s="9">
        <v>0</v>
      </c>
      <c r="AW193" s="9" t="s">
        <v>92</v>
      </c>
      <c r="AX193" s="9" t="s">
        <v>355</v>
      </c>
      <c r="AY193" s="9">
        <v>0</v>
      </c>
      <c r="AZ193" s="9">
        <v>46037.428657407407</v>
      </c>
      <c r="BA193" s="9">
        <v>46037.428715277776</v>
      </c>
      <c r="BB193" s="9">
        <v>1</v>
      </c>
      <c r="BC193" s="9">
        <v>8</v>
      </c>
      <c r="BD193" s="9" t="s">
        <v>2087</v>
      </c>
      <c r="BE193" s="9" t="s">
        <v>356</v>
      </c>
      <c r="BF193" s="9" t="s">
        <v>71</v>
      </c>
      <c r="BG193" s="9"/>
      <c r="BH193" s="9">
        <v>0</v>
      </c>
      <c r="BI193" s="9"/>
      <c r="BJ193" s="9">
        <v>0</v>
      </c>
      <c r="BK193" s="9" t="s">
        <v>92</v>
      </c>
      <c r="BL193" s="9" t="s">
        <v>92</v>
      </c>
      <c r="BM193" s="9" t="s">
        <v>72</v>
      </c>
      <c r="BN193" s="9"/>
      <c r="BO193" s="9">
        <v>1</v>
      </c>
      <c r="BP193" s="9" t="s">
        <v>662</v>
      </c>
      <c r="BQ193" s="9">
        <v>0</v>
      </c>
      <c r="BR193" s="9">
        <v>45812.729178240741</v>
      </c>
      <c r="BS193" s="9" t="s">
        <v>109</v>
      </c>
      <c r="BT193" s="9" t="s">
        <v>65</v>
      </c>
      <c r="BU193" s="9"/>
      <c r="BV193" s="9"/>
      <c r="BW193" s="9">
        <v>0</v>
      </c>
      <c r="BX193" s="9">
        <v>46034.426006944443</v>
      </c>
      <c r="BY193" s="9">
        <v>46037.428657407407</v>
      </c>
      <c r="BZ193" s="9"/>
      <c r="CA193" s="9"/>
      <c r="CB193" s="9"/>
      <c r="CC193" s="9"/>
      <c r="CD193" s="9"/>
      <c r="CE193" s="9"/>
      <c r="CF193" s="9"/>
      <c r="CG193" s="9"/>
      <c r="CH193" s="9">
        <v>1</v>
      </c>
      <c r="CI193" s="9">
        <v>0</v>
      </c>
      <c r="CJ193" s="9"/>
      <c r="CK193" s="9"/>
      <c r="CL193" s="9" t="s">
        <v>2035</v>
      </c>
      <c r="CM193" s="9"/>
      <c r="CN193" s="9">
        <v>0</v>
      </c>
      <c r="CO193" s="9" t="s">
        <v>1925</v>
      </c>
      <c r="CP193" s="9"/>
      <c r="CQ193" s="9"/>
    </row>
    <row r="194" spans="1:95" x14ac:dyDescent="0.35">
      <c r="A194" s="9" t="b">
        <f>ISNUMBER(MATCH(Claude[[#This Row],[Id]],ChargentOrders[Id],0))</f>
        <v>1</v>
      </c>
      <c r="B194" t="b">
        <f>INDEX(ChargentOrders[VALIDO],MATCH(Claude[[#This Row],[Id]],ChargentOrders[Id],0))</f>
        <v>1</v>
      </c>
      <c r="C194">
        <f>INDEX(Contract[CB_Subscription__c],MATCH(Claude[[#This Row],[Contract__c]],Contract[Id],0))</f>
        <v>0</v>
      </c>
      <c r="D194" s="9" t="s">
        <v>663</v>
      </c>
      <c r="E194" s="9" t="s">
        <v>79</v>
      </c>
      <c r="F194" s="9">
        <v>0</v>
      </c>
      <c r="G194" s="9" t="s">
        <v>664</v>
      </c>
      <c r="H194" s="9">
        <v>46017.419479166667</v>
      </c>
      <c r="I194" s="9" t="s">
        <v>65</v>
      </c>
      <c r="J194" s="9">
        <v>46071.927673611113</v>
      </c>
      <c r="K194" s="9" t="s">
        <v>101</v>
      </c>
      <c r="L194" s="9">
        <v>46071.927673611113</v>
      </c>
      <c r="M194" s="9"/>
      <c r="N194" s="9" t="s">
        <v>1634</v>
      </c>
      <c r="O194" s="9" t="s">
        <v>2037</v>
      </c>
      <c r="P194" s="9" t="s">
        <v>1983</v>
      </c>
      <c r="Q194" s="9" t="s">
        <v>1925</v>
      </c>
      <c r="R194" s="9" t="s">
        <v>1632</v>
      </c>
      <c r="S194" s="9" t="s">
        <v>2038</v>
      </c>
      <c r="T194" s="9" t="s">
        <v>2039</v>
      </c>
      <c r="U194" s="9" t="s">
        <v>1928</v>
      </c>
      <c r="V194" s="9">
        <v>771</v>
      </c>
      <c r="W194" s="9">
        <v>7</v>
      </c>
      <c r="X194" s="9">
        <v>2027</v>
      </c>
      <c r="Y194" s="9">
        <v>233</v>
      </c>
      <c r="Z194" s="9">
        <v>7</v>
      </c>
      <c r="AA194" s="9"/>
      <c r="AB194" s="9" t="s">
        <v>66</v>
      </c>
      <c r="AC194" s="9">
        <v>2027</v>
      </c>
      <c r="AD194" s="9" t="s">
        <v>2087</v>
      </c>
      <c r="AE194" s="9"/>
      <c r="AF194" s="9" t="s">
        <v>1929</v>
      </c>
      <c r="AG194" s="9"/>
      <c r="AH194" s="9" t="s">
        <v>107</v>
      </c>
      <c r="AI194" s="9">
        <v>0</v>
      </c>
      <c r="AJ194" s="9"/>
      <c r="AK194" s="9">
        <v>0</v>
      </c>
      <c r="AL194" s="9" t="s">
        <v>1930</v>
      </c>
      <c r="AM194" s="9">
        <v>1</v>
      </c>
      <c r="AN194" s="9">
        <v>46072</v>
      </c>
      <c r="AO194" s="9" t="s">
        <v>1931</v>
      </c>
      <c r="AP194" s="9" t="s">
        <v>69</v>
      </c>
      <c r="AQ194" s="9" t="s">
        <v>1932</v>
      </c>
      <c r="AR194" s="9">
        <v>46072</v>
      </c>
      <c r="AS194" s="9" t="s">
        <v>74</v>
      </c>
      <c r="AT194" s="9" t="s">
        <v>1935</v>
      </c>
      <c r="AU194" s="9" t="s">
        <v>1952</v>
      </c>
      <c r="AV194" s="9">
        <v>0</v>
      </c>
      <c r="AW194" s="9" t="s">
        <v>93</v>
      </c>
      <c r="AX194" s="9" t="s">
        <v>368</v>
      </c>
      <c r="AY194" s="9">
        <v>0</v>
      </c>
      <c r="AZ194" s="9">
        <v>46071.92765046296</v>
      </c>
      <c r="BA194" s="9">
        <v>46071.92765046296</v>
      </c>
      <c r="BB194" s="9">
        <v>1</v>
      </c>
      <c r="BC194" s="9">
        <v>22</v>
      </c>
      <c r="BD194" s="9" t="s">
        <v>2087</v>
      </c>
      <c r="BE194" s="9" t="s">
        <v>369</v>
      </c>
      <c r="BF194" s="9" t="s">
        <v>71</v>
      </c>
      <c r="BG194" s="9"/>
      <c r="BH194" s="9">
        <v>0</v>
      </c>
      <c r="BI194" s="9"/>
      <c r="BJ194" s="9">
        <v>0</v>
      </c>
      <c r="BK194" s="9" t="s">
        <v>92</v>
      </c>
      <c r="BL194" s="9" t="s">
        <v>92</v>
      </c>
      <c r="BM194" s="9" t="s">
        <v>72</v>
      </c>
      <c r="BN194" s="9"/>
      <c r="BO194" s="9">
        <v>1</v>
      </c>
      <c r="BP194" s="9" t="s">
        <v>665</v>
      </c>
      <c r="BQ194" s="9">
        <v>0</v>
      </c>
      <c r="BR194" s="9">
        <v>45849.623969907407</v>
      </c>
      <c r="BS194" s="9" t="s">
        <v>109</v>
      </c>
      <c r="BT194" s="9" t="s">
        <v>65</v>
      </c>
      <c r="BU194" s="9"/>
      <c r="BV194" s="9"/>
      <c r="BW194" s="9">
        <v>0</v>
      </c>
      <c r="BX194" s="9"/>
      <c r="BY194" s="9">
        <v>46071.92765046296</v>
      </c>
      <c r="BZ194" s="9"/>
      <c r="CA194" s="9"/>
      <c r="CB194" s="9"/>
      <c r="CC194" s="9"/>
      <c r="CD194" s="9"/>
      <c r="CE194" s="9"/>
      <c r="CF194" s="9"/>
      <c r="CG194" s="9"/>
      <c r="CH194" s="9">
        <v>1</v>
      </c>
      <c r="CI194" s="9">
        <v>0</v>
      </c>
      <c r="CJ194" s="9"/>
      <c r="CK194" s="9"/>
      <c r="CL194" s="9" t="s">
        <v>2040</v>
      </c>
      <c r="CM194" s="9"/>
      <c r="CN194" s="9">
        <v>0</v>
      </c>
      <c r="CO194" s="9" t="s">
        <v>1925</v>
      </c>
      <c r="CP194" s="9"/>
      <c r="CQ194" s="9"/>
    </row>
    <row r="195" spans="1:95" x14ac:dyDescent="0.35">
      <c r="A195" s="9" t="b">
        <f>ISNUMBER(MATCH(Claude[[#This Row],[Id]],ChargentOrders[Id],0))</f>
        <v>1</v>
      </c>
      <c r="B195" t="b">
        <f>INDEX(ChargentOrders[VALIDO],MATCH(Claude[[#This Row],[Id]],ChargentOrders[Id],0))</f>
        <v>1</v>
      </c>
      <c r="C195">
        <f>INDEX(Contract[CB_Subscription__c],MATCH(Claude[[#This Row],[Contract__c]],Contract[Id],0))</f>
        <v>0</v>
      </c>
      <c r="D195" s="9" t="s">
        <v>666</v>
      </c>
      <c r="E195" s="9" t="s">
        <v>79</v>
      </c>
      <c r="F195" s="9">
        <v>0</v>
      </c>
      <c r="G195" s="9" t="s">
        <v>667</v>
      </c>
      <c r="H195" s="9">
        <v>46017.428865740738</v>
      </c>
      <c r="I195" s="9" t="s">
        <v>65</v>
      </c>
      <c r="J195" s="9">
        <v>46031.426168981481</v>
      </c>
      <c r="K195" s="9" t="s">
        <v>65</v>
      </c>
      <c r="L195" s="9">
        <v>46031.426168981481</v>
      </c>
      <c r="M195" s="9"/>
      <c r="N195" s="9" t="s">
        <v>1708</v>
      </c>
      <c r="O195" s="9" t="s">
        <v>2132</v>
      </c>
      <c r="P195" s="9" t="s">
        <v>2066</v>
      </c>
      <c r="Q195" s="9" t="s">
        <v>1925</v>
      </c>
      <c r="R195" s="9" t="s">
        <v>1706</v>
      </c>
      <c r="S195" s="9" t="s">
        <v>2133</v>
      </c>
      <c r="T195" s="9" t="s">
        <v>2134</v>
      </c>
      <c r="U195" s="9" t="s">
        <v>1928</v>
      </c>
      <c r="V195" s="9">
        <v>956</v>
      </c>
      <c r="W195" s="9">
        <v>10</v>
      </c>
      <c r="X195" s="9">
        <v>2030</v>
      </c>
      <c r="Y195" s="9">
        <v>2772</v>
      </c>
      <c r="Z195" s="9">
        <v>10</v>
      </c>
      <c r="AA195" s="9">
        <v>4549519496022770</v>
      </c>
      <c r="AB195" s="9" t="s">
        <v>73</v>
      </c>
      <c r="AC195" s="9">
        <v>2030</v>
      </c>
      <c r="AD195" s="9" t="s">
        <v>2162</v>
      </c>
      <c r="AE195" s="9"/>
      <c r="AF195" s="9" t="s">
        <v>1929</v>
      </c>
      <c r="AG195" s="9"/>
      <c r="AH195" s="9" t="s">
        <v>67</v>
      </c>
      <c r="AI195" s="9">
        <v>0</v>
      </c>
      <c r="AJ195" s="9"/>
      <c r="AK195" s="9">
        <v>0</v>
      </c>
      <c r="AL195" s="9" t="s">
        <v>1930</v>
      </c>
      <c r="AM195" s="9">
        <v>1</v>
      </c>
      <c r="AN195" s="9">
        <v>46031</v>
      </c>
      <c r="AO195" s="9" t="s">
        <v>1931</v>
      </c>
      <c r="AP195" s="9" t="s">
        <v>69</v>
      </c>
      <c r="AQ195" s="9" t="s">
        <v>1932</v>
      </c>
      <c r="AR195" s="9">
        <v>46031</v>
      </c>
      <c r="AS195" s="9" t="s">
        <v>74</v>
      </c>
      <c r="AT195" s="9" t="s">
        <v>1935</v>
      </c>
      <c r="AU195" s="9" t="s">
        <v>2162</v>
      </c>
      <c r="AV195" s="9">
        <v>0</v>
      </c>
      <c r="AW195" s="9" t="s">
        <v>92</v>
      </c>
      <c r="AX195" s="9" t="s">
        <v>616</v>
      </c>
      <c r="AY195" s="9">
        <v>0</v>
      </c>
      <c r="AZ195" s="9">
        <v>46031.426018518519</v>
      </c>
      <c r="BA195" s="9">
        <v>46031.426099537035</v>
      </c>
      <c r="BB195" s="9">
        <v>1</v>
      </c>
      <c r="BC195" s="9">
        <v>6</v>
      </c>
      <c r="BD195" s="9" t="s">
        <v>2163</v>
      </c>
      <c r="BE195" s="9" t="s">
        <v>617</v>
      </c>
      <c r="BF195" s="9" t="s">
        <v>71</v>
      </c>
      <c r="BG195" s="9"/>
      <c r="BH195" s="9">
        <v>0</v>
      </c>
      <c r="BI195" s="9"/>
      <c r="BJ195" s="9"/>
      <c r="BK195" s="9" t="s">
        <v>92</v>
      </c>
      <c r="BL195" s="9" t="s">
        <v>92</v>
      </c>
      <c r="BM195" s="9" t="s">
        <v>72</v>
      </c>
      <c r="BN195" s="9"/>
      <c r="BO195" s="9">
        <v>1</v>
      </c>
      <c r="BP195" s="9" t="s">
        <v>668</v>
      </c>
      <c r="BQ195" s="9">
        <v>0</v>
      </c>
      <c r="BR195" s="9">
        <v>46007.789212962962</v>
      </c>
      <c r="BS195" s="9" t="s">
        <v>109</v>
      </c>
      <c r="BT195" s="9" t="s">
        <v>65</v>
      </c>
      <c r="BU195" s="9"/>
      <c r="BV195" s="9"/>
      <c r="BW195" s="9">
        <v>0</v>
      </c>
      <c r="BX195" s="9">
        <v>46030.425335648149</v>
      </c>
      <c r="BY195" s="9">
        <v>46031.426018518519</v>
      </c>
      <c r="BZ195" s="9"/>
      <c r="CA195" s="9"/>
      <c r="CB195" s="9"/>
      <c r="CC195" s="9"/>
      <c r="CD195" s="9"/>
      <c r="CE195" s="9"/>
      <c r="CF195" s="9"/>
      <c r="CG195" s="9"/>
      <c r="CH195" s="9">
        <v>1</v>
      </c>
      <c r="CI195" s="9">
        <v>0</v>
      </c>
      <c r="CJ195" s="9"/>
      <c r="CK195" s="9"/>
      <c r="CL195" s="9" t="s">
        <v>2135</v>
      </c>
      <c r="CM195" s="9"/>
      <c r="CN195" s="9">
        <v>0</v>
      </c>
      <c r="CO195" s="9" t="s">
        <v>1925</v>
      </c>
      <c r="CP195" s="9"/>
      <c r="CQ195" s="9"/>
    </row>
    <row r="196" spans="1:95" x14ac:dyDescent="0.35">
      <c r="A196" s="9" t="b">
        <f>ISNUMBER(MATCH(Claude[[#This Row],[Id]],ChargentOrders[Id],0))</f>
        <v>1</v>
      </c>
      <c r="B196" t="b">
        <f>INDEX(ChargentOrders[VALIDO],MATCH(Claude[[#This Row],[Id]],ChargentOrders[Id],0))</f>
        <v>1</v>
      </c>
      <c r="C196">
        <f>INDEX(Contract[CB_Subscription__c],MATCH(Claude[[#This Row],[Contract__c]],Contract[Id],0))</f>
        <v>0</v>
      </c>
      <c r="D196" s="9" t="s">
        <v>669</v>
      </c>
      <c r="E196" s="9" t="s">
        <v>81</v>
      </c>
      <c r="F196" s="9">
        <v>0</v>
      </c>
      <c r="G196" s="9" t="s">
        <v>670</v>
      </c>
      <c r="H196" s="9">
        <v>46017.42900462963</v>
      </c>
      <c r="I196" s="9" t="s">
        <v>65</v>
      </c>
      <c r="J196" s="9">
        <v>46163.929722222223</v>
      </c>
      <c r="K196" s="9" t="s">
        <v>78</v>
      </c>
      <c r="L196" s="9">
        <v>46163.929722222223</v>
      </c>
      <c r="M196" s="9"/>
      <c r="N196" s="9" t="s">
        <v>1718</v>
      </c>
      <c r="O196" s="9" t="s">
        <v>2142</v>
      </c>
      <c r="P196" s="9" t="s">
        <v>2143</v>
      </c>
      <c r="Q196" s="9" t="s">
        <v>1925</v>
      </c>
      <c r="R196" s="9" t="s">
        <v>1716</v>
      </c>
      <c r="S196" s="9" t="s">
        <v>2144</v>
      </c>
      <c r="T196" s="9" t="s">
        <v>2145</v>
      </c>
      <c r="U196" s="9" t="s">
        <v>1928</v>
      </c>
      <c r="V196" s="9">
        <v>641</v>
      </c>
      <c r="W196" s="9">
        <v>8</v>
      </c>
      <c r="X196" s="9">
        <v>2030</v>
      </c>
      <c r="Y196" s="9">
        <v>9728</v>
      </c>
      <c r="Z196" s="9">
        <v>8</v>
      </c>
      <c r="AA196" s="9">
        <v>4549525023689720</v>
      </c>
      <c r="AB196" s="9" t="s">
        <v>73</v>
      </c>
      <c r="AC196" s="9">
        <v>2030</v>
      </c>
      <c r="AD196" s="9" t="s">
        <v>1979</v>
      </c>
      <c r="AE196" s="9">
        <v>29</v>
      </c>
      <c r="AF196" s="9" t="s">
        <v>1929</v>
      </c>
      <c r="AG196" s="9"/>
      <c r="AH196" s="9" t="s">
        <v>98</v>
      </c>
      <c r="AI196" s="9">
        <v>0</v>
      </c>
      <c r="AJ196" s="9"/>
      <c r="AK196" s="9">
        <v>0</v>
      </c>
      <c r="AL196" s="9" t="s">
        <v>1930</v>
      </c>
      <c r="AM196" s="9"/>
      <c r="AN196" s="9"/>
      <c r="AO196" s="9" t="s">
        <v>1943</v>
      </c>
      <c r="AP196" s="9" t="s">
        <v>69</v>
      </c>
      <c r="AQ196" s="9" t="s">
        <v>1932</v>
      </c>
      <c r="AR196" s="9">
        <v>46171</v>
      </c>
      <c r="AS196" s="9" t="s">
        <v>613</v>
      </c>
      <c r="AT196" s="9" t="s">
        <v>1944</v>
      </c>
      <c r="AU196" s="9" t="s">
        <v>1979</v>
      </c>
      <c r="AV196" s="9">
        <v>0</v>
      </c>
      <c r="AW196" s="9" t="s">
        <v>92</v>
      </c>
      <c r="AX196" s="9">
        <v>7.6599600037667296E+21</v>
      </c>
      <c r="AY196" s="9">
        <v>0</v>
      </c>
      <c r="AZ196" s="9"/>
      <c r="BA196" s="9"/>
      <c r="BB196" s="9">
        <v>0</v>
      </c>
      <c r="BC196" s="9">
        <v>3</v>
      </c>
      <c r="BD196" s="9">
        <v>0</v>
      </c>
      <c r="BE196" s="9" t="s">
        <v>631</v>
      </c>
      <c r="BF196" s="9" t="s">
        <v>76</v>
      </c>
      <c r="BG196" s="9"/>
      <c r="BH196" s="9">
        <v>0</v>
      </c>
      <c r="BI196" s="9"/>
      <c r="BJ196" s="9">
        <v>4</v>
      </c>
      <c r="BK196" s="9" t="s">
        <v>92</v>
      </c>
      <c r="BL196" s="9" t="s">
        <v>92</v>
      </c>
      <c r="BM196" s="9" t="s">
        <v>75</v>
      </c>
      <c r="BN196" s="9"/>
      <c r="BO196" s="9">
        <v>0</v>
      </c>
      <c r="BP196" s="9"/>
      <c r="BQ196" s="9">
        <v>0</v>
      </c>
      <c r="BR196" s="9"/>
      <c r="BS196" s="9"/>
      <c r="BT196" s="9"/>
      <c r="BU196" s="9"/>
      <c r="BV196" s="9"/>
      <c r="BW196" s="9">
        <v>0</v>
      </c>
      <c r="BX196" s="9">
        <v>46142.424212962964</v>
      </c>
      <c r="BY196" s="9">
        <v>46142.424212962964</v>
      </c>
      <c r="BZ196" s="9"/>
      <c r="CA196" s="9"/>
      <c r="CB196" s="9"/>
      <c r="CC196" s="9"/>
      <c r="CD196" s="9"/>
      <c r="CE196" s="9"/>
      <c r="CF196" s="9"/>
      <c r="CG196" s="9"/>
      <c r="CH196" s="9">
        <v>1</v>
      </c>
      <c r="CI196" s="9">
        <v>0</v>
      </c>
      <c r="CJ196" s="9"/>
      <c r="CK196" s="9"/>
      <c r="CL196" s="9" t="s">
        <v>2147</v>
      </c>
      <c r="CM196" s="9"/>
      <c r="CN196" s="9">
        <v>0</v>
      </c>
      <c r="CO196" s="9" t="s">
        <v>1925</v>
      </c>
      <c r="CP196" s="9"/>
      <c r="CQ196" s="9">
        <v>0</v>
      </c>
    </row>
    <row r="197" spans="1:95" x14ac:dyDescent="0.35">
      <c r="A197" s="9" t="b">
        <f>ISNUMBER(MATCH(Claude[[#This Row],[Id]],ChargentOrders[Id],0))</f>
        <v>1</v>
      </c>
      <c r="B197" t="b">
        <f>INDEX(ChargentOrders[VALIDO],MATCH(Claude[[#This Row],[Id]],ChargentOrders[Id],0))</f>
        <v>1</v>
      </c>
      <c r="C197">
        <f>INDEX(Contract[CB_Subscription__c],MATCH(Claude[[#This Row],[Contract__c]],Contract[Id],0))</f>
        <v>0</v>
      </c>
      <c r="D197" s="9" t="s">
        <v>671</v>
      </c>
      <c r="E197" s="9" t="s">
        <v>79</v>
      </c>
      <c r="F197" s="9">
        <v>0</v>
      </c>
      <c r="G197" s="9" t="s">
        <v>672</v>
      </c>
      <c r="H197" s="9">
        <v>46017.909814814811</v>
      </c>
      <c r="I197" s="9" t="s">
        <v>101</v>
      </c>
      <c r="J197" s="9">
        <v>46031.426168981481</v>
      </c>
      <c r="K197" s="9" t="s">
        <v>65</v>
      </c>
      <c r="L197" s="9">
        <v>46031.426168981481</v>
      </c>
      <c r="M197" s="9"/>
      <c r="N197" s="9" t="s">
        <v>1596</v>
      </c>
      <c r="O197" s="9" t="s">
        <v>1997</v>
      </c>
      <c r="P197" s="9" t="s">
        <v>1990</v>
      </c>
      <c r="Q197" s="9" t="s">
        <v>1925</v>
      </c>
      <c r="R197" s="9" t="s">
        <v>1594</v>
      </c>
      <c r="S197" s="9" t="s">
        <v>1998</v>
      </c>
      <c r="T197" s="9" t="s">
        <v>1999</v>
      </c>
      <c r="U197" s="9" t="s">
        <v>1928</v>
      </c>
      <c r="V197" s="9">
        <v>901</v>
      </c>
      <c r="W197" s="9">
        <v>2</v>
      </c>
      <c r="X197" s="9">
        <v>2026</v>
      </c>
      <c r="Y197" s="9">
        <v>7405</v>
      </c>
      <c r="Z197" s="9">
        <v>2</v>
      </c>
      <c r="AA197" s="9">
        <v>4549516847817400</v>
      </c>
      <c r="AB197" s="9" t="s">
        <v>73</v>
      </c>
      <c r="AC197" s="9">
        <v>2026</v>
      </c>
      <c r="AD197" s="9">
        <v>1.04E+20</v>
      </c>
      <c r="AE197" s="9"/>
      <c r="AF197" s="9" t="s">
        <v>1929</v>
      </c>
      <c r="AG197" s="9"/>
      <c r="AH197" s="9" t="s">
        <v>67</v>
      </c>
      <c r="AI197" s="9">
        <v>0</v>
      </c>
      <c r="AJ197" s="9"/>
      <c r="AK197" s="9">
        <v>0</v>
      </c>
      <c r="AL197" s="9" t="s">
        <v>1930</v>
      </c>
      <c r="AM197" s="9">
        <v>1</v>
      </c>
      <c r="AN197" s="9">
        <v>46031</v>
      </c>
      <c r="AO197" s="9" t="s">
        <v>1931</v>
      </c>
      <c r="AP197" s="9" t="s">
        <v>69</v>
      </c>
      <c r="AQ197" s="9" t="s">
        <v>1932</v>
      </c>
      <c r="AR197" s="9">
        <v>46031</v>
      </c>
      <c r="AS197" s="9" t="s">
        <v>74</v>
      </c>
      <c r="AT197" s="9" t="s">
        <v>1935</v>
      </c>
      <c r="AU197" s="9" t="s">
        <v>1952</v>
      </c>
      <c r="AV197" s="9">
        <v>0</v>
      </c>
      <c r="AW197" s="9" t="s">
        <v>93</v>
      </c>
      <c r="AX197" s="9" t="s">
        <v>252</v>
      </c>
      <c r="AY197" s="9">
        <v>0</v>
      </c>
      <c r="AZ197" s="9">
        <v>46031.426076388889</v>
      </c>
      <c r="BA197" s="9">
        <v>46031.426099537035</v>
      </c>
      <c r="BB197" s="9">
        <v>1</v>
      </c>
      <c r="BC197" s="9">
        <v>8</v>
      </c>
      <c r="BD197" s="9" t="s">
        <v>2087</v>
      </c>
      <c r="BE197" s="9" t="s">
        <v>253</v>
      </c>
      <c r="BF197" s="9" t="s">
        <v>71</v>
      </c>
      <c r="BG197" s="9"/>
      <c r="BH197" s="9">
        <v>0</v>
      </c>
      <c r="BI197" s="9"/>
      <c r="BJ197" s="9">
        <v>9</v>
      </c>
      <c r="BK197" s="9" t="s">
        <v>92</v>
      </c>
      <c r="BL197" s="9" t="s">
        <v>92</v>
      </c>
      <c r="BM197" s="9" t="s">
        <v>72</v>
      </c>
      <c r="BN197" s="9"/>
      <c r="BO197" s="9">
        <v>1</v>
      </c>
      <c r="BP197" s="9" t="s">
        <v>673</v>
      </c>
      <c r="BQ197" s="9">
        <v>0</v>
      </c>
      <c r="BR197" s="9">
        <v>45723.426469907405</v>
      </c>
      <c r="BS197" s="9" t="s">
        <v>109</v>
      </c>
      <c r="BT197" s="9" t="s">
        <v>101</v>
      </c>
      <c r="BU197" s="9"/>
      <c r="BV197" s="9"/>
      <c r="BW197" s="9">
        <v>0</v>
      </c>
      <c r="BX197" s="9">
        <v>46029.950972222221</v>
      </c>
      <c r="BY197" s="9">
        <v>46031.426076388889</v>
      </c>
      <c r="BZ197" s="9"/>
      <c r="CA197" s="9"/>
      <c r="CB197" s="9"/>
      <c r="CC197" s="9"/>
      <c r="CD197" s="9"/>
      <c r="CE197" s="9"/>
      <c r="CF197" s="9"/>
      <c r="CG197" s="9"/>
      <c r="CH197" s="9">
        <v>1</v>
      </c>
      <c r="CI197" s="9">
        <v>0</v>
      </c>
      <c r="CJ197" s="9"/>
      <c r="CK197" s="9"/>
      <c r="CL197" s="9" t="s">
        <v>2000</v>
      </c>
      <c r="CM197" s="9"/>
      <c r="CN197" s="9">
        <v>0</v>
      </c>
      <c r="CO197" s="9" t="s">
        <v>1925</v>
      </c>
      <c r="CP197" s="9"/>
      <c r="CQ197" s="9"/>
    </row>
    <row r="198" spans="1:95" x14ac:dyDescent="0.35">
      <c r="A198" s="9" t="b">
        <f>ISNUMBER(MATCH(Claude[[#This Row],[Id]],ChargentOrders[Id],0))</f>
        <v>1</v>
      </c>
      <c r="B198" t="b">
        <f>INDEX(ChargentOrders[VALIDO],MATCH(Claude[[#This Row],[Id]],ChargentOrders[Id],0))</f>
        <v>1</v>
      </c>
      <c r="C198">
        <f>INDEX(Contract[CB_Subscription__c],MATCH(Claude[[#This Row],[Contract__c]],Contract[Id],0))</f>
        <v>0</v>
      </c>
      <c r="D198" s="9" t="s">
        <v>674</v>
      </c>
      <c r="E198" s="9" t="s">
        <v>79</v>
      </c>
      <c r="F198" s="9">
        <v>0</v>
      </c>
      <c r="G198" s="9" t="s">
        <v>675</v>
      </c>
      <c r="H198" s="9">
        <v>46020.990624999999</v>
      </c>
      <c r="I198" s="9" t="s">
        <v>101</v>
      </c>
      <c r="J198" s="9">
        <v>46024.427210648151</v>
      </c>
      <c r="K198" s="9" t="s">
        <v>65</v>
      </c>
      <c r="L198" s="9">
        <v>46024.427210648151</v>
      </c>
      <c r="M198" s="9"/>
      <c r="N198" s="9" t="s">
        <v>1581</v>
      </c>
      <c r="O198" s="9" t="s">
        <v>1960</v>
      </c>
      <c r="P198" s="9" t="s">
        <v>1961</v>
      </c>
      <c r="Q198" s="9" t="s">
        <v>1925</v>
      </c>
      <c r="R198" s="9" t="s">
        <v>1579</v>
      </c>
      <c r="S198" s="9" t="s">
        <v>1962</v>
      </c>
      <c r="T198" s="9" t="s">
        <v>1963</v>
      </c>
      <c r="U198" s="9" t="s">
        <v>1928</v>
      </c>
      <c r="V198" s="9">
        <v>778</v>
      </c>
      <c r="W198" s="9">
        <v>3</v>
      </c>
      <c r="X198" s="9">
        <v>2027</v>
      </c>
      <c r="Y198" s="9">
        <v>4327</v>
      </c>
      <c r="Z198" s="9">
        <v>3</v>
      </c>
      <c r="AA198" s="9">
        <v>4549516808074320</v>
      </c>
      <c r="AB198" s="9" t="s">
        <v>73</v>
      </c>
      <c r="AC198" s="9">
        <v>2027</v>
      </c>
      <c r="AD198" s="9" t="s">
        <v>473</v>
      </c>
      <c r="AE198" s="9"/>
      <c r="AF198" s="9" t="s">
        <v>1929</v>
      </c>
      <c r="AG198" s="9"/>
      <c r="AH198" s="9" t="s">
        <v>67</v>
      </c>
      <c r="AI198" s="9">
        <v>0</v>
      </c>
      <c r="AJ198" s="9"/>
      <c r="AK198" s="9">
        <v>0</v>
      </c>
      <c r="AL198" s="9" t="s">
        <v>1930</v>
      </c>
      <c r="AM198" s="9">
        <v>1</v>
      </c>
      <c r="AN198" s="9">
        <v>46024</v>
      </c>
      <c r="AO198" s="9" t="s">
        <v>1931</v>
      </c>
      <c r="AP198" s="9" t="s">
        <v>69</v>
      </c>
      <c r="AQ198" s="9" t="s">
        <v>1932</v>
      </c>
      <c r="AR198" s="9">
        <v>46024</v>
      </c>
      <c r="AS198" s="9" t="s">
        <v>74</v>
      </c>
      <c r="AT198" s="9" t="s">
        <v>1935</v>
      </c>
      <c r="AU198" s="9" t="s">
        <v>473</v>
      </c>
      <c r="AV198" s="9">
        <v>0</v>
      </c>
      <c r="AW198" s="9" t="s">
        <v>92</v>
      </c>
      <c r="AX198" s="9" t="s">
        <v>165</v>
      </c>
      <c r="AY198" s="9">
        <v>0</v>
      </c>
      <c r="AZ198" s="9">
        <v>46024.427118055559</v>
      </c>
      <c r="BA198" s="9">
        <v>46024.427152777775</v>
      </c>
      <c r="BB198" s="9">
        <v>1</v>
      </c>
      <c r="BC198" s="9">
        <v>3</v>
      </c>
      <c r="BD198" s="9" t="s">
        <v>91</v>
      </c>
      <c r="BE198" s="9" t="s">
        <v>179</v>
      </c>
      <c r="BF198" s="9" t="s">
        <v>71</v>
      </c>
      <c r="BG198" s="9"/>
      <c r="BH198" s="9">
        <v>0</v>
      </c>
      <c r="BI198" s="9"/>
      <c r="BJ198" s="9">
        <v>16</v>
      </c>
      <c r="BK198" s="9" t="s">
        <v>92</v>
      </c>
      <c r="BL198" s="9" t="s">
        <v>92</v>
      </c>
      <c r="BM198" s="9" t="s">
        <v>72</v>
      </c>
      <c r="BN198" s="9"/>
      <c r="BO198" s="9">
        <v>0</v>
      </c>
      <c r="BP198" s="9" t="s">
        <v>676</v>
      </c>
      <c r="BQ198" s="9">
        <v>0</v>
      </c>
      <c r="BR198" s="9">
        <v>46020.990810185183</v>
      </c>
      <c r="BS198" s="9" t="s">
        <v>92</v>
      </c>
      <c r="BT198" s="9" t="s">
        <v>101</v>
      </c>
      <c r="BU198" s="9"/>
      <c r="BV198" s="9"/>
      <c r="BW198" s="9">
        <v>0</v>
      </c>
      <c r="BX198" s="9">
        <v>46022.765706018516</v>
      </c>
      <c r="BY198" s="9">
        <v>46024.427118055559</v>
      </c>
      <c r="BZ198" s="9"/>
      <c r="CA198" s="9"/>
      <c r="CB198" s="9"/>
      <c r="CC198" s="9"/>
      <c r="CD198" s="9"/>
      <c r="CE198" s="9"/>
      <c r="CF198" s="9"/>
      <c r="CG198" s="9"/>
      <c r="CH198" s="9">
        <v>1</v>
      </c>
      <c r="CI198" s="9">
        <v>0</v>
      </c>
      <c r="CJ198" s="9"/>
      <c r="CK198" s="9"/>
      <c r="CL198" s="9" t="s">
        <v>1964</v>
      </c>
      <c r="CM198" s="9"/>
      <c r="CN198" s="9">
        <v>0</v>
      </c>
      <c r="CO198" s="9" t="s">
        <v>1925</v>
      </c>
      <c r="CP198" s="9"/>
      <c r="CQ198" s="9"/>
    </row>
    <row r="199" spans="1:95" x14ac:dyDescent="0.35">
      <c r="A199" s="9" t="b">
        <f>ISNUMBER(MATCH(Claude[[#This Row],[Id]],ChargentOrders[Id],0))</f>
        <v>1</v>
      </c>
      <c r="B199" t="b">
        <f>INDEX(ChargentOrders[VALIDO],MATCH(Claude[[#This Row],[Id]],ChargentOrders[Id],0))</f>
        <v>1</v>
      </c>
      <c r="C199">
        <f>INDEX(Contract[CB_Subscription__c],MATCH(Claude[[#This Row],[Contract__c]],Contract[Id],0))</f>
        <v>0</v>
      </c>
      <c r="D199" s="9" t="s">
        <v>677</v>
      </c>
      <c r="E199" s="9" t="s">
        <v>79</v>
      </c>
      <c r="F199" s="9">
        <v>0</v>
      </c>
      <c r="G199" s="9" t="s">
        <v>678</v>
      </c>
      <c r="H199" s="9">
        <v>46021.417500000003</v>
      </c>
      <c r="I199" s="9" t="s">
        <v>65</v>
      </c>
      <c r="J199" s="9">
        <v>46083.420405092591</v>
      </c>
      <c r="K199" s="9" t="s">
        <v>65</v>
      </c>
      <c r="L199" s="9">
        <v>46083.420405092591</v>
      </c>
      <c r="M199" s="9"/>
      <c r="N199" s="9" t="s">
        <v>1576</v>
      </c>
      <c r="O199" s="9" t="s">
        <v>1947</v>
      </c>
      <c r="P199" s="9" t="s">
        <v>1948</v>
      </c>
      <c r="Q199" s="9" t="s">
        <v>1925</v>
      </c>
      <c r="R199" s="9" t="s">
        <v>1574</v>
      </c>
      <c r="S199" s="9" t="s">
        <v>1949</v>
      </c>
      <c r="T199" s="9" t="s">
        <v>1950</v>
      </c>
      <c r="U199" s="9" t="s">
        <v>1928</v>
      </c>
      <c r="V199" s="9">
        <v>769</v>
      </c>
      <c r="W199" s="9">
        <v>7</v>
      </c>
      <c r="X199" s="9">
        <v>2028</v>
      </c>
      <c r="Y199" s="9">
        <v>1524</v>
      </c>
      <c r="Z199" s="9">
        <v>7</v>
      </c>
      <c r="AA199" s="9">
        <v>4549516625621520</v>
      </c>
      <c r="AB199" s="9" t="s">
        <v>73</v>
      </c>
      <c r="AC199" s="9">
        <v>2028</v>
      </c>
      <c r="AD199" s="9" t="s">
        <v>1952</v>
      </c>
      <c r="AE199" s="9"/>
      <c r="AF199" s="9" t="s">
        <v>1929</v>
      </c>
      <c r="AG199" s="9"/>
      <c r="AH199" s="9" t="s">
        <v>67</v>
      </c>
      <c r="AI199" s="9">
        <v>0</v>
      </c>
      <c r="AJ199" s="9"/>
      <c r="AK199" s="9">
        <v>0</v>
      </c>
      <c r="AL199" s="9" t="s">
        <v>1930</v>
      </c>
      <c r="AM199" s="9">
        <v>1</v>
      </c>
      <c r="AN199" s="9">
        <v>46083</v>
      </c>
      <c r="AO199" s="9" t="s">
        <v>1931</v>
      </c>
      <c r="AP199" s="9" t="s">
        <v>69</v>
      </c>
      <c r="AQ199" s="9" t="s">
        <v>1932</v>
      </c>
      <c r="AR199" s="9">
        <v>46083</v>
      </c>
      <c r="AS199" s="9" t="s">
        <v>74</v>
      </c>
      <c r="AT199" s="9" t="s">
        <v>1935</v>
      </c>
      <c r="AU199" s="9" t="s">
        <v>1952</v>
      </c>
      <c r="AV199" s="9">
        <v>0</v>
      </c>
      <c r="AW199" s="9" t="s">
        <v>92</v>
      </c>
      <c r="AX199" s="9" t="s">
        <v>158</v>
      </c>
      <c r="AY199" s="9">
        <v>0</v>
      </c>
      <c r="AZ199" s="9">
        <v>46083.420358796298</v>
      </c>
      <c r="BA199" s="9">
        <v>46083.420370370368</v>
      </c>
      <c r="BB199" s="9">
        <v>1</v>
      </c>
      <c r="BC199" s="9">
        <v>30</v>
      </c>
      <c r="BD199" s="9" t="s">
        <v>2087</v>
      </c>
      <c r="BE199" s="9" t="s">
        <v>159</v>
      </c>
      <c r="BF199" s="9" t="s">
        <v>71</v>
      </c>
      <c r="BG199" s="9"/>
      <c r="BH199" s="9">
        <v>0</v>
      </c>
      <c r="BI199" s="9"/>
      <c r="BJ199" s="9">
        <v>0</v>
      </c>
      <c r="BK199" s="9" t="s">
        <v>92</v>
      </c>
      <c r="BL199" s="9" t="s">
        <v>92</v>
      </c>
      <c r="BM199" s="9" t="s">
        <v>72</v>
      </c>
      <c r="BN199" s="9"/>
      <c r="BO199" s="9">
        <v>1</v>
      </c>
      <c r="BP199" s="9" t="s">
        <v>679</v>
      </c>
      <c r="BQ199" s="9">
        <v>0</v>
      </c>
      <c r="BR199" s="9">
        <v>45392.867974537039</v>
      </c>
      <c r="BS199" s="9" t="s">
        <v>109</v>
      </c>
      <c r="BT199" s="9" t="s">
        <v>65</v>
      </c>
      <c r="BU199" s="9"/>
      <c r="BV199" s="9"/>
      <c r="BW199" s="9">
        <v>0</v>
      </c>
      <c r="BX199" s="9">
        <v>46080.424942129626</v>
      </c>
      <c r="BY199" s="9">
        <v>46083.420358796298</v>
      </c>
      <c r="BZ199" s="9"/>
      <c r="CA199" s="9"/>
      <c r="CB199" s="9"/>
      <c r="CC199" s="9"/>
      <c r="CD199" s="9"/>
      <c r="CE199" s="9"/>
      <c r="CF199" s="9"/>
      <c r="CG199" s="9"/>
      <c r="CH199" s="9">
        <v>1</v>
      </c>
      <c r="CI199" s="9">
        <v>0</v>
      </c>
      <c r="CJ199" s="9"/>
      <c r="CK199" s="9"/>
      <c r="CL199" s="9"/>
      <c r="CM199" s="9"/>
      <c r="CN199" s="9">
        <v>0</v>
      </c>
      <c r="CO199" s="9" t="s">
        <v>1925</v>
      </c>
      <c r="CP199" s="9"/>
      <c r="CQ199" s="9"/>
    </row>
    <row r="200" spans="1:95" x14ac:dyDescent="0.35">
      <c r="A200" s="9" t="b">
        <f>ISNUMBER(MATCH(Claude[[#This Row],[Id]],ChargentOrders[Id],0))</f>
        <v>1</v>
      </c>
      <c r="B200" t="b">
        <f>INDEX(ChargentOrders[VALIDO],MATCH(Claude[[#This Row],[Id]],ChargentOrders[Id],0))</f>
        <v>1</v>
      </c>
      <c r="C200">
        <f>INDEX(Contract[CB_Subscription__c],MATCH(Claude[[#This Row],[Contract__c]],Contract[Id],0))</f>
        <v>0</v>
      </c>
      <c r="D200" s="9" t="s">
        <v>680</v>
      </c>
      <c r="E200" s="9" t="s">
        <v>79</v>
      </c>
      <c r="F200" s="9">
        <v>0</v>
      </c>
      <c r="G200" s="9" t="s">
        <v>681</v>
      </c>
      <c r="H200" s="9">
        <v>46021.418402777781</v>
      </c>
      <c r="I200" s="9" t="s">
        <v>65</v>
      </c>
      <c r="J200" s="9">
        <v>46217.738564814812</v>
      </c>
      <c r="K200" s="9" t="s">
        <v>78</v>
      </c>
      <c r="L200" s="9">
        <v>46217.738564814812</v>
      </c>
      <c r="M200" s="9"/>
      <c r="N200" s="9" t="s">
        <v>1591</v>
      </c>
      <c r="O200" s="9" t="s">
        <v>1989</v>
      </c>
      <c r="P200" s="9" t="s">
        <v>1990</v>
      </c>
      <c r="Q200" s="9" t="s">
        <v>1925</v>
      </c>
      <c r="R200" s="9" t="s">
        <v>1589</v>
      </c>
      <c r="S200" s="9" t="s">
        <v>1991</v>
      </c>
      <c r="T200" s="9" t="s">
        <v>1992</v>
      </c>
      <c r="U200" s="9" t="s">
        <v>1928</v>
      </c>
      <c r="V200" s="9">
        <v>915</v>
      </c>
      <c r="W200" s="9">
        <v>2</v>
      </c>
      <c r="X200" s="9">
        <v>2030</v>
      </c>
      <c r="Y200" s="9">
        <v>1962</v>
      </c>
      <c r="Z200" s="9">
        <v>2</v>
      </c>
      <c r="AA200" s="9">
        <v>1962</v>
      </c>
      <c r="AB200" s="9" t="s">
        <v>73</v>
      </c>
      <c r="AC200" s="9">
        <v>2030</v>
      </c>
      <c r="AD200" s="9" t="s">
        <v>1952</v>
      </c>
      <c r="AE200" s="9"/>
      <c r="AF200" s="9" t="s">
        <v>1929</v>
      </c>
      <c r="AG200" s="9"/>
      <c r="AH200" s="9" t="s">
        <v>67</v>
      </c>
      <c r="AI200" s="9">
        <v>0</v>
      </c>
      <c r="AJ200" s="9"/>
      <c r="AK200" s="9">
        <v>0</v>
      </c>
      <c r="AL200" s="9" t="s">
        <v>1930</v>
      </c>
      <c r="AM200" s="9">
        <v>1</v>
      </c>
      <c r="AN200" s="9">
        <v>46213</v>
      </c>
      <c r="AO200" s="9" t="s">
        <v>1931</v>
      </c>
      <c r="AP200" s="9" t="s">
        <v>69</v>
      </c>
      <c r="AQ200" s="9" t="s">
        <v>1932</v>
      </c>
      <c r="AR200" s="9">
        <v>46213</v>
      </c>
      <c r="AS200" s="9" t="s">
        <v>84</v>
      </c>
      <c r="AT200" s="9" t="s">
        <v>1935</v>
      </c>
      <c r="AU200" s="9" t="s">
        <v>1952</v>
      </c>
      <c r="AV200" s="9">
        <v>0</v>
      </c>
      <c r="AW200" s="9" t="s">
        <v>92</v>
      </c>
      <c r="AX200" s="9" t="s">
        <v>240</v>
      </c>
      <c r="AY200" s="9">
        <v>0</v>
      </c>
      <c r="AZ200" s="9"/>
      <c r="BA200" s="9"/>
      <c r="BB200" s="9">
        <v>0</v>
      </c>
      <c r="BC200" s="9">
        <v>86</v>
      </c>
      <c r="BD200" s="9">
        <v>0</v>
      </c>
      <c r="BE200" s="9" t="s">
        <v>235</v>
      </c>
      <c r="BF200" s="9" t="s">
        <v>71</v>
      </c>
      <c r="BG200" s="9"/>
      <c r="BH200" s="9">
        <v>0</v>
      </c>
      <c r="BI200" s="9"/>
      <c r="BJ200" s="9"/>
      <c r="BK200" s="9" t="s">
        <v>92</v>
      </c>
      <c r="BL200" s="9" t="s">
        <v>92</v>
      </c>
      <c r="BM200" s="9" t="s">
        <v>72</v>
      </c>
      <c r="BN200" s="9"/>
      <c r="BO200" s="9">
        <v>1</v>
      </c>
      <c r="BP200" s="9" t="s">
        <v>682</v>
      </c>
      <c r="BQ200" s="9">
        <v>0</v>
      </c>
      <c r="BR200" s="9">
        <v>45702.827997685185</v>
      </c>
      <c r="BS200" s="9" t="s">
        <v>109</v>
      </c>
      <c r="BT200" s="9" t="s">
        <v>65</v>
      </c>
      <c r="BU200" s="9"/>
      <c r="BV200" s="9"/>
      <c r="BW200" s="9">
        <v>0</v>
      </c>
      <c r="BX200" s="9">
        <v>46210.417222222219</v>
      </c>
      <c r="BY200" s="9">
        <v>46210.417222222219</v>
      </c>
      <c r="BZ200" s="9"/>
      <c r="CA200" s="9"/>
      <c r="CB200" s="9"/>
      <c r="CC200" s="9"/>
      <c r="CD200" s="9"/>
      <c r="CE200" s="9"/>
      <c r="CF200" s="9"/>
      <c r="CG200" s="9"/>
      <c r="CH200" s="9">
        <v>1</v>
      </c>
      <c r="CI200" s="9">
        <v>0</v>
      </c>
      <c r="CJ200" s="9"/>
      <c r="CK200" s="9"/>
      <c r="CL200" s="9" t="s">
        <v>1993</v>
      </c>
      <c r="CM200" s="9"/>
      <c r="CN200" s="9">
        <v>0</v>
      </c>
      <c r="CO200" s="9" t="s">
        <v>1925</v>
      </c>
      <c r="CP200" s="9"/>
      <c r="CQ200" s="9">
        <v>0</v>
      </c>
    </row>
    <row r="201" spans="1:95" x14ac:dyDescent="0.35">
      <c r="A201" s="9" t="b">
        <f>ISNUMBER(MATCH(Claude[[#This Row],[Id]],ChargentOrders[Id],0))</f>
        <v>1</v>
      </c>
      <c r="B201" t="b">
        <f>INDEX(ChargentOrders[VALIDO],MATCH(Claude[[#This Row],[Id]],ChargentOrders[Id],0))</f>
        <v>1</v>
      </c>
      <c r="C201">
        <f>INDEX(Contract[CB_Subscription__c],MATCH(Claude[[#This Row],[Contract__c]],Contract[Id],0))</f>
        <v>0</v>
      </c>
      <c r="D201" s="9" t="s">
        <v>683</v>
      </c>
      <c r="E201" s="9" t="s">
        <v>79</v>
      </c>
      <c r="F201" s="9">
        <v>0</v>
      </c>
      <c r="G201" s="9" t="s">
        <v>684</v>
      </c>
      <c r="H201" s="9">
        <v>46021.418402777781</v>
      </c>
      <c r="I201" s="9" t="s">
        <v>65</v>
      </c>
      <c r="J201" s="9">
        <v>46122.419479166667</v>
      </c>
      <c r="K201" s="9" t="s">
        <v>65</v>
      </c>
      <c r="L201" s="9">
        <v>46122.419479166667</v>
      </c>
      <c r="M201" s="9"/>
      <c r="N201" s="9" t="s">
        <v>1988</v>
      </c>
      <c r="O201" s="9" t="s">
        <v>1982</v>
      </c>
      <c r="P201" s="9" t="s">
        <v>1983</v>
      </c>
      <c r="Q201" s="9" t="s">
        <v>1925</v>
      </c>
      <c r="R201" s="9" t="s">
        <v>1984</v>
      </c>
      <c r="S201" s="9" t="s">
        <v>1985</v>
      </c>
      <c r="T201" s="9" t="s">
        <v>1986</v>
      </c>
      <c r="U201" s="9" t="s">
        <v>1928</v>
      </c>
      <c r="V201" s="9">
        <v>771</v>
      </c>
      <c r="W201" s="9">
        <v>7</v>
      </c>
      <c r="X201" s="9">
        <v>2029</v>
      </c>
      <c r="Y201" s="9">
        <v>4040</v>
      </c>
      <c r="Z201" s="9">
        <v>7</v>
      </c>
      <c r="AA201" s="9">
        <v>4040</v>
      </c>
      <c r="AB201" s="9" t="s">
        <v>66</v>
      </c>
      <c r="AC201" s="9">
        <v>2029</v>
      </c>
      <c r="AD201" s="9" t="s">
        <v>1952</v>
      </c>
      <c r="AE201" s="9"/>
      <c r="AF201" s="9" t="s">
        <v>1929</v>
      </c>
      <c r="AG201" s="9"/>
      <c r="AH201" s="9" t="s">
        <v>67</v>
      </c>
      <c r="AI201" s="9">
        <v>0</v>
      </c>
      <c r="AJ201" s="9"/>
      <c r="AK201" s="9">
        <v>0</v>
      </c>
      <c r="AL201" s="9" t="s">
        <v>1930</v>
      </c>
      <c r="AM201" s="9">
        <v>1</v>
      </c>
      <c r="AN201" s="9">
        <v>46122</v>
      </c>
      <c r="AO201" s="9" t="s">
        <v>1931</v>
      </c>
      <c r="AP201" s="9" t="s">
        <v>69</v>
      </c>
      <c r="AQ201" s="9" t="s">
        <v>1932</v>
      </c>
      <c r="AR201" s="9">
        <v>46122</v>
      </c>
      <c r="AS201" s="9" t="s">
        <v>74</v>
      </c>
      <c r="AT201" s="9" t="s">
        <v>1935</v>
      </c>
      <c r="AU201" s="9" t="s">
        <v>1952</v>
      </c>
      <c r="AV201" s="9">
        <v>0</v>
      </c>
      <c r="AW201" s="9" t="s">
        <v>92</v>
      </c>
      <c r="AX201" s="9" t="s">
        <v>219</v>
      </c>
      <c r="AY201" s="9">
        <v>0</v>
      </c>
      <c r="AZ201" s="9">
        <v>46122.419398148151</v>
      </c>
      <c r="BA201" s="9">
        <v>46122.419432870367</v>
      </c>
      <c r="BB201" s="9">
        <v>1</v>
      </c>
      <c r="BC201" s="9">
        <v>28</v>
      </c>
      <c r="BD201" s="9" t="s">
        <v>2087</v>
      </c>
      <c r="BE201" s="9" t="s">
        <v>220</v>
      </c>
      <c r="BF201" s="9" t="s">
        <v>71</v>
      </c>
      <c r="BG201" s="9"/>
      <c r="BH201" s="9">
        <v>0</v>
      </c>
      <c r="BI201" s="9"/>
      <c r="BJ201" s="9">
        <v>0</v>
      </c>
      <c r="BK201" s="9" t="s">
        <v>92</v>
      </c>
      <c r="BL201" s="9" t="s">
        <v>92</v>
      </c>
      <c r="BM201" s="9" t="s">
        <v>72</v>
      </c>
      <c r="BN201" s="9"/>
      <c r="BO201" s="9">
        <v>1</v>
      </c>
      <c r="BP201" s="9" t="s">
        <v>685</v>
      </c>
      <c r="BQ201" s="9">
        <v>0</v>
      </c>
      <c r="BR201" s="9">
        <v>45716.429675925923</v>
      </c>
      <c r="BS201" s="9" t="s">
        <v>109</v>
      </c>
      <c r="BT201" s="9" t="s">
        <v>65</v>
      </c>
      <c r="BU201" s="9"/>
      <c r="BV201" s="9"/>
      <c r="BW201" s="9">
        <v>0</v>
      </c>
      <c r="BX201" s="9">
        <v>46121.418541666666</v>
      </c>
      <c r="BY201" s="9">
        <v>46122.419398148151</v>
      </c>
      <c r="BZ201" s="9"/>
      <c r="CA201" s="9"/>
      <c r="CB201" s="9"/>
      <c r="CC201" s="9"/>
      <c r="CD201" s="9"/>
      <c r="CE201" s="9"/>
      <c r="CF201" s="9"/>
      <c r="CG201" s="9"/>
      <c r="CH201" s="9">
        <v>1</v>
      </c>
      <c r="CI201" s="9">
        <v>0</v>
      </c>
      <c r="CJ201" s="9"/>
      <c r="CK201" s="9"/>
      <c r="CL201" s="9" t="s">
        <v>1987</v>
      </c>
      <c r="CM201" s="9"/>
      <c r="CN201" s="9">
        <v>0</v>
      </c>
      <c r="CO201" s="9" t="s">
        <v>1925</v>
      </c>
      <c r="CP201" s="9"/>
      <c r="CQ201" s="9"/>
    </row>
    <row r="202" spans="1:95" x14ac:dyDescent="0.35">
      <c r="A202" s="9" t="b">
        <f>ISNUMBER(MATCH(Claude[[#This Row],[Id]],ChargentOrders[Id],0))</f>
        <v>1</v>
      </c>
      <c r="B202" t="b">
        <f>INDEX(ChargentOrders[VALIDO],MATCH(Claude[[#This Row],[Id]],ChargentOrders[Id],0))</f>
        <v>1</v>
      </c>
      <c r="C202">
        <f>INDEX(Contract[CB_Subscription__c],MATCH(Claude[[#This Row],[Contract__c]],Contract[Id],0))</f>
        <v>0</v>
      </c>
      <c r="D202" s="9" t="s">
        <v>686</v>
      </c>
      <c r="E202" s="9" t="s">
        <v>79</v>
      </c>
      <c r="F202" s="9">
        <v>0</v>
      </c>
      <c r="G202" s="9" t="s">
        <v>687</v>
      </c>
      <c r="H202" s="9">
        <v>46021.419722222221</v>
      </c>
      <c r="I202" s="9" t="s">
        <v>65</v>
      </c>
      <c r="J202" s="9">
        <v>46038.921689814815</v>
      </c>
      <c r="K202" s="9" t="s">
        <v>101</v>
      </c>
      <c r="L202" s="9">
        <v>46038.921689814815</v>
      </c>
      <c r="M202" s="9"/>
      <c r="N202" s="9" t="s">
        <v>1659</v>
      </c>
      <c r="O202" s="9" t="s">
        <v>2074</v>
      </c>
      <c r="P202" s="9" t="s">
        <v>2066</v>
      </c>
      <c r="Q202" s="9" t="s">
        <v>1925</v>
      </c>
      <c r="R202" s="9" t="s">
        <v>1657</v>
      </c>
      <c r="S202" s="9" t="s">
        <v>2075</v>
      </c>
      <c r="T202" s="9" t="s">
        <v>2076</v>
      </c>
      <c r="U202" s="9" t="s">
        <v>1928</v>
      </c>
      <c r="V202" s="9">
        <v>956</v>
      </c>
      <c r="W202" s="9">
        <v>9</v>
      </c>
      <c r="X202" s="9">
        <v>2030</v>
      </c>
      <c r="Y202" s="9">
        <v>4428</v>
      </c>
      <c r="Z202" s="9">
        <v>9</v>
      </c>
      <c r="AA202" s="9">
        <v>4549519099984420</v>
      </c>
      <c r="AB202" s="9" t="s">
        <v>73</v>
      </c>
      <c r="AC202" s="9">
        <v>2030</v>
      </c>
      <c r="AD202" s="9" t="s">
        <v>95</v>
      </c>
      <c r="AE202" s="9"/>
      <c r="AF202" s="9" t="s">
        <v>1929</v>
      </c>
      <c r="AG202" s="9"/>
      <c r="AH202" s="9" t="s">
        <v>67</v>
      </c>
      <c r="AI202" s="9">
        <v>0</v>
      </c>
      <c r="AJ202" s="9"/>
      <c r="AK202" s="9">
        <v>0</v>
      </c>
      <c r="AL202" s="9" t="s">
        <v>1930</v>
      </c>
      <c r="AM202" s="9">
        <v>1</v>
      </c>
      <c r="AN202" s="9">
        <v>46041</v>
      </c>
      <c r="AO202" s="9" t="s">
        <v>1931</v>
      </c>
      <c r="AP202" s="9" t="s">
        <v>69</v>
      </c>
      <c r="AQ202" s="9" t="s">
        <v>1932</v>
      </c>
      <c r="AR202" s="9">
        <v>46041</v>
      </c>
      <c r="AS202" s="9" t="s">
        <v>74</v>
      </c>
      <c r="AT202" s="9" t="s">
        <v>1935</v>
      </c>
      <c r="AU202" s="9" t="s">
        <v>2101</v>
      </c>
      <c r="AV202" s="9">
        <v>0</v>
      </c>
      <c r="AW202" s="9" t="s">
        <v>93</v>
      </c>
      <c r="AX202" s="9" t="s">
        <v>479</v>
      </c>
      <c r="AY202" s="9">
        <v>0</v>
      </c>
      <c r="AZ202" s="9">
        <v>46038.921666666669</v>
      </c>
      <c r="BA202" s="9">
        <v>46038.921666666669</v>
      </c>
      <c r="BB202" s="9">
        <v>1</v>
      </c>
      <c r="BC202" s="9">
        <v>9</v>
      </c>
      <c r="BD202" s="9" t="s">
        <v>95</v>
      </c>
      <c r="BE202" s="9" t="s">
        <v>480</v>
      </c>
      <c r="BF202" s="9" t="s">
        <v>71</v>
      </c>
      <c r="BG202" s="9"/>
      <c r="BH202" s="9">
        <v>0</v>
      </c>
      <c r="BI202" s="9"/>
      <c r="BJ202" s="9">
        <v>0</v>
      </c>
      <c r="BK202" s="9" t="s">
        <v>92</v>
      </c>
      <c r="BL202" s="9" t="s">
        <v>92</v>
      </c>
      <c r="BM202" s="9" t="s">
        <v>72</v>
      </c>
      <c r="BN202" s="9"/>
      <c r="BO202" s="9">
        <v>1</v>
      </c>
      <c r="BP202" s="9" t="s">
        <v>688</v>
      </c>
      <c r="BQ202" s="9">
        <v>0</v>
      </c>
      <c r="BR202" s="9">
        <v>45944.639537037037</v>
      </c>
      <c r="BS202" s="9" t="s">
        <v>109</v>
      </c>
      <c r="BT202" s="9" t="s">
        <v>65</v>
      </c>
      <c r="BU202" s="9"/>
      <c r="BV202" s="9"/>
      <c r="BW202" s="9">
        <v>0</v>
      </c>
      <c r="BX202" s="9">
        <v>46038.427951388891</v>
      </c>
      <c r="BY202" s="9">
        <v>46038.921666666669</v>
      </c>
      <c r="BZ202" s="9"/>
      <c r="CA202" s="9"/>
      <c r="CB202" s="9"/>
      <c r="CC202" s="9"/>
      <c r="CD202" s="9"/>
      <c r="CE202" s="9"/>
      <c r="CF202" s="9"/>
      <c r="CG202" s="9"/>
      <c r="CH202" s="9">
        <v>1</v>
      </c>
      <c r="CI202" s="9">
        <v>0</v>
      </c>
      <c r="CJ202" s="9"/>
      <c r="CK202" s="9"/>
      <c r="CL202" s="9" t="s">
        <v>2077</v>
      </c>
      <c r="CM202" s="9"/>
      <c r="CN202" s="9">
        <v>0</v>
      </c>
      <c r="CO202" s="9" t="s">
        <v>1925</v>
      </c>
      <c r="CP202" s="9"/>
      <c r="CQ202" s="9"/>
    </row>
    <row r="203" spans="1:95" x14ac:dyDescent="0.35">
      <c r="A203" s="9" t="b">
        <f>ISNUMBER(MATCH(Claude[[#This Row],[Id]],ChargentOrders[Id],0))</f>
        <v>1</v>
      </c>
      <c r="B203" t="b">
        <f>INDEX(ChargentOrders[VALIDO],MATCH(Claude[[#This Row],[Id]],ChargentOrders[Id],0))</f>
        <v>1</v>
      </c>
      <c r="C203">
        <f>INDEX(Contract[CB_Subscription__c],MATCH(Claude[[#This Row],[Contract__c]],Contract[Id],0))</f>
        <v>0</v>
      </c>
      <c r="D203" s="9" t="s">
        <v>689</v>
      </c>
      <c r="E203" s="9" t="s">
        <v>81</v>
      </c>
      <c r="F203" s="9">
        <v>0</v>
      </c>
      <c r="G203" s="9" t="s">
        <v>690</v>
      </c>
      <c r="H203" s="9">
        <v>46021.420312499999</v>
      </c>
      <c r="I203" s="9" t="s">
        <v>65</v>
      </c>
      <c r="J203" s="9">
        <v>46031.427499999998</v>
      </c>
      <c r="K203" s="9" t="s">
        <v>65</v>
      </c>
      <c r="L203" s="9">
        <v>46031.427499999998</v>
      </c>
      <c r="M203" s="9"/>
      <c r="N203" s="9" t="s">
        <v>1669</v>
      </c>
      <c r="O203" s="9" t="s">
        <v>2090</v>
      </c>
      <c r="P203" s="9" t="s">
        <v>2027</v>
      </c>
      <c r="Q203" s="9" t="s">
        <v>1925</v>
      </c>
      <c r="R203" s="9" t="s">
        <v>1667</v>
      </c>
      <c r="S203" s="9" t="s">
        <v>2091</v>
      </c>
      <c r="T203" s="9" t="s">
        <v>2092</v>
      </c>
      <c r="U203" s="9" t="s">
        <v>1928</v>
      </c>
      <c r="V203" s="9">
        <v>603</v>
      </c>
      <c r="W203" s="9">
        <v>10</v>
      </c>
      <c r="X203" s="9">
        <v>2029</v>
      </c>
      <c r="Y203" s="9">
        <v>1120</v>
      </c>
      <c r="Z203" s="9">
        <v>10</v>
      </c>
      <c r="AA203" s="9">
        <v>4549518508501120</v>
      </c>
      <c r="AB203" s="9" t="s">
        <v>73</v>
      </c>
      <c r="AC203" s="9">
        <v>2029</v>
      </c>
      <c r="AD203" s="9" t="s">
        <v>2101</v>
      </c>
      <c r="AE203" s="9"/>
      <c r="AF203" s="9" t="s">
        <v>1929</v>
      </c>
      <c r="AG203" s="9"/>
      <c r="AH203" s="9" t="s">
        <v>67</v>
      </c>
      <c r="AI203" s="9">
        <v>0</v>
      </c>
      <c r="AJ203" s="9"/>
      <c r="AK203" s="9">
        <v>0</v>
      </c>
      <c r="AL203" s="9" t="s">
        <v>1930</v>
      </c>
      <c r="AM203" s="9">
        <v>1</v>
      </c>
      <c r="AN203" s="9">
        <v>46031</v>
      </c>
      <c r="AO203" s="9" t="s">
        <v>1931</v>
      </c>
      <c r="AP203" s="9" t="s">
        <v>69</v>
      </c>
      <c r="AQ203" s="9" t="s">
        <v>1932</v>
      </c>
      <c r="AR203" s="9">
        <v>46031</v>
      </c>
      <c r="AS203" s="9" t="s">
        <v>74</v>
      </c>
      <c r="AT203" s="9" t="s">
        <v>1935</v>
      </c>
      <c r="AU203" s="9" t="s">
        <v>2101</v>
      </c>
      <c r="AV203" s="9">
        <v>0</v>
      </c>
      <c r="AW203" s="9" t="s">
        <v>92</v>
      </c>
      <c r="AX203" s="9" t="s">
        <v>515</v>
      </c>
      <c r="AY203" s="9">
        <v>0</v>
      </c>
      <c r="AZ203" s="9">
        <v>46031.427453703705</v>
      </c>
      <c r="BA203" s="9">
        <v>46031.427453703705</v>
      </c>
      <c r="BB203" s="9">
        <v>1</v>
      </c>
      <c r="BC203" s="9">
        <v>4</v>
      </c>
      <c r="BD203" s="9" t="s">
        <v>95</v>
      </c>
      <c r="BE203" s="9" t="s">
        <v>516</v>
      </c>
      <c r="BF203" s="9" t="s">
        <v>71</v>
      </c>
      <c r="BG203" s="9"/>
      <c r="BH203" s="9">
        <v>0</v>
      </c>
      <c r="BI203" s="9"/>
      <c r="BJ203" s="9">
        <v>0</v>
      </c>
      <c r="BK203" s="9" t="s">
        <v>92</v>
      </c>
      <c r="BL203" s="9" t="s">
        <v>92</v>
      </c>
      <c r="BM203" s="9" t="s">
        <v>72</v>
      </c>
      <c r="BN203" s="9"/>
      <c r="BO203" s="9">
        <v>1</v>
      </c>
      <c r="BP203" s="9" t="s">
        <v>691</v>
      </c>
      <c r="BQ203" s="9">
        <v>0</v>
      </c>
      <c r="BR203" s="9">
        <v>45982.878946759258</v>
      </c>
      <c r="BS203" s="9" t="s">
        <v>109</v>
      </c>
      <c r="BT203" s="9" t="s">
        <v>65</v>
      </c>
      <c r="BU203" s="9"/>
      <c r="BV203" s="9"/>
      <c r="BW203" s="9">
        <v>0</v>
      </c>
      <c r="BX203" s="9">
        <v>46030.426655092589</v>
      </c>
      <c r="BY203" s="9">
        <v>46031.427453703705</v>
      </c>
      <c r="BZ203" s="9"/>
      <c r="CA203" s="9"/>
      <c r="CB203" s="9"/>
      <c r="CC203" s="9"/>
      <c r="CD203" s="9"/>
      <c r="CE203" s="9"/>
      <c r="CF203" s="9"/>
      <c r="CG203" s="9"/>
      <c r="CH203" s="9">
        <v>1</v>
      </c>
      <c r="CI203" s="9">
        <v>0</v>
      </c>
      <c r="CJ203" s="9"/>
      <c r="CK203" s="9"/>
      <c r="CL203" s="9" t="s">
        <v>2093</v>
      </c>
      <c r="CM203" s="9"/>
      <c r="CN203" s="9">
        <v>0</v>
      </c>
      <c r="CO203" s="9" t="s">
        <v>1925</v>
      </c>
      <c r="CP203" s="9"/>
      <c r="CQ203" s="9"/>
    </row>
    <row r="204" spans="1:95" x14ac:dyDescent="0.35">
      <c r="A204" s="9" t="b">
        <f>ISNUMBER(MATCH(Claude[[#This Row],[Id]],ChargentOrders[Id],0))</f>
        <v>1</v>
      </c>
      <c r="B204" t="b">
        <f>INDEX(ChargentOrders[VALIDO],MATCH(Claude[[#This Row],[Id]],ChargentOrders[Id],0))</f>
        <v>1</v>
      </c>
      <c r="C204">
        <f>INDEX(Contract[CB_Subscription__c],MATCH(Claude[[#This Row],[Contract__c]],Contract[Id],0))</f>
        <v>0</v>
      </c>
      <c r="D204" s="9" t="s">
        <v>692</v>
      </c>
      <c r="E204" s="9" t="s">
        <v>155</v>
      </c>
      <c r="F204" s="9">
        <v>0</v>
      </c>
      <c r="G204" s="9" t="s">
        <v>693</v>
      </c>
      <c r="H204" s="9">
        <v>46021.722222222219</v>
      </c>
      <c r="I204" s="9" t="s">
        <v>155</v>
      </c>
      <c r="J204" s="9">
        <v>46021.726747685185</v>
      </c>
      <c r="K204" s="9" t="s">
        <v>155</v>
      </c>
      <c r="L204" s="9">
        <v>46021.726747685185</v>
      </c>
      <c r="M204" s="9"/>
      <c r="N204" s="9"/>
      <c r="O204" s="9" t="s">
        <v>2164</v>
      </c>
      <c r="P204" s="9" t="s">
        <v>2155</v>
      </c>
      <c r="Q204" s="9" t="s">
        <v>1925</v>
      </c>
      <c r="R204" s="9" t="s">
        <v>1731</v>
      </c>
      <c r="S204" s="9" t="s">
        <v>2165</v>
      </c>
      <c r="T204" s="9" t="s">
        <v>2166</v>
      </c>
      <c r="U204" s="9" t="s">
        <v>1928</v>
      </c>
      <c r="V204" s="9">
        <v>682</v>
      </c>
      <c r="W204" s="9">
        <v>8</v>
      </c>
      <c r="X204" s="9">
        <v>2030</v>
      </c>
      <c r="Y204" s="9">
        <v>8550</v>
      </c>
      <c r="Z204" s="9">
        <v>8</v>
      </c>
      <c r="AA204" s="9">
        <v>4549519092968550</v>
      </c>
      <c r="AB204" s="9" t="s">
        <v>73</v>
      </c>
      <c r="AC204" s="9">
        <v>2030</v>
      </c>
      <c r="AD204" s="9" t="s">
        <v>93</v>
      </c>
      <c r="AE204" s="9"/>
      <c r="AF204" s="9" t="s">
        <v>1929</v>
      </c>
      <c r="AG204" s="9"/>
      <c r="AH204" s="9" t="s">
        <v>67</v>
      </c>
      <c r="AI204" s="9">
        <v>0</v>
      </c>
      <c r="AJ204" s="9"/>
      <c r="AK204" s="9">
        <v>0</v>
      </c>
      <c r="AL204" s="9" t="s">
        <v>1930</v>
      </c>
      <c r="AM204" s="9"/>
      <c r="AN204" s="9"/>
      <c r="AO204" s="9" t="s">
        <v>1931</v>
      </c>
      <c r="AP204" s="9" t="s">
        <v>69</v>
      </c>
      <c r="AQ204" s="9" t="s">
        <v>1932</v>
      </c>
      <c r="AR204" s="9"/>
      <c r="AS204" s="9"/>
      <c r="AT204" s="9"/>
      <c r="AU204" s="9" t="s">
        <v>92</v>
      </c>
      <c r="AV204" s="9">
        <v>0</v>
      </c>
      <c r="AW204" s="9"/>
      <c r="AX204" s="9" t="s">
        <v>694</v>
      </c>
      <c r="AY204" s="9">
        <v>0</v>
      </c>
      <c r="AZ204" s="9"/>
      <c r="BA204" s="9">
        <v>46021.722245370373</v>
      </c>
      <c r="BB204" s="9">
        <v>0</v>
      </c>
      <c r="BC204" s="9">
        <v>1</v>
      </c>
      <c r="BD204" s="9">
        <v>0</v>
      </c>
      <c r="BE204" s="9" t="s">
        <v>695</v>
      </c>
      <c r="BF204" s="9"/>
      <c r="BG204" s="9"/>
      <c r="BH204" s="9">
        <v>0</v>
      </c>
      <c r="BI204" s="9"/>
      <c r="BJ204" s="9">
        <v>1</v>
      </c>
      <c r="BK204" s="9"/>
      <c r="BL204" s="9"/>
      <c r="BM204" s="9" t="s">
        <v>75</v>
      </c>
      <c r="BN204" s="9"/>
      <c r="BO204" s="9">
        <v>0</v>
      </c>
      <c r="BP204" s="9"/>
      <c r="BQ204" s="9">
        <v>1</v>
      </c>
      <c r="BR204" s="9"/>
      <c r="BS204" s="9"/>
      <c r="BT204" s="9"/>
      <c r="BU204" s="9"/>
      <c r="BV204" s="9"/>
      <c r="BW204" s="9">
        <v>0</v>
      </c>
      <c r="BX204" s="9"/>
      <c r="BY204" s="9">
        <v>46021.722245370373</v>
      </c>
      <c r="BZ204" s="9"/>
      <c r="CA204" s="9"/>
      <c r="CB204" s="9"/>
      <c r="CC204" s="9"/>
      <c r="CD204" s="9"/>
      <c r="CE204" s="9"/>
      <c r="CF204" s="9"/>
      <c r="CG204" s="9"/>
      <c r="CH204" s="9">
        <v>1</v>
      </c>
      <c r="CI204" s="9">
        <v>0</v>
      </c>
      <c r="CJ204" s="9"/>
      <c r="CK204" s="9"/>
      <c r="CL204" s="9" t="s">
        <v>2167</v>
      </c>
      <c r="CM204" s="9"/>
      <c r="CN204" s="9">
        <v>0</v>
      </c>
      <c r="CO204" s="9" t="s">
        <v>1925</v>
      </c>
      <c r="CP204" s="9"/>
      <c r="CQ204" s="9"/>
    </row>
    <row r="205" spans="1:95" x14ac:dyDescent="0.35">
      <c r="A205" s="9" t="b">
        <f>ISNUMBER(MATCH(Claude[[#This Row],[Id]],ChargentOrders[Id],0))</f>
        <v>1</v>
      </c>
      <c r="B205" t="b">
        <f>INDEX(ChargentOrders[VALIDO],MATCH(Claude[[#This Row],[Id]],ChargentOrders[Id],0))</f>
        <v>1</v>
      </c>
      <c r="C205">
        <f>INDEX(Contract[CB_Subscription__c],MATCH(Claude[[#This Row],[Contract__c]],Contract[Id],0))</f>
        <v>0</v>
      </c>
      <c r="D205" s="9" t="s">
        <v>696</v>
      </c>
      <c r="E205" s="9" t="s">
        <v>155</v>
      </c>
      <c r="F205" s="9">
        <v>0</v>
      </c>
      <c r="G205" s="9" t="s">
        <v>697</v>
      </c>
      <c r="H205" s="9">
        <v>46021.723275462966</v>
      </c>
      <c r="I205" s="9" t="s">
        <v>155</v>
      </c>
      <c r="J205" s="9">
        <v>46021.726747685185</v>
      </c>
      <c r="K205" s="9" t="s">
        <v>155</v>
      </c>
      <c r="L205" s="9">
        <v>46021.726747685185</v>
      </c>
      <c r="M205" s="9"/>
      <c r="N205" s="9" t="s">
        <v>1733</v>
      </c>
      <c r="O205" s="9" t="s">
        <v>2164</v>
      </c>
      <c r="P205" s="9" t="s">
        <v>2155</v>
      </c>
      <c r="Q205" s="9" t="s">
        <v>1925</v>
      </c>
      <c r="R205" s="9" t="s">
        <v>1731</v>
      </c>
      <c r="S205" s="9" t="s">
        <v>2165</v>
      </c>
      <c r="T205" s="9" t="s">
        <v>2166</v>
      </c>
      <c r="U205" s="9" t="s">
        <v>1928</v>
      </c>
      <c r="V205" s="9">
        <v>682</v>
      </c>
      <c r="W205" s="9">
        <v>8</v>
      </c>
      <c r="X205" s="9">
        <v>2030</v>
      </c>
      <c r="Y205" s="9">
        <v>8550</v>
      </c>
      <c r="Z205" s="9">
        <v>8</v>
      </c>
      <c r="AA205" s="9">
        <v>4549519092968550</v>
      </c>
      <c r="AB205" s="9" t="s">
        <v>73</v>
      </c>
      <c r="AC205" s="9">
        <v>2030</v>
      </c>
      <c r="AD205" s="9" t="s">
        <v>148</v>
      </c>
      <c r="AE205" s="9"/>
      <c r="AF205" s="9" t="s">
        <v>1929</v>
      </c>
      <c r="AG205" s="9"/>
      <c r="AH205" s="9" t="s">
        <v>67</v>
      </c>
      <c r="AI205" s="9">
        <v>0</v>
      </c>
      <c r="AJ205" s="9"/>
      <c r="AK205" s="9">
        <v>0</v>
      </c>
      <c r="AL205" s="9" t="s">
        <v>1930</v>
      </c>
      <c r="AM205" s="9">
        <v>1</v>
      </c>
      <c r="AN205" s="9"/>
      <c r="AO205" s="9" t="s">
        <v>1931</v>
      </c>
      <c r="AP205" s="9" t="s">
        <v>69</v>
      </c>
      <c r="AQ205" s="9" t="s">
        <v>1932</v>
      </c>
      <c r="AR205" s="9">
        <v>46021</v>
      </c>
      <c r="AS205" s="9" t="s">
        <v>74</v>
      </c>
      <c r="AT205" s="9" t="s">
        <v>1935</v>
      </c>
      <c r="AU205" s="9" t="s">
        <v>109</v>
      </c>
      <c r="AV205" s="9">
        <v>0</v>
      </c>
      <c r="AW205" s="9" t="s">
        <v>93</v>
      </c>
      <c r="AX205" s="9" t="s">
        <v>694</v>
      </c>
      <c r="AY205" s="9">
        <v>0</v>
      </c>
      <c r="AZ205" s="9">
        <v>46021.723668981482</v>
      </c>
      <c r="BA205" s="9">
        <v>46021.723668981482</v>
      </c>
      <c r="BB205" s="9">
        <v>1</v>
      </c>
      <c r="BC205" s="9">
        <v>1</v>
      </c>
      <c r="BD205" s="9" t="s">
        <v>148</v>
      </c>
      <c r="BE205" s="9" t="s">
        <v>695</v>
      </c>
      <c r="BF205" s="9" t="s">
        <v>77</v>
      </c>
      <c r="BG205" s="9"/>
      <c r="BH205" s="9">
        <v>0</v>
      </c>
      <c r="BI205" s="9"/>
      <c r="BJ205" s="9">
        <v>1</v>
      </c>
      <c r="BK205" s="9" t="s">
        <v>92</v>
      </c>
      <c r="BL205" s="9" t="s">
        <v>92</v>
      </c>
      <c r="BM205" s="9" t="s">
        <v>75</v>
      </c>
      <c r="BN205" s="9"/>
      <c r="BO205" s="9">
        <v>0</v>
      </c>
      <c r="BP205" s="9"/>
      <c r="BQ205" s="9">
        <v>0</v>
      </c>
      <c r="BR205" s="9"/>
      <c r="BS205" s="9"/>
      <c r="BT205" s="9"/>
      <c r="BU205" s="9"/>
      <c r="BV205" s="9"/>
      <c r="BW205" s="9">
        <v>0</v>
      </c>
      <c r="BX205" s="9"/>
      <c r="BY205" s="9">
        <v>46021.723668981482</v>
      </c>
      <c r="BZ205" s="9"/>
      <c r="CA205" s="9"/>
      <c r="CB205" s="9"/>
      <c r="CC205" s="9"/>
      <c r="CD205" s="9"/>
      <c r="CE205" s="9"/>
      <c r="CF205" s="9"/>
      <c r="CG205" s="9"/>
      <c r="CH205" s="9">
        <v>1</v>
      </c>
      <c r="CI205" s="9">
        <v>0</v>
      </c>
      <c r="CJ205" s="9"/>
      <c r="CK205" s="9"/>
      <c r="CL205" s="9" t="s">
        <v>2167</v>
      </c>
      <c r="CM205" s="9"/>
      <c r="CN205" s="9">
        <v>0</v>
      </c>
      <c r="CO205" s="9" t="s">
        <v>1925</v>
      </c>
      <c r="CP205" s="9"/>
      <c r="CQ205" s="9"/>
    </row>
    <row r="206" spans="1:95" x14ac:dyDescent="0.35">
      <c r="A206" s="9" t="b">
        <f>ISNUMBER(MATCH(Claude[[#This Row],[Id]],ChargentOrders[Id],0))</f>
        <v>1</v>
      </c>
      <c r="B206" t="b">
        <f>INDEX(ChargentOrders[VALIDO],MATCH(Claude[[#This Row],[Id]],ChargentOrders[Id],0))</f>
        <v>1</v>
      </c>
      <c r="C206">
        <f>INDEX(Contract[CB_Subscription__c],MATCH(Claude[[#This Row],[Contract__c]],Contract[Id],0))</f>
        <v>0</v>
      </c>
      <c r="D206" s="9" t="s">
        <v>698</v>
      </c>
      <c r="E206" s="9" t="s">
        <v>155</v>
      </c>
      <c r="F206" s="9">
        <v>0</v>
      </c>
      <c r="G206" s="9" t="s">
        <v>699</v>
      </c>
      <c r="H206" s="9">
        <v>46021.723692129628</v>
      </c>
      <c r="I206" s="9" t="s">
        <v>155</v>
      </c>
      <c r="J206" s="9">
        <v>46163.935578703706</v>
      </c>
      <c r="K206" s="9" t="s">
        <v>78</v>
      </c>
      <c r="L206" s="9">
        <v>46163.935578703706</v>
      </c>
      <c r="M206" s="9"/>
      <c r="N206" s="9" t="s">
        <v>1733</v>
      </c>
      <c r="O206" s="9" t="s">
        <v>2164</v>
      </c>
      <c r="P206" s="9" t="s">
        <v>2155</v>
      </c>
      <c r="Q206" s="9" t="s">
        <v>1925</v>
      </c>
      <c r="R206" s="9" t="s">
        <v>1731</v>
      </c>
      <c r="S206" s="9" t="s">
        <v>2165</v>
      </c>
      <c r="T206" s="9" t="s">
        <v>2166</v>
      </c>
      <c r="U206" s="9" t="s">
        <v>1928</v>
      </c>
      <c r="V206" s="9">
        <v>682</v>
      </c>
      <c r="W206" s="9">
        <v>8</v>
      </c>
      <c r="X206" s="9">
        <v>2030</v>
      </c>
      <c r="Y206" s="9">
        <v>8550</v>
      </c>
      <c r="Z206" s="9">
        <v>8</v>
      </c>
      <c r="AA206" s="9">
        <v>8550</v>
      </c>
      <c r="AB206" s="9" t="s">
        <v>73</v>
      </c>
      <c r="AC206" s="9">
        <v>2030</v>
      </c>
      <c r="AD206" s="9" t="s">
        <v>374</v>
      </c>
      <c r="AE206" s="9">
        <v>9</v>
      </c>
      <c r="AF206" s="9" t="s">
        <v>1929</v>
      </c>
      <c r="AG206" s="9"/>
      <c r="AH206" s="9" t="s">
        <v>67</v>
      </c>
      <c r="AI206" s="9">
        <v>0</v>
      </c>
      <c r="AJ206" s="9"/>
      <c r="AK206" s="9">
        <v>0</v>
      </c>
      <c r="AL206" s="9" t="s">
        <v>1930</v>
      </c>
      <c r="AM206" s="9"/>
      <c r="AN206" s="9"/>
      <c r="AO206" s="9" t="s">
        <v>1943</v>
      </c>
      <c r="AP206" s="9" t="s">
        <v>69</v>
      </c>
      <c r="AQ206" s="9" t="s">
        <v>1932</v>
      </c>
      <c r="AR206" s="9">
        <v>46182</v>
      </c>
      <c r="AS206" s="9" t="s">
        <v>613</v>
      </c>
      <c r="AT206" s="9" t="s">
        <v>1944</v>
      </c>
      <c r="AU206" s="9" t="s">
        <v>374</v>
      </c>
      <c r="AV206" s="9">
        <v>0</v>
      </c>
      <c r="AW206" s="9" t="s">
        <v>92</v>
      </c>
      <c r="AX206" s="9" t="s">
        <v>694</v>
      </c>
      <c r="AY206" s="9">
        <v>0</v>
      </c>
      <c r="AZ206" s="9">
        <v>46150.41914351852</v>
      </c>
      <c r="BA206" s="9">
        <v>46150.419189814813</v>
      </c>
      <c r="BB206" s="9">
        <v>5</v>
      </c>
      <c r="BC206" s="9">
        <v>5</v>
      </c>
      <c r="BD206" s="9" t="s">
        <v>2168</v>
      </c>
      <c r="BE206" s="9" t="s">
        <v>695</v>
      </c>
      <c r="BF206" s="9" t="s">
        <v>76</v>
      </c>
      <c r="BG206" s="9"/>
      <c r="BH206" s="9">
        <v>0</v>
      </c>
      <c r="BI206" s="9"/>
      <c r="BJ206" s="9">
        <v>6</v>
      </c>
      <c r="BK206" s="9" t="s">
        <v>92</v>
      </c>
      <c r="BL206" s="9" t="s">
        <v>92</v>
      </c>
      <c r="BM206" s="9" t="s">
        <v>75</v>
      </c>
      <c r="BN206" s="9"/>
      <c r="BO206" s="9">
        <v>0</v>
      </c>
      <c r="BP206" s="9"/>
      <c r="BQ206" s="9">
        <v>0</v>
      </c>
      <c r="BR206" s="9"/>
      <c r="BS206" s="9"/>
      <c r="BT206" s="9"/>
      <c r="BU206" s="9"/>
      <c r="BV206" s="9"/>
      <c r="BW206" s="9">
        <v>0</v>
      </c>
      <c r="BX206" s="9"/>
      <c r="BY206" s="9">
        <v>46150.41914351852</v>
      </c>
      <c r="BZ206" s="9"/>
      <c r="CA206" s="9"/>
      <c r="CB206" s="9"/>
      <c r="CC206" s="9"/>
      <c r="CD206" s="9"/>
      <c r="CE206" s="9"/>
      <c r="CF206" s="9"/>
      <c r="CG206" s="9"/>
      <c r="CH206" s="9">
        <v>1</v>
      </c>
      <c r="CI206" s="9">
        <v>0</v>
      </c>
      <c r="CJ206" s="9"/>
      <c r="CK206" s="9"/>
      <c r="CL206" s="9" t="s">
        <v>2167</v>
      </c>
      <c r="CM206" s="9"/>
      <c r="CN206" s="9">
        <v>0</v>
      </c>
      <c r="CO206" s="9" t="s">
        <v>1925</v>
      </c>
      <c r="CP206" s="9"/>
      <c r="CQ206" s="9">
        <v>0</v>
      </c>
    </row>
    <row r="207" spans="1:95" x14ac:dyDescent="0.35">
      <c r="A207" s="9" t="b">
        <f>ISNUMBER(MATCH(Claude[[#This Row],[Id]],ChargentOrders[Id],0))</f>
        <v>1</v>
      </c>
      <c r="B207" t="b">
        <f>INDEX(ChargentOrders[VALIDO],MATCH(Claude[[#This Row],[Id]],ChargentOrders[Id],0))</f>
        <v>1</v>
      </c>
      <c r="C207">
        <f>INDEX(Contract[CB_Subscription__c],MATCH(Claude[[#This Row],[Contract__c]],Contract[Id],0))</f>
        <v>0</v>
      </c>
      <c r="D207" s="9" t="s">
        <v>700</v>
      </c>
      <c r="E207" s="9" t="s">
        <v>155</v>
      </c>
      <c r="F207" s="9">
        <v>0</v>
      </c>
      <c r="G207" s="9" t="s">
        <v>701</v>
      </c>
      <c r="H207" s="9">
        <v>46024.840138888889</v>
      </c>
      <c r="I207" s="9" t="s">
        <v>155</v>
      </c>
      <c r="J207" s="9">
        <v>46024.840196759258</v>
      </c>
      <c r="K207" s="9" t="s">
        <v>155</v>
      </c>
      <c r="L207" s="9">
        <v>46024.840196759258</v>
      </c>
      <c r="M207" s="9"/>
      <c r="N207" s="9"/>
      <c r="O207" s="9" t="s">
        <v>2169</v>
      </c>
      <c r="P207" s="9" t="s">
        <v>1990</v>
      </c>
      <c r="Q207" s="9" t="s">
        <v>1925</v>
      </c>
      <c r="R207" s="9" t="s">
        <v>1736</v>
      </c>
      <c r="S207" s="9" t="s">
        <v>2170</v>
      </c>
      <c r="T207" s="9" t="s">
        <v>2171</v>
      </c>
      <c r="U207" s="9" t="s">
        <v>1928</v>
      </c>
      <c r="V207" s="9">
        <v>926</v>
      </c>
      <c r="W207" s="9">
        <v>12</v>
      </c>
      <c r="X207" s="9">
        <v>2030</v>
      </c>
      <c r="Y207" s="9">
        <v>1912</v>
      </c>
      <c r="Z207" s="9">
        <v>12</v>
      </c>
      <c r="AA207" s="9">
        <v>4549519711041910</v>
      </c>
      <c r="AB207" s="9" t="s">
        <v>73</v>
      </c>
      <c r="AC207" s="9">
        <v>2030</v>
      </c>
      <c r="AD207" s="9" t="s">
        <v>93</v>
      </c>
      <c r="AE207" s="9"/>
      <c r="AF207" s="9" t="s">
        <v>1929</v>
      </c>
      <c r="AG207" s="9"/>
      <c r="AH207" s="9" t="s">
        <v>67</v>
      </c>
      <c r="AI207" s="9">
        <v>0</v>
      </c>
      <c r="AJ207" s="9"/>
      <c r="AK207" s="9">
        <v>0</v>
      </c>
      <c r="AL207" s="9" t="s">
        <v>1930</v>
      </c>
      <c r="AM207" s="9"/>
      <c r="AN207" s="9"/>
      <c r="AO207" s="9" t="s">
        <v>1931</v>
      </c>
      <c r="AP207" s="9" t="s">
        <v>69</v>
      </c>
      <c r="AQ207" s="9" t="s">
        <v>1932</v>
      </c>
      <c r="AR207" s="9"/>
      <c r="AS207" s="9"/>
      <c r="AT207" s="9"/>
      <c r="AU207" s="9" t="s">
        <v>92</v>
      </c>
      <c r="AV207" s="9">
        <v>0</v>
      </c>
      <c r="AW207" s="9"/>
      <c r="AX207" s="9" t="s">
        <v>702</v>
      </c>
      <c r="AY207" s="9">
        <v>0</v>
      </c>
      <c r="AZ207" s="9"/>
      <c r="BA207" s="9">
        <v>46024.840162037035</v>
      </c>
      <c r="BB207" s="9">
        <v>0</v>
      </c>
      <c r="BC207" s="9">
        <v>1</v>
      </c>
      <c r="BD207" s="9">
        <v>0</v>
      </c>
      <c r="BE207" s="9" t="s">
        <v>703</v>
      </c>
      <c r="BF207" s="9"/>
      <c r="BG207" s="9"/>
      <c r="BH207" s="9">
        <v>0</v>
      </c>
      <c r="BI207" s="9"/>
      <c r="BJ207" s="9">
        <v>1</v>
      </c>
      <c r="BK207" s="9"/>
      <c r="BL207" s="9"/>
      <c r="BM207" s="9" t="s">
        <v>75</v>
      </c>
      <c r="BN207" s="9"/>
      <c r="BO207" s="9">
        <v>0</v>
      </c>
      <c r="BP207" s="9"/>
      <c r="BQ207" s="9">
        <v>1</v>
      </c>
      <c r="BR207" s="9"/>
      <c r="BS207" s="9"/>
      <c r="BT207" s="9"/>
      <c r="BU207" s="9"/>
      <c r="BV207" s="9"/>
      <c r="BW207" s="9">
        <v>0</v>
      </c>
      <c r="BX207" s="9"/>
      <c r="BY207" s="9">
        <v>46024.840162037035</v>
      </c>
      <c r="BZ207" s="9"/>
      <c r="CA207" s="9"/>
      <c r="CB207" s="9"/>
      <c r="CC207" s="9"/>
      <c r="CD207" s="9"/>
      <c r="CE207" s="9"/>
      <c r="CF207" s="9"/>
      <c r="CG207" s="9"/>
      <c r="CH207" s="9">
        <v>1</v>
      </c>
      <c r="CI207" s="9">
        <v>0</v>
      </c>
      <c r="CJ207" s="9"/>
      <c r="CK207" s="9"/>
      <c r="CL207" s="9" t="s">
        <v>2172</v>
      </c>
      <c r="CM207" s="9"/>
      <c r="CN207" s="9">
        <v>0</v>
      </c>
      <c r="CO207" s="9" t="s">
        <v>1925</v>
      </c>
      <c r="CP207" s="9"/>
      <c r="CQ207" s="9"/>
    </row>
    <row r="208" spans="1:95" x14ac:dyDescent="0.35">
      <c r="A208" s="9" t="b">
        <f>ISNUMBER(MATCH(Claude[[#This Row],[Id]],ChargentOrders[Id],0))</f>
        <v>1</v>
      </c>
      <c r="B208" t="b">
        <f>INDEX(ChargentOrders[VALIDO],MATCH(Claude[[#This Row],[Id]],ChargentOrders[Id],0))</f>
        <v>1</v>
      </c>
      <c r="C208">
        <f>INDEX(Contract[CB_Subscription__c],MATCH(Claude[[#This Row],[Contract__c]],Contract[Id],0))</f>
        <v>0</v>
      </c>
      <c r="D208" s="9" t="s">
        <v>704</v>
      </c>
      <c r="E208" s="9" t="s">
        <v>155</v>
      </c>
      <c r="F208" s="9">
        <v>0</v>
      </c>
      <c r="G208" s="9" t="s">
        <v>705</v>
      </c>
      <c r="H208" s="9">
        <v>46024.841134259259</v>
      </c>
      <c r="I208" s="9" t="s">
        <v>155</v>
      </c>
      <c r="J208" s="9">
        <v>46024.841562499998</v>
      </c>
      <c r="K208" s="9" t="s">
        <v>155</v>
      </c>
      <c r="L208" s="9">
        <v>46024.841562499998</v>
      </c>
      <c r="M208" s="9"/>
      <c r="N208" s="9" t="s">
        <v>1738</v>
      </c>
      <c r="O208" s="9" t="s">
        <v>2169</v>
      </c>
      <c r="P208" s="9" t="s">
        <v>1990</v>
      </c>
      <c r="Q208" s="9" t="s">
        <v>1925</v>
      </c>
      <c r="R208" s="9" t="s">
        <v>1736</v>
      </c>
      <c r="S208" s="9" t="s">
        <v>2170</v>
      </c>
      <c r="T208" s="9" t="s">
        <v>2171</v>
      </c>
      <c r="U208" s="9" t="s">
        <v>1928</v>
      </c>
      <c r="V208" s="9">
        <v>926</v>
      </c>
      <c r="W208" s="9">
        <v>12</v>
      </c>
      <c r="X208" s="9">
        <v>2030</v>
      </c>
      <c r="Y208" s="9">
        <v>1912</v>
      </c>
      <c r="Z208" s="9">
        <v>12</v>
      </c>
      <c r="AA208" s="9">
        <v>4549519711041910</v>
      </c>
      <c r="AB208" s="9" t="s">
        <v>73</v>
      </c>
      <c r="AC208" s="9">
        <v>2030</v>
      </c>
      <c r="AD208" s="9" t="s">
        <v>167</v>
      </c>
      <c r="AE208" s="9"/>
      <c r="AF208" s="9" t="s">
        <v>1929</v>
      </c>
      <c r="AG208" s="9"/>
      <c r="AH208" s="9" t="s">
        <v>67</v>
      </c>
      <c r="AI208" s="9">
        <v>0</v>
      </c>
      <c r="AJ208" s="9"/>
      <c r="AK208" s="9">
        <v>0</v>
      </c>
      <c r="AL208" s="9" t="s">
        <v>1930</v>
      </c>
      <c r="AM208" s="9">
        <v>1</v>
      </c>
      <c r="AN208" s="9"/>
      <c r="AO208" s="9" t="s">
        <v>1931</v>
      </c>
      <c r="AP208" s="9" t="s">
        <v>69</v>
      </c>
      <c r="AQ208" s="9" t="s">
        <v>1932</v>
      </c>
      <c r="AR208" s="9">
        <v>46024</v>
      </c>
      <c r="AS208" s="9" t="s">
        <v>74</v>
      </c>
      <c r="AT208" s="9" t="s">
        <v>1935</v>
      </c>
      <c r="AU208" s="9" t="s">
        <v>374</v>
      </c>
      <c r="AV208" s="9">
        <v>0</v>
      </c>
      <c r="AW208" s="9" t="s">
        <v>93</v>
      </c>
      <c r="AX208" s="9" t="s">
        <v>702</v>
      </c>
      <c r="AY208" s="9">
        <v>0</v>
      </c>
      <c r="AZ208" s="9">
        <v>46024.841493055559</v>
      </c>
      <c r="BA208" s="9">
        <v>46024.841493055559</v>
      </c>
      <c r="BB208" s="9">
        <v>1</v>
      </c>
      <c r="BC208" s="9">
        <v>1</v>
      </c>
      <c r="BD208" s="9" t="s">
        <v>167</v>
      </c>
      <c r="BE208" s="9" t="s">
        <v>703</v>
      </c>
      <c r="BF208" s="9" t="s">
        <v>77</v>
      </c>
      <c r="BG208" s="9"/>
      <c r="BH208" s="9">
        <v>0</v>
      </c>
      <c r="BI208" s="9"/>
      <c r="BJ208" s="9">
        <v>1</v>
      </c>
      <c r="BK208" s="9" t="s">
        <v>92</v>
      </c>
      <c r="BL208" s="9" t="s">
        <v>92</v>
      </c>
      <c r="BM208" s="9" t="s">
        <v>75</v>
      </c>
      <c r="BN208" s="9"/>
      <c r="BO208" s="9">
        <v>0</v>
      </c>
      <c r="BP208" s="9"/>
      <c r="BQ208" s="9">
        <v>0</v>
      </c>
      <c r="BR208" s="9"/>
      <c r="BS208" s="9"/>
      <c r="BT208" s="9"/>
      <c r="BU208" s="9"/>
      <c r="BV208" s="9"/>
      <c r="BW208" s="9">
        <v>0</v>
      </c>
      <c r="BX208" s="9"/>
      <c r="BY208" s="9">
        <v>46024.841493055559</v>
      </c>
      <c r="BZ208" s="9"/>
      <c r="CA208" s="9"/>
      <c r="CB208" s="9"/>
      <c r="CC208" s="9"/>
      <c r="CD208" s="9"/>
      <c r="CE208" s="9"/>
      <c r="CF208" s="9"/>
      <c r="CG208" s="9"/>
      <c r="CH208" s="9">
        <v>1</v>
      </c>
      <c r="CI208" s="9">
        <v>0</v>
      </c>
      <c r="CJ208" s="9"/>
      <c r="CK208" s="9"/>
      <c r="CL208" s="9" t="s">
        <v>2172</v>
      </c>
      <c r="CM208" s="9"/>
      <c r="CN208" s="9">
        <v>0</v>
      </c>
      <c r="CO208" s="9" t="s">
        <v>1925</v>
      </c>
      <c r="CP208" s="9"/>
      <c r="CQ208" s="9"/>
    </row>
    <row r="209" spans="1:95" x14ac:dyDescent="0.35">
      <c r="A209" s="9" t="b">
        <f>ISNUMBER(MATCH(Claude[[#This Row],[Id]],ChargentOrders[Id],0))</f>
        <v>1</v>
      </c>
      <c r="B209" t="b">
        <f>INDEX(ChargentOrders[VALIDO],MATCH(Claude[[#This Row],[Id]],ChargentOrders[Id],0))</f>
        <v>1</v>
      </c>
      <c r="C209">
        <f>INDEX(Contract[CB_Subscription__c],MATCH(Claude[[#This Row],[Contract__c]],Contract[Id],0))</f>
        <v>0</v>
      </c>
      <c r="D209" s="9" t="s">
        <v>706</v>
      </c>
      <c r="E209" s="9" t="s">
        <v>155</v>
      </c>
      <c r="F209" s="9">
        <v>0</v>
      </c>
      <c r="G209" s="9" t="s">
        <v>707</v>
      </c>
      <c r="H209" s="9">
        <v>46024.841527777775</v>
      </c>
      <c r="I209" s="9" t="s">
        <v>155</v>
      </c>
      <c r="J209" s="9">
        <v>46163.935578703706</v>
      </c>
      <c r="K209" s="9" t="s">
        <v>78</v>
      </c>
      <c r="L209" s="9">
        <v>46163.935578703706</v>
      </c>
      <c r="M209" s="9"/>
      <c r="N209" s="9" t="s">
        <v>1738</v>
      </c>
      <c r="O209" s="9" t="s">
        <v>2169</v>
      </c>
      <c r="P209" s="9" t="s">
        <v>1990</v>
      </c>
      <c r="Q209" s="9" t="s">
        <v>1925</v>
      </c>
      <c r="R209" s="9" t="s">
        <v>1736</v>
      </c>
      <c r="S209" s="9" t="s">
        <v>2170</v>
      </c>
      <c r="T209" s="9" t="s">
        <v>2171</v>
      </c>
      <c r="U209" s="9" t="s">
        <v>1928</v>
      </c>
      <c r="V209" s="9">
        <v>926</v>
      </c>
      <c r="W209" s="9">
        <v>12</v>
      </c>
      <c r="X209" s="9">
        <v>2030</v>
      </c>
      <c r="Y209" s="9">
        <v>1912</v>
      </c>
      <c r="Z209" s="9">
        <v>12</v>
      </c>
      <c r="AA209" s="9">
        <v>1912</v>
      </c>
      <c r="AB209" s="9" t="s">
        <v>73</v>
      </c>
      <c r="AC209" s="9">
        <v>2030</v>
      </c>
      <c r="AD209" s="9" t="s">
        <v>374</v>
      </c>
      <c r="AE209" s="9">
        <v>5</v>
      </c>
      <c r="AF209" s="9" t="s">
        <v>1929</v>
      </c>
      <c r="AG209" s="9"/>
      <c r="AH209" s="9" t="s">
        <v>67</v>
      </c>
      <c r="AI209" s="9">
        <v>0</v>
      </c>
      <c r="AJ209" s="9"/>
      <c r="AK209" s="9">
        <v>0</v>
      </c>
      <c r="AL209" s="9" t="s">
        <v>1930</v>
      </c>
      <c r="AM209" s="9"/>
      <c r="AN209" s="9"/>
      <c r="AO209" s="9" t="s">
        <v>1943</v>
      </c>
      <c r="AP209" s="9" t="s">
        <v>69</v>
      </c>
      <c r="AQ209" s="9" t="s">
        <v>1932</v>
      </c>
      <c r="AR209" s="9">
        <v>46178</v>
      </c>
      <c r="AS209" s="9" t="s">
        <v>613</v>
      </c>
      <c r="AT209" s="9" t="s">
        <v>1944</v>
      </c>
      <c r="AU209" s="9" t="s">
        <v>374</v>
      </c>
      <c r="AV209" s="9">
        <v>0</v>
      </c>
      <c r="AW209" s="9" t="s">
        <v>92</v>
      </c>
      <c r="AX209" s="9" t="s">
        <v>702</v>
      </c>
      <c r="AY209" s="9">
        <v>0</v>
      </c>
      <c r="AZ209" s="9">
        <v>46148.417118055557</v>
      </c>
      <c r="BA209" s="9">
        <v>46148.417118055557</v>
      </c>
      <c r="BB209" s="9">
        <v>3</v>
      </c>
      <c r="BC209" s="9">
        <v>4</v>
      </c>
      <c r="BD209" s="9" t="s">
        <v>2173</v>
      </c>
      <c r="BE209" s="9" t="s">
        <v>703</v>
      </c>
      <c r="BF209" s="9" t="s">
        <v>76</v>
      </c>
      <c r="BG209" s="9"/>
      <c r="BH209" s="9">
        <v>0</v>
      </c>
      <c r="BI209" s="9"/>
      <c r="BJ209" s="9">
        <v>5</v>
      </c>
      <c r="BK209" s="9" t="s">
        <v>92</v>
      </c>
      <c r="BL209" s="9" t="s">
        <v>92</v>
      </c>
      <c r="BM209" s="9" t="s">
        <v>75</v>
      </c>
      <c r="BN209" s="9"/>
      <c r="BO209" s="9">
        <v>0</v>
      </c>
      <c r="BP209" s="9"/>
      <c r="BQ209" s="9">
        <v>0</v>
      </c>
      <c r="BR209" s="9"/>
      <c r="BS209" s="9"/>
      <c r="BT209" s="9"/>
      <c r="BU209" s="9"/>
      <c r="BV209" s="9"/>
      <c r="BW209" s="9">
        <v>0</v>
      </c>
      <c r="BX209" s="9">
        <v>46059.424664351849</v>
      </c>
      <c r="BY209" s="9">
        <v>46148.417118055557</v>
      </c>
      <c r="BZ209" s="9"/>
      <c r="CA209" s="9"/>
      <c r="CB209" s="9"/>
      <c r="CC209" s="9"/>
      <c r="CD209" s="9"/>
      <c r="CE209" s="9"/>
      <c r="CF209" s="9"/>
      <c r="CG209" s="9"/>
      <c r="CH209" s="9">
        <v>1</v>
      </c>
      <c r="CI209" s="9">
        <v>0</v>
      </c>
      <c r="CJ209" s="9"/>
      <c r="CK209" s="9"/>
      <c r="CL209" s="9" t="s">
        <v>2172</v>
      </c>
      <c r="CM209" s="9"/>
      <c r="CN209" s="9">
        <v>0</v>
      </c>
      <c r="CO209" s="9" t="s">
        <v>1925</v>
      </c>
      <c r="CP209" s="9"/>
      <c r="CQ209" s="9">
        <v>0</v>
      </c>
    </row>
    <row r="210" spans="1:95" x14ac:dyDescent="0.35">
      <c r="A210" s="9" t="b">
        <f>ISNUMBER(MATCH(Claude[[#This Row],[Id]],ChargentOrders[Id],0))</f>
        <v>1</v>
      </c>
      <c r="B210" t="b">
        <f>INDEX(ChargentOrders[VALIDO],MATCH(Claude[[#This Row],[Id]],ChargentOrders[Id],0))</f>
        <v>1</v>
      </c>
      <c r="C210">
        <f>INDEX(Contract[CB_Subscription__c],MATCH(Claude[[#This Row],[Contract__c]],Contract[Id],0))</f>
        <v>0</v>
      </c>
      <c r="D210" s="9" t="s">
        <v>708</v>
      </c>
      <c r="E210" s="9" t="s">
        <v>531</v>
      </c>
      <c r="F210" s="9">
        <v>0</v>
      </c>
      <c r="G210" s="9" t="s">
        <v>709</v>
      </c>
      <c r="H210" s="9">
        <v>46029.907986111109</v>
      </c>
      <c r="I210" s="9" t="s">
        <v>531</v>
      </c>
      <c r="J210" s="9">
        <v>46114.620729166665</v>
      </c>
      <c r="K210" s="9" t="s">
        <v>78</v>
      </c>
      <c r="L210" s="9">
        <v>46114.620729166665</v>
      </c>
      <c r="M210" s="9"/>
      <c r="N210" s="9"/>
      <c r="O210" s="9" t="s">
        <v>2174</v>
      </c>
      <c r="P210" s="9" t="s">
        <v>1990</v>
      </c>
      <c r="Q210" s="9" t="s">
        <v>1925</v>
      </c>
      <c r="R210" s="9" t="s">
        <v>1741</v>
      </c>
      <c r="S210" s="9" t="s">
        <v>2175</v>
      </c>
      <c r="T210" s="9" t="s">
        <v>2176</v>
      </c>
      <c r="U210" s="9" t="s">
        <v>1928</v>
      </c>
      <c r="V210" s="9">
        <v>936</v>
      </c>
      <c r="W210" s="9">
        <v>10</v>
      </c>
      <c r="X210" s="9">
        <v>2030</v>
      </c>
      <c r="Y210" s="9">
        <v>2944</v>
      </c>
      <c r="Z210" s="9">
        <v>10</v>
      </c>
      <c r="AA210" s="9">
        <v>4549519542582940</v>
      </c>
      <c r="AB210" s="9" t="s">
        <v>73</v>
      </c>
      <c r="AC210" s="9">
        <v>2030</v>
      </c>
      <c r="AD210" s="9" t="s">
        <v>93</v>
      </c>
      <c r="AE210" s="9"/>
      <c r="AF210" s="9" t="s">
        <v>1929</v>
      </c>
      <c r="AG210" s="9"/>
      <c r="AH210" s="9" t="s">
        <v>67</v>
      </c>
      <c r="AI210" s="9">
        <v>0</v>
      </c>
      <c r="AJ210" s="9"/>
      <c r="AK210" s="9">
        <v>0</v>
      </c>
      <c r="AL210" s="9" t="s">
        <v>1930</v>
      </c>
      <c r="AM210" s="9"/>
      <c r="AN210" s="9"/>
      <c r="AO210" s="9" t="s">
        <v>1931</v>
      </c>
      <c r="AP210" s="9" t="s">
        <v>69</v>
      </c>
      <c r="AQ210" s="9" t="s">
        <v>1932</v>
      </c>
      <c r="AR210" s="9"/>
      <c r="AS210" s="9"/>
      <c r="AT210" s="9"/>
      <c r="AU210" s="9" t="s">
        <v>92</v>
      </c>
      <c r="AV210" s="9">
        <v>0</v>
      </c>
      <c r="AW210" s="9"/>
      <c r="AX210" s="9" t="s">
        <v>710</v>
      </c>
      <c r="AY210" s="9">
        <v>0</v>
      </c>
      <c r="AZ210" s="9"/>
      <c r="BA210" s="9">
        <v>46029.908020833333</v>
      </c>
      <c r="BB210" s="9">
        <v>0</v>
      </c>
      <c r="BC210" s="9">
        <v>1</v>
      </c>
      <c r="BD210" s="9">
        <v>0</v>
      </c>
      <c r="BE210" s="9" t="s">
        <v>711</v>
      </c>
      <c r="BF210" s="9"/>
      <c r="BG210" s="9"/>
      <c r="BH210" s="9">
        <v>0</v>
      </c>
      <c r="BI210" s="9"/>
      <c r="BJ210" s="9">
        <v>1</v>
      </c>
      <c r="BK210" s="9"/>
      <c r="BL210" s="9"/>
      <c r="BM210" s="9" t="s">
        <v>75</v>
      </c>
      <c r="BN210" s="9"/>
      <c r="BO210" s="9">
        <v>0</v>
      </c>
      <c r="BP210" s="9"/>
      <c r="BQ210" s="9">
        <v>1</v>
      </c>
      <c r="BR210" s="9"/>
      <c r="BS210" s="9"/>
      <c r="BT210" s="9"/>
      <c r="BU210" s="9"/>
      <c r="BV210" s="9"/>
      <c r="BW210" s="9">
        <v>0</v>
      </c>
      <c r="BX210" s="9"/>
      <c r="BY210" s="9">
        <v>46029.908020833333</v>
      </c>
      <c r="BZ210" s="9"/>
      <c r="CA210" s="9"/>
      <c r="CB210" s="9"/>
      <c r="CC210" s="9"/>
      <c r="CD210" s="9"/>
      <c r="CE210" s="9"/>
      <c r="CF210" s="9"/>
      <c r="CG210" s="9"/>
      <c r="CH210" s="9">
        <v>1</v>
      </c>
      <c r="CI210" s="9">
        <v>0</v>
      </c>
      <c r="CJ210" s="9"/>
      <c r="CK210" s="9"/>
      <c r="CL210" s="9" t="s">
        <v>2177</v>
      </c>
      <c r="CM210" s="9"/>
      <c r="CN210" s="9">
        <v>0</v>
      </c>
      <c r="CO210" s="9" t="s">
        <v>1925</v>
      </c>
      <c r="CP210" s="9"/>
      <c r="CQ210" s="9"/>
    </row>
    <row r="211" spans="1:95" x14ac:dyDescent="0.35">
      <c r="A211" s="9" t="b">
        <f>ISNUMBER(MATCH(Claude[[#This Row],[Id]],ChargentOrders[Id],0))</f>
        <v>1</v>
      </c>
      <c r="B211" t="b">
        <f>INDEX(ChargentOrders[VALIDO],MATCH(Claude[[#This Row],[Id]],ChargentOrders[Id],0))</f>
        <v>1</v>
      </c>
      <c r="C211">
        <f>INDEX(Contract[CB_Subscription__c],MATCH(Claude[[#This Row],[Contract__c]],Contract[Id],0))</f>
        <v>0</v>
      </c>
      <c r="D211" s="9" t="s">
        <v>712</v>
      </c>
      <c r="E211" s="9" t="s">
        <v>531</v>
      </c>
      <c r="F211" s="9">
        <v>0</v>
      </c>
      <c r="G211" s="9" t="s">
        <v>713</v>
      </c>
      <c r="H211" s="9">
        <v>46029.911597222221</v>
      </c>
      <c r="I211" s="9" t="s">
        <v>531</v>
      </c>
      <c r="J211" s="9">
        <v>46114.620729166665</v>
      </c>
      <c r="K211" s="9" t="s">
        <v>78</v>
      </c>
      <c r="L211" s="9">
        <v>46114.620729166665</v>
      </c>
      <c r="M211" s="9"/>
      <c r="N211" s="9" t="s">
        <v>1743</v>
      </c>
      <c r="O211" s="9" t="s">
        <v>2174</v>
      </c>
      <c r="P211" s="9" t="s">
        <v>1990</v>
      </c>
      <c r="Q211" s="9" t="s">
        <v>1925</v>
      </c>
      <c r="R211" s="9" t="s">
        <v>1741</v>
      </c>
      <c r="S211" s="9" t="s">
        <v>2175</v>
      </c>
      <c r="T211" s="9" t="s">
        <v>2176</v>
      </c>
      <c r="U211" s="9" t="s">
        <v>1928</v>
      </c>
      <c r="V211" s="9">
        <v>936</v>
      </c>
      <c r="W211" s="9">
        <v>10</v>
      </c>
      <c r="X211" s="9">
        <v>2030</v>
      </c>
      <c r="Y211" s="9">
        <v>2944</v>
      </c>
      <c r="Z211" s="9">
        <v>10</v>
      </c>
      <c r="AA211" s="9">
        <v>4549519542582940</v>
      </c>
      <c r="AB211" s="9" t="s">
        <v>73</v>
      </c>
      <c r="AC211" s="9">
        <v>2030</v>
      </c>
      <c r="AD211" s="9" t="s">
        <v>374</v>
      </c>
      <c r="AE211" s="9"/>
      <c r="AF211" s="9" t="s">
        <v>1929</v>
      </c>
      <c r="AG211" s="9"/>
      <c r="AH211" s="9" t="s">
        <v>67</v>
      </c>
      <c r="AI211" s="9">
        <v>0</v>
      </c>
      <c r="AJ211" s="9"/>
      <c r="AK211" s="9">
        <v>0</v>
      </c>
      <c r="AL211" s="9" t="s">
        <v>1930</v>
      </c>
      <c r="AM211" s="9">
        <v>1</v>
      </c>
      <c r="AN211" s="9"/>
      <c r="AO211" s="9" t="s">
        <v>1931</v>
      </c>
      <c r="AP211" s="9" t="s">
        <v>69</v>
      </c>
      <c r="AQ211" s="9" t="s">
        <v>1932</v>
      </c>
      <c r="AR211" s="9">
        <v>46052</v>
      </c>
      <c r="AS211" s="9" t="s">
        <v>74</v>
      </c>
      <c r="AT211" s="9" t="s">
        <v>1935</v>
      </c>
      <c r="AU211" s="9" t="s">
        <v>374</v>
      </c>
      <c r="AV211" s="9">
        <v>0</v>
      </c>
      <c r="AW211" s="9" t="s">
        <v>92</v>
      </c>
      <c r="AX211" s="9" t="s">
        <v>710</v>
      </c>
      <c r="AY211" s="9">
        <v>0</v>
      </c>
      <c r="AZ211" s="9">
        <v>46052.438692129632</v>
      </c>
      <c r="BA211" s="9">
        <v>46052.438726851855</v>
      </c>
      <c r="BB211" s="9">
        <v>1</v>
      </c>
      <c r="BC211" s="9">
        <v>1</v>
      </c>
      <c r="BD211" s="9" t="s">
        <v>167</v>
      </c>
      <c r="BE211" s="9" t="s">
        <v>711</v>
      </c>
      <c r="BF211" s="9" t="s">
        <v>77</v>
      </c>
      <c r="BG211" s="9"/>
      <c r="BH211" s="9">
        <v>0</v>
      </c>
      <c r="BI211" s="9"/>
      <c r="BJ211" s="9">
        <v>1</v>
      </c>
      <c r="BK211" s="9" t="s">
        <v>92</v>
      </c>
      <c r="BL211" s="9" t="s">
        <v>92</v>
      </c>
      <c r="BM211" s="9" t="s">
        <v>75</v>
      </c>
      <c r="BN211" s="9"/>
      <c r="BO211" s="9">
        <v>0</v>
      </c>
      <c r="BP211" s="9"/>
      <c r="BQ211" s="9">
        <v>0</v>
      </c>
      <c r="BR211" s="9"/>
      <c r="BS211" s="9"/>
      <c r="BT211" s="9"/>
      <c r="BU211" s="9"/>
      <c r="BV211" s="9"/>
      <c r="BW211" s="9">
        <v>0</v>
      </c>
      <c r="BX211" s="9"/>
      <c r="BY211" s="9">
        <v>46052.438692129632</v>
      </c>
      <c r="BZ211" s="9"/>
      <c r="CA211" s="9"/>
      <c r="CB211" s="9"/>
      <c r="CC211" s="9"/>
      <c r="CD211" s="9"/>
      <c r="CE211" s="9"/>
      <c r="CF211" s="9"/>
      <c r="CG211" s="9"/>
      <c r="CH211" s="9">
        <v>1</v>
      </c>
      <c r="CI211" s="9">
        <v>0</v>
      </c>
      <c r="CJ211" s="9"/>
      <c r="CK211" s="9"/>
      <c r="CL211" s="9" t="s">
        <v>2177</v>
      </c>
      <c r="CM211" s="9"/>
      <c r="CN211" s="9">
        <v>0</v>
      </c>
      <c r="CO211" s="9" t="s">
        <v>1925</v>
      </c>
      <c r="CP211" s="9"/>
      <c r="CQ211" s="9"/>
    </row>
    <row r="212" spans="1:95" x14ac:dyDescent="0.35">
      <c r="A212" s="9" t="b">
        <f>ISNUMBER(MATCH(Claude[[#This Row],[Id]],ChargentOrders[Id],0))</f>
        <v>1</v>
      </c>
      <c r="B212" t="b">
        <f>INDEX(ChargentOrders[VALIDO],MATCH(Claude[[#This Row],[Id]],ChargentOrders[Id],0))</f>
        <v>1</v>
      </c>
      <c r="C212">
        <f>INDEX(Contract[CB_Subscription__c],MATCH(Claude[[#This Row],[Contract__c]],Contract[Id],0))</f>
        <v>0</v>
      </c>
      <c r="D212" s="9" t="s">
        <v>714</v>
      </c>
      <c r="E212" s="9" t="s">
        <v>155</v>
      </c>
      <c r="F212" s="9">
        <v>0</v>
      </c>
      <c r="G212" s="9" t="s">
        <v>715</v>
      </c>
      <c r="H212" s="9">
        <v>46030.741469907407</v>
      </c>
      <c r="I212" s="9" t="s">
        <v>155</v>
      </c>
      <c r="J212" s="9">
        <v>46030.741539351853</v>
      </c>
      <c r="K212" s="9" t="s">
        <v>155</v>
      </c>
      <c r="L212" s="9">
        <v>46030.741539351853</v>
      </c>
      <c r="M212" s="9"/>
      <c r="N212" s="9"/>
      <c r="O212" s="9" t="s">
        <v>2178</v>
      </c>
      <c r="P212" s="9" t="s">
        <v>2179</v>
      </c>
      <c r="Q212" s="9" t="s">
        <v>2180</v>
      </c>
      <c r="R212" s="9" t="s">
        <v>1746</v>
      </c>
      <c r="S212" s="9" t="s">
        <v>2045</v>
      </c>
      <c r="T212" s="9" t="s">
        <v>2181</v>
      </c>
      <c r="U212" s="9" t="s">
        <v>2182</v>
      </c>
      <c r="V212" s="9">
        <v>32822</v>
      </c>
      <c r="W212" s="9">
        <v>8</v>
      </c>
      <c r="X212" s="9">
        <v>2029</v>
      </c>
      <c r="Y212" s="9">
        <v>1620</v>
      </c>
      <c r="Z212" s="9">
        <v>8</v>
      </c>
      <c r="AA212" s="9"/>
      <c r="AB212" s="9" t="s">
        <v>73</v>
      </c>
      <c r="AC212" s="9">
        <v>2029</v>
      </c>
      <c r="AD212" s="9" t="s">
        <v>93</v>
      </c>
      <c r="AE212" s="9"/>
      <c r="AF212" s="9" t="s">
        <v>1929</v>
      </c>
      <c r="AG212" s="9"/>
      <c r="AH212" s="9" t="s">
        <v>107</v>
      </c>
      <c r="AI212" s="9">
        <v>0</v>
      </c>
      <c r="AJ212" s="9"/>
      <c r="AK212" s="9">
        <v>0</v>
      </c>
      <c r="AL212" s="9" t="s">
        <v>1930</v>
      </c>
      <c r="AM212" s="9"/>
      <c r="AN212" s="9"/>
      <c r="AO212" s="9" t="s">
        <v>1931</v>
      </c>
      <c r="AP212" s="9" t="s">
        <v>69</v>
      </c>
      <c r="AQ212" s="9" t="s">
        <v>1932</v>
      </c>
      <c r="AR212" s="9"/>
      <c r="AS212" s="9"/>
      <c r="AT212" s="9"/>
      <c r="AU212" s="9" t="s">
        <v>92</v>
      </c>
      <c r="AV212" s="9">
        <v>0</v>
      </c>
      <c r="AW212" s="9"/>
      <c r="AX212" s="9" t="s">
        <v>716</v>
      </c>
      <c r="AY212" s="9">
        <v>0</v>
      </c>
      <c r="AZ212" s="9"/>
      <c r="BA212" s="9">
        <v>46030.74150462963</v>
      </c>
      <c r="BB212" s="9">
        <v>0</v>
      </c>
      <c r="BC212" s="9">
        <v>1</v>
      </c>
      <c r="BD212" s="9">
        <v>0</v>
      </c>
      <c r="BE212" s="9" t="s">
        <v>717</v>
      </c>
      <c r="BF212" s="9"/>
      <c r="BG212" s="9"/>
      <c r="BH212" s="9">
        <v>0</v>
      </c>
      <c r="BI212" s="9"/>
      <c r="BJ212" s="9">
        <v>1</v>
      </c>
      <c r="BK212" s="9"/>
      <c r="BL212" s="9"/>
      <c r="BM212" s="9" t="s">
        <v>75</v>
      </c>
      <c r="BN212" s="9"/>
      <c r="BO212" s="9">
        <v>0</v>
      </c>
      <c r="BP212" s="9"/>
      <c r="BQ212" s="9">
        <v>1</v>
      </c>
      <c r="BR212" s="9"/>
      <c r="BS212" s="9"/>
      <c r="BT212" s="9"/>
      <c r="BU212" s="9"/>
      <c r="BV212" s="9"/>
      <c r="BW212" s="9">
        <v>0</v>
      </c>
      <c r="BX212" s="9"/>
      <c r="BY212" s="9">
        <v>46030.74150462963</v>
      </c>
      <c r="BZ212" s="9"/>
      <c r="CA212" s="9"/>
      <c r="CB212" s="9"/>
      <c r="CC212" s="9"/>
      <c r="CD212" s="9"/>
      <c r="CE212" s="9"/>
      <c r="CF212" s="9"/>
      <c r="CG212" s="9"/>
      <c r="CH212" s="9">
        <v>1</v>
      </c>
      <c r="CI212" s="9">
        <v>0</v>
      </c>
      <c r="CJ212" s="9"/>
      <c r="CK212" s="9"/>
      <c r="CL212" s="9" t="s">
        <v>2183</v>
      </c>
      <c r="CM212" s="9"/>
      <c r="CN212" s="9">
        <v>0</v>
      </c>
      <c r="CO212" s="9" t="s">
        <v>1925</v>
      </c>
      <c r="CP212" s="9"/>
      <c r="CQ212" s="9"/>
    </row>
    <row r="213" spans="1:95" x14ac:dyDescent="0.35">
      <c r="A213" s="9" t="b">
        <f>ISNUMBER(MATCH(Claude[[#This Row],[Id]],ChargentOrders[Id],0))</f>
        <v>1</v>
      </c>
      <c r="B213" t="b">
        <f>INDEX(ChargentOrders[VALIDO],MATCH(Claude[[#This Row],[Id]],ChargentOrders[Id],0))</f>
        <v>1</v>
      </c>
      <c r="C213">
        <f>INDEX(Contract[CB_Subscription__c],MATCH(Claude[[#This Row],[Contract__c]],Contract[Id],0))</f>
        <v>0</v>
      </c>
      <c r="D213" s="9" t="s">
        <v>718</v>
      </c>
      <c r="E213" s="9" t="s">
        <v>155</v>
      </c>
      <c r="F213" s="9">
        <v>0</v>
      </c>
      <c r="G213" s="9" t="s">
        <v>719</v>
      </c>
      <c r="H213" s="9">
        <v>46030.742199074077</v>
      </c>
      <c r="I213" s="9" t="s">
        <v>155</v>
      </c>
      <c r="J213" s="9">
        <v>46030.7425</v>
      </c>
      <c r="K213" s="9" t="s">
        <v>155</v>
      </c>
      <c r="L213" s="9">
        <v>46030.7425</v>
      </c>
      <c r="M213" s="9"/>
      <c r="N213" s="9" t="s">
        <v>1748</v>
      </c>
      <c r="O213" s="9" t="s">
        <v>2178</v>
      </c>
      <c r="P213" s="9" t="s">
        <v>2179</v>
      </c>
      <c r="Q213" s="9" t="s">
        <v>2180</v>
      </c>
      <c r="R213" s="9" t="s">
        <v>1746</v>
      </c>
      <c r="S213" s="9" t="s">
        <v>2045</v>
      </c>
      <c r="T213" s="9" t="s">
        <v>2181</v>
      </c>
      <c r="U213" s="9" t="s">
        <v>2182</v>
      </c>
      <c r="V213" s="9">
        <v>32822</v>
      </c>
      <c r="W213" s="9">
        <v>8</v>
      </c>
      <c r="X213" s="9">
        <v>2029</v>
      </c>
      <c r="Y213" s="9">
        <v>1620</v>
      </c>
      <c r="Z213" s="9">
        <v>8</v>
      </c>
      <c r="AA213" s="9"/>
      <c r="AB213" s="9" t="s">
        <v>73</v>
      </c>
      <c r="AC213" s="9">
        <v>2029</v>
      </c>
      <c r="AD213" s="9" t="s">
        <v>167</v>
      </c>
      <c r="AE213" s="9"/>
      <c r="AF213" s="9" t="s">
        <v>1929</v>
      </c>
      <c r="AG213" s="9"/>
      <c r="AH213" s="9" t="s">
        <v>107</v>
      </c>
      <c r="AI213" s="9">
        <v>0</v>
      </c>
      <c r="AJ213" s="9"/>
      <c r="AK213" s="9">
        <v>0</v>
      </c>
      <c r="AL213" s="9" t="s">
        <v>1930</v>
      </c>
      <c r="AM213" s="9" t="s">
        <v>1958</v>
      </c>
      <c r="AN213" s="9">
        <v>46030</v>
      </c>
      <c r="AO213" s="9" t="s">
        <v>1931</v>
      </c>
      <c r="AP213" s="9" t="s">
        <v>69</v>
      </c>
      <c r="AQ213" s="9" t="s">
        <v>1932</v>
      </c>
      <c r="AR213" s="9">
        <v>46030</v>
      </c>
      <c r="AS213" s="9" t="s">
        <v>74</v>
      </c>
      <c r="AT213" s="9" t="s">
        <v>1935</v>
      </c>
      <c r="AU213" s="9" t="s">
        <v>374</v>
      </c>
      <c r="AV213" s="9">
        <v>0</v>
      </c>
      <c r="AW213" s="9" t="s">
        <v>93</v>
      </c>
      <c r="AX213" s="9" t="s">
        <v>716</v>
      </c>
      <c r="AY213" s="9">
        <v>0</v>
      </c>
      <c r="AZ213" s="9"/>
      <c r="BA213" s="9"/>
      <c r="BB213" s="9">
        <v>0</v>
      </c>
      <c r="BC213" s="9">
        <v>1</v>
      </c>
      <c r="BD213" s="9">
        <v>0</v>
      </c>
      <c r="BE213" s="9" t="s">
        <v>717</v>
      </c>
      <c r="BF213" s="9" t="s">
        <v>77</v>
      </c>
      <c r="BG213" s="9"/>
      <c r="BH213" s="9">
        <v>0</v>
      </c>
      <c r="BI213" s="9"/>
      <c r="BJ213" s="9">
        <v>1</v>
      </c>
      <c r="BK213" s="9" t="s">
        <v>92</v>
      </c>
      <c r="BL213" s="9" t="s">
        <v>92</v>
      </c>
      <c r="BM213" s="9" t="s">
        <v>75</v>
      </c>
      <c r="BN213" s="9"/>
      <c r="BO213" s="9">
        <v>0</v>
      </c>
      <c r="BP213" s="9"/>
      <c r="BQ213" s="9">
        <v>0</v>
      </c>
      <c r="BR213" s="9"/>
      <c r="BS213" s="9"/>
      <c r="BT213" s="9"/>
      <c r="BU213" s="9"/>
      <c r="BV213" s="9"/>
      <c r="BW213" s="9">
        <v>0</v>
      </c>
      <c r="BX213" s="9"/>
      <c r="BY213" s="9">
        <v>46030.742465277777</v>
      </c>
      <c r="BZ213" s="9"/>
      <c r="CA213" s="9"/>
      <c r="CB213" s="9"/>
      <c r="CC213" s="9"/>
      <c r="CD213" s="9"/>
      <c r="CE213" s="9"/>
      <c r="CF213" s="9"/>
      <c r="CG213" s="9"/>
      <c r="CH213" s="9">
        <v>1</v>
      </c>
      <c r="CI213" s="9">
        <v>0</v>
      </c>
      <c r="CJ213" s="9"/>
      <c r="CK213" s="9"/>
      <c r="CL213" s="9" t="s">
        <v>2183</v>
      </c>
      <c r="CM213" s="9"/>
      <c r="CN213" s="9">
        <v>0</v>
      </c>
      <c r="CO213" s="9" t="s">
        <v>1925</v>
      </c>
      <c r="CP213" s="9"/>
      <c r="CQ213" s="9"/>
    </row>
    <row r="214" spans="1:95" x14ac:dyDescent="0.35">
      <c r="A214" s="9" t="b">
        <f>ISNUMBER(MATCH(Claude[[#This Row],[Id]],ChargentOrders[Id],0))</f>
        <v>1</v>
      </c>
      <c r="B214" t="b">
        <f>INDEX(ChargentOrders[VALIDO],MATCH(Claude[[#This Row],[Id]],ChargentOrders[Id],0))</f>
        <v>1</v>
      </c>
      <c r="C214">
        <f>INDEX(Contract[CB_Subscription__c],MATCH(Claude[[#This Row],[Contract__c]],Contract[Id],0))</f>
        <v>0</v>
      </c>
      <c r="D214" s="9" t="s">
        <v>720</v>
      </c>
      <c r="E214" s="9" t="s">
        <v>155</v>
      </c>
      <c r="F214" s="9">
        <v>0</v>
      </c>
      <c r="G214" s="9" t="s">
        <v>721</v>
      </c>
      <c r="H214" s="9">
        <v>46030.742488425924</v>
      </c>
      <c r="I214" s="9" t="s">
        <v>155</v>
      </c>
      <c r="J214" s="9">
        <v>46031.672812500001</v>
      </c>
      <c r="K214" s="9" t="s">
        <v>101</v>
      </c>
      <c r="L214" s="9">
        <v>46031.672812500001</v>
      </c>
      <c r="M214" s="9"/>
      <c r="N214" s="9" t="s">
        <v>1748</v>
      </c>
      <c r="O214" s="9" t="s">
        <v>2178</v>
      </c>
      <c r="P214" s="9" t="s">
        <v>2179</v>
      </c>
      <c r="Q214" s="9" t="s">
        <v>2180</v>
      </c>
      <c r="R214" s="9" t="s">
        <v>1746</v>
      </c>
      <c r="S214" s="9" t="s">
        <v>2045</v>
      </c>
      <c r="T214" s="9" t="s">
        <v>2181</v>
      </c>
      <c r="U214" s="9" t="s">
        <v>2182</v>
      </c>
      <c r="V214" s="9">
        <v>32822</v>
      </c>
      <c r="W214" s="9">
        <v>11</v>
      </c>
      <c r="X214" s="9">
        <v>2030</v>
      </c>
      <c r="Y214" s="9">
        <v>9468</v>
      </c>
      <c r="Z214" s="9">
        <v>11</v>
      </c>
      <c r="AA214" s="9"/>
      <c r="AB214" s="9" t="s">
        <v>73</v>
      </c>
      <c r="AC214" s="9">
        <v>2030</v>
      </c>
      <c r="AD214" s="9" t="s">
        <v>167</v>
      </c>
      <c r="AE214" s="9"/>
      <c r="AF214" s="9" t="s">
        <v>1929</v>
      </c>
      <c r="AG214" s="9"/>
      <c r="AH214" s="9" t="s">
        <v>107</v>
      </c>
      <c r="AI214" s="9">
        <v>0</v>
      </c>
      <c r="AJ214" s="9"/>
      <c r="AK214" s="9">
        <v>0</v>
      </c>
      <c r="AL214" s="9" t="s">
        <v>1930</v>
      </c>
      <c r="AM214" s="9">
        <v>1</v>
      </c>
      <c r="AN214" s="9">
        <v>46034</v>
      </c>
      <c r="AO214" s="9" t="s">
        <v>1931</v>
      </c>
      <c r="AP214" s="9" t="s">
        <v>69</v>
      </c>
      <c r="AQ214" s="9" t="s">
        <v>1932</v>
      </c>
      <c r="AR214" s="9">
        <v>46034</v>
      </c>
      <c r="AS214" s="9" t="s">
        <v>74</v>
      </c>
      <c r="AT214" s="9" t="s">
        <v>1935</v>
      </c>
      <c r="AU214" s="9" t="s">
        <v>374</v>
      </c>
      <c r="AV214" s="9">
        <v>0</v>
      </c>
      <c r="AW214" s="9" t="s">
        <v>93</v>
      </c>
      <c r="AX214" s="9" t="s">
        <v>722</v>
      </c>
      <c r="AY214" s="9">
        <v>0</v>
      </c>
      <c r="AZ214" s="9">
        <v>46031.672754629632</v>
      </c>
      <c r="BA214" s="9">
        <v>46031.672754629632</v>
      </c>
      <c r="BB214" s="9">
        <v>1</v>
      </c>
      <c r="BC214" s="9">
        <v>2</v>
      </c>
      <c r="BD214" s="9" t="s">
        <v>167</v>
      </c>
      <c r="BE214" s="9" t="s">
        <v>717</v>
      </c>
      <c r="BF214" s="9" t="s">
        <v>71</v>
      </c>
      <c r="BG214" s="9"/>
      <c r="BH214" s="9">
        <v>0</v>
      </c>
      <c r="BI214" s="9"/>
      <c r="BJ214" s="9">
        <v>1</v>
      </c>
      <c r="BK214" s="9" t="s">
        <v>92</v>
      </c>
      <c r="BL214" s="9" t="s">
        <v>92</v>
      </c>
      <c r="BM214" s="9" t="s">
        <v>72</v>
      </c>
      <c r="BN214" s="9"/>
      <c r="BO214" s="9">
        <v>0</v>
      </c>
      <c r="BP214" s="9" t="s">
        <v>723</v>
      </c>
      <c r="BQ214" s="9">
        <v>0</v>
      </c>
      <c r="BR214" s="9">
        <v>46031.663206018522</v>
      </c>
      <c r="BS214" s="9">
        <v>0</v>
      </c>
      <c r="BT214" s="9" t="s">
        <v>155</v>
      </c>
      <c r="BU214" s="9"/>
      <c r="BV214" s="9"/>
      <c r="BW214" s="9">
        <v>0</v>
      </c>
      <c r="BX214" s="9"/>
      <c r="BY214" s="9">
        <v>46031.672754629632</v>
      </c>
      <c r="BZ214" s="9"/>
      <c r="CA214" s="9"/>
      <c r="CB214" s="9"/>
      <c r="CC214" s="9"/>
      <c r="CD214" s="9"/>
      <c r="CE214" s="9"/>
      <c r="CF214" s="9"/>
      <c r="CG214" s="9"/>
      <c r="CH214" s="9">
        <v>1</v>
      </c>
      <c r="CI214" s="9">
        <v>0</v>
      </c>
      <c r="CJ214" s="9"/>
      <c r="CK214" s="9"/>
      <c r="CL214" s="9" t="s">
        <v>2183</v>
      </c>
      <c r="CM214" s="9"/>
      <c r="CN214" s="9">
        <v>0</v>
      </c>
      <c r="CO214" s="9" t="s">
        <v>1925</v>
      </c>
      <c r="CP214" s="9"/>
      <c r="CQ214" s="9"/>
    </row>
    <row r="215" spans="1:95" x14ac:dyDescent="0.35">
      <c r="A215" s="9" t="b">
        <f>ISNUMBER(MATCH(Claude[[#This Row],[Id]],ChargentOrders[Id],0))</f>
        <v>1</v>
      </c>
      <c r="B215" t="b">
        <f>INDEX(ChargentOrders[VALIDO],MATCH(Claude[[#This Row],[Id]],ChargentOrders[Id],0))</f>
        <v>1</v>
      </c>
      <c r="C215">
        <f>INDEX(Contract[CB_Subscription__c],MATCH(Claude[[#This Row],[Contract__c]],Contract[Id],0))</f>
        <v>0</v>
      </c>
      <c r="D215" s="9" t="s">
        <v>724</v>
      </c>
      <c r="E215" s="9" t="s">
        <v>531</v>
      </c>
      <c r="F215" s="9">
        <v>0</v>
      </c>
      <c r="G215" s="9" t="s">
        <v>725</v>
      </c>
      <c r="H215" s="9">
        <v>46031.423483796294</v>
      </c>
      <c r="I215" s="9" t="s">
        <v>65</v>
      </c>
      <c r="J215" s="9">
        <v>46128.41946759259</v>
      </c>
      <c r="K215" s="9" t="s">
        <v>65</v>
      </c>
      <c r="L215" s="9">
        <v>46128.41946759259</v>
      </c>
      <c r="M215" s="9"/>
      <c r="N215" s="9" t="s">
        <v>1678</v>
      </c>
      <c r="O215" s="9" t="s">
        <v>2102</v>
      </c>
      <c r="P215" s="9" t="s">
        <v>2103</v>
      </c>
      <c r="Q215" s="9"/>
      <c r="R215" s="9" t="s">
        <v>1676</v>
      </c>
      <c r="S215" s="9" t="s">
        <v>2104</v>
      </c>
      <c r="T215" s="9" t="s">
        <v>2105</v>
      </c>
      <c r="U215" s="9" t="s">
        <v>1928</v>
      </c>
      <c r="V215" s="9">
        <v>723</v>
      </c>
      <c r="W215" s="9">
        <v>10</v>
      </c>
      <c r="X215" s="9">
        <v>2028</v>
      </c>
      <c r="Y215" s="9">
        <v>5142</v>
      </c>
      <c r="Z215" s="9">
        <v>10</v>
      </c>
      <c r="AA215" s="9">
        <v>5142</v>
      </c>
      <c r="AB215" s="9" t="s">
        <v>66</v>
      </c>
      <c r="AC215" s="9">
        <v>2028</v>
      </c>
      <c r="AD215" s="9" t="s">
        <v>108</v>
      </c>
      <c r="AE215" s="9"/>
      <c r="AF215" s="9" t="s">
        <v>1929</v>
      </c>
      <c r="AG215" s="9"/>
      <c r="AH215" s="9" t="s">
        <v>67</v>
      </c>
      <c r="AI215" s="9">
        <v>0</v>
      </c>
      <c r="AJ215" s="9"/>
      <c r="AK215" s="9">
        <v>0</v>
      </c>
      <c r="AL215" s="9" t="s">
        <v>1930</v>
      </c>
      <c r="AM215" s="9">
        <v>1</v>
      </c>
      <c r="AN215" s="9">
        <v>46128</v>
      </c>
      <c r="AO215" s="9" t="s">
        <v>1931</v>
      </c>
      <c r="AP215" s="9" t="s">
        <v>69</v>
      </c>
      <c r="AQ215" s="9" t="s">
        <v>1932</v>
      </c>
      <c r="AR215" s="9">
        <v>46128</v>
      </c>
      <c r="AS215" s="9" t="s">
        <v>74</v>
      </c>
      <c r="AT215" s="9" t="s">
        <v>1935</v>
      </c>
      <c r="AU215" s="9" t="s">
        <v>108</v>
      </c>
      <c r="AV215" s="9">
        <v>0</v>
      </c>
      <c r="AW215" s="9" t="s">
        <v>92</v>
      </c>
      <c r="AX215" s="9" t="s">
        <v>562</v>
      </c>
      <c r="AY215" s="9">
        <v>0</v>
      </c>
      <c r="AZ215" s="9">
        <v>46128.419421296298</v>
      </c>
      <c r="BA215" s="9">
        <v>46128.419432870367</v>
      </c>
      <c r="BB215" s="9">
        <v>1</v>
      </c>
      <c r="BC215" s="9">
        <v>47</v>
      </c>
      <c r="BD215" s="9" t="s">
        <v>100</v>
      </c>
      <c r="BE215" s="9" t="s">
        <v>563</v>
      </c>
      <c r="BF215" s="9" t="s">
        <v>71</v>
      </c>
      <c r="BG215" s="9"/>
      <c r="BH215" s="9">
        <v>0</v>
      </c>
      <c r="BI215" s="9"/>
      <c r="BJ215" s="9">
        <v>0</v>
      </c>
      <c r="BK215" s="9" t="s">
        <v>92</v>
      </c>
      <c r="BL215" s="9" t="s">
        <v>92</v>
      </c>
      <c r="BM215" s="9" t="s">
        <v>72</v>
      </c>
      <c r="BN215" s="9"/>
      <c r="BO215" s="9">
        <v>0</v>
      </c>
      <c r="BP215" s="9" t="s">
        <v>726</v>
      </c>
      <c r="BQ215" s="9">
        <v>0</v>
      </c>
      <c r="BR215" s="9">
        <v>46101.875138888892</v>
      </c>
      <c r="BS215" s="9" t="s">
        <v>92</v>
      </c>
      <c r="BT215" s="9" t="s">
        <v>65</v>
      </c>
      <c r="BU215" s="9"/>
      <c r="BV215" s="9"/>
      <c r="BW215" s="9">
        <v>0</v>
      </c>
      <c r="BX215" s="9">
        <v>46125.969895833332</v>
      </c>
      <c r="BY215" s="9">
        <v>46128.419421296298</v>
      </c>
      <c r="BZ215" s="9"/>
      <c r="CA215" s="9"/>
      <c r="CB215" s="9"/>
      <c r="CC215" s="9"/>
      <c r="CD215" s="9"/>
      <c r="CE215" s="9"/>
      <c r="CF215" s="9"/>
      <c r="CG215" s="9"/>
      <c r="CH215" s="9">
        <v>1</v>
      </c>
      <c r="CI215" s="9">
        <v>0</v>
      </c>
      <c r="CJ215" s="9"/>
      <c r="CK215" s="9"/>
      <c r="CL215" s="9" t="s">
        <v>2106</v>
      </c>
      <c r="CM215" s="9"/>
      <c r="CN215" s="9">
        <v>0</v>
      </c>
      <c r="CO215" s="9" t="s">
        <v>1925</v>
      </c>
      <c r="CP215" s="9"/>
      <c r="CQ215" s="9"/>
    </row>
    <row r="216" spans="1:95" x14ac:dyDescent="0.35">
      <c r="A216" s="9" t="b">
        <f>ISNUMBER(MATCH(Claude[[#This Row],[Id]],ChargentOrders[Id],0))</f>
        <v>1</v>
      </c>
      <c r="B216" t="b">
        <f>INDEX(ChargentOrders[VALIDO],MATCH(Claude[[#This Row],[Id]],ChargentOrders[Id],0))</f>
        <v>1</v>
      </c>
      <c r="C216">
        <f>INDEX(Contract[CB_Subscription__c],MATCH(Claude[[#This Row],[Contract__c]],Contract[Id],0))</f>
        <v>0</v>
      </c>
      <c r="D216" s="9" t="s">
        <v>727</v>
      </c>
      <c r="E216" s="9" t="s">
        <v>79</v>
      </c>
      <c r="F216" s="9">
        <v>0</v>
      </c>
      <c r="G216" s="9" t="s">
        <v>728</v>
      </c>
      <c r="H216" s="9">
        <v>46031.426122685189</v>
      </c>
      <c r="I216" s="9" t="s">
        <v>65</v>
      </c>
      <c r="J216" s="9">
        <v>46217.738564814812</v>
      </c>
      <c r="K216" s="9" t="s">
        <v>78</v>
      </c>
      <c r="L216" s="9">
        <v>46217.738564814812</v>
      </c>
      <c r="M216" s="9"/>
      <c r="N216" s="9" t="s">
        <v>1708</v>
      </c>
      <c r="O216" s="9" t="s">
        <v>2132</v>
      </c>
      <c r="P216" s="9" t="s">
        <v>2066</v>
      </c>
      <c r="Q216" s="9" t="s">
        <v>1925</v>
      </c>
      <c r="R216" s="9" t="s">
        <v>1706</v>
      </c>
      <c r="S216" s="9" t="s">
        <v>2133</v>
      </c>
      <c r="T216" s="9" t="s">
        <v>2134</v>
      </c>
      <c r="U216" s="9" t="s">
        <v>1928</v>
      </c>
      <c r="V216" s="9">
        <v>956</v>
      </c>
      <c r="W216" s="9">
        <v>10</v>
      </c>
      <c r="X216" s="9">
        <v>2030</v>
      </c>
      <c r="Y216" s="9">
        <v>2772</v>
      </c>
      <c r="Z216" s="9">
        <v>10</v>
      </c>
      <c r="AA216" s="9">
        <v>4549519496022770</v>
      </c>
      <c r="AB216" s="9" t="s">
        <v>73</v>
      </c>
      <c r="AC216" s="9">
        <v>2030</v>
      </c>
      <c r="AD216" s="9" t="s">
        <v>473</v>
      </c>
      <c r="AE216" s="9">
        <v>30</v>
      </c>
      <c r="AF216" s="9" t="s">
        <v>1929</v>
      </c>
      <c r="AG216" s="9"/>
      <c r="AH216" s="9" t="s">
        <v>67</v>
      </c>
      <c r="AI216" s="9">
        <v>0</v>
      </c>
      <c r="AJ216" s="9"/>
      <c r="AK216" s="9">
        <v>0</v>
      </c>
      <c r="AL216" s="9" t="s">
        <v>1930</v>
      </c>
      <c r="AM216" s="9"/>
      <c r="AN216" s="9"/>
      <c r="AO216" s="9" t="s">
        <v>1943</v>
      </c>
      <c r="AP216" s="9" t="s">
        <v>69</v>
      </c>
      <c r="AQ216" s="9" t="s">
        <v>1932</v>
      </c>
      <c r="AR216" s="9">
        <v>46233</v>
      </c>
      <c r="AS216" s="9" t="s">
        <v>84</v>
      </c>
      <c r="AT216" s="9" t="s">
        <v>1944</v>
      </c>
      <c r="AU216" s="9" t="s">
        <v>473</v>
      </c>
      <c r="AV216" s="9">
        <v>0</v>
      </c>
      <c r="AW216" s="9" t="s">
        <v>92</v>
      </c>
      <c r="AX216" s="9" t="s">
        <v>616</v>
      </c>
      <c r="AY216" s="9">
        <v>0</v>
      </c>
      <c r="AZ216" s="9"/>
      <c r="BA216" s="9"/>
      <c r="BB216" s="9">
        <v>0</v>
      </c>
      <c r="BC216" s="9">
        <v>5</v>
      </c>
      <c r="BD216" s="9">
        <v>0</v>
      </c>
      <c r="BE216" s="9" t="s">
        <v>617</v>
      </c>
      <c r="BF216" s="9" t="s">
        <v>76</v>
      </c>
      <c r="BG216" s="9"/>
      <c r="BH216" s="9">
        <v>0</v>
      </c>
      <c r="BI216" s="9"/>
      <c r="BJ216" s="9">
        <v>6</v>
      </c>
      <c r="BK216" s="9" t="s">
        <v>92</v>
      </c>
      <c r="BL216" s="9" t="s">
        <v>92</v>
      </c>
      <c r="BM216" s="9" t="s">
        <v>75</v>
      </c>
      <c r="BN216" s="9"/>
      <c r="BO216" s="9">
        <v>0</v>
      </c>
      <c r="BP216" s="9"/>
      <c r="BQ216" s="9">
        <v>0</v>
      </c>
      <c r="BR216" s="9"/>
      <c r="BS216" s="9"/>
      <c r="BT216" s="9"/>
      <c r="BU216" s="9"/>
      <c r="BV216" s="9"/>
      <c r="BW216" s="9">
        <v>0</v>
      </c>
      <c r="BX216" s="9">
        <v>46203.417314814818</v>
      </c>
      <c r="BY216" s="9">
        <v>46203.417314814818</v>
      </c>
      <c r="BZ216" s="9"/>
      <c r="CA216" s="9"/>
      <c r="CB216" s="9"/>
      <c r="CC216" s="9"/>
      <c r="CD216" s="9"/>
      <c r="CE216" s="9"/>
      <c r="CF216" s="9"/>
      <c r="CG216" s="9"/>
      <c r="CH216" s="9">
        <v>1</v>
      </c>
      <c r="CI216" s="9">
        <v>0</v>
      </c>
      <c r="CJ216" s="9"/>
      <c r="CK216" s="9"/>
      <c r="CL216" s="9" t="s">
        <v>2135</v>
      </c>
      <c r="CM216" s="9"/>
      <c r="CN216" s="9">
        <v>0</v>
      </c>
      <c r="CO216" s="9" t="s">
        <v>1925</v>
      </c>
      <c r="CP216" s="9" t="s">
        <v>2184</v>
      </c>
      <c r="CQ216" s="9">
        <v>0</v>
      </c>
    </row>
    <row r="217" spans="1:95" x14ac:dyDescent="0.35">
      <c r="A217" s="9" t="b">
        <f>ISNUMBER(MATCH(Claude[[#This Row],[Id]],ChargentOrders[Id],0))</f>
        <v>1</v>
      </c>
      <c r="B217" t="b">
        <f>INDEX(ChargentOrders[VALIDO],MATCH(Claude[[#This Row],[Id]],ChargentOrders[Id],0))</f>
        <v>1</v>
      </c>
      <c r="C217">
        <f>INDEX(Contract[CB_Subscription__c],MATCH(Claude[[#This Row],[Contract__c]],Contract[Id],0))</f>
        <v>0</v>
      </c>
      <c r="D217" s="9" t="s">
        <v>729</v>
      </c>
      <c r="E217" s="9" t="s">
        <v>79</v>
      </c>
      <c r="F217" s="9">
        <v>0</v>
      </c>
      <c r="G217" s="9" t="s">
        <v>730</v>
      </c>
      <c r="H217" s="9">
        <v>46031.596064814818</v>
      </c>
      <c r="I217" s="9" t="s">
        <v>79</v>
      </c>
      <c r="J217" s="9">
        <v>46031.596134259256</v>
      </c>
      <c r="K217" s="9" t="s">
        <v>79</v>
      </c>
      <c r="L217" s="9">
        <v>46031.596134259256</v>
      </c>
      <c r="M217" s="9"/>
      <c r="N217" s="9"/>
      <c r="O217" s="9" t="s">
        <v>2185</v>
      </c>
      <c r="P217" s="9" t="s">
        <v>2186</v>
      </c>
      <c r="Q217" s="9" t="s">
        <v>1925</v>
      </c>
      <c r="R217" s="9" t="s">
        <v>1751</v>
      </c>
      <c r="S217" s="9" t="s">
        <v>2187</v>
      </c>
      <c r="T217" s="9" t="s">
        <v>2029</v>
      </c>
      <c r="U217" s="9" t="s">
        <v>1928</v>
      </c>
      <c r="V217" s="9">
        <v>692</v>
      </c>
      <c r="W217" s="9">
        <v>9</v>
      </c>
      <c r="X217" s="9">
        <v>2028</v>
      </c>
      <c r="Y217" s="9">
        <v>799</v>
      </c>
      <c r="Z217" s="9">
        <v>9</v>
      </c>
      <c r="AA217" s="9">
        <v>4549516761820790</v>
      </c>
      <c r="AB217" s="9" t="s">
        <v>73</v>
      </c>
      <c r="AC217" s="9">
        <v>2028</v>
      </c>
      <c r="AD217" s="9" t="s">
        <v>93</v>
      </c>
      <c r="AE217" s="9"/>
      <c r="AF217" s="9" t="s">
        <v>1929</v>
      </c>
      <c r="AG217" s="9"/>
      <c r="AH217" s="9" t="s">
        <v>67</v>
      </c>
      <c r="AI217" s="9">
        <v>0</v>
      </c>
      <c r="AJ217" s="9"/>
      <c r="AK217" s="9">
        <v>0</v>
      </c>
      <c r="AL217" s="9" t="s">
        <v>1930</v>
      </c>
      <c r="AM217" s="9"/>
      <c r="AN217" s="9"/>
      <c r="AO217" s="9" t="s">
        <v>1931</v>
      </c>
      <c r="AP217" s="9" t="s">
        <v>69</v>
      </c>
      <c r="AQ217" s="9" t="s">
        <v>1932</v>
      </c>
      <c r="AR217" s="9"/>
      <c r="AS217" s="9"/>
      <c r="AT217" s="9"/>
      <c r="AU217" s="9" t="s">
        <v>92</v>
      </c>
      <c r="AV217" s="9">
        <v>0</v>
      </c>
      <c r="AW217" s="9"/>
      <c r="AX217" s="9" t="s">
        <v>731</v>
      </c>
      <c r="AY217" s="9">
        <v>0</v>
      </c>
      <c r="AZ217" s="9"/>
      <c r="BA217" s="9">
        <v>46031.596087962964</v>
      </c>
      <c r="BB217" s="9">
        <v>0</v>
      </c>
      <c r="BC217" s="9">
        <v>1</v>
      </c>
      <c r="BD217" s="9">
        <v>0</v>
      </c>
      <c r="BE217" s="9" t="s">
        <v>732</v>
      </c>
      <c r="BF217" s="9"/>
      <c r="BG217" s="9"/>
      <c r="BH217" s="9">
        <v>0</v>
      </c>
      <c r="BI217" s="9"/>
      <c r="BJ217" s="9">
        <v>1</v>
      </c>
      <c r="BK217" s="9"/>
      <c r="BL217" s="9"/>
      <c r="BM217" s="9" t="s">
        <v>75</v>
      </c>
      <c r="BN217" s="9"/>
      <c r="BO217" s="9">
        <v>0</v>
      </c>
      <c r="BP217" s="9"/>
      <c r="BQ217" s="9">
        <v>1</v>
      </c>
      <c r="BR217" s="9"/>
      <c r="BS217" s="9"/>
      <c r="BT217" s="9"/>
      <c r="BU217" s="9"/>
      <c r="BV217" s="9"/>
      <c r="BW217" s="9">
        <v>0</v>
      </c>
      <c r="BX217" s="9"/>
      <c r="BY217" s="9">
        <v>46031.596087962964</v>
      </c>
      <c r="BZ217" s="9"/>
      <c r="CA217" s="9"/>
      <c r="CB217" s="9"/>
      <c r="CC217" s="9"/>
      <c r="CD217" s="9"/>
      <c r="CE217" s="9"/>
      <c r="CF217" s="9"/>
      <c r="CG217" s="9"/>
      <c r="CH217" s="9">
        <v>1</v>
      </c>
      <c r="CI217" s="9">
        <v>0</v>
      </c>
      <c r="CJ217" s="9"/>
      <c r="CK217" s="9"/>
      <c r="CL217" s="9" t="s">
        <v>2188</v>
      </c>
      <c r="CM217" s="9"/>
      <c r="CN217" s="9">
        <v>0</v>
      </c>
      <c r="CO217" s="9" t="s">
        <v>1925</v>
      </c>
      <c r="CP217" s="9"/>
      <c r="CQ217" s="9"/>
    </row>
    <row r="218" spans="1:95" x14ac:dyDescent="0.35">
      <c r="A218" s="9" t="b">
        <f>ISNUMBER(MATCH(Claude[[#This Row],[Id]],ChargentOrders[Id],0))</f>
        <v>1</v>
      </c>
      <c r="B218" t="b">
        <f>INDEX(ChargentOrders[VALIDO],MATCH(Claude[[#This Row],[Id]],ChargentOrders[Id],0))</f>
        <v>1</v>
      </c>
      <c r="C218">
        <f>INDEX(Contract[CB_Subscription__c],MATCH(Claude[[#This Row],[Contract__c]],Contract[Id],0))</f>
        <v>0</v>
      </c>
      <c r="D218" s="9" t="s">
        <v>733</v>
      </c>
      <c r="E218" s="9" t="s">
        <v>79</v>
      </c>
      <c r="F218" s="9">
        <v>0</v>
      </c>
      <c r="G218" s="9" t="s">
        <v>734</v>
      </c>
      <c r="H218" s="9">
        <v>46031.596585648149</v>
      </c>
      <c r="I218" s="9" t="s">
        <v>79</v>
      </c>
      <c r="J218" s="9">
        <v>46050.462650462963</v>
      </c>
      <c r="K218" s="9" t="s">
        <v>78</v>
      </c>
      <c r="L218" s="9">
        <v>46050.462650462963</v>
      </c>
      <c r="M218" s="9"/>
      <c r="N218" s="9" t="s">
        <v>1753</v>
      </c>
      <c r="O218" s="9" t="s">
        <v>2185</v>
      </c>
      <c r="P218" s="9" t="s">
        <v>2186</v>
      </c>
      <c r="Q218" s="9" t="s">
        <v>1925</v>
      </c>
      <c r="R218" s="9" t="s">
        <v>1751</v>
      </c>
      <c r="S218" s="9" t="s">
        <v>2187</v>
      </c>
      <c r="T218" s="9" t="s">
        <v>2029</v>
      </c>
      <c r="U218" s="9" t="s">
        <v>1928</v>
      </c>
      <c r="V218" s="9">
        <v>692</v>
      </c>
      <c r="W218" s="9">
        <v>9</v>
      </c>
      <c r="X218" s="9">
        <v>2028</v>
      </c>
      <c r="Y218" s="9">
        <v>799</v>
      </c>
      <c r="Z218" s="9">
        <v>9</v>
      </c>
      <c r="AA218" s="9">
        <v>4549516761820790</v>
      </c>
      <c r="AB218" s="9" t="s">
        <v>73</v>
      </c>
      <c r="AC218" s="9">
        <v>2028</v>
      </c>
      <c r="AD218" s="9" t="s">
        <v>2189</v>
      </c>
      <c r="AE218" s="9"/>
      <c r="AF218" s="9" t="s">
        <v>1929</v>
      </c>
      <c r="AG218" s="9"/>
      <c r="AH218" s="9" t="s">
        <v>67</v>
      </c>
      <c r="AI218" s="9">
        <v>0</v>
      </c>
      <c r="AJ218" s="9"/>
      <c r="AK218" s="9">
        <v>0</v>
      </c>
      <c r="AL218" s="9" t="s">
        <v>1930</v>
      </c>
      <c r="AM218" s="9" t="s">
        <v>1958</v>
      </c>
      <c r="AN218" s="9">
        <v>46041</v>
      </c>
      <c r="AO218" s="9" t="s">
        <v>1931</v>
      </c>
      <c r="AP218" s="9" t="s">
        <v>69</v>
      </c>
      <c r="AQ218" s="9" t="s">
        <v>1932</v>
      </c>
      <c r="AR218" s="9">
        <v>46045</v>
      </c>
      <c r="AS218" s="9" t="s">
        <v>74</v>
      </c>
      <c r="AT218" s="9" t="s">
        <v>1935</v>
      </c>
      <c r="AU218" s="9" t="s">
        <v>2190</v>
      </c>
      <c r="AV218" s="9">
        <v>0</v>
      </c>
      <c r="AW218" s="9" t="s">
        <v>93</v>
      </c>
      <c r="AX218" s="9" t="s">
        <v>731</v>
      </c>
      <c r="AY218" s="9">
        <v>0</v>
      </c>
      <c r="AZ218" s="9">
        <v>46046.417303240742</v>
      </c>
      <c r="BA218" s="9">
        <v>46050.462638888886</v>
      </c>
      <c r="BB218" s="9">
        <v>5</v>
      </c>
      <c r="BC218" s="9">
        <v>14</v>
      </c>
      <c r="BD218" s="9" t="s">
        <v>2191</v>
      </c>
      <c r="BE218" s="9" t="s">
        <v>732</v>
      </c>
      <c r="BF218" s="9" t="s">
        <v>77</v>
      </c>
      <c r="BG218" s="9"/>
      <c r="BH218" s="9">
        <v>0</v>
      </c>
      <c r="BI218" s="9"/>
      <c r="BJ218" s="9">
        <v>1</v>
      </c>
      <c r="BK218" s="9" t="s">
        <v>92</v>
      </c>
      <c r="BL218" s="9" t="s">
        <v>92</v>
      </c>
      <c r="BM218" s="9" t="s">
        <v>75</v>
      </c>
      <c r="BN218" s="9"/>
      <c r="BO218" s="9">
        <v>0</v>
      </c>
      <c r="BP218" s="9"/>
      <c r="BQ218" s="9">
        <v>0</v>
      </c>
      <c r="BR218" s="9"/>
      <c r="BS218" s="9"/>
      <c r="BT218" s="9"/>
      <c r="BU218" s="9"/>
      <c r="BV218" s="9"/>
      <c r="BW218" s="9">
        <v>0</v>
      </c>
      <c r="BX218" s="9">
        <v>46044.618263888886</v>
      </c>
      <c r="BY218" s="9">
        <v>46050.462638888886</v>
      </c>
      <c r="BZ218" s="9"/>
      <c r="CA218" s="9"/>
      <c r="CB218" s="9"/>
      <c r="CC218" s="9"/>
      <c r="CD218" s="9"/>
      <c r="CE218" s="9"/>
      <c r="CF218" s="9"/>
      <c r="CG218" s="9"/>
      <c r="CH218" s="9">
        <v>1</v>
      </c>
      <c r="CI218" s="9">
        <v>0</v>
      </c>
      <c r="CJ218" s="9"/>
      <c r="CK218" s="9"/>
      <c r="CL218" s="9" t="s">
        <v>2188</v>
      </c>
      <c r="CM218" s="9"/>
      <c r="CN218" s="9">
        <v>0</v>
      </c>
      <c r="CO218" s="9" t="s">
        <v>1925</v>
      </c>
      <c r="CP218" s="9"/>
      <c r="CQ218" s="9"/>
    </row>
    <row r="219" spans="1:95" x14ac:dyDescent="0.35">
      <c r="A219" s="9" t="b">
        <f>ISNUMBER(MATCH(Claude[[#This Row],[Id]],ChargentOrders[Id],0))</f>
        <v>1</v>
      </c>
      <c r="B219" t="b">
        <f>INDEX(ChargentOrders[VALIDO],MATCH(Claude[[#This Row],[Id]],ChargentOrders[Id],0))</f>
        <v>1</v>
      </c>
      <c r="C219">
        <f>INDEX(Contract[CB_Subscription__c],MATCH(Claude[[#This Row],[Contract__c]],Contract[Id],0))</f>
        <v>0</v>
      </c>
      <c r="D219" s="9" t="s">
        <v>735</v>
      </c>
      <c r="E219" s="9" t="s">
        <v>79</v>
      </c>
      <c r="F219" s="9">
        <v>0</v>
      </c>
      <c r="G219" s="9" t="s">
        <v>736</v>
      </c>
      <c r="H219" s="9">
        <v>46031.596585648149</v>
      </c>
      <c r="I219" s="9" t="s">
        <v>79</v>
      </c>
      <c r="J219" s="9">
        <v>46050.468055555553</v>
      </c>
      <c r="K219" s="9" t="s">
        <v>78</v>
      </c>
      <c r="L219" s="9">
        <v>46050.468055555553</v>
      </c>
      <c r="M219" s="9"/>
      <c r="N219" s="9" t="s">
        <v>1753</v>
      </c>
      <c r="O219" s="9" t="s">
        <v>2185</v>
      </c>
      <c r="P219" s="9" t="s">
        <v>2186</v>
      </c>
      <c r="Q219" s="9" t="s">
        <v>1925</v>
      </c>
      <c r="R219" s="9" t="s">
        <v>1751</v>
      </c>
      <c r="S219" s="9" t="s">
        <v>2187</v>
      </c>
      <c r="T219" s="9" t="s">
        <v>2029</v>
      </c>
      <c r="U219" s="9" t="s">
        <v>1928</v>
      </c>
      <c r="V219" s="9">
        <v>692</v>
      </c>
      <c r="W219" s="9">
        <v>9</v>
      </c>
      <c r="X219" s="9">
        <v>2028</v>
      </c>
      <c r="Y219" s="9">
        <v>799</v>
      </c>
      <c r="Z219" s="9">
        <v>9</v>
      </c>
      <c r="AA219" s="9">
        <v>4549516761820790</v>
      </c>
      <c r="AB219" s="9" t="s">
        <v>73</v>
      </c>
      <c r="AC219" s="9">
        <v>2028</v>
      </c>
      <c r="AD219" s="9">
        <v>149500</v>
      </c>
      <c r="AE219" s="9"/>
      <c r="AF219" s="9" t="s">
        <v>1929</v>
      </c>
      <c r="AG219" s="9"/>
      <c r="AH219" s="9" t="s">
        <v>67</v>
      </c>
      <c r="AI219" s="9">
        <v>0</v>
      </c>
      <c r="AJ219" s="9"/>
      <c r="AK219" s="9">
        <v>0</v>
      </c>
      <c r="AL219" s="9" t="s">
        <v>1930</v>
      </c>
      <c r="AM219" s="9">
        <v>1</v>
      </c>
      <c r="AN219" s="9"/>
      <c r="AO219" s="9" t="s">
        <v>1931</v>
      </c>
      <c r="AP219" s="9" t="s">
        <v>69</v>
      </c>
      <c r="AQ219" s="9" t="s">
        <v>1932</v>
      </c>
      <c r="AR219" s="9">
        <v>46052</v>
      </c>
      <c r="AS219" s="9" t="s">
        <v>70</v>
      </c>
      <c r="AT219" s="9" t="s">
        <v>1935</v>
      </c>
      <c r="AU219" s="9" t="s">
        <v>2189</v>
      </c>
      <c r="AV219" s="9">
        <v>0</v>
      </c>
      <c r="AW219" s="9" t="s">
        <v>2192</v>
      </c>
      <c r="AX219" s="9" t="s">
        <v>731</v>
      </c>
      <c r="AY219" s="9">
        <v>0</v>
      </c>
      <c r="AZ219" s="9"/>
      <c r="BA219" s="9"/>
      <c r="BB219" s="9">
        <v>0</v>
      </c>
      <c r="BC219" s="9">
        <v>0</v>
      </c>
      <c r="BD219" s="9">
        <v>0</v>
      </c>
      <c r="BE219" s="9" t="s">
        <v>732</v>
      </c>
      <c r="BF219" s="9" t="s">
        <v>77</v>
      </c>
      <c r="BG219" s="9"/>
      <c r="BH219" s="9">
        <v>0</v>
      </c>
      <c r="BI219" s="9"/>
      <c r="BJ219" s="9">
        <v>1</v>
      </c>
      <c r="BK219" s="9" t="s">
        <v>92</v>
      </c>
      <c r="BL219" s="9" t="s">
        <v>92</v>
      </c>
      <c r="BM219" s="9" t="s">
        <v>75</v>
      </c>
      <c r="BN219" s="9"/>
      <c r="BO219" s="9">
        <v>0</v>
      </c>
      <c r="BP219" s="9"/>
      <c r="BQ219" s="9">
        <v>0</v>
      </c>
      <c r="BR219" s="9"/>
      <c r="BS219" s="9"/>
      <c r="BT219" s="9"/>
      <c r="BU219" s="9"/>
      <c r="BV219" s="9"/>
      <c r="BW219" s="9">
        <v>0</v>
      </c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>
        <v>1</v>
      </c>
      <c r="CI219" s="9">
        <v>0</v>
      </c>
      <c r="CJ219" s="9"/>
      <c r="CK219" s="9"/>
      <c r="CL219" s="9" t="s">
        <v>2188</v>
      </c>
      <c r="CM219" s="9"/>
      <c r="CN219" s="9">
        <v>0</v>
      </c>
      <c r="CO219" s="9" t="s">
        <v>1925</v>
      </c>
      <c r="CP219" s="9"/>
      <c r="CQ219" s="9"/>
    </row>
    <row r="220" spans="1:95" x14ac:dyDescent="0.35">
      <c r="A220" s="9" t="b">
        <f>ISNUMBER(MATCH(Claude[[#This Row],[Id]],ChargentOrders[Id],0))</f>
        <v>1</v>
      </c>
      <c r="B220" t="b">
        <f>INDEX(ChargentOrders[VALIDO],MATCH(Claude[[#This Row],[Id]],ChargentOrders[Id],0))</f>
        <v>1</v>
      </c>
      <c r="C220">
        <f>INDEX(Contract[CB_Subscription__c],MATCH(Claude[[#This Row],[Contract__c]],Contract[Id],0))</f>
        <v>0</v>
      </c>
      <c r="D220" s="9" t="s">
        <v>737</v>
      </c>
      <c r="E220" s="9" t="s">
        <v>101</v>
      </c>
      <c r="F220" s="9">
        <v>0</v>
      </c>
      <c r="G220" s="9" t="s">
        <v>738</v>
      </c>
      <c r="H220" s="9">
        <v>46031.672384259262</v>
      </c>
      <c r="I220" s="9" t="s">
        <v>101</v>
      </c>
      <c r="J220" s="9">
        <v>46031.672465277778</v>
      </c>
      <c r="K220" s="9" t="s">
        <v>101</v>
      </c>
      <c r="L220" s="9">
        <v>46031.672465277778</v>
      </c>
      <c r="M220" s="9"/>
      <c r="N220" s="9"/>
      <c r="O220" s="9" t="s">
        <v>2178</v>
      </c>
      <c r="P220" s="9" t="s">
        <v>2179</v>
      </c>
      <c r="Q220" s="9" t="s">
        <v>1925</v>
      </c>
      <c r="R220" s="9" t="s">
        <v>1746</v>
      </c>
      <c r="S220" s="9" t="s">
        <v>2045</v>
      </c>
      <c r="T220" s="9" t="s">
        <v>2193</v>
      </c>
      <c r="U220" s="9" t="s">
        <v>2182</v>
      </c>
      <c r="V220" s="9">
        <v>32822</v>
      </c>
      <c r="W220" s="9">
        <v>11</v>
      </c>
      <c r="X220" s="9">
        <v>2030</v>
      </c>
      <c r="Y220" s="9">
        <v>9468</v>
      </c>
      <c r="Z220" s="9">
        <v>11</v>
      </c>
      <c r="AA220" s="9"/>
      <c r="AB220" s="9" t="s">
        <v>66</v>
      </c>
      <c r="AC220" s="9">
        <v>2030</v>
      </c>
      <c r="AD220" s="9" t="s">
        <v>93</v>
      </c>
      <c r="AE220" s="9"/>
      <c r="AF220" s="9" t="s">
        <v>1929</v>
      </c>
      <c r="AG220" s="9"/>
      <c r="AH220" s="9" t="s">
        <v>107</v>
      </c>
      <c r="AI220" s="9">
        <v>0</v>
      </c>
      <c r="AJ220" s="9"/>
      <c r="AK220" s="9">
        <v>0</v>
      </c>
      <c r="AL220" s="9" t="s">
        <v>1930</v>
      </c>
      <c r="AM220" s="9"/>
      <c r="AN220" s="9"/>
      <c r="AO220" s="9" t="s">
        <v>1931</v>
      </c>
      <c r="AP220" s="9" t="s">
        <v>69</v>
      </c>
      <c r="AQ220" s="9" t="s">
        <v>1932</v>
      </c>
      <c r="AR220" s="9"/>
      <c r="AS220" s="9"/>
      <c r="AT220" s="9"/>
      <c r="AU220" s="9" t="s">
        <v>92</v>
      </c>
      <c r="AV220" s="9">
        <v>0</v>
      </c>
      <c r="AW220" s="9"/>
      <c r="AX220" s="9" t="s">
        <v>722</v>
      </c>
      <c r="AY220" s="9">
        <v>0</v>
      </c>
      <c r="AZ220" s="9"/>
      <c r="BA220" s="9">
        <v>46031.672430555554</v>
      </c>
      <c r="BB220" s="9">
        <v>0</v>
      </c>
      <c r="BC220" s="9">
        <v>1</v>
      </c>
      <c r="BD220" s="9">
        <v>0</v>
      </c>
      <c r="BE220" s="9" t="s">
        <v>717</v>
      </c>
      <c r="BF220" s="9"/>
      <c r="BG220" s="9"/>
      <c r="BH220" s="9">
        <v>0</v>
      </c>
      <c r="BI220" s="9"/>
      <c r="BJ220" s="9">
        <v>1</v>
      </c>
      <c r="BK220" s="9"/>
      <c r="BL220" s="9"/>
      <c r="BM220" s="9" t="s">
        <v>75</v>
      </c>
      <c r="BN220" s="9"/>
      <c r="BO220" s="9">
        <v>0</v>
      </c>
      <c r="BP220" s="9"/>
      <c r="BQ220" s="9">
        <v>1</v>
      </c>
      <c r="BR220" s="9"/>
      <c r="BS220" s="9"/>
      <c r="BT220" s="9"/>
      <c r="BU220" s="9"/>
      <c r="BV220" s="9"/>
      <c r="BW220" s="9">
        <v>0</v>
      </c>
      <c r="BX220" s="9"/>
      <c r="BY220" s="9">
        <v>46031.672418981485</v>
      </c>
      <c r="BZ220" s="9"/>
      <c r="CA220" s="9"/>
      <c r="CB220" s="9"/>
      <c r="CC220" s="9"/>
      <c r="CD220" s="9"/>
      <c r="CE220" s="9"/>
      <c r="CF220" s="9"/>
      <c r="CG220" s="9"/>
      <c r="CH220" s="9">
        <v>1</v>
      </c>
      <c r="CI220" s="9">
        <v>0</v>
      </c>
      <c r="CJ220" s="9"/>
      <c r="CK220" s="9"/>
      <c r="CL220" s="9" t="s">
        <v>2183</v>
      </c>
      <c r="CM220" s="9"/>
      <c r="CN220" s="9">
        <v>0</v>
      </c>
      <c r="CO220" s="9" t="s">
        <v>1925</v>
      </c>
      <c r="CP220" s="9"/>
      <c r="CQ220" s="9"/>
    </row>
    <row r="221" spans="1:95" x14ac:dyDescent="0.35">
      <c r="A221" s="9" t="b">
        <f>ISNUMBER(MATCH(Claude[[#This Row],[Id]],ChargentOrders[Id],0))</f>
        <v>1</v>
      </c>
      <c r="B221" t="b">
        <f>INDEX(ChargentOrders[VALIDO],MATCH(Claude[[#This Row],[Id]],ChargentOrders[Id],0))</f>
        <v>1</v>
      </c>
      <c r="C221">
        <f>INDEX(Contract[CB_Subscription__c],MATCH(Claude[[#This Row],[Contract__c]],Contract[Id],0))</f>
        <v>0</v>
      </c>
      <c r="D221" s="9" t="s">
        <v>739</v>
      </c>
      <c r="E221" s="9" t="s">
        <v>155</v>
      </c>
      <c r="F221" s="9">
        <v>0</v>
      </c>
      <c r="G221" s="9" t="s">
        <v>740</v>
      </c>
      <c r="H221" s="9">
        <v>46031.672777777778</v>
      </c>
      <c r="I221" s="9" t="s">
        <v>101</v>
      </c>
      <c r="J221" s="9">
        <v>46153.916643518518</v>
      </c>
      <c r="K221" s="9" t="s">
        <v>101</v>
      </c>
      <c r="L221" s="9">
        <v>46153.916643518518</v>
      </c>
      <c r="M221" s="9"/>
      <c r="N221" s="9" t="s">
        <v>1748</v>
      </c>
      <c r="O221" s="9" t="s">
        <v>2178</v>
      </c>
      <c r="P221" s="9" t="s">
        <v>2179</v>
      </c>
      <c r="Q221" s="9" t="s">
        <v>2180</v>
      </c>
      <c r="R221" s="9" t="s">
        <v>1746</v>
      </c>
      <c r="S221" s="9" t="s">
        <v>2045</v>
      </c>
      <c r="T221" s="9" t="s">
        <v>2181</v>
      </c>
      <c r="U221" s="9" t="s">
        <v>2182</v>
      </c>
      <c r="V221" s="9">
        <v>32822</v>
      </c>
      <c r="W221" s="9">
        <v>1</v>
      </c>
      <c r="X221" s="9">
        <v>2031</v>
      </c>
      <c r="Y221" s="9">
        <v>7090</v>
      </c>
      <c r="Z221" s="9">
        <v>1</v>
      </c>
      <c r="AA221" s="9"/>
      <c r="AB221" s="9" t="s">
        <v>73</v>
      </c>
      <c r="AC221" s="9">
        <v>2031</v>
      </c>
      <c r="AD221" s="9" t="s">
        <v>167</v>
      </c>
      <c r="AE221" s="9">
        <v>12</v>
      </c>
      <c r="AF221" s="9" t="s">
        <v>1929</v>
      </c>
      <c r="AG221" s="9"/>
      <c r="AH221" s="9" t="s">
        <v>107</v>
      </c>
      <c r="AI221" s="9">
        <v>0</v>
      </c>
      <c r="AJ221" s="9"/>
      <c r="AK221" s="9">
        <v>0</v>
      </c>
      <c r="AL221" s="9" t="s">
        <v>1930</v>
      </c>
      <c r="AM221" s="9">
        <v>1</v>
      </c>
      <c r="AN221" s="9">
        <v>46034</v>
      </c>
      <c r="AO221" s="9" t="s">
        <v>1943</v>
      </c>
      <c r="AP221" s="9" t="s">
        <v>69</v>
      </c>
      <c r="AQ221" s="9" t="s">
        <v>1932</v>
      </c>
      <c r="AR221" s="9">
        <v>46185</v>
      </c>
      <c r="AS221" s="9" t="s">
        <v>74</v>
      </c>
      <c r="AT221" s="9" t="s">
        <v>1944</v>
      </c>
      <c r="AU221" s="9" t="s">
        <v>167</v>
      </c>
      <c r="AV221" s="9">
        <v>0</v>
      </c>
      <c r="AW221" s="9" t="s">
        <v>93</v>
      </c>
      <c r="AX221" s="9" t="s">
        <v>741</v>
      </c>
      <c r="AY221" s="9">
        <v>0</v>
      </c>
      <c r="AZ221" s="9">
        <v>46153.916620370372</v>
      </c>
      <c r="BA221" s="9">
        <v>46153.916620370372</v>
      </c>
      <c r="BB221" s="9">
        <v>1</v>
      </c>
      <c r="BC221" s="9">
        <v>4</v>
      </c>
      <c r="BD221" s="9" t="s">
        <v>167</v>
      </c>
      <c r="BE221" s="9" t="s">
        <v>717</v>
      </c>
      <c r="BF221" s="9" t="s">
        <v>76</v>
      </c>
      <c r="BG221" s="9"/>
      <c r="BH221" s="9">
        <v>0</v>
      </c>
      <c r="BI221" s="9"/>
      <c r="BJ221" s="9">
        <v>5</v>
      </c>
      <c r="BK221" s="9" t="s">
        <v>92</v>
      </c>
      <c r="BL221" s="9" t="s">
        <v>92</v>
      </c>
      <c r="BM221" s="9" t="s">
        <v>72</v>
      </c>
      <c r="BN221" s="9"/>
      <c r="BO221" s="9">
        <v>0</v>
      </c>
      <c r="BP221" s="9"/>
      <c r="BQ221" s="9">
        <v>0</v>
      </c>
      <c r="BR221" s="9">
        <v>46031.663206018522</v>
      </c>
      <c r="BS221" s="9" t="s">
        <v>92</v>
      </c>
      <c r="BT221" s="9" t="s">
        <v>155</v>
      </c>
      <c r="BU221" s="9"/>
      <c r="BV221" s="9"/>
      <c r="BW221" s="9">
        <v>0</v>
      </c>
      <c r="BX221" s="9"/>
      <c r="BY221" s="9">
        <v>46153.916620370372</v>
      </c>
      <c r="BZ221" s="9"/>
      <c r="CA221" s="9"/>
      <c r="CB221" s="9"/>
      <c r="CC221" s="9"/>
      <c r="CD221" s="9"/>
      <c r="CE221" s="9"/>
      <c r="CF221" s="9"/>
      <c r="CG221" s="9"/>
      <c r="CH221" s="9">
        <v>1</v>
      </c>
      <c r="CI221" s="9">
        <v>0</v>
      </c>
      <c r="CJ221" s="9"/>
      <c r="CK221" s="9"/>
      <c r="CL221" s="9" t="s">
        <v>2183</v>
      </c>
      <c r="CM221" s="9"/>
      <c r="CN221" s="9">
        <v>0</v>
      </c>
      <c r="CO221" s="9" t="s">
        <v>1925</v>
      </c>
      <c r="CP221" s="9"/>
      <c r="CQ221" s="9"/>
    </row>
    <row r="222" spans="1:95" x14ac:dyDescent="0.35">
      <c r="A222" s="9" t="b">
        <f>ISNUMBER(MATCH(Claude[[#This Row],[Id]],ChargentOrders[Id],0))</f>
        <v>1</v>
      </c>
      <c r="B222" t="b">
        <f>INDEX(ChargentOrders[VALIDO],MATCH(Claude[[#This Row],[Id]],ChargentOrders[Id],0))</f>
        <v>1</v>
      </c>
      <c r="C222">
        <f>INDEX(Contract[CB_Subscription__c],MATCH(Claude[[#This Row],[Contract__c]],Contract[Id],0))</f>
        <v>0</v>
      </c>
      <c r="D222" s="9" t="s">
        <v>742</v>
      </c>
      <c r="E222" s="9" t="s">
        <v>81</v>
      </c>
      <c r="F222" s="9">
        <v>0</v>
      </c>
      <c r="G222" s="9" t="s">
        <v>743</v>
      </c>
      <c r="H222" s="9">
        <v>46036.78052083333</v>
      </c>
      <c r="I222" s="9" t="s">
        <v>81</v>
      </c>
      <c r="J222" s="9">
        <v>46036.780578703707</v>
      </c>
      <c r="K222" s="9" t="s">
        <v>81</v>
      </c>
      <c r="L222" s="9">
        <v>46036.780578703707</v>
      </c>
      <c r="M222" s="9"/>
      <c r="N222" s="9"/>
      <c r="O222" s="9" t="s">
        <v>2194</v>
      </c>
      <c r="P222" s="9" t="s">
        <v>2066</v>
      </c>
      <c r="Q222" s="9" t="s">
        <v>1925</v>
      </c>
      <c r="R222" s="9" t="s">
        <v>1756</v>
      </c>
      <c r="S222" s="9" t="s">
        <v>2195</v>
      </c>
      <c r="T222" s="9" t="s">
        <v>2196</v>
      </c>
      <c r="U222" s="9" t="s">
        <v>1928</v>
      </c>
      <c r="V222" s="9">
        <v>956</v>
      </c>
      <c r="W222" s="9">
        <v>12</v>
      </c>
      <c r="X222" s="9">
        <v>2030</v>
      </c>
      <c r="Y222" s="9">
        <v>7054</v>
      </c>
      <c r="Z222" s="9">
        <v>12</v>
      </c>
      <c r="AA222" s="9">
        <v>4549519221367050</v>
      </c>
      <c r="AB222" s="9" t="s">
        <v>73</v>
      </c>
      <c r="AC222" s="9">
        <v>2030</v>
      </c>
      <c r="AD222" s="9" t="s">
        <v>93</v>
      </c>
      <c r="AE222" s="9"/>
      <c r="AF222" s="9" t="s">
        <v>1929</v>
      </c>
      <c r="AG222" s="9"/>
      <c r="AH222" s="9" t="s">
        <v>67</v>
      </c>
      <c r="AI222" s="9">
        <v>0</v>
      </c>
      <c r="AJ222" s="9"/>
      <c r="AK222" s="9">
        <v>0</v>
      </c>
      <c r="AL222" s="9" t="s">
        <v>1930</v>
      </c>
      <c r="AM222" s="9"/>
      <c r="AN222" s="9"/>
      <c r="AO222" s="9" t="s">
        <v>1931</v>
      </c>
      <c r="AP222" s="9" t="s">
        <v>69</v>
      </c>
      <c r="AQ222" s="9" t="s">
        <v>1932</v>
      </c>
      <c r="AR222" s="9"/>
      <c r="AS222" s="9"/>
      <c r="AT222" s="9"/>
      <c r="AU222" s="9" t="s">
        <v>92</v>
      </c>
      <c r="AV222" s="9">
        <v>0</v>
      </c>
      <c r="AW222" s="9"/>
      <c r="AX222" s="9" t="s">
        <v>744</v>
      </c>
      <c r="AY222" s="9">
        <v>0</v>
      </c>
      <c r="AZ222" s="9"/>
      <c r="BA222" s="9">
        <v>46036.780543981484</v>
      </c>
      <c r="BB222" s="9">
        <v>0</v>
      </c>
      <c r="BC222" s="9">
        <v>1</v>
      </c>
      <c r="BD222" s="9">
        <v>0</v>
      </c>
      <c r="BE222" s="9" t="s">
        <v>745</v>
      </c>
      <c r="BF222" s="9"/>
      <c r="BG222" s="9"/>
      <c r="BH222" s="9">
        <v>0</v>
      </c>
      <c r="BI222" s="9"/>
      <c r="BJ222" s="9">
        <v>1</v>
      </c>
      <c r="BK222" s="9"/>
      <c r="BL222" s="9"/>
      <c r="BM222" s="9" t="s">
        <v>75</v>
      </c>
      <c r="BN222" s="9"/>
      <c r="BO222" s="9">
        <v>0</v>
      </c>
      <c r="BP222" s="9"/>
      <c r="BQ222" s="9">
        <v>1</v>
      </c>
      <c r="BR222" s="9"/>
      <c r="BS222" s="9"/>
      <c r="BT222" s="9"/>
      <c r="BU222" s="9"/>
      <c r="BV222" s="9"/>
      <c r="BW222" s="9">
        <v>0</v>
      </c>
      <c r="BX222" s="9"/>
      <c r="BY222" s="9">
        <v>46036.780543981484</v>
      </c>
      <c r="BZ222" s="9"/>
      <c r="CA222" s="9"/>
      <c r="CB222" s="9"/>
      <c r="CC222" s="9"/>
      <c r="CD222" s="9"/>
      <c r="CE222" s="9"/>
      <c r="CF222" s="9"/>
      <c r="CG222" s="9"/>
      <c r="CH222" s="9">
        <v>1</v>
      </c>
      <c r="CI222" s="9">
        <v>0</v>
      </c>
      <c r="CJ222" s="9"/>
      <c r="CK222" s="9"/>
      <c r="CL222" s="9" t="s">
        <v>2197</v>
      </c>
      <c r="CM222" s="9"/>
      <c r="CN222" s="9">
        <v>0</v>
      </c>
      <c r="CO222" s="9" t="s">
        <v>1925</v>
      </c>
      <c r="CP222" s="9"/>
      <c r="CQ222" s="9"/>
    </row>
    <row r="223" spans="1:95" x14ac:dyDescent="0.35">
      <c r="A223" s="9" t="b">
        <f>ISNUMBER(MATCH(Claude[[#This Row],[Id]],ChargentOrders[Id],0))</f>
        <v>1</v>
      </c>
      <c r="B223" t="b">
        <f>INDEX(ChargentOrders[VALIDO],MATCH(Claude[[#This Row],[Id]],ChargentOrders[Id],0))</f>
        <v>1</v>
      </c>
      <c r="C223">
        <f>INDEX(Contract[CB_Subscription__c],MATCH(Claude[[#This Row],[Contract__c]],Contract[Id],0))</f>
        <v>0</v>
      </c>
      <c r="D223" s="9" t="s">
        <v>746</v>
      </c>
      <c r="E223" s="9" t="s">
        <v>81</v>
      </c>
      <c r="F223" s="9">
        <v>0</v>
      </c>
      <c r="G223" s="9" t="s">
        <v>747</v>
      </c>
      <c r="H223" s="9">
        <v>46036.781238425923</v>
      </c>
      <c r="I223" s="9" t="s">
        <v>81</v>
      </c>
      <c r="J223" s="9">
        <v>46036.800219907411</v>
      </c>
      <c r="K223" s="9" t="s">
        <v>81</v>
      </c>
      <c r="L223" s="9">
        <v>46036.800219907411</v>
      </c>
      <c r="M223" s="9"/>
      <c r="N223" s="9" t="s">
        <v>1758</v>
      </c>
      <c r="O223" s="9" t="s">
        <v>2194</v>
      </c>
      <c r="P223" s="9" t="s">
        <v>2066</v>
      </c>
      <c r="Q223" s="9" t="s">
        <v>1925</v>
      </c>
      <c r="R223" s="9" t="s">
        <v>1756</v>
      </c>
      <c r="S223" s="9" t="s">
        <v>2195</v>
      </c>
      <c r="T223" s="9" t="s">
        <v>2196</v>
      </c>
      <c r="U223" s="9" t="s">
        <v>1928</v>
      </c>
      <c r="V223" s="9">
        <v>956</v>
      </c>
      <c r="W223" s="9">
        <v>12</v>
      </c>
      <c r="X223" s="9">
        <v>2030</v>
      </c>
      <c r="Y223" s="9">
        <v>7054</v>
      </c>
      <c r="Z223" s="9">
        <v>12</v>
      </c>
      <c r="AA223" s="9">
        <v>4549519221367050</v>
      </c>
      <c r="AB223" s="9" t="s">
        <v>73</v>
      </c>
      <c r="AC223" s="9">
        <v>2030</v>
      </c>
      <c r="AD223" s="9" t="s">
        <v>1936</v>
      </c>
      <c r="AE223" s="9"/>
      <c r="AF223" s="9" t="s">
        <v>1929</v>
      </c>
      <c r="AG223" s="9"/>
      <c r="AH223" s="9" t="s">
        <v>67</v>
      </c>
      <c r="AI223" s="9">
        <v>0</v>
      </c>
      <c r="AJ223" s="9"/>
      <c r="AK223" s="9">
        <v>0</v>
      </c>
      <c r="AL223" s="9" t="s">
        <v>1930</v>
      </c>
      <c r="AM223" s="9">
        <v>1</v>
      </c>
      <c r="AN223" s="9"/>
      <c r="AO223" s="9" t="s">
        <v>1931</v>
      </c>
      <c r="AP223" s="9" t="s">
        <v>69</v>
      </c>
      <c r="AQ223" s="9" t="s">
        <v>1932</v>
      </c>
      <c r="AR223" s="9">
        <v>46036</v>
      </c>
      <c r="AS223" s="9" t="s">
        <v>74</v>
      </c>
      <c r="AT223" s="9" t="s">
        <v>1935</v>
      </c>
      <c r="AU223" s="9" t="s">
        <v>1936</v>
      </c>
      <c r="AV223" s="9">
        <v>0</v>
      </c>
      <c r="AW223" s="9" t="s">
        <v>93</v>
      </c>
      <c r="AX223" s="9" t="s">
        <v>744</v>
      </c>
      <c r="AY223" s="9">
        <v>0</v>
      </c>
      <c r="AZ223" s="9">
        <v>46036.800173611111</v>
      </c>
      <c r="BA223" s="9">
        <v>46036.800173611111</v>
      </c>
      <c r="BB223" s="9">
        <v>1</v>
      </c>
      <c r="BC223" s="9">
        <v>1</v>
      </c>
      <c r="BD223" s="9" t="s">
        <v>1936</v>
      </c>
      <c r="BE223" s="9" t="s">
        <v>745</v>
      </c>
      <c r="BF223" s="9" t="s">
        <v>77</v>
      </c>
      <c r="BG223" s="9"/>
      <c r="BH223" s="9">
        <v>0</v>
      </c>
      <c r="BI223" s="9"/>
      <c r="BJ223" s="9">
        <v>1</v>
      </c>
      <c r="BK223" s="9" t="s">
        <v>92</v>
      </c>
      <c r="BL223" s="9" t="s">
        <v>92</v>
      </c>
      <c r="BM223" s="9" t="s">
        <v>75</v>
      </c>
      <c r="BN223" s="9"/>
      <c r="BO223" s="9">
        <v>0</v>
      </c>
      <c r="BP223" s="9"/>
      <c r="BQ223" s="9">
        <v>0</v>
      </c>
      <c r="BR223" s="9"/>
      <c r="BS223" s="9"/>
      <c r="BT223" s="9"/>
      <c r="BU223" s="9"/>
      <c r="BV223" s="9"/>
      <c r="BW223" s="9">
        <v>0</v>
      </c>
      <c r="BX223" s="9"/>
      <c r="BY223" s="9">
        <v>46036.800173611111</v>
      </c>
      <c r="BZ223" s="9"/>
      <c r="CA223" s="9"/>
      <c r="CB223" s="9"/>
      <c r="CC223" s="9"/>
      <c r="CD223" s="9"/>
      <c r="CE223" s="9"/>
      <c r="CF223" s="9"/>
      <c r="CG223" s="9"/>
      <c r="CH223" s="9">
        <v>1</v>
      </c>
      <c r="CI223" s="9">
        <v>0</v>
      </c>
      <c r="CJ223" s="9"/>
      <c r="CK223" s="9"/>
      <c r="CL223" s="9" t="s">
        <v>2197</v>
      </c>
      <c r="CM223" s="9"/>
      <c r="CN223" s="9">
        <v>0</v>
      </c>
      <c r="CO223" s="9" t="s">
        <v>1925</v>
      </c>
      <c r="CP223" s="9"/>
      <c r="CQ223" s="9"/>
    </row>
    <row r="224" spans="1:95" x14ac:dyDescent="0.35">
      <c r="A224" s="9" t="b">
        <f>ISNUMBER(MATCH(Claude[[#This Row],[Id]],ChargentOrders[Id],0))</f>
        <v>1</v>
      </c>
      <c r="B224" t="b">
        <f>INDEX(ChargentOrders[VALIDO],MATCH(Claude[[#This Row],[Id]],ChargentOrders[Id],0))</f>
        <v>1</v>
      </c>
      <c r="C224">
        <f>INDEX(Contract[CB_Subscription__c],MATCH(Claude[[#This Row],[Contract__c]],Contract[Id],0))</f>
        <v>0</v>
      </c>
      <c r="D224" s="9" t="s">
        <v>748</v>
      </c>
      <c r="E224" s="9" t="s">
        <v>81</v>
      </c>
      <c r="F224" s="9">
        <v>0</v>
      </c>
      <c r="G224" s="9" t="s">
        <v>749</v>
      </c>
      <c r="H224" s="9">
        <v>46036.781238425923</v>
      </c>
      <c r="I224" s="9" t="s">
        <v>81</v>
      </c>
      <c r="J224" s="9">
        <v>46045.429537037038</v>
      </c>
      <c r="K224" s="9" t="s">
        <v>65</v>
      </c>
      <c r="L224" s="9">
        <v>46045.429537037038</v>
      </c>
      <c r="M224" s="9"/>
      <c r="N224" s="9" t="s">
        <v>1758</v>
      </c>
      <c r="O224" s="9" t="s">
        <v>2194</v>
      </c>
      <c r="P224" s="9" t="s">
        <v>2066</v>
      </c>
      <c r="Q224" s="9" t="s">
        <v>1925</v>
      </c>
      <c r="R224" s="9" t="s">
        <v>1756</v>
      </c>
      <c r="S224" s="9" t="s">
        <v>2195</v>
      </c>
      <c r="T224" s="9" t="s">
        <v>2196</v>
      </c>
      <c r="U224" s="9" t="s">
        <v>1928</v>
      </c>
      <c r="V224" s="9">
        <v>956</v>
      </c>
      <c r="W224" s="9">
        <v>12</v>
      </c>
      <c r="X224" s="9">
        <v>2030</v>
      </c>
      <c r="Y224" s="9">
        <v>7054</v>
      </c>
      <c r="Z224" s="9">
        <v>12</v>
      </c>
      <c r="AA224" s="9">
        <v>4549519221367050</v>
      </c>
      <c r="AB224" s="9" t="s">
        <v>73</v>
      </c>
      <c r="AC224" s="9">
        <v>2030</v>
      </c>
      <c r="AD224" s="9" t="s">
        <v>1939</v>
      </c>
      <c r="AE224" s="9"/>
      <c r="AF224" s="9" t="s">
        <v>1929</v>
      </c>
      <c r="AG224" s="9"/>
      <c r="AH224" s="9" t="s">
        <v>67</v>
      </c>
      <c r="AI224" s="9">
        <v>0</v>
      </c>
      <c r="AJ224" s="9"/>
      <c r="AK224" s="9">
        <v>0</v>
      </c>
      <c r="AL224" s="9" t="s">
        <v>1930</v>
      </c>
      <c r="AM224" s="9">
        <v>1</v>
      </c>
      <c r="AN224" s="9"/>
      <c r="AO224" s="9" t="s">
        <v>1931</v>
      </c>
      <c r="AP224" s="9" t="s">
        <v>69</v>
      </c>
      <c r="AQ224" s="9" t="s">
        <v>1932</v>
      </c>
      <c r="AR224" s="9">
        <v>46045</v>
      </c>
      <c r="AS224" s="9" t="s">
        <v>74</v>
      </c>
      <c r="AT224" s="9" t="s">
        <v>1935</v>
      </c>
      <c r="AU224" s="9" t="s">
        <v>1939</v>
      </c>
      <c r="AV224" s="9">
        <v>0</v>
      </c>
      <c r="AW224" s="9" t="s">
        <v>92</v>
      </c>
      <c r="AX224" s="9" t="s">
        <v>744</v>
      </c>
      <c r="AY224" s="9">
        <v>0</v>
      </c>
      <c r="AZ224" s="9">
        <v>46045.429432870369</v>
      </c>
      <c r="BA224" s="9">
        <v>46045.429490740738</v>
      </c>
      <c r="BB224" s="9">
        <v>1</v>
      </c>
      <c r="BC224" s="9">
        <v>1</v>
      </c>
      <c r="BD224" s="9" t="s">
        <v>1936</v>
      </c>
      <c r="BE224" s="9" t="s">
        <v>745</v>
      </c>
      <c r="BF224" s="9" t="s">
        <v>77</v>
      </c>
      <c r="BG224" s="9"/>
      <c r="BH224" s="9">
        <v>0</v>
      </c>
      <c r="BI224" s="9"/>
      <c r="BJ224" s="9">
        <v>1</v>
      </c>
      <c r="BK224" s="9" t="s">
        <v>92</v>
      </c>
      <c r="BL224" s="9" t="s">
        <v>92</v>
      </c>
      <c r="BM224" s="9" t="s">
        <v>75</v>
      </c>
      <c r="BN224" s="9"/>
      <c r="BO224" s="9">
        <v>0</v>
      </c>
      <c r="BP224" s="9"/>
      <c r="BQ224" s="9">
        <v>0</v>
      </c>
      <c r="BR224" s="9"/>
      <c r="BS224" s="9"/>
      <c r="BT224" s="9"/>
      <c r="BU224" s="9"/>
      <c r="BV224" s="9"/>
      <c r="BW224" s="9">
        <v>0</v>
      </c>
      <c r="BX224" s="9"/>
      <c r="BY224" s="9">
        <v>46045.429432870369</v>
      </c>
      <c r="BZ224" s="9"/>
      <c r="CA224" s="9"/>
      <c r="CB224" s="9"/>
      <c r="CC224" s="9"/>
      <c r="CD224" s="9"/>
      <c r="CE224" s="9"/>
      <c r="CF224" s="9"/>
      <c r="CG224" s="9"/>
      <c r="CH224" s="9">
        <v>1</v>
      </c>
      <c r="CI224" s="9">
        <v>0</v>
      </c>
      <c r="CJ224" s="9"/>
      <c r="CK224" s="9"/>
      <c r="CL224" s="9" t="s">
        <v>2197</v>
      </c>
      <c r="CM224" s="9"/>
      <c r="CN224" s="9">
        <v>0</v>
      </c>
      <c r="CO224" s="9" t="s">
        <v>1925</v>
      </c>
      <c r="CP224" s="9"/>
      <c r="CQ224" s="9"/>
    </row>
    <row r="225" spans="1:95" x14ac:dyDescent="0.35">
      <c r="A225" s="9" t="b">
        <f>ISNUMBER(MATCH(Claude[[#This Row],[Id]],ChargentOrders[Id],0))</f>
        <v>1</v>
      </c>
      <c r="B225" t="b">
        <f>INDEX(ChargentOrders[VALIDO],MATCH(Claude[[#This Row],[Id]],ChargentOrders[Id],0))</f>
        <v>1</v>
      </c>
      <c r="C225">
        <f>INDEX(Contract[CB_Subscription__c],MATCH(Claude[[#This Row],[Contract__c]],Contract[Id],0))</f>
        <v>0</v>
      </c>
      <c r="D225" s="9" t="s">
        <v>750</v>
      </c>
      <c r="E225" s="9" t="s">
        <v>155</v>
      </c>
      <c r="F225" s="9">
        <v>0</v>
      </c>
      <c r="G225" s="9" t="s">
        <v>751</v>
      </c>
      <c r="H225" s="9">
        <v>46037.776550925926</v>
      </c>
      <c r="I225" s="9" t="s">
        <v>155</v>
      </c>
      <c r="J225" s="9">
        <v>46037.776597222219</v>
      </c>
      <c r="K225" s="9" t="s">
        <v>155</v>
      </c>
      <c r="L225" s="9">
        <v>46037.776597222219</v>
      </c>
      <c r="M225" s="9"/>
      <c r="N225" s="9"/>
      <c r="O225" s="9" t="s">
        <v>2198</v>
      </c>
      <c r="P225" s="9" t="s">
        <v>2199</v>
      </c>
      <c r="Q225" s="9" t="s">
        <v>1925</v>
      </c>
      <c r="R225" s="9" t="s">
        <v>1761</v>
      </c>
      <c r="S225" s="9" t="s">
        <v>2200</v>
      </c>
      <c r="T225" s="9" t="s">
        <v>2201</v>
      </c>
      <c r="U225" s="9" t="s">
        <v>1928</v>
      </c>
      <c r="V225" s="9">
        <v>784</v>
      </c>
      <c r="W225" s="9">
        <v>7</v>
      </c>
      <c r="X225" s="9">
        <v>2030</v>
      </c>
      <c r="Y225" s="9">
        <v>1311</v>
      </c>
      <c r="Z225" s="9">
        <v>7</v>
      </c>
      <c r="AA225" s="9">
        <v>4549519302711310</v>
      </c>
      <c r="AB225" s="9" t="s">
        <v>73</v>
      </c>
      <c r="AC225" s="9">
        <v>2030</v>
      </c>
      <c r="AD225" s="9" t="s">
        <v>93</v>
      </c>
      <c r="AE225" s="9"/>
      <c r="AF225" s="9" t="s">
        <v>1929</v>
      </c>
      <c r="AG225" s="9"/>
      <c r="AH225" s="9" t="s">
        <v>67</v>
      </c>
      <c r="AI225" s="9">
        <v>0</v>
      </c>
      <c r="AJ225" s="9"/>
      <c r="AK225" s="9">
        <v>0</v>
      </c>
      <c r="AL225" s="9" t="s">
        <v>1930</v>
      </c>
      <c r="AM225" s="9"/>
      <c r="AN225" s="9"/>
      <c r="AO225" s="9" t="s">
        <v>1931</v>
      </c>
      <c r="AP225" s="9" t="s">
        <v>69</v>
      </c>
      <c r="AQ225" s="9" t="s">
        <v>1932</v>
      </c>
      <c r="AR225" s="9"/>
      <c r="AS225" s="9"/>
      <c r="AT225" s="9"/>
      <c r="AU225" s="9" t="s">
        <v>92</v>
      </c>
      <c r="AV225" s="9">
        <v>0</v>
      </c>
      <c r="AW225" s="9"/>
      <c r="AX225" s="9"/>
      <c r="AY225" s="9">
        <v>0</v>
      </c>
      <c r="AZ225" s="9"/>
      <c r="BA225" s="9"/>
      <c r="BB225" s="9">
        <v>0</v>
      </c>
      <c r="BC225" s="9">
        <v>1</v>
      </c>
      <c r="BD225" s="9">
        <v>0</v>
      </c>
      <c r="BE225" s="9" t="s">
        <v>752</v>
      </c>
      <c r="BF225" s="9"/>
      <c r="BG225" s="9"/>
      <c r="BH225" s="9">
        <v>0</v>
      </c>
      <c r="BI225" s="9"/>
      <c r="BJ225" s="9">
        <v>1</v>
      </c>
      <c r="BK225" s="9"/>
      <c r="BL225" s="9"/>
      <c r="BM225" s="9" t="s">
        <v>75</v>
      </c>
      <c r="BN225" s="9"/>
      <c r="BO225" s="9">
        <v>0</v>
      </c>
      <c r="BP225" s="9"/>
      <c r="BQ225" s="9">
        <v>1</v>
      </c>
      <c r="BR225" s="9"/>
      <c r="BS225" s="9"/>
      <c r="BT225" s="9"/>
      <c r="BU225" s="9"/>
      <c r="BV225" s="9"/>
      <c r="BW225" s="9">
        <v>0</v>
      </c>
      <c r="BX225" s="9">
        <v>46037.776574074072</v>
      </c>
      <c r="BY225" s="9">
        <v>46037.776574074072</v>
      </c>
      <c r="BZ225" s="9"/>
      <c r="CA225" s="9"/>
      <c r="CB225" s="9"/>
      <c r="CC225" s="9"/>
      <c r="CD225" s="9"/>
      <c r="CE225" s="9"/>
      <c r="CF225" s="9"/>
      <c r="CG225" s="9"/>
      <c r="CH225" s="9">
        <v>1</v>
      </c>
      <c r="CI225" s="9">
        <v>0</v>
      </c>
      <c r="CJ225" s="9"/>
      <c r="CK225" s="9"/>
      <c r="CL225" s="9" t="s">
        <v>2202</v>
      </c>
      <c r="CM225" s="9"/>
      <c r="CN225" s="9">
        <v>0</v>
      </c>
      <c r="CO225" s="9" t="s">
        <v>1925</v>
      </c>
      <c r="CP225" s="9"/>
      <c r="CQ225" s="9"/>
    </row>
    <row r="226" spans="1:95" x14ac:dyDescent="0.35">
      <c r="A226" s="9" t="b">
        <f>ISNUMBER(MATCH(Claude[[#This Row],[Id]],ChargentOrders[Id],0))</f>
        <v>1</v>
      </c>
      <c r="B226" t="b">
        <f>INDEX(ChargentOrders[VALIDO],MATCH(Claude[[#This Row],[Id]],ChargentOrders[Id],0))</f>
        <v>1</v>
      </c>
      <c r="C226">
        <f>INDEX(Contract[CB_Subscription__c],MATCH(Claude[[#This Row],[Contract__c]],Contract[Id],0))</f>
        <v>0</v>
      </c>
      <c r="D226" s="9" t="s">
        <v>753</v>
      </c>
      <c r="E226" s="9" t="s">
        <v>155</v>
      </c>
      <c r="F226" s="9">
        <v>0</v>
      </c>
      <c r="G226" s="9" t="s">
        <v>754</v>
      </c>
      <c r="H226" s="9">
        <v>46037.777349537035</v>
      </c>
      <c r="I226" s="9" t="s">
        <v>155</v>
      </c>
      <c r="J226" s="9">
        <v>46037.777407407404</v>
      </c>
      <c r="K226" s="9" t="s">
        <v>155</v>
      </c>
      <c r="L226" s="9">
        <v>46037.777407407404</v>
      </c>
      <c r="M226" s="9"/>
      <c r="N226" s="9"/>
      <c r="O226" s="9" t="s">
        <v>2198</v>
      </c>
      <c r="P226" s="9" t="s">
        <v>2199</v>
      </c>
      <c r="Q226" s="9" t="s">
        <v>1925</v>
      </c>
      <c r="R226" s="9" t="s">
        <v>1761</v>
      </c>
      <c r="S226" s="9" t="s">
        <v>2200</v>
      </c>
      <c r="T226" s="9" t="s">
        <v>2201</v>
      </c>
      <c r="U226" s="9" t="s">
        <v>1928</v>
      </c>
      <c r="V226" s="9">
        <v>784</v>
      </c>
      <c r="W226" s="9">
        <v>7</v>
      </c>
      <c r="X226" s="9">
        <v>2030</v>
      </c>
      <c r="Y226" s="9">
        <v>1311</v>
      </c>
      <c r="Z226" s="9">
        <v>7</v>
      </c>
      <c r="AA226" s="9">
        <v>4549519302711310</v>
      </c>
      <c r="AB226" s="9" t="s">
        <v>73</v>
      </c>
      <c r="AC226" s="9">
        <v>2030</v>
      </c>
      <c r="AD226" s="9" t="s">
        <v>93</v>
      </c>
      <c r="AE226" s="9"/>
      <c r="AF226" s="9" t="s">
        <v>1929</v>
      </c>
      <c r="AG226" s="9"/>
      <c r="AH226" s="9" t="s">
        <v>67</v>
      </c>
      <c r="AI226" s="9">
        <v>0</v>
      </c>
      <c r="AJ226" s="9"/>
      <c r="AK226" s="9">
        <v>0</v>
      </c>
      <c r="AL226" s="9" t="s">
        <v>1930</v>
      </c>
      <c r="AM226" s="9"/>
      <c r="AN226" s="9"/>
      <c r="AO226" s="9" t="s">
        <v>1931</v>
      </c>
      <c r="AP226" s="9" t="s">
        <v>69</v>
      </c>
      <c r="AQ226" s="9" t="s">
        <v>1932</v>
      </c>
      <c r="AR226" s="9"/>
      <c r="AS226" s="9"/>
      <c r="AT226" s="9"/>
      <c r="AU226" s="9" t="s">
        <v>92</v>
      </c>
      <c r="AV226" s="9">
        <v>0</v>
      </c>
      <c r="AW226" s="9"/>
      <c r="AX226" s="9" t="s">
        <v>755</v>
      </c>
      <c r="AY226" s="9">
        <v>0</v>
      </c>
      <c r="AZ226" s="9"/>
      <c r="BA226" s="9">
        <v>46037.777372685188</v>
      </c>
      <c r="BB226" s="9">
        <v>0</v>
      </c>
      <c r="BC226" s="9">
        <v>1</v>
      </c>
      <c r="BD226" s="9">
        <v>0</v>
      </c>
      <c r="BE226" s="9" t="s">
        <v>752</v>
      </c>
      <c r="BF226" s="9"/>
      <c r="BG226" s="9"/>
      <c r="BH226" s="9">
        <v>0</v>
      </c>
      <c r="BI226" s="9"/>
      <c r="BJ226" s="9">
        <v>1</v>
      </c>
      <c r="BK226" s="9"/>
      <c r="BL226" s="9"/>
      <c r="BM226" s="9" t="s">
        <v>75</v>
      </c>
      <c r="BN226" s="9"/>
      <c r="BO226" s="9">
        <v>0</v>
      </c>
      <c r="BP226" s="9"/>
      <c r="BQ226" s="9">
        <v>1</v>
      </c>
      <c r="BR226" s="9"/>
      <c r="BS226" s="9"/>
      <c r="BT226" s="9"/>
      <c r="BU226" s="9"/>
      <c r="BV226" s="9"/>
      <c r="BW226" s="9">
        <v>0</v>
      </c>
      <c r="BX226" s="9"/>
      <c r="BY226" s="9">
        <v>46037.777372685188</v>
      </c>
      <c r="BZ226" s="9"/>
      <c r="CA226" s="9"/>
      <c r="CB226" s="9"/>
      <c r="CC226" s="9"/>
      <c r="CD226" s="9"/>
      <c r="CE226" s="9"/>
      <c r="CF226" s="9"/>
      <c r="CG226" s="9"/>
      <c r="CH226" s="9">
        <v>1</v>
      </c>
      <c r="CI226" s="9">
        <v>0</v>
      </c>
      <c r="CJ226" s="9"/>
      <c r="CK226" s="9"/>
      <c r="CL226" s="9" t="s">
        <v>2202</v>
      </c>
      <c r="CM226" s="9"/>
      <c r="CN226" s="9">
        <v>0</v>
      </c>
      <c r="CO226" s="9" t="s">
        <v>1925</v>
      </c>
      <c r="CP226" s="9"/>
      <c r="CQ226" s="9"/>
    </row>
    <row r="227" spans="1:95" x14ac:dyDescent="0.35">
      <c r="A227" s="9" t="b">
        <f>ISNUMBER(MATCH(Claude[[#This Row],[Id]],ChargentOrders[Id],0))</f>
        <v>1</v>
      </c>
      <c r="B227" t="b">
        <f>INDEX(ChargentOrders[VALIDO],MATCH(Claude[[#This Row],[Id]],ChargentOrders[Id],0))</f>
        <v>1</v>
      </c>
      <c r="C227">
        <f>INDEX(Contract[CB_Subscription__c],MATCH(Claude[[#This Row],[Contract__c]],Contract[Id],0))</f>
        <v>0</v>
      </c>
      <c r="D227" s="9" t="s">
        <v>756</v>
      </c>
      <c r="E227" s="9" t="s">
        <v>155</v>
      </c>
      <c r="F227" s="9">
        <v>0</v>
      </c>
      <c r="G227" s="9" t="s">
        <v>757</v>
      </c>
      <c r="H227" s="9">
        <v>46037.777997685182</v>
      </c>
      <c r="I227" s="9" t="s">
        <v>155</v>
      </c>
      <c r="J227" s="9">
        <v>46043.417581018519</v>
      </c>
      <c r="K227" s="9" t="s">
        <v>65</v>
      </c>
      <c r="L227" s="9">
        <v>46043.417581018519</v>
      </c>
      <c r="M227" s="9"/>
      <c r="N227" s="9" t="s">
        <v>1763</v>
      </c>
      <c r="O227" s="9" t="s">
        <v>2198</v>
      </c>
      <c r="P227" s="9" t="s">
        <v>2199</v>
      </c>
      <c r="Q227" s="9" t="s">
        <v>1925</v>
      </c>
      <c r="R227" s="9" t="s">
        <v>1761</v>
      </c>
      <c r="S227" s="9" t="s">
        <v>2200</v>
      </c>
      <c r="T227" s="9" t="s">
        <v>2201</v>
      </c>
      <c r="U227" s="9" t="s">
        <v>1928</v>
      </c>
      <c r="V227" s="9">
        <v>784</v>
      </c>
      <c r="W227" s="9">
        <v>7</v>
      </c>
      <c r="X227" s="9">
        <v>2030</v>
      </c>
      <c r="Y227" s="9">
        <v>1311</v>
      </c>
      <c r="Z227" s="9">
        <v>7</v>
      </c>
      <c r="AA227" s="9">
        <v>4549519302711310</v>
      </c>
      <c r="AB227" s="9" t="s">
        <v>73</v>
      </c>
      <c r="AC227" s="9">
        <v>2030</v>
      </c>
      <c r="AD227" s="9" t="s">
        <v>374</v>
      </c>
      <c r="AE227" s="9"/>
      <c r="AF227" s="9" t="s">
        <v>1929</v>
      </c>
      <c r="AG227" s="9"/>
      <c r="AH227" s="9" t="s">
        <v>67</v>
      </c>
      <c r="AI227" s="9">
        <v>0</v>
      </c>
      <c r="AJ227" s="9"/>
      <c r="AK227" s="9">
        <v>0</v>
      </c>
      <c r="AL227" s="9" t="s">
        <v>1930</v>
      </c>
      <c r="AM227" s="9">
        <v>1</v>
      </c>
      <c r="AN227" s="9">
        <v>46043</v>
      </c>
      <c r="AO227" s="9" t="s">
        <v>1931</v>
      </c>
      <c r="AP227" s="9" t="s">
        <v>69</v>
      </c>
      <c r="AQ227" s="9" t="s">
        <v>1932</v>
      </c>
      <c r="AR227" s="9">
        <v>46043</v>
      </c>
      <c r="AS227" s="9" t="s">
        <v>74</v>
      </c>
      <c r="AT227" s="9" t="s">
        <v>1935</v>
      </c>
      <c r="AU227" s="9" t="s">
        <v>374</v>
      </c>
      <c r="AV227" s="9">
        <v>0</v>
      </c>
      <c r="AW227" s="9" t="s">
        <v>92</v>
      </c>
      <c r="AX227" s="9" t="s">
        <v>755</v>
      </c>
      <c r="AY227" s="9">
        <v>0</v>
      </c>
      <c r="AZ227" s="9"/>
      <c r="BA227" s="9"/>
      <c r="BB227" s="9">
        <v>0</v>
      </c>
      <c r="BC227" s="9">
        <v>1</v>
      </c>
      <c r="BD227" s="9">
        <v>0</v>
      </c>
      <c r="BE227" s="9" t="s">
        <v>752</v>
      </c>
      <c r="BF227" s="9" t="s">
        <v>77</v>
      </c>
      <c r="BG227" s="9"/>
      <c r="BH227" s="9">
        <v>0</v>
      </c>
      <c r="BI227" s="9"/>
      <c r="BJ227" s="9">
        <v>1</v>
      </c>
      <c r="BK227" s="9" t="s">
        <v>92</v>
      </c>
      <c r="BL227" s="9" t="s">
        <v>92</v>
      </c>
      <c r="BM227" s="9" t="s">
        <v>75</v>
      </c>
      <c r="BN227" s="9"/>
      <c r="BO227" s="9">
        <v>0</v>
      </c>
      <c r="BP227" s="9"/>
      <c r="BQ227" s="9">
        <v>0</v>
      </c>
      <c r="BR227" s="9"/>
      <c r="BS227" s="9"/>
      <c r="BT227" s="9"/>
      <c r="BU227" s="9"/>
      <c r="BV227" s="9"/>
      <c r="BW227" s="9">
        <v>0</v>
      </c>
      <c r="BX227" s="9">
        <v>46043.417500000003</v>
      </c>
      <c r="BY227" s="9">
        <v>46043.417500000003</v>
      </c>
      <c r="BZ227" s="9"/>
      <c r="CA227" s="9"/>
      <c r="CB227" s="9"/>
      <c r="CC227" s="9"/>
      <c r="CD227" s="9"/>
      <c r="CE227" s="9"/>
      <c r="CF227" s="9"/>
      <c r="CG227" s="9"/>
      <c r="CH227" s="9">
        <v>1</v>
      </c>
      <c r="CI227" s="9">
        <v>0</v>
      </c>
      <c r="CJ227" s="9"/>
      <c r="CK227" s="9"/>
      <c r="CL227" s="9" t="s">
        <v>2202</v>
      </c>
      <c r="CM227" s="9"/>
      <c r="CN227" s="9">
        <v>0</v>
      </c>
      <c r="CO227" s="9" t="s">
        <v>1925</v>
      </c>
      <c r="CP227" s="9"/>
      <c r="CQ227" s="9"/>
    </row>
    <row r="228" spans="1:95" x14ac:dyDescent="0.35">
      <c r="A228" s="9" t="b">
        <f>ISNUMBER(MATCH(Claude[[#This Row],[Id]],ChargentOrders[Id],0))</f>
        <v>1</v>
      </c>
      <c r="B228" t="b">
        <f>INDEX(ChargentOrders[VALIDO],MATCH(Claude[[#This Row],[Id]],ChargentOrders[Id],0))</f>
        <v>1</v>
      </c>
      <c r="C228">
        <f>INDEX(Contract[CB_Subscription__c],MATCH(Claude[[#This Row],[Contract__c]],Contract[Id],0))</f>
        <v>0</v>
      </c>
      <c r="D228" s="9" t="s">
        <v>758</v>
      </c>
      <c r="E228" s="9" t="s">
        <v>81</v>
      </c>
      <c r="F228" s="9">
        <v>0</v>
      </c>
      <c r="G228" s="9" t="s">
        <v>759</v>
      </c>
      <c r="H228" s="9">
        <v>46037.805775462963</v>
      </c>
      <c r="I228" s="9" t="s">
        <v>81</v>
      </c>
      <c r="J228" s="9">
        <v>46037.805856481478</v>
      </c>
      <c r="K228" s="9" t="s">
        <v>81</v>
      </c>
      <c r="L228" s="9">
        <v>46037.805856481478</v>
      </c>
      <c r="M228" s="9"/>
      <c r="N228" s="9"/>
      <c r="O228" s="9" t="s">
        <v>2203</v>
      </c>
      <c r="P228" s="9" t="s">
        <v>2066</v>
      </c>
      <c r="Q228" s="9" t="s">
        <v>1925</v>
      </c>
      <c r="R228" s="9" t="s">
        <v>1766</v>
      </c>
      <c r="S228" s="9" t="s">
        <v>2204</v>
      </c>
      <c r="T228" s="9" t="s">
        <v>2205</v>
      </c>
      <c r="U228" s="9" t="s">
        <v>1928</v>
      </c>
      <c r="V228" s="9">
        <v>959</v>
      </c>
      <c r="W228" s="9">
        <v>9</v>
      </c>
      <c r="X228" s="9">
        <v>2029</v>
      </c>
      <c r="Y228" s="9">
        <v>2681</v>
      </c>
      <c r="Z228" s="9">
        <v>9</v>
      </c>
      <c r="AA228" s="9">
        <v>5189207017712680</v>
      </c>
      <c r="AB228" s="9" t="s">
        <v>66</v>
      </c>
      <c r="AC228" s="9">
        <v>2029</v>
      </c>
      <c r="AD228" s="9" t="s">
        <v>93</v>
      </c>
      <c r="AE228" s="9"/>
      <c r="AF228" s="9" t="s">
        <v>1929</v>
      </c>
      <c r="AG228" s="9"/>
      <c r="AH228" s="9" t="s">
        <v>67</v>
      </c>
      <c r="AI228" s="9">
        <v>0</v>
      </c>
      <c r="AJ228" s="9"/>
      <c r="AK228" s="9">
        <v>0</v>
      </c>
      <c r="AL228" s="9" t="s">
        <v>1930</v>
      </c>
      <c r="AM228" s="9"/>
      <c r="AN228" s="9"/>
      <c r="AO228" s="9" t="s">
        <v>1931</v>
      </c>
      <c r="AP228" s="9" t="s">
        <v>69</v>
      </c>
      <c r="AQ228" s="9" t="s">
        <v>1932</v>
      </c>
      <c r="AR228" s="9"/>
      <c r="AS228" s="9"/>
      <c r="AT228" s="9"/>
      <c r="AU228" s="9" t="s">
        <v>92</v>
      </c>
      <c r="AV228" s="9">
        <v>0</v>
      </c>
      <c r="AW228" s="9"/>
      <c r="AX228" s="9" t="s">
        <v>760</v>
      </c>
      <c r="AY228" s="9">
        <v>0</v>
      </c>
      <c r="AZ228" s="9"/>
      <c r="BA228" s="9">
        <v>46037.805821759262</v>
      </c>
      <c r="BB228" s="9">
        <v>0</v>
      </c>
      <c r="BC228" s="9">
        <v>1</v>
      </c>
      <c r="BD228" s="9">
        <v>0</v>
      </c>
      <c r="BE228" s="9" t="s">
        <v>761</v>
      </c>
      <c r="BF228" s="9"/>
      <c r="BG228" s="9"/>
      <c r="BH228" s="9">
        <v>0</v>
      </c>
      <c r="BI228" s="9"/>
      <c r="BJ228" s="9">
        <v>1</v>
      </c>
      <c r="BK228" s="9"/>
      <c r="BL228" s="9"/>
      <c r="BM228" s="9" t="s">
        <v>75</v>
      </c>
      <c r="BN228" s="9"/>
      <c r="BO228" s="9">
        <v>0</v>
      </c>
      <c r="BP228" s="9"/>
      <c r="BQ228" s="9">
        <v>1</v>
      </c>
      <c r="BR228" s="9"/>
      <c r="BS228" s="9"/>
      <c r="BT228" s="9"/>
      <c r="BU228" s="9"/>
      <c r="BV228" s="9"/>
      <c r="BW228" s="9">
        <v>0</v>
      </c>
      <c r="BX228" s="9"/>
      <c r="BY228" s="9">
        <v>46037.805810185186</v>
      </c>
      <c r="BZ228" s="9"/>
      <c r="CA228" s="9"/>
      <c r="CB228" s="9"/>
      <c r="CC228" s="9"/>
      <c r="CD228" s="9"/>
      <c r="CE228" s="9"/>
      <c r="CF228" s="9"/>
      <c r="CG228" s="9"/>
      <c r="CH228" s="9">
        <v>1</v>
      </c>
      <c r="CI228" s="9">
        <v>0</v>
      </c>
      <c r="CJ228" s="9"/>
      <c r="CK228" s="9"/>
      <c r="CL228" s="9" t="s">
        <v>2206</v>
      </c>
      <c r="CM228" s="9"/>
      <c r="CN228" s="9">
        <v>0</v>
      </c>
      <c r="CO228" s="9" t="s">
        <v>1925</v>
      </c>
      <c r="CP228" s="9"/>
      <c r="CQ228" s="9"/>
    </row>
    <row r="229" spans="1:95" x14ac:dyDescent="0.35">
      <c r="A229" s="9" t="b">
        <f>ISNUMBER(MATCH(Claude[[#This Row],[Id]],ChargentOrders[Id],0))</f>
        <v>1</v>
      </c>
      <c r="B229" t="b">
        <f>INDEX(ChargentOrders[VALIDO],MATCH(Claude[[#This Row],[Id]],ChargentOrders[Id],0))</f>
        <v>1</v>
      </c>
      <c r="C229">
        <f>INDEX(Contract[CB_Subscription__c],MATCH(Claude[[#This Row],[Contract__c]],Contract[Id],0))</f>
        <v>0</v>
      </c>
      <c r="D229" s="9" t="s">
        <v>762</v>
      </c>
      <c r="E229" s="9" t="s">
        <v>81</v>
      </c>
      <c r="F229" s="9">
        <v>0</v>
      </c>
      <c r="G229" s="9" t="s">
        <v>763</v>
      </c>
      <c r="H229" s="9">
        <v>46037.806840277779</v>
      </c>
      <c r="I229" s="9" t="s">
        <v>81</v>
      </c>
      <c r="J229" s="9">
        <v>46037.80741898148</v>
      </c>
      <c r="K229" s="9" t="s">
        <v>81</v>
      </c>
      <c r="L229" s="9">
        <v>46037.80741898148</v>
      </c>
      <c r="M229" s="9"/>
      <c r="N229" s="9" t="s">
        <v>1768</v>
      </c>
      <c r="O229" s="9" t="s">
        <v>2203</v>
      </c>
      <c r="P229" s="9" t="s">
        <v>2066</v>
      </c>
      <c r="Q229" s="9" t="s">
        <v>1925</v>
      </c>
      <c r="R229" s="9" t="s">
        <v>1766</v>
      </c>
      <c r="S229" s="9" t="s">
        <v>2204</v>
      </c>
      <c r="T229" s="9" t="s">
        <v>2205</v>
      </c>
      <c r="U229" s="9" t="s">
        <v>1928</v>
      </c>
      <c r="V229" s="9">
        <v>959</v>
      </c>
      <c r="W229" s="9">
        <v>9</v>
      </c>
      <c r="X229" s="9">
        <v>2029</v>
      </c>
      <c r="Y229" s="9">
        <v>2681</v>
      </c>
      <c r="Z229" s="9">
        <v>9</v>
      </c>
      <c r="AA229" s="9">
        <v>5189207017712680</v>
      </c>
      <c r="AB229" s="9" t="s">
        <v>66</v>
      </c>
      <c r="AC229" s="9">
        <v>2029</v>
      </c>
      <c r="AD229" s="9" t="s">
        <v>1936</v>
      </c>
      <c r="AE229" s="9"/>
      <c r="AF229" s="9" t="s">
        <v>1929</v>
      </c>
      <c r="AG229" s="9"/>
      <c r="AH229" s="9" t="s">
        <v>67</v>
      </c>
      <c r="AI229" s="9">
        <v>0</v>
      </c>
      <c r="AJ229" s="9"/>
      <c r="AK229" s="9">
        <v>0</v>
      </c>
      <c r="AL229" s="9" t="s">
        <v>1930</v>
      </c>
      <c r="AM229" s="9">
        <v>1</v>
      </c>
      <c r="AN229" s="9"/>
      <c r="AO229" s="9" t="s">
        <v>1931</v>
      </c>
      <c r="AP229" s="9" t="s">
        <v>69</v>
      </c>
      <c r="AQ229" s="9" t="s">
        <v>1932</v>
      </c>
      <c r="AR229" s="9">
        <v>46037</v>
      </c>
      <c r="AS229" s="9" t="s">
        <v>74</v>
      </c>
      <c r="AT229" s="9" t="s">
        <v>1935</v>
      </c>
      <c r="AU229" s="9" t="s">
        <v>1936</v>
      </c>
      <c r="AV229" s="9">
        <v>0</v>
      </c>
      <c r="AW229" s="9" t="s">
        <v>93</v>
      </c>
      <c r="AX229" s="9" t="s">
        <v>760</v>
      </c>
      <c r="AY229" s="9">
        <v>0</v>
      </c>
      <c r="AZ229" s="9">
        <v>46037.807395833333</v>
      </c>
      <c r="BA229" s="9">
        <v>46037.807395833333</v>
      </c>
      <c r="BB229" s="9">
        <v>1</v>
      </c>
      <c r="BC229" s="9">
        <v>1</v>
      </c>
      <c r="BD229" s="9" t="s">
        <v>1936</v>
      </c>
      <c r="BE229" s="9" t="s">
        <v>761</v>
      </c>
      <c r="BF229" s="9" t="s">
        <v>77</v>
      </c>
      <c r="BG229" s="9"/>
      <c r="BH229" s="9">
        <v>0</v>
      </c>
      <c r="BI229" s="9"/>
      <c r="BJ229" s="9">
        <v>1</v>
      </c>
      <c r="BK229" s="9" t="s">
        <v>92</v>
      </c>
      <c r="BL229" s="9" t="s">
        <v>92</v>
      </c>
      <c r="BM229" s="9" t="s">
        <v>75</v>
      </c>
      <c r="BN229" s="9"/>
      <c r="BO229" s="9">
        <v>0</v>
      </c>
      <c r="BP229" s="9"/>
      <c r="BQ229" s="9">
        <v>0</v>
      </c>
      <c r="BR229" s="9"/>
      <c r="BS229" s="9"/>
      <c r="BT229" s="9"/>
      <c r="BU229" s="9"/>
      <c r="BV229" s="9"/>
      <c r="BW229" s="9">
        <v>0</v>
      </c>
      <c r="BX229" s="9"/>
      <c r="BY229" s="9">
        <v>46037.807395833333</v>
      </c>
      <c r="BZ229" s="9"/>
      <c r="CA229" s="9"/>
      <c r="CB229" s="9"/>
      <c r="CC229" s="9"/>
      <c r="CD229" s="9"/>
      <c r="CE229" s="9"/>
      <c r="CF229" s="9"/>
      <c r="CG229" s="9"/>
      <c r="CH229" s="9">
        <v>1</v>
      </c>
      <c r="CI229" s="9">
        <v>0</v>
      </c>
      <c r="CJ229" s="9"/>
      <c r="CK229" s="9"/>
      <c r="CL229" s="9" t="s">
        <v>2206</v>
      </c>
      <c r="CM229" s="9"/>
      <c r="CN229" s="9">
        <v>0</v>
      </c>
      <c r="CO229" s="9" t="s">
        <v>1925</v>
      </c>
      <c r="CP229" s="9"/>
      <c r="CQ229" s="9"/>
    </row>
    <row r="230" spans="1:95" x14ac:dyDescent="0.35">
      <c r="A230" s="9" t="b">
        <f>ISNUMBER(MATCH(Claude[[#This Row],[Id]],ChargentOrders[Id],0))</f>
        <v>1</v>
      </c>
      <c r="B230" t="b">
        <f>INDEX(ChargentOrders[VALIDO],MATCH(Claude[[#This Row],[Id]],ChargentOrders[Id],0))</f>
        <v>1</v>
      </c>
      <c r="C230">
        <f>INDEX(Contract[CB_Subscription__c],MATCH(Claude[[#This Row],[Contract__c]],Contract[Id],0))</f>
        <v>0</v>
      </c>
      <c r="D230" s="9" t="s">
        <v>764</v>
      </c>
      <c r="E230" s="9" t="s">
        <v>81</v>
      </c>
      <c r="F230" s="9">
        <v>0</v>
      </c>
      <c r="G230" s="9" t="s">
        <v>765</v>
      </c>
      <c r="H230" s="9">
        <v>46037.806840277779</v>
      </c>
      <c r="I230" s="9" t="s">
        <v>81</v>
      </c>
      <c r="J230" s="9">
        <v>46048.430567129632</v>
      </c>
      <c r="K230" s="9" t="s">
        <v>65</v>
      </c>
      <c r="L230" s="9">
        <v>46048.430567129632</v>
      </c>
      <c r="M230" s="9"/>
      <c r="N230" s="9" t="s">
        <v>1768</v>
      </c>
      <c r="O230" s="9" t="s">
        <v>2203</v>
      </c>
      <c r="P230" s="9" t="s">
        <v>2066</v>
      </c>
      <c r="Q230" s="9" t="s">
        <v>1925</v>
      </c>
      <c r="R230" s="9" t="s">
        <v>1766</v>
      </c>
      <c r="S230" s="9" t="s">
        <v>2204</v>
      </c>
      <c r="T230" s="9" t="s">
        <v>2205</v>
      </c>
      <c r="U230" s="9" t="s">
        <v>1928</v>
      </c>
      <c r="V230" s="9">
        <v>959</v>
      </c>
      <c r="W230" s="9">
        <v>9</v>
      </c>
      <c r="X230" s="9">
        <v>2029</v>
      </c>
      <c r="Y230" s="9">
        <v>2681</v>
      </c>
      <c r="Z230" s="9">
        <v>9</v>
      </c>
      <c r="AA230" s="9">
        <v>5189207017712680</v>
      </c>
      <c r="AB230" s="9" t="s">
        <v>66</v>
      </c>
      <c r="AC230" s="9">
        <v>2029</v>
      </c>
      <c r="AD230" s="9" t="s">
        <v>1939</v>
      </c>
      <c r="AE230" s="9"/>
      <c r="AF230" s="9" t="s">
        <v>1929</v>
      </c>
      <c r="AG230" s="9"/>
      <c r="AH230" s="9" t="s">
        <v>67</v>
      </c>
      <c r="AI230" s="9">
        <v>0</v>
      </c>
      <c r="AJ230" s="9"/>
      <c r="AK230" s="9">
        <v>0</v>
      </c>
      <c r="AL230" s="9" t="s">
        <v>1930</v>
      </c>
      <c r="AM230" s="9">
        <v>1</v>
      </c>
      <c r="AN230" s="9"/>
      <c r="AO230" s="9" t="s">
        <v>1931</v>
      </c>
      <c r="AP230" s="9" t="s">
        <v>69</v>
      </c>
      <c r="AQ230" s="9" t="s">
        <v>1932</v>
      </c>
      <c r="AR230" s="9">
        <v>46048</v>
      </c>
      <c r="AS230" s="9" t="s">
        <v>74</v>
      </c>
      <c r="AT230" s="9" t="s">
        <v>1935</v>
      </c>
      <c r="AU230" s="9" t="s">
        <v>1939</v>
      </c>
      <c r="AV230" s="9">
        <v>0</v>
      </c>
      <c r="AW230" s="9" t="s">
        <v>92</v>
      </c>
      <c r="AX230" s="9" t="s">
        <v>760</v>
      </c>
      <c r="AY230" s="9">
        <v>0</v>
      </c>
      <c r="AZ230" s="9">
        <v>46048.430439814816</v>
      </c>
      <c r="BA230" s="9">
        <v>46048.430474537039</v>
      </c>
      <c r="BB230" s="9">
        <v>1</v>
      </c>
      <c r="BC230" s="9">
        <v>1</v>
      </c>
      <c r="BD230" s="9" t="s">
        <v>1936</v>
      </c>
      <c r="BE230" s="9" t="s">
        <v>761</v>
      </c>
      <c r="BF230" s="9" t="s">
        <v>77</v>
      </c>
      <c r="BG230" s="9"/>
      <c r="BH230" s="9">
        <v>0</v>
      </c>
      <c r="BI230" s="9"/>
      <c r="BJ230" s="9">
        <v>1</v>
      </c>
      <c r="BK230" s="9" t="s">
        <v>92</v>
      </c>
      <c r="BL230" s="9" t="s">
        <v>92</v>
      </c>
      <c r="BM230" s="9" t="s">
        <v>75</v>
      </c>
      <c r="BN230" s="9"/>
      <c r="BO230" s="9">
        <v>0</v>
      </c>
      <c r="BP230" s="9"/>
      <c r="BQ230" s="9">
        <v>0</v>
      </c>
      <c r="BR230" s="9"/>
      <c r="BS230" s="9"/>
      <c r="BT230" s="9"/>
      <c r="BU230" s="9"/>
      <c r="BV230" s="9"/>
      <c r="BW230" s="9">
        <v>0</v>
      </c>
      <c r="BX230" s="9"/>
      <c r="BY230" s="9">
        <v>46048.430439814816</v>
      </c>
      <c r="BZ230" s="9"/>
      <c r="CA230" s="9"/>
      <c r="CB230" s="9"/>
      <c r="CC230" s="9"/>
      <c r="CD230" s="9"/>
      <c r="CE230" s="9"/>
      <c r="CF230" s="9"/>
      <c r="CG230" s="9"/>
      <c r="CH230" s="9">
        <v>1</v>
      </c>
      <c r="CI230" s="9">
        <v>0</v>
      </c>
      <c r="CJ230" s="9"/>
      <c r="CK230" s="9"/>
      <c r="CL230" s="9" t="s">
        <v>2206</v>
      </c>
      <c r="CM230" s="9"/>
      <c r="CN230" s="9">
        <v>0</v>
      </c>
      <c r="CO230" s="9" t="s">
        <v>1925</v>
      </c>
      <c r="CP230" s="9"/>
      <c r="CQ230" s="9"/>
    </row>
    <row r="231" spans="1:95" x14ac:dyDescent="0.35">
      <c r="A231" s="9" t="b">
        <f>ISNUMBER(MATCH(Claude[[#This Row],[Id]],ChargentOrders[Id],0))</f>
        <v>1</v>
      </c>
      <c r="B231" t="b">
        <f>INDEX(ChargentOrders[VALIDO],MATCH(Claude[[#This Row],[Id]],ChargentOrders[Id],0))</f>
        <v>1</v>
      </c>
      <c r="C231">
        <f>INDEX(Contract[CB_Subscription__c],MATCH(Claude[[#This Row],[Contract__c]],Contract[Id],0))</f>
        <v>0</v>
      </c>
      <c r="D231" s="9" t="s">
        <v>766</v>
      </c>
      <c r="E231" s="9" t="s">
        <v>81</v>
      </c>
      <c r="F231" s="9">
        <v>0</v>
      </c>
      <c r="G231" s="9" t="s">
        <v>767</v>
      </c>
      <c r="H231" s="9">
        <v>46038.620138888888</v>
      </c>
      <c r="I231" s="9" t="s">
        <v>81</v>
      </c>
      <c r="J231" s="9">
        <v>46038.620243055557</v>
      </c>
      <c r="K231" s="9" t="s">
        <v>81</v>
      </c>
      <c r="L231" s="9">
        <v>46038.620243055557</v>
      </c>
      <c r="M231" s="9"/>
      <c r="N231" s="9"/>
      <c r="O231" s="9" t="s">
        <v>2207</v>
      </c>
      <c r="P231" s="9" t="s">
        <v>2208</v>
      </c>
      <c r="Q231" s="9" t="s">
        <v>1925</v>
      </c>
      <c r="R231" s="9" t="s">
        <v>1771</v>
      </c>
      <c r="S231" s="9" t="s">
        <v>2209</v>
      </c>
      <c r="T231" s="9" t="s">
        <v>2210</v>
      </c>
      <c r="U231" s="9" t="s">
        <v>1928</v>
      </c>
      <c r="V231" s="9">
        <v>617</v>
      </c>
      <c r="W231" s="9">
        <v>1</v>
      </c>
      <c r="X231" s="9">
        <v>2031</v>
      </c>
      <c r="Y231" s="9">
        <v>7352</v>
      </c>
      <c r="Z231" s="9">
        <v>1</v>
      </c>
      <c r="AA231" s="9">
        <v>5189207019437350</v>
      </c>
      <c r="AB231" s="9" t="s">
        <v>66</v>
      </c>
      <c r="AC231" s="9">
        <v>2031</v>
      </c>
      <c r="AD231" s="9" t="s">
        <v>93</v>
      </c>
      <c r="AE231" s="9"/>
      <c r="AF231" s="9" t="s">
        <v>1929</v>
      </c>
      <c r="AG231" s="9"/>
      <c r="AH231" s="9" t="s">
        <v>67</v>
      </c>
      <c r="AI231" s="9">
        <v>0</v>
      </c>
      <c r="AJ231" s="9"/>
      <c r="AK231" s="9">
        <v>0</v>
      </c>
      <c r="AL231" s="9" t="s">
        <v>1930</v>
      </c>
      <c r="AM231" s="9"/>
      <c r="AN231" s="9"/>
      <c r="AO231" s="9" t="s">
        <v>1931</v>
      </c>
      <c r="AP231" s="9" t="s">
        <v>69</v>
      </c>
      <c r="AQ231" s="9" t="s">
        <v>1932</v>
      </c>
      <c r="AR231" s="9"/>
      <c r="AS231" s="9"/>
      <c r="AT231" s="9"/>
      <c r="AU231" s="9" t="s">
        <v>92</v>
      </c>
      <c r="AV231" s="9">
        <v>0</v>
      </c>
      <c r="AW231" s="9"/>
      <c r="AX231" s="9" t="s">
        <v>768</v>
      </c>
      <c r="AY231" s="9">
        <v>0</v>
      </c>
      <c r="AZ231" s="9"/>
      <c r="BA231" s="9">
        <v>46038.620196759257</v>
      </c>
      <c r="BB231" s="9">
        <v>0</v>
      </c>
      <c r="BC231" s="9">
        <v>1</v>
      </c>
      <c r="BD231" s="9">
        <v>0</v>
      </c>
      <c r="BE231" s="9" t="s">
        <v>769</v>
      </c>
      <c r="BF231" s="9"/>
      <c r="BG231" s="9"/>
      <c r="BH231" s="9">
        <v>0</v>
      </c>
      <c r="BI231" s="9"/>
      <c r="BJ231" s="9">
        <v>1</v>
      </c>
      <c r="BK231" s="9"/>
      <c r="BL231" s="9"/>
      <c r="BM231" s="9" t="s">
        <v>75</v>
      </c>
      <c r="BN231" s="9"/>
      <c r="BO231" s="9">
        <v>0</v>
      </c>
      <c r="BP231" s="9"/>
      <c r="BQ231" s="9">
        <v>1</v>
      </c>
      <c r="BR231" s="9"/>
      <c r="BS231" s="9"/>
      <c r="BT231" s="9"/>
      <c r="BU231" s="9"/>
      <c r="BV231" s="9"/>
      <c r="BW231" s="9">
        <v>0</v>
      </c>
      <c r="BX231" s="9"/>
      <c r="BY231" s="9">
        <v>46038.620196759257</v>
      </c>
      <c r="BZ231" s="9"/>
      <c r="CA231" s="9"/>
      <c r="CB231" s="9"/>
      <c r="CC231" s="9"/>
      <c r="CD231" s="9"/>
      <c r="CE231" s="9"/>
      <c r="CF231" s="9"/>
      <c r="CG231" s="9"/>
      <c r="CH231" s="9">
        <v>1</v>
      </c>
      <c r="CI231" s="9">
        <v>0</v>
      </c>
      <c r="CJ231" s="9"/>
      <c r="CK231" s="9"/>
      <c r="CL231" s="9" t="s">
        <v>2211</v>
      </c>
      <c r="CM231" s="9"/>
      <c r="CN231" s="9">
        <v>0</v>
      </c>
      <c r="CO231" s="9" t="s">
        <v>1925</v>
      </c>
      <c r="CP231" s="9"/>
      <c r="CQ231" s="9"/>
    </row>
    <row r="232" spans="1:95" x14ac:dyDescent="0.35">
      <c r="A232" s="9" t="b">
        <f>ISNUMBER(MATCH(Claude[[#This Row],[Id]],ChargentOrders[Id],0))</f>
        <v>1</v>
      </c>
      <c r="B232" t="b">
        <f>INDEX(ChargentOrders[VALIDO],MATCH(Claude[[#This Row],[Id]],ChargentOrders[Id],0))</f>
        <v>1</v>
      </c>
      <c r="C232">
        <f>INDEX(Contract[CB_Subscription__c],MATCH(Claude[[#This Row],[Contract__c]],Contract[Id],0))</f>
        <v>0</v>
      </c>
      <c r="D232" s="9" t="s">
        <v>770</v>
      </c>
      <c r="E232" s="9" t="s">
        <v>81</v>
      </c>
      <c r="F232" s="9">
        <v>0</v>
      </c>
      <c r="G232" s="9" t="s">
        <v>771</v>
      </c>
      <c r="H232" s="9">
        <v>46038.620752314811</v>
      </c>
      <c r="I232" s="9" t="s">
        <v>81</v>
      </c>
      <c r="J232" s="9">
        <v>46052.440972222219</v>
      </c>
      <c r="K232" s="9" t="s">
        <v>65</v>
      </c>
      <c r="L232" s="9">
        <v>46052.440972222219</v>
      </c>
      <c r="M232" s="9"/>
      <c r="N232" s="9" t="s">
        <v>1773</v>
      </c>
      <c r="O232" s="9" t="s">
        <v>2207</v>
      </c>
      <c r="P232" s="9" t="s">
        <v>2208</v>
      </c>
      <c r="Q232" s="9" t="s">
        <v>1925</v>
      </c>
      <c r="R232" s="9" t="s">
        <v>1771</v>
      </c>
      <c r="S232" s="9" t="s">
        <v>2209</v>
      </c>
      <c r="T232" s="9" t="s">
        <v>2210</v>
      </c>
      <c r="U232" s="9" t="s">
        <v>1928</v>
      </c>
      <c r="V232" s="9">
        <v>617</v>
      </c>
      <c r="W232" s="9">
        <v>1</v>
      </c>
      <c r="X232" s="9">
        <v>2031</v>
      </c>
      <c r="Y232" s="9">
        <v>7352</v>
      </c>
      <c r="Z232" s="9">
        <v>1</v>
      </c>
      <c r="AA232" s="9">
        <v>5189207019437350</v>
      </c>
      <c r="AB232" s="9" t="s">
        <v>66</v>
      </c>
      <c r="AC232" s="9">
        <v>2031</v>
      </c>
      <c r="AD232" s="9" t="s">
        <v>1939</v>
      </c>
      <c r="AE232" s="9"/>
      <c r="AF232" s="9" t="s">
        <v>1929</v>
      </c>
      <c r="AG232" s="9"/>
      <c r="AH232" s="9" t="s">
        <v>67</v>
      </c>
      <c r="AI232" s="9">
        <v>0</v>
      </c>
      <c r="AJ232" s="9"/>
      <c r="AK232" s="9">
        <v>0</v>
      </c>
      <c r="AL232" s="9" t="s">
        <v>1930</v>
      </c>
      <c r="AM232" s="9">
        <v>1</v>
      </c>
      <c r="AN232" s="9"/>
      <c r="AO232" s="9" t="s">
        <v>1931</v>
      </c>
      <c r="AP232" s="9" t="s">
        <v>69</v>
      </c>
      <c r="AQ232" s="9" t="s">
        <v>1932</v>
      </c>
      <c r="AR232" s="9">
        <v>46052</v>
      </c>
      <c r="AS232" s="9" t="s">
        <v>74</v>
      </c>
      <c r="AT232" s="9" t="s">
        <v>1935</v>
      </c>
      <c r="AU232" s="9" t="s">
        <v>1939</v>
      </c>
      <c r="AV232" s="9">
        <v>0</v>
      </c>
      <c r="AW232" s="9" t="s">
        <v>92</v>
      </c>
      <c r="AX232" s="9" t="s">
        <v>768</v>
      </c>
      <c r="AY232" s="9">
        <v>0</v>
      </c>
      <c r="AZ232" s="9">
        <v>46052.440844907411</v>
      </c>
      <c r="BA232" s="9">
        <v>46052.44091435185</v>
      </c>
      <c r="BB232" s="9">
        <v>1</v>
      </c>
      <c r="BC232" s="9">
        <v>1</v>
      </c>
      <c r="BD232" s="9" t="s">
        <v>1936</v>
      </c>
      <c r="BE232" s="9" t="s">
        <v>769</v>
      </c>
      <c r="BF232" s="9" t="s">
        <v>77</v>
      </c>
      <c r="BG232" s="9"/>
      <c r="BH232" s="9">
        <v>0</v>
      </c>
      <c r="BI232" s="9"/>
      <c r="BJ232" s="9">
        <v>1</v>
      </c>
      <c r="BK232" s="9" t="s">
        <v>92</v>
      </c>
      <c r="BL232" s="9" t="s">
        <v>92</v>
      </c>
      <c r="BM232" s="9" t="s">
        <v>75</v>
      </c>
      <c r="BN232" s="9"/>
      <c r="BO232" s="9">
        <v>0</v>
      </c>
      <c r="BP232" s="9"/>
      <c r="BQ232" s="9">
        <v>0</v>
      </c>
      <c r="BR232" s="9"/>
      <c r="BS232" s="9"/>
      <c r="BT232" s="9"/>
      <c r="BU232" s="9"/>
      <c r="BV232" s="9"/>
      <c r="BW232" s="9">
        <v>0</v>
      </c>
      <c r="BX232" s="9"/>
      <c r="BY232" s="9">
        <v>46052.440844907411</v>
      </c>
      <c r="BZ232" s="9"/>
      <c r="CA232" s="9"/>
      <c r="CB232" s="9"/>
      <c r="CC232" s="9"/>
      <c r="CD232" s="9"/>
      <c r="CE232" s="9"/>
      <c r="CF232" s="9"/>
      <c r="CG232" s="9"/>
      <c r="CH232" s="9">
        <v>1</v>
      </c>
      <c r="CI232" s="9">
        <v>0</v>
      </c>
      <c r="CJ232" s="9"/>
      <c r="CK232" s="9"/>
      <c r="CL232" s="9" t="s">
        <v>2211</v>
      </c>
      <c r="CM232" s="9"/>
      <c r="CN232" s="9">
        <v>0</v>
      </c>
      <c r="CO232" s="9" t="s">
        <v>1925</v>
      </c>
      <c r="CP232" s="9"/>
      <c r="CQ232" s="9"/>
    </row>
    <row r="233" spans="1:95" x14ac:dyDescent="0.35">
      <c r="A233" s="9" t="b">
        <f>ISNUMBER(MATCH(Claude[[#This Row],[Id]],ChargentOrders[Id],0))</f>
        <v>1</v>
      </c>
      <c r="B233" t="b">
        <f>INDEX(ChargentOrders[VALIDO],MATCH(Claude[[#This Row],[Id]],ChargentOrders[Id],0))</f>
        <v>1</v>
      </c>
      <c r="C233">
        <f>INDEX(Contract[CB_Subscription__c],MATCH(Claude[[#This Row],[Contract__c]],Contract[Id],0))</f>
        <v>0</v>
      </c>
      <c r="D233" s="9" t="s">
        <v>772</v>
      </c>
      <c r="E233" s="9" t="s">
        <v>81</v>
      </c>
      <c r="F233" s="9">
        <v>0</v>
      </c>
      <c r="G233" s="9" t="s">
        <v>773</v>
      </c>
      <c r="H233" s="9">
        <v>46038.620752314811</v>
      </c>
      <c r="I233" s="9" t="s">
        <v>81</v>
      </c>
      <c r="J233" s="9">
        <v>46066.426111111112</v>
      </c>
      <c r="K233" s="9" t="s">
        <v>65</v>
      </c>
      <c r="L233" s="9">
        <v>46066.426111111112</v>
      </c>
      <c r="M233" s="9"/>
      <c r="N233" s="9" t="s">
        <v>1773</v>
      </c>
      <c r="O233" s="9" t="s">
        <v>2207</v>
      </c>
      <c r="P233" s="9" t="s">
        <v>2208</v>
      </c>
      <c r="Q233" s="9" t="s">
        <v>1925</v>
      </c>
      <c r="R233" s="9" t="s">
        <v>1771</v>
      </c>
      <c r="S233" s="9" t="s">
        <v>2209</v>
      </c>
      <c r="T233" s="9" t="s">
        <v>2210</v>
      </c>
      <c r="U233" s="9" t="s">
        <v>1928</v>
      </c>
      <c r="V233" s="9">
        <v>617</v>
      </c>
      <c r="W233" s="9">
        <v>1</v>
      </c>
      <c r="X233" s="9">
        <v>2031</v>
      </c>
      <c r="Y233" s="9">
        <v>7352</v>
      </c>
      <c r="Z233" s="9">
        <v>1</v>
      </c>
      <c r="AA233" s="9">
        <v>5189207019437350</v>
      </c>
      <c r="AB233" s="9" t="s">
        <v>66</v>
      </c>
      <c r="AC233" s="9">
        <v>2031</v>
      </c>
      <c r="AD233" s="9" t="s">
        <v>1939</v>
      </c>
      <c r="AE233" s="9"/>
      <c r="AF233" s="9" t="s">
        <v>1929</v>
      </c>
      <c r="AG233" s="9"/>
      <c r="AH233" s="9" t="s">
        <v>67</v>
      </c>
      <c r="AI233" s="9">
        <v>0</v>
      </c>
      <c r="AJ233" s="9"/>
      <c r="AK233" s="9">
        <v>0</v>
      </c>
      <c r="AL233" s="9" t="s">
        <v>1930</v>
      </c>
      <c r="AM233" s="9">
        <v>1</v>
      </c>
      <c r="AN233" s="9"/>
      <c r="AO233" s="9" t="s">
        <v>1931</v>
      </c>
      <c r="AP233" s="9" t="s">
        <v>69</v>
      </c>
      <c r="AQ233" s="9" t="s">
        <v>1932</v>
      </c>
      <c r="AR233" s="9">
        <v>46066</v>
      </c>
      <c r="AS233" s="9" t="s">
        <v>74</v>
      </c>
      <c r="AT233" s="9" t="s">
        <v>1935</v>
      </c>
      <c r="AU233" s="9" t="s">
        <v>1939</v>
      </c>
      <c r="AV233" s="9">
        <v>0</v>
      </c>
      <c r="AW233" s="9" t="s">
        <v>92</v>
      </c>
      <c r="AX233" s="9" t="s">
        <v>768</v>
      </c>
      <c r="AY233" s="9">
        <v>0</v>
      </c>
      <c r="AZ233" s="9">
        <v>46066.425983796296</v>
      </c>
      <c r="BA233" s="9">
        <v>46066.426018518519</v>
      </c>
      <c r="BB233" s="9">
        <v>1</v>
      </c>
      <c r="BC233" s="9">
        <v>1</v>
      </c>
      <c r="BD233" s="9" t="s">
        <v>1936</v>
      </c>
      <c r="BE233" s="9" t="s">
        <v>769</v>
      </c>
      <c r="BF233" s="9" t="s">
        <v>77</v>
      </c>
      <c r="BG233" s="9"/>
      <c r="BH233" s="9">
        <v>0</v>
      </c>
      <c r="BI233" s="9"/>
      <c r="BJ233" s="9">
        <v>1</v>
      </c>
      <c r="BK233" s="9" t="s">
        <v>92</v>
      </c>
      <c r="BL233" s="9" t="s">
        <v>92</v>
      </c>
      <c r="BM233" s="9" t="s">
        <v>75</v>
      </c>
      <c r="BN233" s="9"/>
      <c r="BO233" s="9">
        <v>0</v>
      </c>
      <c r="BP233" s="9"/>
      <c r="BQ233" s="9">
        <v>0</v>
      </c>
      <c r="BR233" s="9"/>
      <c r="BS233" s="9"/>
      <c r="BT233" s="9"/>
      <c r="BU233" s="9"/>
      <c r="BV233" s="9"/>
      <c r="BW233" s="9">
        <v>0</v>
      </c>
      <c r="BX233" s="9"/>
      <c r="BY233" s="9">
        <v>46066.425983796296</v>
      </c>
      <c r="BZ233" s="9"/>
      <c r="CA233" s="9"/>
      <c r="CB233" s="9"/>
      <c r="CC233" s="9"/>
      <c r="CD233" s="9"/>
      <c r="CE233" s="9"/>
      <c r="CF233" s="9"/>
      <c r="CG233" s="9"/>
      <c r="CH233" s="9">
        <v>1</v>
      </c>
      <c r="CI233" s="9">
        <v>0</v>
      </c>
      <c r="CJ233" s="9"/>
      <c r="CK233" s="9"/>
      <c r="CL233" s="9" t="s">
        <v>2211</v>
      </c>
      <c r="CM233" s="9"/>
      <c r="CN233" s="9">
        <v>0</v>
      </c>
      <c r="CO233" s="9" t="s">
        <v>1925</v>
      </c>
      <c r="CP233" s="9"/>
      <c r="CQ233" s="9"/>
    </row>
    <row r="234" spans="1:95" x14ac:dyDescent="0.35">
      <c r="A234" s="9" t="b">
        <f>ISNUMBER(MATCH(Claude[[#This Row],[Id]],ChargentOrders[Id],0))</f>
        <v>1</v>
      </c>
      <c r="B234" t="b">
        <f>INDEX(ChargentOrders[VALIDO],MATCH(Claude[[#This Row],[Id]],ChargentOrders[Id],0))</f>
        <v>1</v>
      </c>
      <c r="C234">
        <f>INDEX(Contract[CB_Subscription__c],MATCH(Claude[[#This Row],[Contract__c]],Contract[Id],0))</f>
        <v>0</v>
      </c>
      <c r="D234" s="9" t="s">
        <v>774</v>
      </c>
      <c r="E234" s="9" t="s">
        <v>79</v>
      </c>
      <c r="F234" s="9">
        <v>0</v>
      </c>
      <c r="G234" s="9" t="s">
        <v>775</v>
      </c>
      <c r="H234" s="9">
        <v>46039.416909722226</v>
      </c>
      <c r="I234" s="9" t="s">
        <v>65</v>
      </c>
      <c r="J234" s="9">
        <v>46217.738564814812</v>
      </c>
      <c r="K234" s="9" t="s">
        <v>78</v>
      </c>
      <c r="L234" s="9">
        <v>46217.738564814812</v>
      </c>
      <c r="M234" s="9"/>
      <c r="N234" s="9" t="s">
        <v>1753</v>
      </c>
      <c r="O234" s="9" t="s">
        <v>2185</v>
      </c>
      <c r="P234" s="9" t="s">
        <v>2186</v>
      </c>
      <c r="Q234" s="9" t="s">
        <v>1925</v>
      </c>
      <c r="R234" s="9" t="s">
        <v>1751</v>
      </c>
      <c r="S234" s="9" t="s">
        <v>2187</v>
      </c>
      <c r="T234" s="9" t="s">
        <v>2029</v>
      </c>
      <c r="U234" s="9" t="s">
        <v>1928</v>
      </c>
      <c r="V234" s="9">
        <v>692</v>
      </c>
      <c r="W234" s="9">
        <v>9</v>
      </c>
      <c r="X234" s="9">
        <v>2028</v>
      </c>
      <c r="Y234" s="9">
        <v>799</v>
      </c>
      <c r="Z234" s="9">
        <v>9</v>
      </c>
      <c r="AA234" s="9">
        <v>799</v>
      </c>
      <c r="AB234" s="9" t="s">
        <v>73</v>
      </c>
      <c r="AC234" s="9">
        <v>2028</v>
      </c>
      <c r="AD234" s="9" t="s">
        <v>1335</v>
      </c>
      <c r="AE234" s="9">
        <v>27</v>
      </c>
      <c r="AF234" s="9" t="s">
        <v>1929</v>
      </c>
      <c r="AG234" s="9"/>
      <c r="AH234" s="9" t="s">
        <v>67</v>
      </c>
      <c r="AI234" s="9">
        <v>0</v>
      </c>
      <c r="AJ234" s="9"/>
      <c r="AK234" s="9">
        <v>0</v>
      </c>
      <c r="AL234" s="9" t="s">
        <v>1930</v>
      </c>
      <c r="AM234" s="9"/>
      <c r="AN234" s="9"/>
      <c r="AO234" s="9" t="s">
        <v>1943</v>
      </c>
      <c r="AP234" s="9" t="s">
        <v>69</v>
      </c>
      <c r="AQ234" s="9" t="s">
        <v>1932</v>
      </c>
      <c r="AR234" s="9">
        <v>46230</v>
      </c>
      <c r="AS234" s="9" t="s">
        <v>84</v>
      </c>
      <c r="AT234" s="9" t="s">
        <v>1944</v>
      </c>
      <c r="AU234" s="9" t="s">
        <v>1335</v>
      </c>
      <c r="AV234" s="9">
        <v>0</v>
      </c>
      <c r="AW234" s="9" t="s">
        <v>92</v>
      </c>
      <c r="AX234" s="9" t="s">
        <v>731</v>
      </c>
      <c r="AY234" s="9">
        <v>0</v>
      </c>
      <c r="AZ234" s="9"/>
      <c r="BA234" s="9"/>
      <c r="BB234" s="9">
        <v>0</v>
      </c>
      <c r="BC234" s="9">
        <v>5</v>
      </c>
      <c r="BD234" s="9">
        <v>0</v>
      </c>
      <c r="BE234" s="9" t="s">
        <v>732</v>
      </c>
      <c r="BF234" s="9" t="s">
        <v>76</v>
      </c>
      <c r="BG234" s="9"/>
      <c r="BH234" s="9">
        <v>0</v>
      </c>
      <c r="BI234" s="9"/>
      <c r="BJ234" s="9">
        <v>6</v>
      </c>
      <c r="BK234" s="9" t="s">
        <v>92</v>
      </c>
      <c r="BL234" s="9" t="s">
        <v>92</v>
      </c>
      <c r="BM234" s="9" t="s">
        <v>75</v>
      </c>
      <c r="BN234" s="9"/>
      <c r="BO234" s="9">
        <v>0</v>
      </c>
      <c r="BP234" s="9"/>
      <c r="BQ234" s="9">
        <v>0</v>
      </c>
      <c r="BR234" s="9"/>
      <c r="BS234" s="9"/>
      <c r="BT234" s="9"/>
      <c r="BU234" s="9"/>
      <c r="BV234" s="9"/>
      <c r="BW234" s="9">
        <v>0</v>
      </c>
      <c r="BX234" s="9">
        <v>46199.417060185187</v>
      </c>
      <c r="BY234" s="9">
        <v>46199.417060185187</v>
      </c>
      <c r="BZ234" s="9"/>
      <c r="CA234" s="9"/>
      <c r="CB234" s="9"/>
      <c r="CC234" s="9"/>
      <c r="CD234" s="9"/>
      <c r="CE234" s="9"/>
      <c r="CF234" s="9"/>
      <c r="CG234" s="9"/>
      <c r="CH234" s="9">
        <v>1</v>
      </c>
      <c r="CI234" s="9">
        <v>0</v>
      </c>
      <c r="CJ234" s="9"/>
      <c r="CK234" s="9"/>
      <c r="CL234" s="9" t="s">
        <v>2188</v>
      </c>
      <c r="CM234" s="9"/>
      <c r="CN234" s="9">
        <v>0</v>
      </c>
      <c r="CO234" s="9" t="s">
        <v>1925</v>
      </c>
      <c r="CP234" s="9" t="s">
        <v>2212</v>
      </c>
      <c r="CQ234" s="9">
        <v>0</v>
      </c>
    </row>
    <row r="235" spans="1:95" x14ac:dyDescent="0.35">
      <c r="A235" s="9" t="b">
        <f>ISNUMBER(MATCH(Claude[[#This Row],[Id]],ChargentOrders[Id],0))</f>
        <v>1</v>
      </c>
      <c r="B235" t="b">
        <f>INDEX(ChargentOrders[VALIDO],MATCH(Claude[[#This Row],[Id]],ChargentOrders[Id],0))</f>
        <v>1</v>
      </c>
      <c r="C235">
        <f>INDEX(Contract[CB_Subscription__c],MATCH(Claude[[#This Row],[Contract__c]],Contract[Id],0))</f>
        <v>0</v>
      </c>
      <c r="D235" s="9" t="s">
        <v>776</v>
      </c>
      <c r="E235" s="9" t="s">
        <v>81</v>
      </c>
      <c r="F235" s="9">
        <v>0</v>
      </c>
      <c r="G235" s="9" t="s">
        <v>777</v>
      </c>
      <c r="H235" s="9">
        <v>46039.597430555557</v>
      </c>
      <c r="I235" s="9" t="s">
        <v>81</v>
      </c>
      <c r="J235" s="9">
        <v>46039.597488425927</v>
      </c>
      <c r="K235" s="9" t="s">
        <v>81</v>
      </c>
      <c r="L235" s="9">
        <v>46039.597488425927</v>
      </c>
      <c r="M235" s="9"/>
      <c r="N235" s="9"/>
      <c r="O235" s="9" t="s">
        <v>2213</v>
      </c>
      <c r="P235" s="9" t="s">
        <v>2214</v>
      </c>
      <c r="Q235" s="9" t="s">
        <v>1925</v>
      </c>
      <c r="R235" s="9" t="s">
        <v>1776</v>
      </c>
      <c r="S235" s="9" t="s">
        <v>2215</v>
      </c>
      <c r="T235" s="9" t="s">
        <v>2216</v>
      </c>
      <c r="U235" s="9" t="s">
        <v>1928</v>
      </c>
      <c r="V235" s="9">
        <v>791</v>
      </c>
      <c r="W235" s="9">
        <v>11</v>
      </c>
      <c r="X235" s="9">
        <v>2029</v>
      </c>
      <c r="Y235" s="9">
        <v>4457</v>
      </c>
      <c r="Z235" s="9">
        <v>11</v>
      </c>
      <c r="AA235" s="9">
        <v>4549518476894450</v>
      </c>
      <c r="AB235" s="9" t="s">
        <v>73</v>
      </c>
      <c r="AC235" s="9">
        <v>2029</v>
      </c>
      <c r="AD235" s="9" t="s">
        <v>93</v>
      </c>
      <c r="AE235" s="9"/>
      <c r="AF235" s="9" t="s">
        <v>1929</v>
      </c>
      <c r="AG235" s="9"/>
      <c r="AH235" s="9" t="s">
        <v>67</v>
      </c>
      <c r="AI235" s="9">
        <v>0</v>
      </c>
      <c r="AJ235" s="9"/>
      <c r="AK235" s="9">
        <v>0</v>
      </c>
      <c r="AL235" s="9" t="s">
        <v>1930</v>
      </c>
      <c r="AM235" s="9"/>
      <c r="AN235" s="9"/>
      <c r="AO235" s="9" t="s">
        <v>1931</v>
      </c>
      <c r="AP235" s="9" t="s">
        <v>69</v>
      </c>
      <c r="AQ235" s="9" t="s">
        <v>1932</v>
      </c>
      <c r="AR235" s="9"/>
      <c r="AS235" s="9"/>
      <c r="AT235" s="9"/>
      <c r="AU235" s="9" t="s">
        <v>92</v>
      </c>
      <c r="AV235" s="9">
        <v>0</v>
      </c>
      <c r="AW235" s="9"/>
      <c r="AX235" s="9" t="s">
        <v>778</v>
      </c>
      <c r="AY235" s="9">
        <v>0</v>
      </c>
      <c r="AZ235" s="9"/>
      <c r="BA235" s="9">
        <v>46039.597453703704</v>
      </c>
      <c r="BB235" s="9">
        <v>0</v>
      </c>
      <c r="BC235" s="9">
        <v>1</v>
      </c>
      <c r="BD235" s="9">
        <v>0</v>
      </c>
      <c r="BE235" s="9" t="s">
        <v>779</v>
      </c>
      <c r="BF235" s="9"/>
      <c r="BG235" s="9"/>
      <c r="BH235" s="9">
        <v>0</v>
      </c>
      <c r="BI235" s="9"/>
      <c r="BJ235" s="9">
        <v>1</v>
      </c>
      <c r="BK235" s="9"/>
      <c r="BL235" s="9"/>
      <c r="BM235" s="9" t="s">
        <v>75</v>
      </c>
      <c r="BN235" s="9"/>
      <c r="BO235" s="9">
        <v>0</v>
      </c>
      <c r="BP235" s="9"/>
      <c r="BQ235" s="9">
        <v>1</v>
      </c>
      <c r="BR235" s="9"/>
      <c r="BS235" s="9"/>
      <c r="BT235" s="9"/>
      <c r="BU235" s="9"/>
      <c r="BV235" s="9"/>
      <c r="BW235" s="9">
        <v>0</v>
      </c>
      <c r="BX235" s="9"/>
      <c r="BY235" s="9">
        <v>46039.597453703704</v>
      </c>
      <c r="BZ235" s="9"/>
      <c r="CA235" s="9"/>
      <c r="CB235" s="9"/>
      <c r="CC235" s="9"/>
      <c r="CD235" s="9"/>
      <c r="CE235" s="9"/>
      <c r="CF235" s="9"/>
      <c r="CG235" s="9"/>
      <c r="CH235" s="9">
        <v>1</v>
      </c>
      <c r="CI235" s="9">
        <v>0</v>
      </c>
      <c r="CJ235" s="9"/>
      <c r="CK235" s="9"/>
      <c r="CL235" s="9" t="s">
        <v>2217</v>
      </c>
      <c r="CM235" s="9"/>
      <c r="CN235" s="9">
        <v>0</v>
      </c>
      <c r="CO235" s="9" t="s">
        <v>1925</v>
      </c>
      <c r="CP235" s="9"/>
      <c r="CQ235" s="9"/>
    </row>
    <row r="236" spans="1:95" x14ac:dyDescent="0.35">
      <c r="A236" s="9" t="b">
        <f>ISNUMBER(MATCH(Claude[[#This Row],[Id]],ChargentOrders[Id],0))</f>
        <v>1</v>
      </c>
      <c r="B236" t="b">
        <f>INDEX(ChargentOrders[VALIDO],MATCH(Claude[[#This Row],[Id]],ChargentOrders[Id],0))</f>
        <v>1</v>
      </c>
      <c r="C236">
        <f>INDEX(Contract[CB_Subscription__c],MATCH(Claude[[#This Row],[Contract__c]],Contract[Id],0))</f>
        <v>0</v>
      </c>
      <c r="D236" s="9" t="s">
        <v>780</v>
      </c>
      <c r="E236" s="9" t="s">
        <v>81</v>
      </c>
      <c r="F236" s="9">
        <v>0</v>
      </c>
      <c r="G236" s="9" t="s">
        <v>781</v>
      </c>
      <c r="H236" s="9">
        <v>46039.598923611113</v>
      </c>
      <c r="I236" s="9" t="s">
        <v>81</v>
      </c>
      <c r="J236" s="9">
        <v>46042.418599537035</v>
      </c>
      <c r="K236" s="9" t="s">
        <v>65</v>
      </c>
      <c r="L236" s="9">
        <v>46042.418599537035</v>
      </c>
      <c r="M236" s="9"/>
      <c r="N236" s="9" t="s">
        <v>1778</v>
      </c>
      <c r="O236" s="9" t="s">
        <v>2213</v>
      </c>
      <c r="P236" s="9" t="s">
        <v>2214</v>
      </c>
      <c r="Q236" s="9" t="s">
        <v>1925</v>
      </c>
      <c r="R236" s="9" t="s">
        <v>1776</v>
      </c>
      <c r="S236" s="9" t="s">
        <v>2215</v>
      </c>
      <c r="T236" s="9" t="s">
        <v>2216</v>
      </c>
      <c r="U236" s="9" t="s">
        <v>1928</v>
      </c>
      <c r="V236" s="9">
        <v>791</v>
      </c>
      <c r="W236" s="9">
        <v>11</v>
      </c>
      <c r="X236" s="9">
        <v>2029</v>
      </c>
      <c r="Y236" s="9">
        <v>4457</v>
      </c>
      <c r="Z236" s="9">
        <v>11</v>
      </c>
      <c r="AA236" s="9">
        <v>4549518476894450</v>
      </c>
      <c r="AB236" s="9" t="s">
        <v>73</v>
      </c>
      <c r="AC236" s="9">
        <v>2029</v>
      </c>
      <c r="AD236" s="9" t="s">
        <v>374</v>
      </c>
      <c r="AE236" s="9"/>
      <c r="AF236" s="9" t="s">
        <v>1929</v>
      </c>
      <c r="AG236" s="9"/>
      <c r="AH236" s="9" t="s">
        <v>67</v>
      </c>
      <c r="AI236" s="9">
        <v>0</v>
      </c>
      <c r="AJ236" s="9"/>
      <c r="AK236" s="9">
        <v>0</v>
      </c>
      <c r="AL236" s="9" t="s">
        <v>1930</v>
      </c>
      <c r="AM236" s="9">
        <v>1</v>
      </c>
      <c r="AN236" s="9">
        <v>46042</v>
      </c>
      <c r="AO236" s="9" t="s">
        <v>1931</v>
      </c>
      <c r="AP236" s="9" t="s">
        <v>69</v>
      </c>
      <c r="AQ236" s="9" t="s">
        <v>1932</v>
      </c>
      <c r="AR236" s="9">
        <v>46042</v>
      </c>
      <c r="AS236" s="9" t="s">
        <v>74</v>
      </c>
      <c r="AT236" s="9" t="s">
        <v>1935</v>
      </c>
      <c r="AU236" s="9" t="s">
        <v>374</v>
      </c>
      <c r="AV236" s="9">
        <v>0</v>
      </c>
      <c r="AW236" s="9" t="s">
        <v>92</v>
      </c>
      <c r="AX236" s="9" t="s">
        <v>778</v>
      </c>
      <c r="AY236" s="9">
        <v>0</v>
      </c>
      <c r="AZ236" s="9"/>
      <c r="BA236" s="9"/>
      <c r="BB236" s="9">
        <v>0</v>
      </c>
      <c r="BC236" s="9">
        <v>1</v>
      </c>
      <c r="BD236" s="9">
        <v>0</v>
      </c>
      <c r="BE236" s="9" t="s">
        <v>779</v>
      </c>
      <c r="BF236" s="9" t="s">
        <v>77</v>
      </c>
      <c r="BG236" s="9"/>
      <c r="BH236" s="9">
        <v>0</v>
      </c>
      <c r="BI236" s="9"/>
      <c r="BJ236" s="9">
        <v>1</v>
      </c>
      <c r="BK236" s="9" t="s">
        <v>92</v>
      </c>
      <c r="BL236" s="9" t="s">
        <v>92</v>
      </c>
      <c r="BM236" s="9" t="s">
        <v>75</v>
      </c>
      <c r="BN236" s="9"/>
      <c r="BO236" s="9">
        <v>0</v>
      </c>
      <c r="BP236" s="9"/>
      <c r="BQ236" s="9">
        <v>0</v>
      </c>
      <c r="BR236" s="9"/>
      <c r="BS236" s="9"/>
      <c r="BT236" s="9"/>
      <c r="BU236" s="9"/>
      <c r="BV236" s="9"/>
      <c r="BW236" s="9">
        <v>0</v>
      </c>
      <c r="BX236" s="9">
        <v>46042.418564814812</v>
      </c>
      <c r="BY236" s="9">
        <v>46042.418564814812</v>
      </c>
      <c r="BZ236" s="9"/>
      <c r="CA236" s="9"/>
      <c r="CB236" s="9"/>
      <c r="CC236" s="9"/>
      <c r="CD236" s="9"/>
      <c r="CE236" s="9"/>
      <c r="CF236" s="9"/>
      <c r="CG236" s="9"/>
      <c r="CH236" s="9">
        <v>1</v>
      </c>
      <c r="CI236" s="9">
        <v>0</v>
      </c>
      <c r="CJ236" s="9"/>
      <c r="CK236" s="9"/>
      <c r="CL236" s="9" t="s">
        <v>2217</v>
      </c>
      <c r="CM236" s="9"/>
      <c r="CN236" s="9">
        <v>0</v>
      </c>
      <c r="CO236" s="9" t="s">
        <v>1925</v>
      </c>
      <c r="CP236" s="9"/>
      <c r="CQ236" s="9"/>
    </row>
    <row r="237" spans="1:95" x14ac:dyDescent="0.35">
      <c r="A237" s="9" t="b">
        <f>ISNUMBER(MATCH(Claude[[#This Row],[Id]],ChargentOrders[Id],0))</f>
        <v>1</v>
      </c>
      <c r="B237" t="b">
        <f>INDEX(ChargentOrders[VALIDO],MATCH(Claude[[#This Row],[Id]],ChargentOrders[Id],0))</f>
        <v>1</v>
      </c>
      <c r="C237">
        <f>INDEX(Contract[CB_Subscription__c],MATCH(Claude[[#This Row],[Contract__c]],Contract[Id],0))</f>
        <v>0</v>
      </c>
      <c r="D237" s="9" t="s">
        <v>782</v>
      </c>
      <c r="E237" s="9" t="s">
        <v>79</v>
      </c>
      <c r="F237" s="9">
        <v>0</v>
      </c>
      <c r="G237" s="9" t="s">
        <v>783</v>
      </c>
      <c r="H237" s="9">
        <v>46042.418310185189</v>
      </c>
      <c r="I237" s="9" t="s">
        <v>65</v>
      </c>
      <c r="J237" s="9">
        <v>46050.461111111108</v>
      </c>
      <c r="K237" s="9" t="s">
        <v>78</v>
      </c>
      <c r="L237" s="9">
        <v>46050.461111111108</v>
      </c>
      <c r="M237" s="9"/>
      <c r="N237" s="9" t="s">
        <v>1753</v>
      </c>
      <c r="O237" s="9" t="s">
        <v>2185</v>
      </c>
      <c r="P237" s="9" t="s">
        <v>2186</v>
      </c>
      <c r="Q237" s="9" t="s">
        <v>1925</v>
      </c>
      <c r="R237" s="9" t="s">
        <v>1751</v>
      </c>
      <c r="S237" s="9" t="s">
        <v>2187</v>
      </c>
      <c r="T237" s="9" t="s">
        <v>2029</v>
      </c>
      <c r="U237" s="9" t="s">
        <v>1928</v>
      </c>
      <c r="V237" s="9">
        <v>692</v>
      </c>
      <c r="W237" s="9">
        <v>9</v>
      </c>
      <c r="X237" s="9">
        <v>2028</v>
      </c>
      <c r="Y237" s="9">
        <v>799</v>
      </c>
      <c r="Z237" s="9">
        <v>9</v>
      </c>
      <c r="AA237" s="9">
        <v>4549516761820790</v>
      </c>
      <c r="AB237" s="9" t="s">
        <v>73</v>
      </c>
      <c r="AC237" s="9">
        <v>2028</v>
      </c>
      <c r="AD237" s="9" t="s">
        <v>2218</v>
      </c>
      <c r="AE237" s="9"/>
      <c r="AF237" s="9" t="s">
        <v>1929</v>
      </c>
      <c r="AG237" s="9"/>
      <c r="AH237" s="9" t="s">
        <v>67</v>
      </c>
      <c r="AI237" s="9">
        <v>0</v>
      </c>
      <c r="AJ237" s="9"/>
      <c r="AK237" s="9">
        <v>0</v>
      </c>
      <c r="AL237" s="9" t="s">
        <v>1930</v>
      </c>
      <c r="AM237" s="9" t="s">
        <v>1958</v>
      </c>
      <c r="AN237" s="9">
        <v>46045</v>
      </c>
      <c r="AO237" s="9" t="s">
        <v>1931</v>
      </c>
      <c r="AP237" s="9" t="s">
        <v>69</v>
      </c>
      <c r="AQ237" s="9" t="s">
        <v>1932</v>
      </c>
      <c r="AR237" s="9">
        <v>46045</v>
      </c>
      <c r="AS237" s="9" t="s">
        <v>74</v>
      </c>
      <c r="AT237" s="9" t="s">
        <v>1935</v>
      </c>
      <c r="AU237" s="9" t="s">
        <v>2219</v>
      </c>
      <c r="AV237" s="9">
        <v>0</v>
      </c>
      <c r="AW237" s="9" t="s">
        <v>93</v>
      </c>
      <c r="AX237" s="9" t="s">
        <v>731</v>
      </c>
      <c r="AY237" s="9">
        <v>0</v>
      </c>
      <c r="AZ237" s="9">
        <v>46045.431643518517</v>
      </c>
      <c r="BA237" s="9">
        <v>46050.461099537039</v>
      </c>
      <c r="BB237" s="9">
        <v>1</v>
      </c>
      <c r="BC237" s="9">
        <v>2</v>
      </c>
      <c r="BD237" s="9" t="s">
        <v>93</v>
      </c>
      <c r="BE237" s="9" t="s">
        <v>732</v>
      </c>
      <c r="BF237" s="9" t="s">
        <v>71</v>
      </c>
      <c r="BG237" s="9"/>
      <c r="BH237" s="9">
        <v>0</v>
      </c>
      <c r="BI237" s="9"/>
      <c r="BJ237" s="9"/>
      <c r="BK237" s="9" t="s">
        <v>92</v>
      </c>
      <c r="BL237" s="9" t="s">
        <v>92</v>
      </c>
      <c r="BM237" s="9" t="s">
        <v>72</v>
      </c>
      <c r="BN237" s="9"/>
      <c r="BO237" s="9">
        <v>1</v>
      </c>
      <c r="BP237" s="9" t="s">
        <v>784</v>
      </c>
      <c r="BQ237" s="9">
        <v>0</v>
      </c>
      <c r="BR237" s="9">
        <v>46031.596585648149</v>
      </c>
      <c r="BS237" s="9" t="s">
        <v>109</v>
      </c>
      <c r="BT237" s="9" t="s">
        <v>65</v>
      </c>
      <c r="BU237" s="9"/>
      <c r="BV237" s="9"/>
      <c r="BW237" s="9">
        <v>0</v>
      </c>
      <c r="BX237" s="9"/>
      <c r="BY237" s="9">
        <v>46050.461099537039</v>
      </c>
      <c r="BZ237" s="9"/>
      <c r="CA237" s="9"/>
      <c r="CB237" s="9"/>
      <c r="CC237" s="9"/>
      <c r="CD237" s="9"/>
      <c r="CE237" s="9"/>
      <c r="CF237" s="9"/>
      <c r="CG237" s="9"/>
      <c r="CH237" s="9">
        <v>1</v>
      </c>
      <c r="CI237" s="9">
        <v>0</v>
      </c>
      <c r="CJ237" s="9"/>
      <c r="CK237" s="9"/>
      <c r="CL237" s="9" t="s">
        <v>2188</v>
      </c>
      <c r="CM237" s="9"/>
      <c r="CN237" s="9">
        <v>0</v>
      </c>
      <c r="CO237" s="9" t="s">
        <v>1925</v>
      </c>
      <c r="CP237" s="9"/>
      <c r="CQ237" s="9"/>
    </row>
    <row r="238" spans="1:95" x14ac:dyDescent="0.35">
      <c r="A238" s="9" t="b">
        <f>ISNUMBER(MATCH(Claude[[#This Row],[Id]],ChargentOrders[Id],0))</f>
        <v>1</v>
      </c>
      <c r="B238" t="b">
        <f>INDEX(ChargentOrders[VALIDO],MATCH(Claude[[#This Row],[Id]],ChargentOrders[Id],0))</f>
        <v>1</v>
      </c>
      <c r="C238">
        <f>INDEX(Contract[CB_Subscription__c],MATCH(Claude[[#This Row],[Contract__c]],Contract[Id],0))</f>
        <v>0</v>
      </c>
      <c r="D238" s="9" t="s">
        <v>785</v>
      </c>
      <c r="E238" s="9" t="s">
        <v>81</v>
      </c>
      <c r="F238" s="9">
        <v>0</v>
      </c>
      <c r="G238" s="9" t="s">
        <v>786</v>
      </c>
      <c r="H238" s="9">
        <v>46042.418587962966</v>
      </c>
      <c r="I238" s="9" t="s">
        <v>65</v>
      </c>
      <c r="J238" s="9">
        <v>46051.42765046296</v>
      </c>
      <c r="K238" s="9" t="s">
        <v>65</v>
      </c>
      <c r="L238" s="9">
        <v>46051.42765046296</v>
      </c>
      <c r="M238" s="9"/>
      <c r="N238" s="9" t="s">
        <v>1778</v>
      </c>
      <c r="O238" s="9" t="s">
        <v>2213</v>
      </c>
      <c r="P238" s="9" t="s">
        <v>2214</v>
      </c>
      <c r="Q238" s="9" t="s">
        <v>1925</v>
      </c>
      <c r="R238" s="9" t="s">
        <v>1776</v>
      </c>
      <c r="S238" s="9" t="s">
        <v>2215</v>
      </c>
      <c r="T238" s="9" t="s">
        <v>2216</v>
      </c>
      <c r="U238" s="9" t="s">
        <v>1928</v>
      </c>
      <c r="V238" s="9">
        <v>791</v>
      </c>
      <c r="W238" s="9">
        <v>11</v>
      </c>
      <c r="X238" s="9">
        <v>2029</v>
      </c>
      <c r="Y238" s="9">
        <v>4457</v>
      </c>
      <c r="Z238" s="9">
        <v>11</v>
      </c>
      <c r="AA238" s="9">
        <v>4549518476894450</v>
      </c>
      <c r="AB238" s="9" t="s">
        <v>73</v>
      </c>
      <c r="AC238" s="9">
        <v>2029</v>
      </c>
      <c r="AD238" s="9" t="s">
        <v>449</v>
      </c>
      <c r="AE238" s="9"/>
      <c r="AF238" s="9" t="s">
        <v>1929</v>
      </c>
      <c r="AG238" s="9"/>
      <c r="AH238" s="9" t="s">
        <v>67</v>
      </c>
      <c r="AI238" s="9">
        <v>0</v>
      </c>
      <c r="AJ238" s="9"/>
      <c r="AK238" s="9">
        <v>0</v>
      </c>
      <c r="AL238" s="9" t="s">
        <v>1930</v>
      </c>
      <c r="AM238" s="9">
        <v>1</v>
      </c>
      <c r="AN238" s="9">
        <v>46051</v>
      </c>
      <c r="AO238" s="9" t="s">
        <v>1931</v>
      </c>
      <c r="AP238" s="9" t="s">
        <v>69</v>
      </c>
      <c r="AQ238" s="9" t="s">
        <v>1932</v>
      </c>
      <c r="AR238" s="9">
        <v>46051</v>
      </c>
      <c r="AS238" s="9" t="s">
        <v>74</v>
      </c>
      <c r="AT238" s="9" t="s">
        <v>1935</v>
      </c>
      <c r="AU238" s="9" t="s">
        <v>449</v>
      </c>
      <c r="AV238" s="9">
        <v>0</v>
      </c>
      <c r="AW238" s="9" t="s">
        <v>92</v>
      </c>
      <c r="AX238" s="9" t="s">
        <v>778</v>
      </c>
      <c r="AY238" s="9">
        <v>0</v>
      </c>
      <c r="AZ238" s="9">
        <v>46051.427581018521</v>
      </c>
      <c r="BA238" s="9">
        <v>46051.42759259259</v>
      </c>
      <c r="BB238" s="9">
        <v>1</v>
      </c>
      <c r="BC238" s="9">
        <v>3</v>
      </c>
      <c r="BD238" s="9" t="s">
        <v>2220</v>
      </c>
      <c r="BE238" s="9" t="s">
        <v>779</v>
      </c>
      <c r="BF238" s="9" t="s">
        <v>71</v>
      </c>
      <c r="BG238" s="9"/>
      <c r="BH238" s="9">
        <v>0</v>
      </c>
      <c r="BI238" s="9"/>
      <c r="BJ238" s="9"/>
      <c r="BK238" s="9" t="s">
        <v>92</v>
      </c>
      <c r="BL238" s="9" t="s">
        <v>92</v>
      </c>
      <c r="BM238" s="9" t="s">
        <v>72</v>
      </c>
      <c r="BN238" s="9"/>
      <c r="BO238" s="9">
        <v>1</v>
      </c>
      <c r="BP238" s="9" t="s">
        <v>787</v>
      </c>
      <c r="BQ238" s="9">
        <v>0</v>
      </c>
      <c r="BR238" s="9">
        <v>46039.598923611113</v>
      </c>
      <c r="BS238" s="9" t="s">
        <v>109</v>
      </c>
      <c r="BT238" s="9" t="s">
        <v>65</v>
      </c>
      <c r="BU238" s="9"/>
      <c r="BV238" s="9"/>
      <c r="BW238" s="9">
        <v>0</v>
      </c>
      <c r="BX238" s="9">
        <v>46048.431168981479</v>
      </c>
      <c r="BY238" s="9">
        <v>46051.427581018521</v>
      </c>
      <c r="BZ238" s="9"/>
      <c r="CA238" s="9"/>
      <c r="CB238" s="9"/>
      <c r="CC238" s="9"/>
      <c r="CD238" s="9"/>
      <c r="CE238" s="9"/>
      <c r="CF238" s="9"/>
      <c r="CG238" s="9"/>
      <c r="CH238" s="9">
        <v>1</v>
      </c>
      <c r="CI238" s="9">
        <v>0</v>
      </c>
      <c r="CJ238" s="9"/>
      <c r="CK238" s="9"/>
      <c r="CL238" s="9" t="s">
        <v>2217</v>
      </c>
      <c r="CM238" s="9"/>
      <c r="CN238" s="9">
        <v>0</v>
      </c>
      <c r="CO238" s="9" t="s">
        <v>1925</v>
      </c>
      <c r="CP238" s="9"/>
      <c r="CQ238" s="9"/>
    </row>
    <row r="239" spans="1:95" x14ac:dyDescent="0.35">
      <c r="A239" s="9" t="b">
        <f>ISNUMBER(MATCH(Claude[[#This Row],[Id]],ChargentOrders[Id],0))</f>
        <v>1</v>
      </c>
      <c r="B239" t="b">
        <f>INDEX(ChargentOrders[VALIDO],MATCH(Claude[[#This Row],[Id]],ChargentOrders[Id],0))</f>
        <v>1</v>
      </c>
      <c r="C239">
        <f>INDEX(Contract[CB_Subscription__c],MATCH(Claude[[#This Row],[Contract__c]],Contract[Id],0))</f>
        <v>0</v>
      </c>
      <c r="D239" s="9" t="s">
        <v>788</v>
      </c>
      <c r="E239" s="9" t="s">
        <v>79</v>
      </c>
      <c r="F239" s="9">
        <v>0</v>
      </c>
      <c r="G239" s="9" t="s">
        <v>789</v>
      </c>
      <c r="H239" s="9">
        <v>46042.618321759262</v>
      </c>
      <c r="I239" s="9" t="s">
        <v>78</v>
      </c>
      <c r="J239" s="9">
        <v>46050.45585648148</v>
      </c>
      <c r="K239" s="9" t="s">
        <v>78</v>
      </c>
      <c r="L239" s="9">
        <v>46050.45585648148</v>
      </c>
      <c r="M239" s="9"/>
      <c r="N239" s="9" t="s">
        <v>1753</v>
      </c>
      <c r="O239" s="9" t="s">
        <v>2185</v>
      </c>
      <c r="P239" s="9" t="s">
        <v>2186</v>
      </c>
      <c r="Q239" s="9" t="s">
        <v>1925</v>
      </c>
      <c r="R239" s="9" t="s">
        <v>1751</v>
      </c>
      <c r="S239" s="9" t="s">
        <v>2187</v>
      </c>
      <c r="T239" s="9" t="s">
        <v>2029</v>
      </c>
      <c r="U239" s="9" t="s">
        <v>1928</v>
      </c>
      <c r="V239" s="9">
        <v>692</v>
      </c>
      <c r="W239" s="9">
        <v>9</v>
      </c>
      <c r="X239" s="9">
        <v>2028</v>
      </c>
      <c r="Y239" s="9">
        <v>799</v>
      </c>
      <c r="Z239" s="9">
        <v>9</v>
      </c>
      <c r="AA239" s="9">
        <v>4549516761820790</v>
      </c>
      <c r="AB239" s="9" t="s">
        <v>73</v>
      </c>
      <c r="AC239" s="9">
        <v>2028</v>
      </c>
      <c r="AD239" s="9" t="s">
        <v>2218</v>
      </c>
      <c r="AE239" s="9"/>
      <c r="AF239" s="9" t="s">
        <v>1929</v>
      </c>
      <c r="AG239" s="9"/>
      <c r="AH239" s="9" t="s">
        <v>67</v>
      </c>
      <c r="AI239" s="9">
        <v>0</v>
      </c>
      <c r="AJ239" s="9"/>
      <c r="AK239" s="9">
        <v>0</v>
      </c>
      <c r="AL239" s="9" t="s">
        <v>1930</v>
      </c>
      <c r="AM239" s="9" t="s">
        <v>1958</v>
      </c>
      <c r="AN239" s="9">
        <v>46045</v>
      </c>
      <c r="AO239" s="9" t="s">
        <v>1931</v>
      </c>
      <c r="AP239" s="9" t="s">
        <v>69</v>
      </c>
      <c r="AQ239" s="9" t="s">
        <v>1932</v>
      </c>
      <c r="AR239" s="9">
        <v>46045</v>
      </c>
      <c r="AS239" s="9" t="s">
        <v>74</v>
      </c>
      <c r="AT239" s="9" t="s">
        <v>1935</v>
      </c>
      <c r="AU239" s="9" t="s">
        <v>2219</v>
      </c>
      <c r="AV239" s="9">
        <v>0</v>
      </c>
      <c r="AW239" s="9" t="s">
        <v>93</v>
      </c>
      <c r="AX239" s="9" t="s">
        <v>731</v>
      </c>
      <c r="AY239" s="9">
        <v>0</v>
      </c>
      <c r="AZ239" s="9">
        <v>46045.431712962964</v>
      </c>
      <c r="BA239" s="9">
        <v>46050.45584490741</v>
      </c>
      <c r="BB239" s="9">
        <v>1</v>
      </c>
      <c r="BC239" s="9">
        <v>2</v>
      </c>
      <c r="BD239" s="9" t="s">
        <v>93</v>
      </c>
      <c r="BE239" s="9" t="s">
        <v>732</v>
      </c>
      <c r="BF239" s="9" t="s">
        <v>71</v>
      </c>
      <c r="BG239" s="9"/>
      <c r="BH239" s="9">
        <v>0</v>
      </c>
      <c r="BI239" s="9"/>
      <c r="BJ239" s="9"/>
      <c r="BK239" s="9" t="s">
        <v>92</v>
      </c>
      <c r="BL239" s="9" t="s">
        <v>92</v>
      </c>
      <c r="BM239" s="9" t="s">
        <v>72</v>
      </c>
      <c r="BN239" s="9"/>
      <c r="BO239" s="9">
        <v>1</v>
      </c>
      <c r="BP239" s="9" t="s">
        <v>790</v>
      </c>
      <c r="BQ239" s="9">
        <v>0</v>
      </c>
      <c r="BR239" s="9">
        <v>46031.596585648149</v>
      </c>
      <c r="BS239" s="9" t="s">
        <v>109</v>
      </c>
      <c r="BT239" s="9" t="s">
        <v>78</v>
      </c>
      <c r="BU239" s="9"/>
      <c r="BV239" s="9"/>
      <c r="BW239" s="9">
        <v>0</v>
      </c>
      <c r="BX239" s="9"/>
      <c r="BY239" s="9">
        <v>46050.45584490741</v>
      </c>
      <c r="BZ239" s="9"/>
      <c r="CA239" s="9"/>
      <c r="CB239" s="9"/>
      <c r="CC239" s="9"/>
      <c r="CD239" s="9"/>
      <c r="CE239" s="9"/>
      <c r="CF239" s="9"/>
      <c r="CG239" s="9"/>
      <c r="CH239" s="9">
        <v>1</v>
      </c>
      <c r="CI239" s="9">
        <v>0</v>
      </c>
      <c r="CJ239" s="9"/>
      <c r="CK239" s="9"/>
      <c r="CL239" s="9" t="s">
        <v>2188</v>
      </c>
      <c r="CM239" s="9"/>
      <c r="CN239" s="9">
        <v>0</v>
      </c>
      <c r="CO239" s="9" t="s">
        <v>1925</v>
      </c>
      <c r="CP239" s="9"/>
      <c r="CQ239" s="9"/>
    </row>
    <row r="240" spans="1:95" x14ac:dyDescent="0.35">
      <c r="A240" s="9" t="b">
        <f>ISNUMBER(MATCH(Claude[[#This Row],[Id]],ChargentOrders[Id],0))</f>
        <v>1</v>
      </c>
      <c r="B240" t="b">
        <f>INDEX(ChargentOrders[VALIDO],MATCH(Claude[[#This Row],[Id]],ChargentOrders[Id],0))</f>
        <v>1</v>
      </c>
      <c r="C240">
        <f>INDEX(Contract[CB_Subscription__c],MATCH(Claude[[#This Row],[Contract__c]],Contract[Id],0))</f>
        <v>0</v>
      </c>
      <c r="D240" s="9" t="s">
        <v>791</v>
      </c>
      <c r="E240" s="9" t="s">
        <v>79</v>
      </c>
      <c r="F240" s="9">
        <v>0</v>
      </c>
      <c r="G240" s="9" t="s">
        <v>792</v>
      </c>
      <c r="H240" s="9">
        <v>46043.41741898148</v>
      </c>
      <c r="I240" s="9" t="s">
        <v>65</v>
      </c>
      <c r="J240" s="9">
        <v>46050.455243055556</v>
      </c>
      <c r="K240" s="9" t="s">
        <v>78</v>
      </c>
      <c r="L240" s="9">
        <v>46050.455243055556</v>
      </c>
      <c r="M240" s="9"/>
      <c r="N240" s="9" t="s">
        <v>1753</v>
      </c>
      <c r="O240" s="9" t="s">
        <v>2185</v>
      </c>
      <c r="P240" s="9" t="s">
        <v>2186</v>
      </c>
      <c r="Q240" s="9" t="s">
        <v>1925</v>
      </c>
      <c r="R240" s="9" t="s">
        <v>1751</v>
      </c>
      <c r="S240" s="9" t="s">
        <v>2187</v>
      </c>
      <c r="T240" s="9" t="s">
        <v>2029</v>
      </c>
      <c r="U240" s="9" t="s">
        <v>1928</v>
      </c>
      <c r="V240" s="9">
        <v>692</v>
      </c>
      <c r="W240" s="9">
        <v>9</v>
      </c>
      <c r="X240" s="9">
        <v>2028</v>
      </c>
      <c r="Y240" s="9">
        <v>799</v>
      </c>
      <c r="Z240" s="9">
        <v>9</v>
      </c>
      <c r="AA240" s="9">
        <v>4549516761820790</v>
      </c>
      <c r="AB240" s="9" t="s">
        <v>73</v>
      </c>
      <c r="AC240" s="9">
        <v>2028</v>
      </c>
      <c r="AD240" s="9" t="s">
        <v>2218</v>
      </c>
      <c r="AE240" s="9"/>
      <c r="AF240" s="9" t="s">
        <v>1929</v>
      </c>
      <c r="AG240" s="9"/>
      <c r="AH240" s="9" t="s">
        <v>67</v>
      </c>
      <c r="AI240" s="9">
        <v>0</v>
      </c>
      <c r="AJ240" s="9"/>
      <c r="AK240" s="9">
        <v>0</v>
      </c>
      <c r="AL240" s="9" t="s">
        <v>1930</v>
      </c>
      <c r="AM240" s="9" t="s">
        <v>1958</v>
      </c>
      <c r="AN240" s="9">
        <v>46045</v>
      </c>
      <c r="AO240" s="9" t="s">
        <v>1931</v>
      </c>
      <c r="AP240" s="9" t="s">
        <v>69</v>
      </c>
      <c r="AQ240" s="9" t="s">
        <v>1932</v>
      </c>
      <c r="AR240" s="9">
        <v>46045</v>
      </c>
      <c r="AS240" s="9" t="s">
        <v>74</v>
      </c>
      <c r="AT240" s="9" t="s">
        <v>1935</v>
      </c>
      <c r="AU240" s="9" t="s">
        <v>2219</v>
      </c>
      <c r="AV240" s="9">
        <v>0</v>
      </c>
      <c r="AW240" s="9" t="s">
        <v>93</v>
      </c>
      <c r="AX240" s="9" t="s">
        <v>731</v>
      </c>
      <c r="AY240" s="9">
        <v>0</v>
      </c>
      <c r="AZ240" s="9">
        <v>46045.431851851848</v>
      </c>
      <c r="BA240" s="9">
        <v>46050.455231481479</v>
      </c>
      <c r="BB240" s="9">
        <v>1</v>
      </c>
      <c r="BC240" s="9">
        <v>2</v>
      </c>
      <c r="BD240" s="9" t="s">
        <v>93</v>
      </c>
      <c r="BE240" s="9" t="s">
        <v>732</v>
      </c>
      <c r="BF240" s="9" t="s">
        <v>71</v>
      </c>
      <c r="BG240" s="9"/>
      <c r="BH240" s="9">
        <v>0</v>
      </c>
      <c r="BI240" s="9"/>
      <c r="BJ240" s="9"/>
      <c r="BK240" s="9" t="s">
        <v>92</v>
      </c>
      <c r="BL240" s="9" t="s">
        <v>92</v>
      </c>
      <c r="BM240" s="9" t="s">
        <v>72</v>
      </c>
      <c r="BN240" s="9"/>
      <c r="BO240" s="9">
        <v>1</v>
      </c>
      <c r="BP240" s="9" t="s">
        <v>793</v>
      </c>
      <c r="BQ240" s="9">
        <v>0</v>
      </c>
      <c r="BR240" s="9">
        <v>46031.596585648149</v>
      </c>
      <c r="BS240" s="9" t="s">
        <v>109</v>
      </c>
      <c r="BT240" s="9" t="s">
        <v>65</v>
      </c>
      <c r="BU240" s="9"/>
      <c r="BV240" s="9"/>
      <c r="BW240" s="9">
        <v>0</v>
      </c>
      <c r="BX240" s="9"/>
      <c r="BY240" s="9">
        <v>46050.455231481479</v>
      </c>
      <c r="BZ240" s="9"/>
      <c r="CA240" s="9"/>
      <c r="CB240" s="9"/>
      <c r="CC240" s="9"/>
      <c r="CD240" s="9"/>
      <c r="CE240" s="9"/>
      <c r="CF240" s="9"/>
      <c r="CG240" s="9"/>
      <c r="CH240" s="9">
        <v>1</v>
      </c>
      <c r="CI240" s="9">
        <v>0</v>
      </c>
      <c r="CJ240" s="9"/>
      <c r="CK240" s="9"/>
      <c r="CL240" s="9" t="s">
        <v>2188</v>
      </c>
      <c r="CM240" s="9"/>
      <c r="CN240" s="9">
        <v>0</v>
      </c>
      <c r="CO240" s="9" t="s">
        <v>1925</v>
      </c>
      <c r="CP240" s="9"/>
      <c r="CQ240" s="9"/>
    </row>
    <row r="241" spans="1:95" x14ac:dyDescent="0.35">
      <c r="A241" s="9" t="b">
        <f>ISNUMBER(MATCH(Claude[[#This Row],[Id]],ChargentOrders[Id],0))</f>
        <v>1</v>
      </c>
      <c r="B241" t="b">
        <f>INDEX(ChargentOrders[VALIDO],MATCH(Claude[[#This Row],[Id]],ChargentOrders[Id],0))</f>
        <v>1</v>
      </c>
      <c r="C241">
        <f>INDEX(Contract[CB_Subscription__c],MATCH(Claude[[#This Row],[Contract__c]],Contract[Id],0))</f>
        <v>0</v>
      </c>
      <c r="D241" s="9" t="s">
        <v>794</v>
      </c>
      <c r="E241" s="9" t="s">
        <v>155</v>
      </c>
      <c r="F241" s="9">
        <v>0</v>
      </c>
      <c r="G241" s="9" t="s">
        <v>795</v>
      </c>
      <c r="H241" s="9">
        <v>46043.417557870373</v>
      </c>
      <c r="I241" s="9" t="s">
        <v>65</v>
      </c>
      <c r="J241" s="9">
        <v>46079.422222222223</v>
      </c>
      <c r="K241" s="9" t="s">
        <v>65</v>
      </c>
      <c r="L241" s="9">
        <v>46079.422222222223</v>
      </c>
      <c r="M241" s="9"/>
      <c r="N241" s="9" t="s">
        <v>1763</v>
      </c>
      <c r="O241" s="9" t="s">
        <v>2198</v>
      </c>
      <c r="P241" s="9" t="s">
        <v>2199</v>
      </c>
      <c r="Q241" s="9" t="s">
        <v>1925</v>
      </c>
      <c r="R241" s="9" t="s">
        <v>1761</v>
      </c>
      <c r="S241" s="9" t="s">
        <v>2200</v>
      </c>
      <c r="T241" s="9" t="s">
        <v>2201</v>
      </c>
      <c r="U241" s="9" t="s">
        <v>1928</v>
      </c>
      <c r="V241" s="9">
        <v>784</v>
      </c>
      <c r="W241" s="9">
        <v>7</v>
      </c>
      <c r="X241" s="9">
        <v>2030</v>
      </c>
      <c r="Y241" s="9">
        <v>1311</v>
      </c>
      <c r="Z241" s="9">
        <v>7</v>
      </c>
      <c r="AA241" s="9">
        <v>4549519302711310</v>
      </c>
      <c r="AB241" s="9" t="s">
        <v>73</v>
      </c>
      <c r="AC241" s="9">
        <v>2030</v>
      </c>
      <c r="AD241" s="9" t="s">
        <v>449</v>
      </c>
      <c r="AE241" s="9"/>
      <c r="AF241" s="9" t="s">
        <v>1929</v>
      </c>
      <c r="AG241" s="9"/>
      <c r="AH241" s="9" t="s">
        <v>67</v>
      </c>
      <c r="AI241" s="9">
        <v>0</v>
      </c>
      <c r="AJ241" s="9"/>
      <c r="AK241" s="9">
        <v>0</v>
      </c>
      <c r="AL241" s="9" t="s">
        <v>1930</v>
      </c>
      <c r="AM241" s="9">
        <v>1</v>
      </c>
      <c r="AN241" s="9">
        <v>46079</v>
      </c>
      <c r="AO241" s="9" t="s">
        <v>1931</v>
      </c>
      <c r="AP241" s="9" t="s">
        <v>69</v>
      </c>
      <c r="AQ241" s="9" t="s">
        <v>1932</v>
      </c>
      <c r="AR241" s="9">
        <v>46079</v>
      </c>
      <c r="AS241" s="9" t="s">
        <v>74</v>
      </c>
      <c r="AT241" s="9" t="s">
        <v>1935</v>
      </c>
      <c r="AU241" s="9" t="s">
        <v>449</v>
      </c>
      <c r="AV241" s="9">
        <v>0</v>
      </c>
      <c r="AW241" s="9" t="s">
        <v>92</v>
      </c>
      <c r="AX241" s="9" t="s">
        <v>755</v>
      </c>
      <c r="AY241" s="9">
        <v>0</v>
      </c>
      <c r="AZ241" s="9">
        <v>46079.421990740739</v>
      </c>
      <c r="BA241" s="9">
        <v>46079.422037037039</v>
      </c>
      <c r="BB241" s="9">
        <v>1</v>
      </c>
      <c r="BC241" s="9">
        <v>15</v>
      </c>
      <c r="BD241" s="9" t="s">
        <v>2220</v>
      </c>
      <c r="BE241" s="9" t="s">
        <v>752</v>
      </c>
      <c r="BF241" s="9" t="s">
        <v>71</v>
      </c>
      <c r="BG241" s="9"/>
      <c r="BH241" s="9">
        <v>0</v>
      </c>
      <c r="BI241" s="9"/>
      <c r="BJ241" s="9"/>
      <c r="BK241" s="9" t="s">
        <v>92</v>
      </c>
      <c r="BL241" s="9" t="s">
        <v>92</v>
      </c>
      <c r="BM241" s="9" t="s">
        <v>72</v>
      </c>
      <c r="BN241" s="9"/>
      <c r="BO241" s="9">
        <v>1</v>
      </c>
      <c r="BP241" s="9" t="s">
        <v>796</v>
      </c>
      <c r="BQ241" s="9">
        <v>0</v>
      </c>
      <c r="BR241" s="9">
        <v>46037.777997685182</v>
      </c>
      <c r="BS241" s="9" t="s">
        <v>109</v>
      </c>
      <c r="BT241" s="9" t="s">
        <v>65</v>
      </c>
      <c r="BU241" s="9"/>
      <c r="BV241" s="9"/>
      <c r="BW241" s="9">
        <v>0</v>
      </c>
      <c r="BX241" s="9">
        <v>46076.422337962962</v>
      </c>
      <c r="BY241" s="9">
        <v>46079.421990740739</v>
      </c>
      <c r="BZ241" s="9"/>
      <c r="CA241" s="9"/>
      <c r="CB241" s="9"/>
      <c r="CC241" s="9"/>
      <c r="CD241" s="9"/>
      <c r="CE241" s="9"/>
      <c r="CF241" s="9"/>
      <c r="CG241" s="9"/>
      <c r="CH241" s="9">
        <v>1</v>
      </c>
      <c r="CI241" s="9">
        <v>0</v>
      </c>
      <c r="CJ241" s="9"/>
      <c r="CK241" s="9"/>
      <c r="CL241" s="9" t="s">
        <v>2202</v>
      </c>
      <c r="CM241" s="9"/>
      <c r="CN241" s="9">
        <v>0</v>
      </c>
      <c r="CO241" s="9" t="s">
        <v>1925</v>
      </c>
      <c r="CP241" s="9"/>
      <c r="CQ241" s="9"/>
    </row>
    <row r="242" spans="1:95" x14ac:dyDescent="0.35">
      <c r="A242" s="9" t="b">
        <f>ISNUMBER(MATCH(Claude[[#This Row],[Id]],ChargentOrders[Id],0))</f>
        <v>1</v>
      </c>
      <c r="B242" t="b">
        <f>INDEX(ChargentOrders[VALIDO],MATCH(Claude[[#This Row],[Id]],ChargentOrders[Id],0))</f>
        <v>1</v>
      </c>
      <c r="C242">
        <f>INDEX(Contract[CB_Subscription__c],MATCH(Claude[[#This Row],[Contract__c]],Contract[Id],0))</f>
        <v>0</v>
      </c>
      <c r="D242" s="9" t="s">
        <v>797</v>
      </c>
      <c r="E242" s="9" t="s">
        <v>79</v>
      </c>
      <c r="F242" s="9">
        <v>0</v>
      </c>
      <c r="G242" s="9" t="s">
        <v>798</v>
      </c>
      <c r="H242" s="9">
        <v>46043.61822916667</v>
      </c>
      <c r="I242" s="9" t="s">
        <v>78</v>
      </c>
      <c r="J242" s="9">
        <v>46050.452546296299</v>
      </c>
      <c r="K242" s="9" t="s">
        <v>78</v>
      </c>
      <c r="L242" s="9">
        <v>46050.452546296299</v>
      </c>
      <c r="M242" s="9"/>
      <c r="N242" s="9" t="s">
        <v>1753</v>
      </c>
      <c r="O242" s="9" t="s">
        <v>2185</v>
      </c>
      <c r="P242" s="9" t="s">
        <v>2186</v>
      </c>
      <c r="Q242" s="9" t="s">
        <v>1925</v>
      </c>
      <c r="R242" s="9" t="s">
        <v>1751</v>
      </c>
      <c r="S242" s="9" t="s">
        <v>2187</v>
      </c>
      <c r="T242" s="9" t="s">
        <v>2029</v>
      </c>
      <c r="U242" s="9" t="s">
        <v>1928</v>
      </c>
      <c r="V242" s="9">
        <v>692</v>
      </c>
      <c r="W242" s="9">
        <v>9</v>
      </c>
      <c r="X242" s="9">
        <v>2028</v>
      </c>
      <c r="Y242" s="9">
        <v>799</v>
      </c>
      <c r="Z242" s="9">
        <v>9</v>
      </c>
      <c r="AA242" s="9">
        <v>4549516761820790</v>
      </c>
      <c r="AB242" s="9" t="s">
        <v>73</v>
      </c>
      <c r="AC242" s="9">
        <v>2028</v>
      </c>
      <c r="AD242" s="9" t="s">
        <v>2218</v>
      </c>
      <c r="AE242" s="9"/>
      <c r="AF242" s="9" t="s">
        <v>1929</v>
      </c>
      <c r="AG242" s="9"/>
      <c r="AH242" s="9" t="s">
        <v>67</v>
      </c>
      <c r="AI242" s="9">
        <v>0</v>
      </c>
      <c r="AJ242" s="9"/>
      <c r="AK242" s="9">
        <v>0</v>
      </c>
      <c r="AL242" s="9" t="s">
        <v>1930</v>
      </c>
      <c r="AM242" s="9" t="s">
        <v>1958</v>
      </c>
      <c r="AN242" s="9">
        <v>46046</v>
      </c>
      <c r="AO242" s="9" t="s">
        <v>1931</v>
      </c>
      <c r="AP242" s="9" t="s">
        <v>69</v>
      </c>
      <c r="AQ242" s="9" t="s">
        <v>1932</v>
      </c>
      <c r="AR242" s="9">
        <v>46046</v>
      </c>
      <c r="AS242" s="9" t="s">
        <v>74</v>
      </c>
      <c r="AT242" s="9" t="s">
        <v>1935</v>
      </c>
      <c r="AU242" s="9" t="s">
        <v>2219</v>
      </c>
      <c r="AV242" s="9">
        <v>0</v>
      </c>
      <c r="AW242" s="9" t="s">
        <v>93</v>
      </c>
      <c r="AX242" s="9" t="s">
        <v>731</v>
      </c>
      <c r="AY242" s="9">
        <v>0</v>
      </c>
      <c r="AZ242" s="9">
        <v>46046.417361111111</v>
      </c>
      <c r="BA242" s="9">
        <v>46050.452534722222</v>
      </c>
      <c r="BB242" s="9">
        <v>1</v>
      </c>
      <c r="BC242" s="9">
        <v>2</v>
      </c>
      <c r="BD242" s="9" t="s">
        <v>93</v>
      </c>
      <c r="BE242" s="9" t="s">
        <v>732</v>
      </c>
      <c r="BF242" s="9" t="s">
        <v>71</v>
      </c>
      <c r="BG242" s="9"/>
      <c r="BH242" s="9">
        <v>0</v>
      </c>
      <c r="BI242" s="9"/>
      <c r="BJ242" s="9"/>
      <c r="BK242" s="9" t="s">
        <v>92</v>
      </c>
      <c r="BL242" s="9" t="s">
        <v>92</v>
      </c>
      <c r="BM242" s="9" t="s">
        <v>72</v>
      </c>
      <c r="BN242" s="9"/>
      <c r="BO242" s="9">
        <v>1</v>
      </c>
      <c r="BP242" s="9" t="s">
        <v>799</v>
      </c>
      <c r="BQ242" s="9">
        <v>0</v>
      </c>
      <c r="BR242" s="9">
        <v>46031.596585648149</v>
      </c>
      <c r="BS242" s="9" t="s">
        <v>109</v>
      </c>
      <c r="BT242" s="9" t="s">
        <v>78</v>
      </c>
      <c r="BU242" s="9"/>
      <c r="BV242" s="9"/>
      <c r="BW242" s="9">
        <v>0</v>
      </c>
      <c r="BX242" s="9"/>
      <c r="BY242" s="9">
        <v>46050.452534722222</v>
      </c>
      <c r="BZ242" s="9"/>
      <c r="CA242" s="9"/>
      <c r="CB242" s="9"/>
      <c r="CC242" s="9"/>
      <c r="CD242" s="9"/>
      <c r="CE242" s="9"/>
      <c r="CF242" s="9"/>
      <c r="CG242" s="9"/>
      <c r="CH242" s="9">
        <v>1</v>
      </c>
      <c r="CI242" s="9">
        <v>0</v>
      </c>
      <c r="CJ242" s="9"/>
      <c r="CK242" s="9"/>
      <c r="CL242" s="9" t="s">
        <v>2188</v>
      </c>
      <c r="CM242" s="9"/>
      <c r="CN242" s="9">
        <v>0</v>
      </c>
      <c r="CO242" s="9" t="s">
        <v>1925</v>
      </c>
      <c r="CP242" s="9"/>
      <c r="CQ242" s="9"/>
    </row>
    <row r="243" spans="1:95" x14ac:dyDescent="0.35">
      <c r="A243" s="9" t="b">
        <f>ISNUMBER(MATCH(Claude[[#This Row],[Id]],ChargentOrders[Id],0))</f>
        <v>1</v>
      </c>
      <c r="B243" t="b">
        <f>INDEX(ChargentOrders[VALIDO],MATCH(Claude[[#This Row],[Id]],ChargentOrders[Id],0))</f>
        <v>1</v>
      </c>
      <c r="C243">
        <f>INDEX(Contract[CB_Subscription__c],MATCH(Claude[[#This Row],[Contract__c]],Contract[Id],0))</f>
        <v>0</v>
      </c>
      <c r="D243" s="9" t="s">
        <v>800</v>
      </c>
      <c r="E243" s="9" t="s">
        <v>531</v>
      </c>
      <c r="F243" s="9">
        <v>0</v>
      </c>
      <c r="G243" s="9" t="s">
        <v>801</v>
      </c>
      <c r="H243" s="9">
        <v>46043.735775462963</v>
      </c>
      <c r="I243" s="9" t="s">
        <v>531</v>
      </c>
      <c r="J243" s="9">
        <v>46043.735833333332</v>
      </c>
      <c r="K243" s="9" t="s">
        <v>531</v>
      </c>
      <c r="L243" s="9">
        <v>46043.735833333332</v>
      </c>
      <c r="M243" s="9"/>
      <c r="N243" s="9"/>
      <c r="O243" s="9" t="s">
        <v>2221</v>
      </c>
      <c r="P243" s="9" t="s">
        <v>2222</v>
      </c>
      <c r="Q243" s="9"/>
      <c r="R243" s="9" t="s">
        <v>1781</v>
      </c>
      <c r="S243" s="9" t="s">
        <v>2223</v>
      </c>
      <c r="T243" s="9" t="s">
        <v>2224</v>
      </c>
      <c r="U243" s="9" t="s">
        <v>1928</v>
      </c>
      <c r="V243" s="9">
        <v>719</v>
      </c>
      <c r="W243" s="9">
        <v>6</v>
      </c>
      <c r="X243" s="9">
        <v>2030</v>
      </c>
      <c r="Y243" s="9">
        <v>4242</v>
      </c>
      <c r="Z243" s="9">
        <v>6</v>
      </c>
      <c r="AA243" s="9">
        <v>4549519054534240</v>
      </c>
      <c r="AB243" s="9" t="s">
        <v>73</v>
      </c>
      <c r="AC243" s="9">
        <v>2030</v>
      </c>
      <c r="AD243" s="9" t="s">
        <v>93</v>
      </c>
      <c r="AE243" s="9"/>
      <c r="AF243" s="9" t="s">
        <v>1929</v>
      </c>
      <c r="AG243" s="9"/>
      <c r="AH243" s="9" t="s">
        <v>98</v>
      </c>
      <c r="AI243" s="9">
        <v>0</v>
      </c>
      <c r="AJ243" s="9"/>
      <c r="AK243" s="9">
        <v>0</v>
      </c>
      <c r="AL243" s="9" t="s">
        <v>1930</v>
      </c>
      <c r="AM243" s="9"/>
      <c r="AN243" s="9"/>
      <c r="AO243" s="9" t="s">
        <v>1931</v>
      </c>
      <c r="AP243" s="9" t="s">
        <v>69</v>
      </c>
      <c r="AQ243" s="9" t="s">
        <v>1932</v>
      </c>
      <c r="AR243" s="9"/>
      <c r="AS243" s="9"/>
      <c r="AT243" s="9"/>
      <c r="AU243" s="9" t="s">
        <v>92</v>
      </c>
      <c r="AV243" s="9">
        <v>0</v>
      </c>
      <c r="AW243" s="9"/>
      <c r="AX243" s="9">
        <v>7.69017172656605E+21</v>
      </c>
      <c r="AY243" s="9">
        <v>0</v>
      </c>
      <c r="AZ243" s="9"/>
      <c r="BA243" s="9">
        <v>46043.735798611109</v>
      </c>
      <c r="BB243" s="9">
        <v>0</v>
      </c>
      <c r="BC243" s="9">
        <v>1</v>
      </c>
      <c r="BD243" s="9">
        <v>0</v>
      </c>
      <c r="BE243" s="9" t="s">
        <v>803</v>
      </c>
      <c r="BF243" s="9"/>
      <c r="BG243" s="9"/>
      <c r="BH243" s="9">
        <v>0</v>
      </c>
      <c r="BI243" s="9"/>
      <c r="BJ243" s="9">
        <v>1</v>
      </c>
      <c r="BK243" s="9"/>
      <c r="BL243" s="9"/>
      <c r="BM243" s="9" t="s">
        <v>75</v>
      </c>
      <c r="BN243" s="9"/>
      <c r="BO243" s="9">
        <v>0</v>
      </c>
      <c r="BP243" s="9"/>
      <c r="BQ243" s="9">
        <v>1</v>
      </c>
      <c r="BR243" s="9"/>
      <c r="BS243" s="9"/>
      <c r="BT243" s="9"/>
      <c r="BU243" s="9"/>
      <c r="BV243" s="9"/>
      <c r="BW243" s="9">
        <v>0</v>
      </c>
      <c r="BX243" s="9"/>
      <c r="BY243" s="9">
        <v>46043.735798611109</v>
      </c>
      <c r="BZ243" s="9"/>
      <c r="CA243" s="9"/>
      <c r="CB243" s="9"/>
      <c r="CC243" s="9"/>
      <c r="CD243" s="9"/>
      <c r="CE243" s="9"/>
      <c r="CF243" s="9"/>
      <c r="CG243" s="9"/>
      <c r="CH243" s="9">
        <v>1</v>
      </c>
      <c r="CI243" s="9">
        <v>0</v>
      </c>
      <c r="CJ243" s="9"/>
      <c r="CK243" s="9"/>
      <c r="CL243" s="9" t="s">
        <v>2225</v>
      </c>
      <c r="CM243" s="9"/>
      <c r="CN243" s="9">
        <v>0</v>
      </c>
      <c r="CO243" s="9" t="s">
        <v>1925</v>
      </c>
      <c r="CP243" s="9"/>
      <c r="CQ243" s="9"/>
    </row>
    <row r="244" spans="1:95" x14ac:dyDescent="0.35">
      <c r="A244" s="9" t="b">
        <f>ISNUMBER(MATCH(Claude[[#This Row],[Id]],ChargentOrders[Id],0))</f>
        <v>1</v>
      </c>
      <c r="B244" t="b">
        <f>INDEX(ChargentOrders[VALIDO],MATCH(Claude[[#This Row],[Id]],ChargentOrders[Id],0))</f>
        <v>1</v>
      </c>
      <c r="C244">
        <f>INDEX(Contract[CB_Subscription__c],MATCH(Claude[[#This Row],[Contract__c]],Contract[Id],0))</f>
        <v>0</v>
      </c>
      <c r="D244" s="9" t="s">
        <v>804</v>
      </c>
      <c r="E244" s="9" t="s">
        <v>531</v>
      </c>
      <c r="F244" s="9">
        <v>0</v>
      </c>
      <c r="G244" s="9" t="s">
        <v>805</v>
      </c>
      <c r="H244" s="9">
        <v>46043.736284722225</v>
      </c>
      <c r="I244" s="9" t="s">
        <v>531</v>
      </c>
      <c r="J244" s="9">
        <v>46050.417800925927</v>
      </c>
      <c r="K244" s="9" t="s">
        <v>65</v>
      </c>
      <c r="L244" s="9">
        <v>46050.417800925927</v>
      </c>
      <c r="M244" s="9"/>
      <c r="N244" s="9" t="s">
        <v>1783</v>
      </c>
      <c r="O244" s="9" t="s">
        <v>2221</v>
      </c>
      <c r="P244" s="9" t="s">
        <v>2222</v>
      </c>
      <c r="Q244" s="9"/>
      <c r="R244" s="9" t="s">
        <v>1781</v>
      </c>
      <c r="S244" s="9" t="s">
        <v>2223</v>
      </c>
      <c r="T244" s="9" t="s">
        <v>2224</v>
      </c>
      <c r="U244" s="9" t="s">
        <v>1928</v>
      </c>
      <c r="V244" s="9">
        <v>719</v>
      </c>
      <c r="W244" s="9">
        <v>6</v>
      </c>
      <c r="X244" s="9">
        <v>2030</v>
      </c>
      <c r="Y244" s="9">
        <v>4242</v>
      </c>
      <c r="Z244" s="9">
        <v>6</v>
      </c>
      <c r="AA244" s="9">
        <v>4549519054534240</v>
      </c>
      <c r="AB244" s="9" t="s">
        <v>73</v>
      </c>
      <c r="AC244" s="9">
        <v>2030</v>
      </c>
      <c r="AD244" s="9" t="s">
        <v>2226</v>
      </c>
      <c r="AE244" s="9"/>
      <c r="AF244" s="9" t="s">
        <v>1929</v>
      </c>
      <c r="AG244" s="9"/>
      <c r="AH244" s="9" t="s">
        <v>98</v>
      </c>
      <c r="AI244" s="9">
        <v>0</v>
      </c>
      <c r="AJ244" s="9"/>
      <c r="AK244" s="9">
        <v>0</v>
      </c>
      <c r="AL244" s="9" t="s">
        <v>1930</v>
      </c>
      <c r="AM244" s="9">
        <v>1</v>
      </c>
      <c r="AN244" s="9"/>
      <c r="AO244" s="9" t="s">
        <v>1931</v>
      </c>
      <c r="AP244" s="9" t="s">
        <v>69</v>
      </c>
      <c r="AQ244" s="9" t="s">
        <v>1932</v>
      </c>
      <c r="AR244" s="9">
        <v>46050</v>
      </c>
      <c r="AS244" s="9" t="s">
        <v>74</v>
      </c>
      <c r="AT244" s="9" t="s">
        <v>1935</v>
      </c>
      <c r="AU244" s="9" t="s">
        <v>2226</v>
      </c>
      <c r="AV244" s="9">
        <v>0</v>
      </c>
      <c r="AW244" s="9" t="s">
        <v>92</v>
      </c>
      <c r="AX244" s="9">
        <v>7.69017172656605E+21</v>
      </c>
      <c r="AY244" s="9">
        <v>0</v>
      </c>
      <c r="AZ244" s="9">
        <v>46050.417569444442</v>
      </c>
      <c r="BA244" s="9">
        <v>46050.417592592596</v>
      </c>
      <c r="BB244" s="9">
        <v>1</v>
      </c>
      <c r="BC244" s="9">
        <v>1</v>
      </c>
      <c r="BD244" s="9" t="s">
        <v>150</v>
      </c>
      <c r="BE244" s="9" t="s">
        <v>803</v>
      </c>
      <c r="BF244" s="9" t="s">
        <v>77</v>
      </c>
      <c r="BG244" s="9"/>
      <c r="BH244" s="9">
        <v>0</v>
      </c>
      <c r="BI244" s="9"/>
      <c r="BJ244" s="9">
        <v>1</v>
      </c>
      <c r="BK244" s="9" t="s">
        <v>92</v>
      </c>
      <c r="BL244" s="9" t="s">
        <v>92</v>
      </c>
      <c r="BM244" s="9" t="s">
        <v>75</v>
      </c>
      <c r="BN244" s="9"/>
      <c r="BO244" s="9">
        <v>0</v>
      </c>
      <c r="BP244" s="9"/>
      <c r="BQ244" s="9">
        <v>0</v>
      </c>
      <c r="BR244" s="9"/>
      <c r="BS244" s="9"/>
      <c r="BT244" s="9"/>
      <c r="BU244" s="9"/>
      <c r="BV244" s="9"/>
      <c r="BW244" s="9">
        <v>0</v>
      </c>
      <c r="BX244" s="9"/>
      <c r="BY244" s="9">
        <v>46050.417569444442</v>
      </c>
      <c r="BZ244" s="9"/>
      <c r="CA244" s="9"/>
      <c r="CB244" s="9"/>
      <c r="CC244" s="9"/>
      <c r="CD244" s="9"/>
      <c r="CE244" s="9"/>
      <c r="CF244" s="9"/>
      <c r="CG244" s="9"/>
      <c r="CH244" s="9">
        <v>1</v>
      </c>
      <c r="CI244" s="9">
        <v>0</v>
      </c>
      <c r="CJ244" s="9"/>
      <c r="CK244" s="9"/>
      <c r="CL244" s="9" t="s">
        <v>2225</v>
      </c>
      <c r="CM244" s="9"/>
      <c r="CN244" s="9">
        <v>0</v>
      </c>
      <c r="CO244" s="9" t="s">
        <v>1925</v>
      </c>
      <c r="CP244" s="9"/>
      <c r="CQ244" s="9"/>
    </row>
    <row r="245" spans="1:95" x14ac:dyDescent="0.35">
      <c r="A245" s="9" t="b">
        <f>ISNUMBER(MATCH(Claude[[#This Row],[Id]],ChargentOrders[Id],0))</f>
        <v>1</v>
      </c>
      <c r="B245" t="b">
        <f>INDEX(ChargentOrders[VALIDO],MATCH(Claude[[#This Row],[Id]],ChargentOrders[Id],0))</f>
        <v>1</v>
      </c>
      <c r="C245">
        <f>INDEX(Contract[CB_Subscription__c],MATCH(Claude[[#This Row],[Contract__c]],Contract[Id],0))</f>
        <v>0</v>
      </c>
      <c r="D245" s="9" t="s">
        <v>806</v>
      </c>
      <c r="E245" s="9" t="s">
        <v>79</v>
      </c>
      <c r="F245" s="9">
        <v>0</v>
      </c>
      <c r="G245" s="9" t="s">
        <v>807</v>
      </c>
      <c r="H245" s="9">
        <v>46044.427152777775</v>
      </c>
      <c r="I245" s="9" t="s">
        <v>65</v>
      </c>
      <c r="J245" s="9">
        <v>46050.453831018516</v>
      </c>
      <c r="K245" s="9" t="s">
        <v>78</v>
      </c>
      <c r="L245" s="9">
        <v>46050.453831018516</v>
      </c>
      <c r="M245" s="9"/>
      <c r="N245" s="9" t="s">
        <v>1753</v>
      </c>
      <c r="O245" s="9" t="s">
        <v>2185</v>
      </c>
      <c r="P245" s="9" t="s">
        <v>2186</v>
      </c>
      <c r="Q245" s="9" t="s">
        <v>1925</v>
      </c>
      <c r="R245" s="9" t="s">
        <v>1751</v>
      </c>
      <c r="S245" s="9" t="s">
        <v>2187</v>
      </c>
      <c r="T245" s="9" t="s">
        <v>2029</v>
      </c>
      <c r="U245" s="9" t="s">
        <v>1928</v>
      </c>
      <c r="V245" s="9">
        <v>692</v>
      </c>
      <c r="W245" s="9">
        <v>9</v>
      </c>
      <c r="X245" s="9">
        <v>2028</v>
      </c>
      <c r="Y245" s="9">
        <v>799</v>
      </c>
      <c r="Z245" s="9">
        <v>9</v>
      </c>
      <c r="AA245" s="9">
        <v>4549516761820790</v>
      </c>
      <c r="AB245" s="9" t="s">
        <v>73</v>
      </c>
      <c r="AC245" s="9">
        <v>2028</v>
      </c>
      <c r="AD245" s="9" t="s">
        <v>2218</v>
      </c>
      <c r="AE245" s="9"/>
      <c r="AF245" s="9" t="s">
        <v>1929</v>
      </c>
      <c r="AG245" s="9"/>
      <c r="AH245" s="9" t="s">
        <v>67</v>
      </c>
      <c r="AI245" s="9">
        <v>0</v>
      </c>
      <c r="AJ245" s="9"/>
      <c r="AK245" s="9">
        <v>0</v>
      </c>
      <c r="AL245" s="9" t="s">
        <v>1930</v>
      </c>
      <c r="AM245" s="9" t="s">
        <v>1958</v>
      </c>
      <c r="AN245" s="9">
        <v>46045</v>
      </c>
      <c r="AO245" s="9" t="s">
        <v>1931</v>
      </c>
      <c r="AP245" s="9" t="s">
        <v>69</v>
      </c>
      <c r="AQ245" s="9" t="s">
        <v>1932</v>
      </c>
      <c r="AR245" s="9">
        <v>46045</v>
      </c>
      <c r="AS245" s="9" t="s">
        <v>74</v>
      </c>
      <c r="AT245" s="9" t="s">
        <v>1935</v>
      </c>
      <c r="AU245" s="9" t="s">
        <v>2219</v>
      </c>
      <c r="AV245" s="9">
        <v>0</v>
      </c>
      <c r="AW245" s="9" t="s">
        <v>93</v>
      </c>
      <c r="AX245" s="9" t="s">
        <v>731</v>
      </c>
      <c r="AY245" s="9">
        <v>0</v>
      </c>
      <c r="AZ245" s="9">
        <v>46045.432002314818</v>
      </c>
      <c r="BA245" s="9">
        <v>46050.45380787037</v>
      </c>
      <c r="BB245" s="9">
        <v>1</v>
      </c>
      <c r="BC245" s="9">
        <v>2</v>
      </c>
      <c r="BD245" s="9" t="s">
        <v>93</v>
      </c>
      <c r="BE245" s="9" t="s">
        <v>732</v>
      </c>
      <c r="BF245" s="9" t="s">
        <v>71</v>
      </c>
      <c r="BG245" s="9"/>
      <c r="BH245" s="9">
        <v>0</v>
      </c>
      <c r="BI245" s="9"/>
      <c r="BJ245" s="9"/>
      <c r="BK245" s="9" t="s">
        <v>92</v>
      </c>
      <c r="BL245" s="9" t="s">
        <v>92</v>
      </c>
      <c r="BM245" s="9" t="s">
        <v>72</v>
      </c>
      <c r="BN245" s="9"/>
      <c r="BO245" s="9">
        <v>1</v>
      </c>
      <c r="BP245" s="9" t="s">
        <v>808</v>
      </c>
      <c r="BQ245" s="9">
        <v>0</v>
      </c>
      <c r="BR245" s="9">
        <v>46031.596585648149</v>
      </c>
      <c r="BS245" s="9" t="s">
        <v>109</v>
      </c>
      <c r="BT245" s="9" t="s">
        <v>65</v>
      </c>
      <c r="BU245" s="9"/>
      <c r="BV245" s="9"/>
      <c r="BW245" s="9">
        <v>0</v>
      </c>
      <c r="BX245" s="9"/>
      <c r="BY245" s="9">
        <v>46050.45380787037</v>
      </c>
      <c r="BZ245" s="9"/>
      <c r="CA245" s="9"/>
      <c r="CB245" s="9"/>
      <c r="CC245" s="9"/>
      <c r="CD245" s="9"/>
      <c r="CE245" s="9"/>
      <c r="CF245" s="9"/>
      <c r="CG245" s="9"/>
      <c r="CH245" s="9">
        <v>1</v>
      </c>
      <c r="CI245" s="9">
        <v>0</v>
      </c>
      <c r="CJ245" s="9"/>
      <c r="CK245" s="9"/>
      <c r="CL245" s="9" t="s">
        <v>2188</v>
      </c>
      <c r="CM245" s="9"/>
      <c r="CN245" s="9">
        <v>0</v>
      </c>
      <c r="CO245" s="9" t="s">
        <v>1925</v>
      </c>
      <c r="CP245" s="9"/>
      <c r="CQ245" s="9"/>
    </row>
    <row r="246" spans="1:95" x14ac:dyDescent="0.35">
      <c r="A246" s="9" t="b">
        <f>ISNUMBER(MATCH(Claude[[#This Row],[Id]],ChargentOrders[Id],0))</f>
        <v>1</v>
      </c>
      <c r="B246" t="b">
        <f>INDEX(ChargentOrders[VALIDO],MATCH(Claude[[#This Row],[Id]],ChargentOrders[Id],0))</f>
        <v>1</v>
      </c>
      <c r="C246">
        <f>INDEX(Contract[CB_Subscription__c],MATCH(Claude[[#This Row],[Contract__c]],Contract[Id],0))</f>
        <v>0</v>
      </c>
      <c r="D246" s="9" t="s">
        <v>809</v>
      </c>
      <c r="E246" s="9" t="s">
        <v>531</v>
      </c>
      <c r="F246" s="9">
        <v>0</v>
      </c>
      <c r="G246" s="9" t="s">
        <v>810</v>
      </c>
      <c r="H246" s="9">
        <v>46044.575787037036</v>
      </c>
      <c r="I246" s="9" t="s">
        <v>531</v>
      </c>
      <c r="J246" s="9">
        <v>46044.575902777775</v>
      </c>
      <c r="K246" s="9" t="s">
        <v>531</v>
      </c>
      <c r="L246" s="9">
        <v>46044.575902777775</v>
      </c>
      <c r="M246" s="9"/>
      <c r="N246" s="9"/>
      <c r="O246" s="9" t="s">
        <v>2227</v>
      </c>
      <c r="P246" s="9" t="s">
        <v>2228</v>
      </c>
      <c r="Q246" s="9"/>
      <c r="R246" s="9" t="s">
        <v>2229</v>
      </c>
      <c r="S246" s="9" t="s">
        <v>2230</v>
      </c>
      <c r="T246" s="9" t="s">
        <v>2231</v>
      </c>
      <c r="U246" s="9" t="s">
        <v>1928</v>
      </c>
      <c r="V246" s="9">
        <v>698</v>
      </c>
      <c r="W246" s="9">
        <v>4</v>
      </c>
      <c r="X246" s="9">
        <v>2029</v>
      </c>
      <c r="Y246" s="9">
        <v>4500</v>
      </c>
      <c r="Z246" s="9">
        <v>4</v>
      </c>
      <c r="AA246" s="9">
        <v>4011051011484500</v>
      </c>
      <c r="AB246" s="9" t="s">
        <v>73</v>
      </c>
      <c r="AC246" s="9">
        <v>2029</v>
      </c>
      <c r="AD246" s="9" t="s">
        <v>93</v>
      </c>
      <c r="AE246" s="9"/>
      <c r="AF246" s="9" t="s">
        <v>1929</v>
      </c>
      <c r="AG246" s="9"/>
      <c r="AH246" s="9" t="s">
        <v>67</v>
      </c>
      <c r="AI246" s="9">
        <v>0</v>
      </c>
      <c r="AJ246" s="9"/>
      <c r="AK246" s="9">
        <v>0</v>
      </c>
      <c r="AL246" s="9" t="s">
        <v>1930</v>
      </c>
      <c r="AM246" s="9"/>
      <c r="AN246" s="9"/>
      <c r="AO246" s="9" t="s">
        <v>1931</v>
      </c>
      <c r="AP246" s="9" t="s">
        <v>69</v>
      </c>
      <c r="AQ246" s="9" t="s">
        <v>1932</v>
      </c>
      <c r="AR246" s="9"/>
      <c r="AS246" s="9"/>
      <c r="AT246" s="9"/>
      <c r="AU246" s="9" t="s">
        <v>92</v>
      </c>
      <c r="AV246" s="9">
        <v>0</v>
      </c>
      <c r="AW246" s="9"/>
      <c r="AX246" s="9" t="s">
        <v>811</v>
      </c>
      <c r="AY246" s="9">
        <v>0</v>
      </c>
      <c r="AZ246" s="9"/>
      <c r="BA246" s="9">
        <v>46044.575856481482</v>
      </c>
      <c r="BB246" s="9">
        <v>0</v>
      </c>
      <c r="BC246" s="9">
        <v>1</v>
      </c>
      <c r="BD246" s="9">
        <v>0</v>
      </c>
      <c r="BE246" s="9" t="s">
        <v>812</v>
      </c>
      <c r="BF246" s="9"/>
      <c r="BG246" s="9"/>
      <c r="BH246" s="9">
        <v>0</v>
      </c>
      <c r="BI246" s="9"/>
      <c r="BJ246" s="9">
        <v>1</v>
      </c>
      <c r="BK246" s="9"/>
      <c r="BL246" s="9"/>
      <c r="BM246" s="9" t="s">
        <v>75</v>
      </c>
      <c r="BN246" s="9"/>
      <c r="BO246" s="9">
        <v>0</v>
      </c>
      <c r="BP246" s="9"/>
      <c r="BQ246" s="9">
        <v>1</v>
      </c>
      <c r="BR246" s="9"/>
      <c r="BS246" s="9"/>
      <c r="BT246" s="9"/>
      <c r="BU246" s="9"/>
      <c r="BV246" s="9"/>
      <c r="BW246" s="9">
        <v>0</v>
      </c>
      <c r="BX246" s="9"/>
      <c r="BY246" s="9">
        <v>46044.575856481482</v>
      </c>
      <c r="BZ246" s="9"/>
      <c r="CA246" s="9"/>
      <c r="CB246" s="9"/>
      <c r="CC246" s="9"/>
      <c r="CD246" s="9"/>
      <c r="CE246" s="9"/>
      <c r="CF246" s="9"/>
      <c r="CG246" s="9"/>
      <c r="CH246" s="9">
        <v>1</v>
      </c>
      <c r="CI246" s="9">
        <v>0</v>
      </c>
      <c r="CJ246" s="9"/>
      <c r="CK246" s="9"/>
      <c r="CL246" s="9" t="s">
        <v>2232</v>
      </c>
      <c r="CM246" s="9"/>
      <c r="CN246" s="9">
        <v>0</v>
      </c>
      <c r="CO246" s="9" t="s">
        <v>1925</v>
      </c>
      <c r="CP246" s="9"/>
      <c r="CQ246" s="9"/>
    </row>
    <row r="247" spans="1:95" x14ac:dyDescent="0.35">
      <c r="A247" s="9" t="b">
        <f>ISNUMBER(MATCH(Claude[[#This Row],[Id]],ChargentOrders[Id],0))</f>
        <v>1</v>
      </c>
      <c r="B247" t="b">
        <f>INDEX(ChargentOrders[VALIDO],MATCH(Claude[[#This Row],[Id]],ChargentOrders[Id],0))</f>
        <v>1</v>
      </c>
      <c r="C247">
        <f>INDEX(Contract[CB_Subscription__c],MATCH(Claude[[#This Row],[Contract__c]],Contract[Id],0))</f>
        <v>0</v>
      </c>
      <c r="D247" s="9" t="s">
        <v>813</v>
      </c>
      <c r="E247" s="9" t="s">
        <v>531</v>
      </c>
      <c r="F247" s="9">
        <v>0</v>
      </c>
      <c r="G247" s="9" t="s">
        <v>814</v>
      </c>
      <c r="H247" s="9">
        <v>46044.578865740739</v>
      </c>
      <c r="I247" s="9" t="s">
        <v>531</v>
      </c>
      <c r="J247" s="9">
        <v>46049.417442129627</v>
      </c>
      <c r="K247" s="9" t="s">
        <v>65</v>
      </c>
      <c r="L247" s="9">
        <v>46049.417442129627</v>
      </c>
      <c r="M247" s="9"/>
      <c r="N247" s="9" t="s">
        <v>1788</v>
      </c>
      <c r="O247" s="9" t="s">
        <v>2227</v>
      </c>
      <c r="P247" s="9" t="s">
        <v>2228</v>
      </c>
      <c r="Q247" s="9"/>
      <c r="R247" s="9" t="s">
        <v>2229</v>
      </c>
      <c r="S247" s="9" t="s">
        <v>2230</v>
      </c>
      <c r="T247" s="9" t="s">
        <v>2231</v>
      </c>
      <c r="U247" s="9" t="s">
        <v>1928</v>
      </c>
      <c r="V247" s="9">
        <v>698</v>
      </c>
      <c r="W247" s="9">
        <v>4</v>
      </c>
      <c r="X247" s="9">
        <v>2029</v>
      </c>
      <c r="Y247" s="9">
        <v>4500</v>
      </c>
      <c r="Z247" s="9">
        <v>4</v>
      </c>
      <c r="AA247" s="9">
        <v>4011051011484500</v>
      </c>
      <c r="AB247" s="9" t="s">
        <v>73</v>
      </c>
      <c r="AC247" s="9">
        <v>2029</v>
      </c>
      <c r="AD247" s="9" t="s">
        <v>374</v>
      </c>
      <c r="AE247" s="9"/>
      <c r="AF247" s="9" t="s">
        <v>1929</v>
      </c>
      <c r="AG247" s="9"/>
      <c r="AH247" s="9" t="s">
        <v>67</v>
      </c>
      <c r="AI247" s="9">
        <v>0</v>
      </c>
      <c r="AJ247" s="9"/>
      <c r="AK247" s="9">
        <v>0</v>
      </c>
      <c r="AL247" s="9" t="s">
        <v>1930</v>
      </c>
      <c r="AM247" s="9">
        <v>1</v>
      </c>
      <c r="AN247" s="9"/>
      <c r="AO247" s="9" t="s">
        <v>1931</v>
      </c>
      <c r="AP247" s="9" t="s">
        <v>69</v>
      </c>
      <c r="AQ247" s="9" t="s">
        <v>1932</v>
      </c>
      <c r="AR247" s="9">
        <v>46049</v>
      </c>
      <c r="AS247" s="9" t="s">
        <v>74</v>
      </c>
      <c r="AT247" s="9" t="s">
        <v>1935</v>
      </c>
      <c r="AU247" s="9" t="s">
        <v>374</v>
      </c>
      <c r="AV247" s="9">
        <v>0</v>
      </c>
      <c r="AW247" s="9" t="s">
        <v>92</v>
      </c>
      <c r="AX247" s="9" t="s">
        <v>811</v>
      </c>
      <c r="AY247" s="9">
        <v>0</v>
      </c>
      <c r="AZ247" s="9">
        <v>46049.417349537034</v>
      </c>
      <c r="BA247" s="9">
        <v>46049.417361111111</v>
      </c>
      <c r="BB247" s="9">
        <v>1</v>
      </c>
      <c r="BC247" s="9">
        <v>1</v>
      </c>
      <c r="BD247" s="9" t="s">
        <v>167</v>
      </c>
      <c r="BE247" s="9" t="s">
        <v>812</v>
      </c>
      <c r="BF247" s="9" t="s">
        <v>77</v>
      </c>
      <c r="BG247" s="9"/>
      <c r="BH247" s="9">
        <v>0</v>
      </c>
      <c r="BI247" s="9"/>
      <c r="BJ247" s="9">
        <v>1</v>
      </c>
      <c r="BK247" s="9" t="s">
        <v>92</v>
      </c>
      <c r="BL247" s="9" t="s">
        <v>92</v>
      </c>
      <c r="BM247" s="9" t="s">
        <v>75</v>
      </c>
      <c r="BN247" s="9"/>
      <c r="BO247" s="9">
        <v>0</v>
      </c>
      <c r="BP247" s="9"/>
      <c r="BQ247" s="9">
        <v>0</v>
      </c>
      <c r="BR247" s="9"/>
      <c r="BS247" s="9"/>
      <c r="BT247" s="9"/>
      <c r="BU247" s="9"/>
      <c r="BV247" s="9"/>
      <c r="BW247" s="9">
        <v>0</v>
      </c>
      <c r="BX247" s="9"/>
      <c r="BY247" s="9">
        <v>46049.417349537034</v>
      </c>
      <c r="BZ247" s="9"/>
      <c r="CA247" s="9"/>
      <c r="CB247" s="9"/>
      <c r="CC247" s="9"/>
      <c r="CD247" s="9"/>
      <c r="CE247" s="9"/>
      <c r="CF247" s="9"/>
      <c r="CG247" s="9"/>
      <c r="CH247" s="9">
        <v>1</v>
      </c>
      <c r="CI247" s="9">
        <v>0</v>
      </c>
      <c r="CJ247" s="9"/>
      <c r="CK247" s="9"/>
      <c r="CL247" s="9" t="s">
        <v>2232</v>
      </c>
      <c r="CM247" s="9"/>
      <c r="CN247" s="9">
        <v>0</v>
      </c>
      <c r="CO247" s="9" t="s">
        <v>1925</v>
      </c>
      <c r="CP247" s="9"/>
      <c r="CQ247" s="9"/>
    </row>
    <row r="248" spans="1:95" x14ac:dyDescent="0.35">
      <c r="A248" s="9" t="b">
        <f>ISNUMBER(MATCH(Claude[[#This Row],[Id]],ChargentOrders[Id],0))</f>
        <v>1</v>
      </c>
      <c r="B248" t="b">
        <f>INDEX(ChargentOrders[VALIDO],MATCH(Claude[[#This Row],[Id]],ChargentOrders[Id],0))</f>
        <v>1</v>
      </c>
      <c r="C248">
        <f>INDEX(Contract[CB_Subscription__c],MATCH(Claude[[#This Row],[Contract__c]],Contract[Id],0))</f>
        <v>0</v>
      </c>
      <c r="D248" s="9" t="s">
        <v>815</v>
      </c>
      <c r="E248" s="9" t="s">
        <v>79</v>
      </c>
      <c r="F248" s="9">
        <v>0</v>
      </c>
      <c r="G248" s="9" t="s">
        <v>816</v>
      </c>
      <c r="H248" s="9">
        <v>46044.618298611109</v>
      </c>
      <c r="I248" s="9" t="s">
        <v>78</v>
      </c>
      <c r="J248" s="9">
        <v>46050.468171296299</v>
      </c>
      <c r="K248" s="9" t="s">
        <v>78</v>
      </c>
      <c r="L248" s="9">
        <v>46050.468171296299</v>
      </c>
      <c r="M248" s="9"/>
      <c r="N248" s="9" t="s">
        <v>1753</v>
      </c>
      <c r="O248" s="9" t="s">
        <v>2185</v>
      </c>
      <c r="P248" s="9" t="s">
        <v>2186</v>
      </c>
      <c r="Q248" s="9" t="s">
        <v>1925</v>
      </c>
      <c r="R248" s="9" t="s">
        <v>1751</v>
      </c>
      <c r="S248" s="9" t="s">
        <v>2187</v>
      </c>
      <c r="T248" s="9" t="s">
        <v>2029</v>
      </c>
      <c r="U248" s="9" t="s">
        <v>1928</v>
      </c>
      <c r="V248" s="9">
        <v>692</v>
      </c>
      <c r="W248" s="9">
        <v>9</v>
      </c>
      <c r="X248" s="9">
        <v>2028</v>
      </c>
      <c r="Y248" s="9">
        <v>799</v>
      </c>
      <c r="Z248" s="9">
        <v>9</v>
      </c>
      <c r="AA248" s="9">
        <v>4549516761820790</v>
      </c>
      <c r="AB248" s="9" t="s">
        <v>73</v>
      </c>
      <c r="AC248" s="9">
        <v>2028</v>
      </c>
      <c r="AD248" s="9" t="s">
        <v>2219</v>
      </c>
      <c r="AE248" s="9"/>
      <c r="AF248" s="9" t="s">
        <v>1929</v>
      </c>
      <c r="AG248" s="9"/>
      <c r="AH248" s="9" t="s">
        <v>67</v>
      </c>
      <c r="AI248" s="9">
        <v>0</v>
      </c>
      <c r="AJ248" s="9"/>
      <c r="AK248" s="9">
        <v>0</v>
      </c>
      <c r="AL248" s="9" t="s">
        <v>1930</v>
      </c>
      <c r="AM248" s="9">
        <v>1</v>
      </c>
      <c r="AN248" s="9">
        <v>46052</v>
      </c>
      <c r="AO248" s="9" t="s">
        <v>1931</v>
      </c>
      <c r="AP248" s="9" t="s">
        <v>69</v>
      </c>
      <c r="AQ248" s="9" t="s">
        <v>1932</v>
      </c>
      <c r="AR248" s="9">
        <v>46052</v>
      </c>
      <c r="AS248" s="9" t="s">
        <v>70</v>
      </c>
      <c r="AT248" s="9" t="s">
        <v>1935</v>
      </c>
      <c r="AU248" s="9" t="s">
        <v>2219</v>
      </c>
      <c r="AV248" s="9">
        <v>0</v>
      </c>
      <c r="AW248" s="9" t="s">
        <v>92</v>
      </c>
      <c r="AX248" s="9" t="s">
        <v>731</v>
      </c>
      <c r="AY248" s="9">
        <v>0</v>
      </c>
      <c r="AZ248" s="9"/>
      <c r="BA248" s="9"/>
      <c r="BB248" s="9">
        <v>0</v>
      </c>
      <c r="BC248" s="9">
        <v>2</v>
      </c>
      <c r="BD248" s="9">
        <v>0</v>
      </c>
      <c r="BE248" s="9" t="s">
        <v>732</v>
      </c>
      <c r="BF248" s="9" t="s">
        <v>71</v>
      </c>
      <c r="BG248" s="9"/>
      <c r="BH248" s="9">
        <v>0</v>
      </c>
      <c r="BI248" s="9"/>
      <c r="BJ248" s="9"/>
      <c r="BK248" s="9" t="s">
        <v>92</v>
      </c>
      <c r="BL248" s="9" t="s">
        <v>92</v>
      </c>
      <c r="BM248" s="9" t="s">
        <v>72</v>
      </c>
      <c r="BN248" s="9"/>
      <c r="BO248" s="9">
        <v>1</v>
      </c>
      <c r="BP248" s="9" t="s">
        <v>817</v>
      </c>
      <c r="BQ248" s="9">
        <v>0</v>
      </c>
      <c r="BR248" s="9">
        <v>46031.596585648149</v>
      </c>
      <c r="BS248" s="9" t="s">
        <v>109</v>
      </c>
      <c r="BT248" s="9" t="s">
        <v>78</v>
      </c>
      <c r="BU248" s="9"/>
      <c r="BV248" s="9"/>
      <c r="BW248" s="9">
        <v>0</v>
      </c>
      <c r="BX248" s="9">
        <v>46049.417349537034</v>
      </c>
      <c r="BY248" s="9">
        <v>46049.417349537034</v>
      </c>
      <c r="BZ248" s="9"/>
      <c r="CA248" s="9"/>
      <c r="CB248" s="9"/>
      <c r="CC248" s="9"/>
      <c r="CD248" s="9"/>
      <c r="CE248" s="9"/>
      <c r="CF248" s="9"/>
      <c r="CG248" s="9"/>
      <c r="CH248" s="9">
        <v>1</v>
      </c>
      <c r="CI248" s="9">
        <v>0</v>
      </c>
      <c r="CJ248" s="9"/>
      <c r="CK248" s="9"/>
      <c r="CL248" s="9" t="s">
        <v>2188</v>
      </c>
      <c r="CM248" s="9"/>
      <c r="CN248" s="9">
        <v>0</v>
      </c>
      <c r="CO248" s="9" t="s">
        <v>1925</v>
      </c>
      <c r="CP248" s="9"/>
      <c r="CQ248" s="9"/>
    </row>
    <row r="249" spans="1:95" x14ac:dyDescent="0.35">
      <c r="A249" s="9" t="b">
        <f>ISNUMBER(MATCH(Claude[[#This Row],[Id]],ChargentOrders[Id],0))</f>
        <v>1</v>
      </c>
      <c r="B249" t="b">
        <f>INDEX(ChargentOrders[VALIDO],MATCH(Claude[[#This Row],[Id]],ChargentOrders[Id],0))</f>
        <v>1</v>
      </c>
      <c r="C249">
        <f>INDEX(Contract[CB_Subscription__c],MATCH(Claude[[#This Row],[Contract__c]],Contract[Id],0))</f>
        <v>0</v>
      </c>
      <c r="D249" s="9" t="s">
        <v>818</v>
      </c>
      <c r="E249" s="9" t="s">
        <v>531</v>
      </c>
      <c r="F249" s="9">
        <v>0</v>
      </c>
      <c r="G249" s="9" t="s">
        <v>819</v>
      </c>
      <c r="H249" s="9">
        <v>46044.787905092591</v>
      </c>
      <c r="I249" s="9" t="s">
        <v>531</v>
      </c>
      <c r="J249" s="9">
        <v>46044.787962962961</v>
      </c>
      <c r="K249" s="9" t="s">
        <v>531</v>
      </c>
      <c r="L249" s="9">
        <v>46044.787962962961</v>
      </c>
      <c r="M249" s="9"/>
      <c r="N249" s="9"/>
      <c r="O249" s="9" t="s">
        <v>2233</v>
      </c>
      <c r="P249" s="9" t="s">
        <v>2006</v>
      </c>
      <c r="Q249" s="9"/>
      <c r="R249" s="9" t="s">
        <v>1791</v>
      </c>
      <c r="S249" s="9" t="s">
        <v>2234</v>
      </c>
      <c r="T249" s="9" t="s">
        <v>2235</v>
      </c>
      <c r="U249" s="9" t="s">
        <v>1928</v>
      </c>
      <c r="V249" s="9">
        <v>982</v>
      </c>
      <c r="W249" s="9">
        <v>7</v>
      </c>
      <c r="X249" s="9">
        <v>2029</v>
      </c>
      <c r="Y249" s="9">
        <v>9675</v>
      </c>
      <c r="Z249" s="9">
        <v>7</v>
      </c>
      <c r="AA249" s="9">
        <v>4549518721389670</v>
      </c>
      <c r="AB249" s="9" t="s">
        <v>73</v>
      </c>
      <c r="AC249" s="9">
        <v>2029</v>
      </c>
      <c r="AD249" s="9" t="s">
        <v>93</v>
      </c>
      <c r="AE249" s="9"/>
      <c r="AF249" s="9" t="s">
        <v>1929</v>
      </c>
      <c r="AG249" s="9"/>
      <c r="AH249" s="9" t="s">
        <v>67</v>
      </c>
      <c r="AI249" s="9">
        <v>0</v>
      </c>
      <c r="AJ249" s="9"/>
      <c r="AK249" s="9">
        <v>0</v>
      </c>
      <c r="AL249" s="9" t="s">
        <v>1930</v>
      </c>
      <c r="AM249" s="9"/>
      <c r="AN249" s="9"/>
      <c r="AO249" s="9" t="s">
        <v>1931</v>
      </c>
      <c r="AP249" s="9" t="s">
        <v>69</v>
      </c>
      <c r="AQ249" s="9" t="s">
        <v>1932</v>
      </c>
      <c r="AR249" s="9"/>
      <c r="AS249" s="9"/>
      <c r="AT249" s="9"/>
      <c r="AU249" s="9" t="s">
        <v>92</v>
      </c>
      <c r="AV249" s="9">
        <v>0</v>
      </c>
      <c r="AW249" s="9"/>
      <c r="AX249" s="9" t="s">
        <v>820</v>
      </c>
      <c r="AY249" s="9">
        <v>0</v>
      </c>
      <c r="AZ249" s="9"/>
      <c r="BA249" s="9">
        <v>46044.787928240738</v>
      </c>
      <c r="BB249" s="9">
        <v>0</v>
      </c>
      <c r="BC249" s="9">
        <v>1</v>
      </c>
      <c r="BD249" s="9">
        <v>0</v>
      </c>
      <c r="BE249" s="9" t="s">
        <v>821</v>
      </c>
      <c r="BF249" s="9"/>
      <c r="BG249" s="9"/>
      <c r="BH249" s="9">
        <v>0</v>
      </c>
      <c r="BI249" s="9"/>
      <c r="BJ249" s="9">
        <v>1</v>
      </c>
      <c r="BK249" s="9"/>
      <c r="BL249" s="9"/>
      <c r="BM249" s="9" t="s">
        <v>75</v>
      </c>
      <c r="BN249" s="9"/>
      <c r="BO249" s="9">
        <v>0</v>
      </c>
      <c r="BP249" s="9"/>
      <c r="BQ249" s="9">
        <v>1</v>
      </c>
      <c r="BR249" s="9"/>
      <c r="BS249" s="9"/>
      <c r="BT249" s="9"/>
      <c r="BU249" s="9"/>
      <c r="BV249" s="9"/>
      <c r="BW249" s="9">
        <v>0</v>
      </c>
      <c r="BX249" s="9"/>
      <c r="BY249" s="9">
        <v>46044.787928240738</v>
      </c>
      <c r="BZ249" s="9"/>
      <c r="CA249" s="9"/>
      <c r="CB249" s="9"/>
      <c r="CC249" s="9"/>
      <c r="CD249" s="9"/>
      <c r="CE249" s="9"/>
      <c r="CF249" s="9"/>
      <c r="CG249" s="9"/>
      <c r="CH249" s="9">
        <v>1</v>
      </c>
      <c r="CI249" s="9">
        <v>0</v>
      </c>
      <c r="CJ249" s="9"/>
      <c r="CK249" s="9"/>
      <c r="CL249" s="9" t="s">
        <v>2236</v>
      </c>
      <c r="CM249" s="9"/>
      <c r="CN249" s="9">
        <v>0</v>
      </c>
      <c r="CO249" s="9" t="s">
        <v>1925</v>
      </c>
      <c r="CP249" s="9"/>
      <c r="CQ249" s="9"/>
    </row>
    <row r="250" spans="1:95" x14ac:dyDescent="0.35">
      <c r="A250" s="9" t="b">
        <f>ISNUMBER(MATCH(Claude[[#This Row],[Id]],ChargentOrders[Id],0))</f>
        <v>1</v>
      </c>
      <c r="B250" t="b">
        <f>INDEX(ChargentOrders[VALIDO],MATCH(Claude[[#This Row],[Id]],ChargentOrders[Id],0))</f>
        <v>1</v>
      </c>
      <c r="C250">
        <f>INDEX(Contract[CB_Subscription__c],MATCH(Claude[[#This Row],[Contract__c]],Contract[Id],0))</f>
        <v>0</v>
      </c>
      <c r="D250" s="9" t="s">
        <v>822</v>
      </c>
      <c r="E250" s="9" t="s">
        <v>531</v>
      </c>
      <c r="F250" s="9">
        <v>0</v>
      </c>
      <c r="G250" s="9" t="s">
        <v>823</v>
      </c>
      <c r="H250" s="9">
        <v>46044.789641203701</v>
      </c>
      <c r="I250" s="9" t="s">
        <v>531</v>
      </c>
      <c r="J250" s="9">
        <v>46052.441770833335</v>
      </c>
      <c r="K250" s="9" t="s">
        <v>65</v>
      </c>
      <c r="L250" s="9">
        <v>46052.441770833335</v>
      </c>
      <c r="M250" s="9"/>
      <c r="N250" s="9" t="s">
        <v>1793</v>
      </c>
      <c r="O250" s="9" t="s">
        <v>2233</v>
      </c>
      <c r="P250" s="9" t="s">
        <v>2006</v>
      </c>
      <c r="Q250" s="9"/>
      <c r="R250" s="9" t="s">
        <v>1791</v>
      </c>
      <c r="S250" s="9" t="s">
        <v>2234</v>
      </c>
      <c r="T250" s="9" t="s">
        <v>2235</v>
      </c>
      <c r="U250" s="9" t="s">
        <v>1928</v>
      </c>
      <c r="V250" s="9">
        <v>982</v>
      </c>
      <c r="W250" s="9">
        <v>7</v>
      </c>
      <c r="X250" s="9">
        <v>2029</v>
      </c>
      <c r="Y250" s="9">
        <v>9675</v>
      </c>
      <c r="Z250" s="9">
        <v>7</v>
      </c>
      <c r="AA250" s="9">
        <v>4549518721389670</v>
      </c>
      <c r="AB250" s="9" t="s">
        <v>73</v>
      </c>
      <c r="AC250" s="9">
        <v>2029</v>
      </c>
      <c r="AD250" s="9" t="s">
        <v>374</v>
      </c>
      <c r="AE250" s="9"/>
      <c r="AF250" s="9" t="s">
        <v>1929</v>
      </c>
      <c r="AG250" s="9"/>
      <c r="AH250" s="9" t="s">
        <v>67</v>
      </c>
      <c r="AI250" s="9">
        <v>0</v>
      </c>
      <c r="AJ250" s="9"/>
      <c r="AK250" s="9">
        <v>0</v>
      </c>
      <c r="AL250" s="9" t="s">
        <v>1930</v>
      </c>
      <c r="AM250" s="9">
        <v>1</v>
      </c>
      <c r="AN250" s="9"/>
      <c r="AO250" s="9" t="s">
        <v>1931</v>
      </c>
      <c r="AP250" s="9" t="s">
        <v>69</v>
      </c>
      <c r="AQ250" s="9" t="s">
        <v>1932</v>
      </c>
      <c r="AR250" s="9">
        <v>46052</v>
      </c>
      <c r="AS250" s="9" t="s">
        <v>74</v>
      </c>
      <c r="AT250" s="9" t="s">
        <v>1935</v>
      </c>
      <c r="AU250" s="9" t="s">
        <v>374</v>
      </c>
      <c r="AV250" s="9">
        <v>0</v>
      </c>
      <c r="AW250" s="9" t="s">
        <v>92</v>
      </c>
      <c r="AX250" s="9" t="s">
        <v>820</v>
      </c>
      <c r="AY250" s="9">
        <v>0</v>
      </c>
      <c r="AZ250" s="9">
        <v>46052.441655092596</v>
      </c>
      <c r="BA250" s="9">
        <v>46052.441701388889</v>
      </c>
      <c r="BB250" s="9">
        <v>1</v>
      </c>
      <c r="BC250" s="9">
        <v>1</v>
      </c>
      <c r="BD250" s="9" t="s">
        <v>167</v>
      </c>
      <c r="BE250" s="9" t="s">
        <v>821</v>
      </c>
      <c r="BF250" s="9" t="s">
        <v>77</v>
      </c>
      <c r="BG250" s="9"/>
      <c r="BH250" s="9">
        <v>0</v>
      </c>
      <c r="BI250" s="9"/>
      <c r="BJ250" s="9">
        <v>1</v>
      </c>
      <c r="BK250" s="9" t="s">
        <v>92</v>
      </c>
      <c r="BL250" s="9" t="s">
        <v>92</v>
      </c>
      <c r="BM250" s="9" t="s">
        <v>75</v>
      </c>
      <c r="BN250" s="9"/>
      <c r="BO250" s="9">
        <v>0</v>
      </c>
      <c r="BP250" s="9"/>
      <c r="BQ250" s="9">
        <v>0</v>
      </c>
      <c r="BR250" s="9"/>
      <c r="BS250" s="9"/>
      <c r="BT250" s="9"/>
      <c r="BU250" s="9"/>
      <c r="BV250" s="9"/>
      <c r="BW250" s="9">
        <v>0</v>
      </c>
      <c r="BX250" s="9"/>
      <c r="BY250" s="9">
        <v>46052.441655092596</v>
      </c>
      <c r="BZ250" s="9"/>
      <c r="CA250" s="9"/>
      <c r="CB250" s="9"/>
      <c r="CC250" s="9"/>
      <c r="CD250" s="9"/>
      <c r="CE250" s="9"/>
      <c r="CF250" s="9"/>
      <c r="CG250" s="9"/>
      <c r="CH250" s="9">
        <v>1</v>
      </c>
      <c r="CI250" s="9">
        <v>0</v>
      </c>
      <c r="CJ250" s="9"/>
      <c r="CK250" s="9"/>
      <c r="CL250" s="9" t="s">
        <v>2236</v>
      </c>
      <c r="CM250" s="9"/>
      <c r="CN250" s="9">
        <v>0</v>
      </c>
      <c r="CO250" s="9" t="s">
        <v>1925</v>
      </c>
      <c r="CP250" s="9"/>
      <c r="CQ250" s="9"/>
    </row>
    <row r="251" spans="1:95" x14ac:dyDescent="0.35">
      <c r="A251" s="9" t="b">
        <f>ISNUMBER(MATCH(Claude[[#This Row],[Id]],ChargentOrders[Id],0))</f>
        <v>1</v>
      </c>
      <c r="B251" t="b">
        <f>INDEX(ChargentOrders[VALIDO],MATCH(Claude[[#This Row],[Id]],ChargentOrders[Id],0))</f>
        <v>1</v>
      </c>
      <c r="C251">
        <f>INDEX(Contract[CB_Subscription__c],MATCH(Claude[[#This Row],[Contract__c]],Contract[Id],0))</f>
        <v>0</v>
      </c>
      <c r="D251" s="9" t="s">
        <v>824</v>
      </c>
      <c r="E251" s="9" t="s">
        <v>81</v>
      </c>
      <c r="F251" s="9">
        <v>0</v>
      </c>
      <c r="G251" s="9" t="s">
        <v>825</v>
      </c>
      <c r="H251" s="9">
        <v>46045.429502314815</v>
      </c>
      <c r="I251" s="9" t="s">
        <v>65</v>
      </c>
      <c r="J251" s="9">
        <v>46163.929722222223</v>
      </c>
      <c r="K251" s="9" t="s">
        <v>78</v>
      </c>
      <c r="L251" s="9">
        <v>46163.929722222223</v>
      </c>
      <c r="M251" s="9"/>
      <c r="N251" s="9" t="s">
        <v>1758</v>
      </c>
      <c r="O251" s="9" t="s">
        <v>2194</v>
      </c>
      <c r="P251" s="9" t="s">
        <v>2066</v>
      </c>
      <c r="Q251" s="9" t="s">
        <v>1925</v>
      </c>
      <c r="R251" s="9" t="s">
        <v>1756</v>
      </c>
      <c r="S251" s="9" t="s">
        <v>2195</v>
      </c>
      <c r="T251" s="9" t="s">
        <v>2196</v>
      </c>
      <c r="U251" s="9" t="s">
        <v>1928</v>
      </c>
      <c r="V251" s="9">
        <v>956</v>
      </c>
      <c r="W251" s="9">
        <v>12</v>
      </c>
      <c r="X251" s="9">
        <v>2030</v>
      </c>
      <c r="Y251" s="9">
        <v>7054</v>
      </c>
      <c r="Z251" s="9">
        <v>12</v>
      </c>
      <c r="AA251" s="9">
        <v>4549519221367050</v>
      </c>
      <c r="AB251" s="9" t="s">
        <v>73</v>
      </c>
      <c r="AC251" s="9">
        <v>2030</v>
      </c>
      <c r="AD251" s="9" t="s">
        <v>374</v>
      </c>
      <c r="AE251" s="9">
        <v>29</v>
      </c>
      <c r="AF251" s="9" t="s">
        <v>1929</v>
      </c>
      <c r="AG251" s="9"/>
      <c r="AH251" s="9" t="s">
        <v>67</v>
      </c>
      <c r="AI251" s="9">
        <v>0</v>
      </c>
      <c r="AJ251" s="9"/>
      <c r="AK251" s="9">
        <v>0</v>
      </c>
      <c r="AL251" s="9" t="s">
        <v>1930</v>
      </c>
      <c r="AM251" s="9"/>
      <c r="AN251" s="9"/>
      <c r="AO251" s="9" t="s">
        <v>1943</v>
      </c>
      <c r="AP251" s="9" t="s">
        <v>69</v>
      </c>
      <c r="AQ251" s="9" t="s">
        <v>1932</v>
      </c>
      <c r="AR251" s="9">
        <v>46171</v>
      </c>
      <c r="AS251" s="9" t="s">
        <v>613</v>
      </c>
      <c r="AT251" s="9" t="s">
        <v>1944</v>
      </c>
      <c r="AU251" s="9" t="s">
        <v>374</v>
      </c>
      <c r="AV251" s="9">
        <v>0</v>
      </c>
      <c r="AW251" s="9" t="s">
        <v>92</v>
      </c>
      <c r="AX251" s="9" t="s">
        <v>744</v>
      </c>
      <c r="AY251" s="9">
        <v>0</v>
      </c>
      <c r="AZ251" s="9">
        <v>46111.426342592589</v>
      </c>
      <c r="BA251" s="9">
        <v>46111.426423611112</v>
      </c>
      <c r="BB251" s="9">
        <v>2</v>
      </c>
      <c r="BC251" s="9">
        <v>3</v>
      </c>
      <c r="BD251" s="9" t="s">
        <v>2237</v>
      </c>
      <c r="BE251" s="9" t="s">
        <v>745</v>
      </c>
      <c r="BF251" s="9" t="s">
        <v>76</v>
      </c>
      <c r="BG251" s="9"/>
      <c r="BH251" s="9">
        <v>0</v>
      </c>
      <c r="BI251" s="9"/>
      <c r="BJ251" s="9">
        <v>4</v>
      </c>
      <c r="BK251" s="9" t="s">
        <v>92</v>
      </c>
      <c r="BL251" s="9" t="s">
        <v>92</v>
      </c>
      <c r="BM251" s="9" t="s">
        <v>75</v>
      </c>
      <c r="BN251" s="9"/>
      <c r="BO251" s="9">
        <v>0</v>
      </c>
      <c r="BP251" s="9"/>
      <c r="BQ251" s="9">
        <v>0</v>
      </c>
      <c r="BR251" s="9"/>
      <c r="BS251" s="9"/>
      <c r="BT251" s="9"/>
      <c r="BU251" s="9"/>
      <c r="BV251" s="9"/>
      <c r="BW251" s="9">
        <v>0</v>
      </c>
      <c r="BX251" s="9">
        <v>46142.425451388888</v>
      </c>
      <c r="BY251" s="9">
        <v>46142.425451388888</v>
      </c>
      <c r="BZ251" s="9"/>
      <c r="CA251" s="9"/>
      <c r="CB251" s="9"/>
      <c r="CC251" s="9"/>
      <c r="CD251" s="9"/>
      <c r="CE251" s="9"/>
      <c r="CF251" s="9"/>
      <c r="CG251" s="9"/>
      <c r="CH251" s="9">
        <v>1</v>
      </c>
      <c r="CI251" s="9">
        <v>0</v>
      </c>
      <c r="CJ251" s="9"/>
      <c r="CK251" s="9"/>
      <c r="CL251" s="9" t="s">
        <v>2197</v>
      </c>
      <c r="CM251" s="9"/>
      <c r="CN251" s="9">
        <v>0</v>
      </c>
      <c r="CO251" s="9" t="s">
        <v>1925</v>
      </c>
      <c r="CP251" s="9"/>
      <c r="CQ251" s="9">
        <v>0</v>
      </c>
    </row>
    <row r="252" spans="1:95" x14ac:dyDescent="0.35">
      <c r="A252" s="9" t="b">
        <f>ISNUMBER(MATCH(Claude[[#This Row],[Id]],ChargentOrders[Id],0))</f>
        <v>1</v>
      </c>
      <c r="B252" t="b">
        <f>INDEX(ChargentOrders[VALIDO],MATCH(Claude[[#This Row],[Id]],ChargentOrders[Id],0))</f>
        <v>1</v>
      </c>
      <c r="C252">
        <f>INDEX(Contract[CB_Subscription__c],MATCH(Claude[[#This Row],[Contract__c]],Contract[Id],0))</f>
        <v>0</v>
      </c>
      <c r="D252" s="9" t="s">
        <v>826</v>
      </c>
      <c r="E252" s="9" t="s">
        <v>102</v>
      </c>
      <c r="F252" s="9">
        <v>0</v>
      </c>
      <c r="G252" s="9" t="s">
        <v>827</v>
      </c>
      <c r="H252" s="9">
        <v>46048.417222222219</v>
      </c>
      <c r="I252" s="9" t="s">
        <v>65</v>
      </c>
      <c r="J252" s="9">
        <v>46114.619976851849</v>
      </c>
      <c r="K252" s="9" t="s">
        <v>78</v>
      </c>
      <c r="L252" s="9">
        <v>46114.619976851849</v>
      </c>
      <c r="M252" s="9"/>
      <c r="N252" s="9" t="s">
        <v>1570</v>
      </c>
      <c r="O252" s="9" t="s">
        <v>1923</v>
      </c>
      <c r="P252" s="9" t="s">
        <v>1924</v>
      </c>
      <c r="Q252" s="9" t="s">
        <v>1925</v>
      </c>
      <c r="R252" s="9" t="s">
        <v>1568</v>
      </c>
      <c r="S252" s="9" t="s">
        <v>1926</v>
      </c>
      <c r="T252" s="9" t="s">
        <v>1927</v>
      </c>
      <c r="U252" s="9" t="s">
        <v>1928</v>
      </c>
      <c r="V252" s="9">
        <v>949</v>
      </c>
      <c r="W252" s="9">
        <v>6</v>
      </c>
      <c r="X252" s="9">
        <v>2030</v>
      </c>
      <c r="Y252" s="9">
        <v>2774</v>
      </c>
      <c r="Z252" s="9">
        <v>6</v>
      </c>
      <c r="AA252" s="9">
        <v>2774</v>
      </c>
      <c r="AB252" s="9" t="s">
        <v>73</v>
      </c>
      <c r="AC252" s="9">
        <v>2030</v>
      </c>
      <c r="AD252" s="9" t="s">
        <v>106</v>
      </c>
      <c r="AE252" s="9"/>
      <c r="AF252" s="9" t="s">
        <v>1929</v>
      </c>
      <c r="AG252" s="9"/>
      <c r="AH252" s="9" t="s">
        <v>67</v>
      </c>
      <c r="AI252" s="9">
        <v>0</v>
      </c>
      <c r="AJ252" s="9"/>
      <c r="AK252" s="9">
        <v>0</v>
      </c>
      <c r="AL252" s="9" t="s">
        <v>1930</v>
      </c>
      <c r="AM252" s="9">
        <v>1</v>
      </c>
      <c r="AN252" s="9">
        <v>46059</v>
      </c>
      <c r="AO252" s="9" t="s">
        <v>1931</v>
      </c>
      <c r="AP252" s="9" t="s">
        <v>69</v>
      </c>
      <c r="AQ252" s="9" t="s">
        <v>1932</v>
      </c>
      <c r="AR252" s="9">
        <v>46059</v>
      </c>
      <c r="AS252" s="9" t="s">
        <v>74</v>
      </c>
      <c r="AT252" s="9" t="s">
        <v>1935</v>
      </c>
      <c r="AU252" s="9" t="s">
        <v>1942</v>
      </c>
      <c r="AV252" s="9">
        <v>0</v>
      </c>
      <c r="AW252" s="9" t="s">
        <v>93</v>
      </c>
      <c r="AX252" s="9" t="s">
        <v>147</v>
      </c>
      <c r="AY252" s="9">
        <v>0</v>
      </c>
      <c r="AZ252" s="9">
        <v>46058.924166666664</v>
      </c>
      <c r="BA252" s="9">
        <v>46058.924166666664</v>
      </c>
      <c r="BB252" s="9">
        <v>1</v>
      </c>
      <c r="BC252" s="9">
        <v>7</v>
      </c>
      <c r="BD252" s="9" t="s">
        <v>106</v>
      </c>
      <c r="BE252" s="9" t="s">
        <v>112</v>
      </c>
      <c r="BF252" s="9" t="s">
        <v>71</v>
      </c>
      <c r="BG252" s="9"/>
      <c r="BH252" s="9">
        <v>0</v>
      </c>
      <c r="BI252" s="9"/>
      <c r="BJ252" s="9">
        <v>0</v>
      </c>
      <c r="BK252" s="9" t="s">
        <v>92</v>
      </c>
      <c r="BL252" s="9" t="s">
        <v>92</v>
      </c>
      <c r="BM252" s="9" t="s">
        <v>72</v>
      </c>
      <c r="BN252" s="9"/>
      <c r="BO252" s="9">
        <v>0</v>
      </c>
      <c r="BP252" s="9" t="s">
        <v>828</v>
      </c>
      <c r="BQ252" s="9">
        <v>0</v>
      </c>
      <c r="BR252" s="9">
        <v>46058.92392361111</v>
      </c>
      <c r="BS252" s="9" t="s">
        <v>92</v>
      </c>
      <c r="BT252" s="9" t="s">
        <v>65</v>
      </c>
      <c r="BU252" s="9"/>
      <c r="BV252" s="9"/>
      <c r="BW252" s="9">
        <v>0</v>
      </c>
      <c r="BX252" s="9">
        <v>46058.019328703704</v>
      </c>
      <c r="BY252" s="9">
        <v>46058.924166666664</v>
      </c>
      <c r="BZ252" s="9"/>
      <c r="CA252" s="9"/>
      <c r="CB252" s="9"/>
      <c r="CC252" s="9"/>
      <c r="CD252" s="9"/>
      <c r="CE252" s="9"/>
      <c r="CF252" s="9"/>
      <c r="CG252" s="9"/>
      <c r="CH252" s="9">
        <v>1</v>
      </c>
      <c r="CI252" s="9">
        <v>0</v>
      </c>
      <c r="CJ252" s="9"/>
      <c r="CK252" s="9"/>
      <c r="CL252" s="9"/>
      <c r="CM252" s="9"/>
      <c r="CN252" s="9">
        <v>0</v>
      </c>
      <c r="CO252" s="9" t="s">
        <v>1925</v>
      </c>
      <c r="CP252" s="9"/>
      <c r="CQ252" s="9"/>
    </row>
    <row r="253" spans="1:95" x14ac:dyDescent="0.35">
      <c r="A253" s="9" t="b">
        <f>ISNUMBER(MATCH(Claude[[#This Row],[Id]],ChargentOrders[Id],0))</f>
        <v>1</v>
      </c>
      <c r="B253" t="b">
        <f>INDEX(ChargentOrders[VALIDO],MATCH(Claude[[#This Row],[Id]],ChargentOrders[Id],0))</f>
        <v>1</v>
      </c>
      <c r="C253">
        <f>INDEX(Contract[CB_Subscription__c],MATCH(Claude[[#This Row],[Contract__c]],Contract[Id],0))</f>
        <v>0</v>
      </c>
      <c r="D253" s="9" t="s">
        <v>829</v>
      </c>
      <c r="E253" s="9" t="s">
        <v>155</v>
      </c>
      <c r="F253" s="9">
        <v>0</v>
      </c>
      <c r="G253" s="9" t="s">
        <v>830</v>
      </c>
      <c r="H253" s="9">
        <v>46048.419421296298</v>
      </c>
      <c r="I253" s="9" t="s">
        <v>65</v>
      </c>
      <c r="J253" s="9">
        <v>46051.429386574076</v>
      </c>
      <c r="K253" s="9" t="s">
        <v>65</v>
      </c>
      <c r="L253" s="9">
        <v>46051.429386574076</v>
      </c>
      <c r="M253" s="9"/>
      <c r="N253" s="9" t="s">
        <v>1649</v>
      </c>
      <c r="O253" s="9" t="s">
        <v>2059</v>
      </c>
      <c r="P253" s="9" t="s">
        <v>1990</v>
      </c>
      <c r="Q253" s="9" t="s">
        <v>1925</v>
      </c>
      <c r="R253" s="9" t="s">
        <v>1647</v>
      </c>
      <c r="S253" s="9" t="s">
        <v>2060</v>
      </c>
      <c r="T253" s="9" t="s">
        <v>2061</v>
      </c>
      <c r="U253" s="9" t="s">
        <v>1928</v>
      </c>
      <c r="V253" s="9">
        <v>915</v>
      </c>
      <c r="W253" s="9">
        <v>10</v>
      </c>
      <c r="X253" s="9">
        <v>2028</v>
      </c>
      <c r="Y253" s="9">
        <v>2362</v>
      </c>
      <c r="Z253" s="9">
        <v>10</v>
      </c>
      <c r="AA253" s="9">
        <v>4549516362132360</v>
      </c>
      <c r="AB253" s="9" t="s">
        <v>73</v>
      </c>
      <c r="AC253" s="9">
        <v>2028</v>
      </c>
      <c r="AD253" s="9" t="s">
        <v>449</v>
      </c>
      <c r="AE253" s="9"/>
      <c r="AF253" s="9" t="s">
        <v>1929</v>
      </c>
      <c r="AG253" s="9"/>
      <c r="AH253" s="9" t="s">
        <v>67</v>
      </c>
      <c r="AI253" s="9">
        <v>0</v>
      </c>
      <c r="AJ253" s="9"/>
      <c r="AK253" s="9">
        <v>0</v>
      </c>
      <c r="AL253" s="9" t="s">
        <v>1930</v>
      </c>
      <c r="AM253" s="9">
        <v>1</v>
      </c>
      <c r="AN253" s="9">
        <v>46051</v>
      </c>
      <c r="AO253" s="9" t="s">
        <v>1931</v>
      </c>
      <c r="AP253" s="9" t="s">
        <v>69</v>
      </c>
      <c r="AQ253" s="9" t="s">
        <v>1932</v>
      </c>
      <c r="AR253" s="9">
        <v>46051</v>
      </c>
      <c r="AS253" s="9" t="s">
        <v>74</v>
      </c>
      <c r="AT253" s="9" t="s">
        <v>1935</v>
      </c>
      <c r="AU253" s="9" t="s">
        <v>449</v>
      </c>
      <c r="AV253" s="9">
        <v>0</v>
      </c>
      <c r="AW253" s="9" t="s">
        <v>92</v>
      </c>
      <c r="AX253" s="9" t="s">
        <v>414</v>
      </c>
      <c r="AY253" s="9">
        <v>0</v>
      </c>
      <c r="AZ253" s="9">
        <v>46051.429340277777</v>
      </c>
      <c r="BA253" s="9">
        <v>46051.429340277777</v>
      </c>
      <c r="BB253" s="9">
        <v>1</v>
      </c>
      <c r="BC253" s="9">
        <v>1</v>
      </c>
      <c r="BD253" s="9" t="s">
        <v>2220</v>
      </c>
      <c r="BE253" s="9" t="s">
        <v>415</v>
      </c>
      <c r="BF253" s="9" t="s">
        <v>71</v>
      </c>
      <c r="BG253" s="9"/>
      <c r="BH253" s="9">
        <v>0</v>
      </c>
      <c r="BI253" s="9"/>
      <c r="BJ253" s="9">
        <v>0</v>
      </c>
      <c r="BK253" s="9" t="s">
        <v>92</v>
      </c>
      <c r="BL253" s="9" t="s">
        <v>92</v>
      </c>
      <c r="BM253" s="9" t="s">
        <v>72</v>
      </c>
      <c r="BN253" s="9"/>
      <c r="BO253" s="9">
        <v>1</v>
      </c>
      <c r="BP253" s="9" t="s">
        <v>831</v>
      </c>
      <c r="BQ253" s="9">
        <v>0</v>
      </c>
      <c r="BR253" s="9">
        <v>45901.428703703707</v>
      </c>
      <c r="BS253" s="9" t="s">
        <v>109</v>
      </c>
      <c r="BT253" s="9" t="s">
        <v>65</v>
      </c>
      <c r="BU253" s="9"/>
      <c r="BV253" s="9"/>
      <c r="BW253" s="9">
        <v>0</v>
      </c>
      <c r="BX253" s="9"/>
      <c r="BY253" s="9">
        <v>46051.429340277777</v>
      </c>
      <c r="BZ253" s="9"/>
      <c r="CA253" s="9"/>
      <c r="CB253" s="9"/>
      <c r="CC253" s="9"/>
      <c r="CD253" s="9"/>
      <c r="CE253" s="9"/>
      <c r="CF253" s="9"/>
      <c r="CG253" s="9"/>
      <c r="CH253" s="9">
        <v>1</v>
      </c>
      <c r="CI253" s="9">
        <v>0</v>
      </c>
      <c r="CJ253" s="9"/>
      <c r="CK253" s="9"/>
      <c r="CL253" s="9" t="s">
        <v>2062</v>
      </c>
      <c r="CM253" s="9"/>
      <c r="CN253" s="9">
        <v>0</v>
      </c>
      <c r="CO253" s="9" t="s">
        <v>1925</v>
      </c>
      <c r="CP253" s="9"/>
      <c r="CQ253" s="9"/>
    </row>
    <row r="254" spans="1:95" x14ac:dyDescent="0.35">
      <c r="A254" s="9" t="b">
        <f>ISNUMBER(MATCH(Claude[[#This Row],[Id]],ChargentOrders[Id],0))</f>
        <v>1</v>
      </c>
      <c r="B254" t="b">
        <f>INDEX(ChargentOrders[VALIDO],MATCH(Claude[[#This Row],[Id]],ChargentOrders[Id],0))</f>
        <v>1</v>
      </c>
      <c r="C254">
        <f>INDEX(Contract[CB_Subscription__c],MATCH(Claude[[#This Row],[Contract__c]],Contract[Id],0))</f>
        <v>0</v>
      </c>
      <c r="D254" s="9" t="s">
        <v>832</v>
      </c>
      <c r="E254" s="9" t="s">
        <v>81</v>
      </c>
      <c r="F254" s="9">
        <v>0</v>
      </c>
      <c r="G254" s="9" t="s">
        <v>833</v>
      </c>
      <c r="H254" s="9">
        <v>46048.430520833332</v>
      </c>
      <c r="I254" s="9" t="s">
        <v>65</v>
      </c>
      <c r="J254" s="9">
        <v>46217.738564814812</v>
      </c>
      <c r="K254" s="9" t="s">
        <v>78</v>
      </c>
      <c r="L254" s="9">
        <v>46217.738564814812</v>
      </c>
      <c r="M254" s="9"/>
      <c r="N254" s="9" t="s">
        <v>1768</v>
      </c>
      <c r="O254" s="9" t="s">
        <v>2203</v>
      </c>
      <c r="P254" s="9" t="s">
        <v>2066</v>
      </c>
      <c r="Q254" s="9" t="s">
        <v>1925</v>
      </c>
      <c r="R254" s="9" t="s">
        <v>1766</v>
      </c>
      <c r="S254" s="9" t="s">
        <v>2204</v>
      </c>
      <c r="T254" s="9" t="s">
        <v>2205</v>
      </c>
      <c r="U254" s="9" t="s">
        <v>1928</v>
      </c>
      <c r="V254" s="9">
        <v>959</v>
      </c>
      <c r="W254" s="9">
        <v>9</v>
      </c>
      <c r="X254" s="9">
        <v>2029</v>
      </c>
      <c r="Y254" s="9">
        <v>2681</v>
      </c>
      <c r="Z254" s="9">
        <v>9</v>
      </c>
      <c r="AA254" s="9">
        <v>5189207017712680</v>
      </c>
      <c r="AB254" s="9" t="s">
        <v>66</v>
      </c>
      <c r="AC254" s="9">
        <v>2029</v>
      </c>
      <c r="AD254" s="9" t="s">
        <v>374</v>
      </c>
      <c r="AE254" s="9">
        <v>30</v>
      </c>
      <c r="AF254" s="9" t="s">
        <v>1929</v>
      </c>
      <c r="AG254" s="9"/>
      <c r="AH254" s="9" t="s">
        <v>67</v>
      </c>
      <c r="AI254" s="9">
        <v>0</v>
      </c>
      <c r="AJ254" s="9"/>
      <c r="AK254" s="9">
        <v>0</v>
      </c>
      <c r="AL254" s="9" t="s">
        <v>1930</v>
      </c>
      <c r="AM254" s="9"/>
      <c r="AN254" s="9"/>
      <c r="AO254" s="9" t="s">
        <v>1943</v>
      </c>
      <c r="AP254" s="9" t="s">
        <v>69</v>
      </c>
      <c r="AQ254" s="9" t="s">
        <v>1932</v>
      </c>
      <c r="AR254" s="9">
        <v>46203</v>
      </c>
      <c r="AS254" s="9" t="s">
        <v>84</v>
      </c>
      <c r="AT254" s="9" t="s">
        <v>1944</v>
      </c>
      <c r="AU254" s="9" t="s">
        <v>374</v>
      </c>
      <c r="AV254" s="9">
        <v>0</v>
      </c>
      <c r="AW254" s="9" t="s">
        <v>92</v>
      </c>
      <c r="AX254" s="9" t="s">
        <v>760</v>
      </c>
      <c r="AY254" s="9">
        <v>0</v>
      </c>
      <c r="AZ254" s="9">
        <v>46203.417326388888</v>
      </c>
      <c r="BA254" s="9">
        <v>46203.417326388888</v>
      </c>
      <c r="BB254" s="9">
        <v>4</v>
      </c>
      <c r="BC254" s="9">
        <v>4</v>
      </c>
      <c r="BD254" s="9" t="s">
        <v>2238</v>
      </c>
      <c r="BE254" s="9" t="s">
        <v>761</v>
      </c>
      <c r="BF254" s="9" t="s">
        <v>76</v>
      </c>
      <c r="BG254" s="9"/>
      <c r="BH254" s="9">
        <v>0</v>
      </c>
      <c r="BI254" s="9"/>
      <c r="BJ254" s="9">
        <v>5</v>
      </c>
      <c r="BK254" s="9" t="s">
        <v>92</v>
      </c>
      <c r="BL254" s="9" t="s">
        <v>92</v>
      </c>
      <c r="BM254" s="9" t="s">
        <v>75</v>
      </c>
      <c r="BN254" s="9"/>
      <c r="BO254" s="9">
        <v>0</v>
      </c>
      <c r="BP254" s="9"/>
      <c r="BQ254" s="9">
        <v>0</v>
      </c>
      <c r="BR254" s="9"/>
      <c r="BS254" s="9"/>
      <c r="BT254" s="9"/>
      <c r="BU254" s="9"/>
      <c r="BV254" s="9"/>
      <c r="BW254" s="9">
        <v>0</v>
      </c>
      <c r="BX254" s="9"/>
      <c r="BY254" s="9">
        <v>46203.417326388888</v>
      </c>
      <c r="BZ254" s="9"/>
      <c r="CA254" s="9"/>
      <c r="CB254" s="9"/>
      <c r="CC254" s="9"/>
      <c r="CD254" s="9"/>
      <c r="CE254" s="9"/>
      <c r="CF254" s="9"/>
      <c r="CG254" s="9"/>
      <c r="CH254" s="9">
        <v>1</v>
      </c>
      <c r="CI254" s="9">
        <v>0</v>
      </c>
      <c r="CJ254" s="9"/>
      <c r="CK254" s="9"/>
      <c r="CL254" s="9" t="s">
        <v>2206</v>
      </c>
      <c r="CM254" s="9"/>
      <c r="CN254" s="9">
        <v>0</v>
      </c>
      <c r="CO254" s="9" t="s">
        <v>1925</v>
      </c>
      <c r="CP254" s="9"/>
      <c r="CQ254" s="9">
        <v>0</v>
      </c>
    </row>
    <row r="255" spans="1:95" x14ac:dyDescent="0.35">
      <c r="A255" s="9" t="b">
        <f>ISNUMBER(MATCH(Claude[[#This Row],[Id]],ChargentOrders[Id],0))</f>
        <v>1</v>
      </c>
      <c r="B255" t="b">
        <f>INDEX(ChargentOrders[VALIDO],MATCH(Claude[[#This Row],[Id]],ChargentOrders[Id],0))</f>
        <v>1</v>
      </c>
      <c r="C255">
        <f>INDEX(Contract[CB_Subscription__c],MATCH(Claude[[#This Row],[Contract__c]],Contract[Id],0))</f>
        <v>0</v>
      </c>
      <c r="D255" s="9" t="s">
        <v>834</v>
      </c>
      <c r="E255" s="9" t="s">
        <v>81</v>
      </c>
      <c r="F255" s="9">
        <v>0</v>
      </c>
      <c r="G255" s="9" t="s">
        <v>835</v>
      </c>
      <c r="H255" s="9">
        <v>46048.591319444444</v>
      </c>
      <c r="I255" s="9" t="s">
        <v>81</v>
      </c>
      <c r="J255" s="9">
        <v>46048.591423611113</v>
      </c>
      <c r="K255" s="9" t="s">
        <v>81</v>
      </c>
      <c r="L255" s="9">
        <v>46048.591423611113</v>
      </c>
      <c r="M255" s="9"/>
      <c r="N255" s="9"/>
      <c r="O255" s="9" t="s">
        <v>2239</v>
      </c>
      <c r="P255" s="9" t="s">
        <v>1924</v>
      </c>
      <c r="Q255" s="9" t="s">
        <v>1925</v>
      </c>
      <c r="R255" s="9" t="s">
        <v>1796</v>
      </c>
      <c r="S255" s="9" t="s">
        <v>2240</v>
      </c>
      <c r="T255" s="9" t="s">
        <v>2241</v>
      </c>
      <c r="U255" s="9" t="s">
        <v>1928</v>
      </c>
      <c r="V255" s="9">
        <v>949</v>
      </c>
      <c r="W255" s="9">
        <v>2</v>
      </c>
      <c r="X255" s="9">
        <v>2029</v>
      </c>
      <c r="Y255" s="9">
        <v>9833</v>
      </c>
      <c r="Z255" s="9">
        <v>2</v>
      </c>
      <c r="AA255" s="9">
        <v>4549516001739830</v>
      </c>
      <c r="AB255" s="9" t="s">
        <v>73</v>
      </c>
      <c r="AC255" s="9">
        <v>2029</v>
      </c>
      <c r="AD255" s="9" t="s">
        <v>93</v>
      </c>
      <c r="AE255" s="9"/>
      <c r="AF255" s="9" t="s">
        <v>1929</v>
      </c>
      <c r="AG255" s="9"/>
      <c r="AH255" s="9" t="s">
        <v>67</v>
      </c>
      <c r="AI255" s="9">
        <v>0</v>
      </c>
      <c r="AJ255" s="9"/>
      <c r="AK255" s="9">
        <v>0</v>
      </c>
      <c r="AL255" s="9" t="s">
        <v>1930</v>
      </c>
      <c r="AM255" s="9"/>
      <c r="AN255" s="9"/>
      <c r="AO255" s="9" t="s">
        <v>1931</v>
      </c>
      <c r="AP255" s="9" t="s">
        <v>69</v>
      </c>
      <c r="AQ255" s="9" t="s">
        <v>1932</v>
      </c>
      <c r="AR255" s="9"/>
      <c r="AS255" s="9"/>
      <c r="AT255" s="9"/>
      <c r="AU255" s="9" t="s">
        <v>92</v>
      </c>
      <c r="AV255" s="9">
        <v>0</v>
      </c>
      <c r="AW255" s="9"/>
      <c r="AX255" s="9" t="s">
        <v>836</v>
      </c>
      <c r="AY255" s="9">
        <v>0</v>
      </c>
      <c r="AZ255" s="9"/>
      <c r="BA255" s="9">
        <v>46048.591377314813</v>
      </c>
      <c r="BB255" s="9">
        <v>0</v>
      </c>
      <c r="BC255" s="9">
        <v>1</v>
      </c>
      <c r="BD255" s="9">
        <v>0</v>
      </c>
      <c r="BE255" s="9" t="s">
        <v>837</v>
      </c>
      <c r="BF255" s="9"/>
      <c r="BG255" s="9"/>
      <c r="BH255" s="9">
        <v>0</v>
      </c>
      <c r="BI255" s="9"/>
      <c r="BJ255" s="9">
        <v>1</v>
      </c>
      <c r="BK255" s="9"/>
      <c r="BL255" s="9"/>
      <c r="BM255" s="9" t="s">
        <v>75</v>
      </c>
      <c r="BN255" s="9"/>
      <c r="BO255" s="9">
        <v>0</v>
      </c>
      <c r="BP255" s="9"/>
      <c r="BQ255" s="9">
        <v>1</v>
      </c>
      <c r="BR255" s="9"/>
      <c r="BS255" s="9"/>
      <c r="BT255" s="9"/>
      <c r="BU255" s="9"/>
      <c r="BV255" s="9"/>
      <c r="BW255" s="9">
        <v>0</v>
      </c>
      <c r="BX255" s="9"/>
      <c r="BY255" s="9">
        <v>46048.591377314813</v>
      </c>
      <c r="BZ255" s="9"/>
      <c r="CA255" s="9"/>
      <c r="CB255" s="9"/>
      <c r="CC255" s="9"/>
      <c r="CD255" s="9"/>
      <c r="CE255" s="9"/>
      <c r="CF255" s="9"/>
      <c r="CG255" s="9"/>
      <c r="CH255" s="9">
        <v>1</v>
      </c>
      <c r="CI255" s="9">
        <v>0</v>
      </c>
      <c r="CJ255" s="9"/>
      <c r="CK255" s="9"/>
      <c r="CL255" s="9" t="s">
        <v>2242</v>
      </c>
      <c r="CM255" s="9"/>
      <c r="CN255" s="9">
        <v>0</v>
      </c>
      <c r="CO255" s="9" t="s">
        <v>1925</v>
      </c>
      <c r="CP255" s="9"/>
      <c r="CQ255" s="9"/>
    </row>
    <row r="256" spans="1:95" x14ac:dyDescent="0.35">
      <c r="A256" s="9" t="b">
        <f>ISNUMBER(MATCH(Claude[[#This Row],[Id]],ChargentOrders[Id],0))</f>
        <v>1</v>
      </c>
      <c r="B256" t="b">
        <f>INDEX(ChargentOrders[VALIDO],MATCH(Claude[[#This Row],[Id]],ChargentOrders[Id],0))</f>
        <v>1</v>
      </c>
      <c r="C256">
        <f>INDEX(Contract[CB_Subscription__c],MATCH(Claude[[#This Row],[Contract__c]],Contract[Id],0))</f>
        <v>0</v>
      </c>
      <c r="D256" s="9" t="s">
        <v>838</v>
      </c>
      <c r="E256" s="9" t="s">
        <v>81</v>
      </c>
      <c r="F256" s="9">
        <v>0</v>
      </c>
      <c r="G256" s="9" t="s">
        <v>839</v>
      </c>
      <c r="H256" s="9">
        <v>46048.592546296299</v>
      </c>
      <c r="I256" s="9" t="s">
        <v>81</v>
      </c>
      <c r="J256" s="9">
        <v>46048.594849537039</v>
      </c>
      <c r="K256" s="9" t="s">
        <v>81</v>
      </c>
      <c r="L256" s="9">
        <v>46048.594849537039</v>
      </c>
      <c r="M256" s="9"/>
      <c r="N256" s="9" t="s">
        <v>1798</v>
      </c>
      <c r="O256" s="9" t="s">
        <v>2239</v>
      </c>
      <c r="P256" s="9" t="s">
        <v>1924</v>
      </c>
      <c r="Q256" s="9" t="s">
        <v>1925</v>
      </c>
      <c r="R256" s="9" t="s">
        <v>1796</v>
      </c>
      <c r="S256" s="9" t="s">
        <v>2240</v>
      </c>
      <c r="T256" s="9" t="s">
        <v>2241</v>
      </c>
      <c r="U256" s="9" t="s">
        <v>1928</v>
      </c>
      <c r="V256" s="9">
        <v>949</v>
      </c>
      <c r="W256" s="9">
        <v>2</v>
      </c>
      <c r="X256" s="9">
        <v>2029</v>
      </c>
      <c r="Y256" s="9">
        <v>9833</v>
      </c>
      <c r="Z256" s="9">
        <v>2</v>
      </c>
      <c r="AA256" s="9">
        <v>4549516001739830</v>
      </c>
      <c r="AB256" s="9" t="s">
        <v>73</v>
      </c>
      <c r="AC256" s="9">
        <v>2029</v>
      </c>
      <c r="AD256" s="9" t="s">
        <v>1936</v>
      </c>
      <c r="AE256" s="9"/>
      <c r="AF256" s="9" t="s">
        <v>1929</v>
      </c>
      <c r="AG256" s="9"/>
      <c r="AH256" s="9" t="s">
        <v>67</v>
      </c>
      <c r="AI256" s="9">
        <v>0</v>
      </c>
      <c r="AJ256" s="9"/>
      <c r="AK256" s="9">
        <v>0</v>
      </c>
      <c r="AL256" s="9" t="s">
        <v>1930</v>
      </c>
      <c r="AM256" s="9">
        <v>1</v>
      </c>
      <c r="AN256" s="9"/>
      <c r="AO256" s="9" t="s">
        <v>1931</v>
      </c>
      <c r="AP256" s="9" t="s">
        <v>69</v>
      </c>
      <c r="AQ256" s="9" t="s">
        <v>1932</v>
      </c>
      <c r="AR256" s="9">
        <v>46048</v>
      </c>
      <c r="AS256" s="9" t="s">
        <v>74</v>
      </c>
      <c r="AT256" s="9" t="s">
        <v>1935</v>
      </c>
      <c r="AU256" s="9" t="s">
        <v>1936</v>
      </c>
      <c r="AV256" s="9">
        <v>0</v>
      </c>
      <c r="AW256" s="9" t="s">
        <v>93</v>
      </c>
      <c r="AX256" s="9" t="s">
        <v>836</v>
      </c>
      <c r="AY256" s="9">
        <v>0</v>
      </c>
      <c r="AZ256" s="9">
        <v>46048.594814814816</v>
      </c>
      <c r="BA256" s="9">
        <v>46048.594814814816</v>
      </c>
      <c r="BB256" s="9">
        <v>1</v>
      </c>
      <c r="BC256" s="9">
        <v>1</v>
      </c>
      <c r="BD256" s="9" t="s">
        <v>1936</v>
      </c>
      <c r="BE256" s="9" t="s">
        <v>837</v>
      </c>
      <c r="BF256" s="9" t="s">
        <v>77</v>
      </c>
      <c r="BG256" s="9"/>
      <c r="BH256" s="9">
        <v>0</v>
      </c>
      <c r="BI256" s="9"/>
      <c r="BJ256" s="9">
        <v>1</v>
      </c>
      <c r="BK256" s="9" t="s">
        <v>92</v>
      </c>
      <c r="BL256" s="9" t="s">
        <v>92</v>
      </c>
      <c r="BM256" s="9" t="s">
        <v>75</v>
      </c>
      <c r="BN256" s="9"/>
      <c r="BO256" s="9">
        <v>0</v>
      </c>
      <c r="BP256" s="9"/>
      <c r="BQ256" s="9">
        <v>0</v>
      </c>
      <c r="BR256" s="9"/>
      <c r="BS256" s="9"/>
      <c r="BT256" s="9"/>
      <c r="BU256" s="9"/>
      <c r="BV256" s="9"/>
      <c r="BW256" s="9">
        <v>0</v>
      </c>
      <c r="BX256" s="9"/>
      <c r="BY256" s="9">
        <v>46048.594814814816</v>
      </c>
      <c r="BZ256" s="9"/>
      <c r="CA256" s="9"/>
      <c r="CB256" s="9"/>
      <c r="CC256" s="9"/>
      <c r="CD256" s="9"/>
      <c r="CE256" s="9"/>
      <c r="CF256" s="9"/>
      <c r="CG256" s="9"/>
      <c r="CH256" s="9">
        <v>1</v>
      </c>
      <c r="CI256" s="9">
        <v>0</v>
      </c>
      <c r="CJ256" s="9"/>
      <c r="CK256" s="9"/>
      <c r="CL256" s="9" t="s">
        <v>2242</v>
      </c>
      <c r="CM256" s="9"/>
      <c r="CN256" s="9">
        <v>0</v>
      </c>
      <c r="CO256" s="9" t="s">
        <v>1925</v>
      </c>
      <c r="CP256" s="9"/>
      <c r="CQ256" s="9"/>
    </row>
    <row r="257" spans="1:95" x14ac:dyDescent="0.35">
      <c r="A257" s="9" t="b">
        <f>ISNUMBER(MATCH(Claude[[#This Row],[Id]],ChargentOrders[Id],0))</f>
        <v>1</v>
      </c>
      <c r="B257" t="b">
        <f>INDEX(ChargentOrders[VALIDO],MATCH(Claude[[#This Row],[Id]],ChargentOrders[Id],0))</f>
        <v>1</v>
      </c>
      <c r="C257">
        <f>INDEX(Contract[CB_Subscription__c],MATCH(Claude[[#This Row],[Contract__c]],Contract[Id],0))</f>
        <v>0</v>
      </c>
      <c r="D257" s="9" t="s">
        <v>840</v>
      </c>
      <c r="E257" s="9" t="s">
        <v>81</v>
      </c>
      <c r="F257" s="9">
        <v>0</v>
      </c>
      <c r="G257" s="9" t="s">
        <v>841</v>
      </c>
      <c r="H257" s="9">
        <v>46048.592546296299</v>
      </c>
      <c r="I257" s="9" t="s">
        <v>81</v>
      </c>
      <c r="J257" s="9">
        <v>46066.427245370367</v>
      </c>
      <c r="K257" s="9" t="s">
        <v>65</v>
      </c>
      <c r="L257" s="9">
        <v>46066.427245370367</v>
      </c>
      <c r="M257" s="9"/>
      <c r="N257" s="9" t="s">
        <v>1798</v>
      </c>
      <c r="O257" s="9" t="s">
        <v>2239</v>
      </c>
      <c r="P257" s="9" t="s">
        <v>1924</v>
      </c>
      <c r="Q257" s="9" t="s">
        <v>1925</v>
      </c>
      <c r="R257" s="9" t="s">
        <v>1796</v>
      </c>
      <c r="S257" s="9" t="s">
        <v>2240</v>
      </c>
      <c r="T257" s="9" t="s">
        <v>2241</v>
      </c>
      <c r="U257" s="9" t="s">
        <v>1928</v>
      </c>
      <c r="V257" s="9">
        <v>949</v>
      </c>
      <c r="W257" s="9">
        <v>2</v>
      </c>
      <c r="X257" s="9">
        <v>2029</v>
      </c>
      <c r="Y257" s="9">
        <v>9833</v>
      </c>
      <c r="Z257" s="9">
        <v>2</v>
      </c>
      <c r="AA257" s="9">
        <v>4549516001739830</v>
      </c>
      <c r="AB257" s="9" t="s">
        <v>73</v>
      </c>
      <c r="AC257" s="9">
        <v>2029</v>
      </c>
      <c r="AD257" s="9" t="s">
        <v>1939</v>
      </c>
      <c r="AE257" s="9"/>
      <c r="AF257" s="9" t="s">
        <v>1929</v>
      </c>
      <c r="AG257" s="9"/>
      <c r="AH257" s="9" t="s">
        <v>67</v>
      </c>
      <c r="AI257" s="9">
        <v>0</v>
      </c>
      <c r="AJ257" s="9"/>
      <c r="AK257" s="9">
        <v>0</v>
      </c>
      <c r="AL257" s="9" t="s">
        <v>1930</v>
      </c>
      <c r="AM257" s="9">
        <v>1</v>
      </c>
      <c r="AN257" s="9">
        <v>46066</v>
      </c>
      <c r="AO257" s="9" t="s">
        <v>1931</v>
      </c>
      <c r="AP257" s="9" t="s">
        <v>69</v>
      </c>
      <c r="AQ257" s="9" t="s">
        <v>1932</v>
      </c>
      <c r="AR257" s="9">
        <v>46066</v>
      </c>
      <c r="AS257" s="9" t="s">
        <v>74</v>
      </c>
      <c r="AT257" s="9" t="s">
        <v>1935</v>
      </c>
      <c r="AU257" s="9" t="s">
        <v>1939</v>
      </c>
      <c r="AV257" s="9">
        <v>0</v>
      </c>
      <c r="AW257" s="9" t="s">
        <v>92</v>
      </c>
      <c r="AX257" s="9" t="s">
        <v>836</v>
      </c>
      <c r="AY257" s="9">
        <v>0</v>
      </c>
      <c r="AZ257" s="9">
        <v>46066.427106481482</v>
      </c>
      <c r="BA257" s="9">
        <v>46066.427175925928</v>
      </c>
      <c r="BB257" s="9">
        <v>1</v>
      </c>
      <c r="BC257" s="9">
        <v>1</v>
      </c>
      <c r="BD257" s="9" t="s">
        <v>1936</v>
      </c>
      <c r="BE257" s="9" t="s">
        <v>837</v>
      </c>
      <c r="BF257" s="9" t="s">
        <v>77</v>
      </c>
      <c r="BG257" s="9"/>
      <c r="BH257" s="9">
        <v>0</v>
      </c>
      <c r="BI257" s="9"/>
      <c r="BJ257" s="9">
        <v>1</v>
      </c>
      <c r="BK257" s="9" t="s">
        <v>92</v>
      </c>
      <c r="BL257" s="9" t="s">
        <v>92</v>
      </c>
      <c r="BM257" s="9" t="s">
        <v>75</v>
      </c>
      <c r="BN257" s="9"/>
      <c r="BO257" s="9">
        <v>0</v>
      </c>
      <c r="BP257" s="9"/>
      <c r="BQ257" s="9">
        <v>0</v>
      </c>
      <c r="BR257" s="9"/>
      <c r="BS257" s="9"/>
      <c r="BT257" s="9"/>
      <c r="BU257" s="9"/>
      <c r="BV257" s="9"/>
      <c r="BW257" s="9">
        <v>0</v>
      </c>
      <c r="BX257" s="9"/>
      <c r="BY257" s="9">
        <v>46066.427106481482</v>
      </c>
      <c r="BZ257" s="9"/>
      <c r="CA257" s="9"/>
      <c r="CB257" s="9"/>
      <c r="CC257" s="9"/>
      <c r="CD257" s="9"/>
      <c r="CE257" s="9"/>
      <c r="CF257" s="9"/>
      <c r="CG257" s="9"/>
      <c r="CH257" s="9">
        <v>1</v>
      </c>
      <c r="CI257" s="9">
        <v>0</v>
      </c>
      <c r="CJ257" s="9"/>
      <c r="CK257" s="9"/>
      <c r="CL257" s="9" t="s">
        <v>2242</v>
      </c>
      <c r="CM257" s="9"/>
      <c r="CN257" s="9">
        <v>0</v>
      </c>
      <c r="CO257" s="9" t="s">
        <v>1925</v>
      </c>
      <c r="CP257" s="9"/>
      <c r="CQ257" s="9"/>
    </row>
    <row r="258" spans="1:95" x14ac:dyDescent="0.35">
      <c r="A258" s="9" t="b">
        <f>ISNUMBER(MATCH(Claude[[#This Row],[Id]],ChargentOrders[Id],0))</f>
        <v>1</v>
      </c>
      <c r="B258" t="b">
        <f>INDEX(ChargentOrders[VALIDO],MATCH(Claude[[#This Row],[Id]],ChargentOrders[Id],0))</f>
        <v>1</v>
      </c>
      <c r="C258">
        <f>INDEX(Contract[CB_Subscription__c],MATCH(Claude[[#This Row],[Contract__c]],Contract[Id],0))</f>
        <v>0</v>
      </c>
      <c r="D258" s="9" t="s">
        <v>842</v>
      </c>
      <c r="E258" s="9" t="s">
        <v>531</v>
      </c>
      <c r="F258" s="9">
        <v>0</v>
      </c>
      <c r="G258" s="9" t="s">
        <v>843</v>
      </c>
      <c r="H258" s="9">
        <v>46049.417384259257</v>
      </c>
      <c r="I258" s="9" t="s">
        <v>65</v>
      </c>
      <c r="J258" s="9">
        <v>46163.929722222223</v>
      </c>
      <c r="K258" s="9" t="s">
        <v>78</v>
      </c>
      <c r="L258" s="9">
        <v>46163.929722222223</v>
      </c>
      <c r="M258" s="9"/>
      <c r="N258" s="9" t="s">
        <v>1788</v>
      </c>
      <c r="O258" s="9" t="s">
        <v>2227</v>
      </c>
      <c r="P258" s="9" t="s">
        <v>2228</v>
      </c>
      <c r="Q258" s="9"/>
      <c r="R258" s="9" t="s">
        <v>2229</v>
      </c>
      <c r="S258" s="9" t="s">
        <v>2230</v>
      </c>
      <c r="T258" s="9" t="s">
        <v>2231</v>
      </c>
      <c r="U258" s="9" t="s">
        <v>1928</v>
      </c>
      <c r="V258" s="9">
        <v>698</v>
      </c>
      <c r="W258" s="9">
        <v>4</v>
      </c>
      <c r="X258" s="9">
        <v>2029</v>
      </c>
      <c r="Y258" s="9">
        <v>4500</v>
      </c>
      <c r="Z258" s="9">
        <v>4</v>
      </c>
      <c r="AA258" s="9">
        <v>4500</v>
      </c>
      <c r="AB258" s="9" t="s">
        <v>73</v>
      </c>
      <c r="AC258" s="9">
        <v>2029</v>
      </c>
      <c r="AD258" s="9" t="s">
        <v>374</v>
      </c>
      <c r="AE258" s="9">
        <v>27</v>
      </c>
      <c r="AF258" s="9" t="s">
        <v>1929</v>
      </c>
      <c r="AG258" s="9"/>
      <c r="AH258" s="9" t="s">
        <v>67</v>
      </c>
      <c r="AI258" s="9">
        <v>0</v>
      </c>
      <c r="AJ258" s="9"/>
      <c r="AK258" s="9">
        <v>0</v>
      </c>
      <c r="AL258" s="9" t="s">
        <v>1930</v>
      </c>
      <c r="AM258" s="9"/>
      <c r="AN258" s="9"/>
      <c r="AO258" s="9" t="s">
        <v>1943</v>
      </c>
      <c r="AP258" s="9" t="s">
        <v>69</v>
      </c>
      <c r="AQ258" s="9" t="s">
        <v>1932</v>
      </c>
      <c r="AR258" s="9">
        <v>46169</v>
      </c>
      <c r="AS258" s="9" t="s">
        <v>613</v>
      </c>
      <c r="AT258" s="9" t="s">
        <v>1944</v>
      </c>
      <c r="AU258" s="9" t="s">
        <v>374</v>
      </c>
      <c r="AV258" s="9">
        <v>0</v>
      </c>
      <c r="AW258" s="9" t="s">
        <v>92</v>
      </c>
      <c r="AX258" s="9" t="s">
        <v>811</v>
      </c>
      <c r="AY258" s="9">
        <v>0</v>
      </c>
      <c r="AZ258" s="9"/>
      <c r="BA258" s="9"/>
      <c r="BB258" s="9">
        <v>0</v>
      </c>
      <c r="BC258" s="9">
        <v>3</v>
      </c>
      <c r="BD258" s="9">
        <v>0</v>
      </c>
      <c r="BE258" s="9" t="s">
        <v>812</v>
      </c>
      <c r="BF258" s="9" t="s">
        <v>76</v>
      </c>
      <c r="BG258" s="9"/>
      <c r="BH258" s="9">
        <v>0</v>
      </c>
      <c r="BI258" s="9"/>
      <c r="BJ258" s="9">
        <v>4</v>
      </c>
      <c r="BK258" s="9" t="s">
        <v>92</v>
      </c>
      <c r="BL258" s="9" t="s">
        <v>92</v>
      </c>
      <c r="BM258" s="9" t="s">
        <v>75</v>
      </c>
      <c r="BN258" s="9"/>
      <c r="BO258" s="9">
        <v>0</v>
      </c>
      <c r="BP258" s="9"/>
      <c r="BQ258" s="9">
        <v>0</v>
      </c>
      <c r="BR258" s="9"/>
      <c r="BS258" s="9"/>
      <c r="BT258" s="9"/>
      <c r="BU258" s="9"/>
      <c r="BV258" s="9"/>
      <c r="BW258" s="9">
        <v>0</v>
      </c>
      <c r="BX258" s="9">
        <v>46139.419745370367</v>
      </c>
      <c r="BY258" s="9">
        <v>46139.419745370367</v>
      </c>
      <c r="BZ258" s="9"/>
      <c r="CA258" s="9"/>
      <c r="CB258" s="9"/>
      <c r="CC258" s="9"/>
      <c r="CD258" s="9"/>
      <c r="CE258" s="9"/>
      <c r="CF258" s="9"/>
      <c r="CG258" s="9"/>
      <c r="CH258" s="9">
        <v>1</v>
      </c>
      <c r="CI258" s="9">
        <v>0</v>
      </c>
      <c r="CJ258" s="9"/>
      <c r="CK258" s="9"/>
      <c r="CL258" s="9" t="s">
        <v>2232</v>
      </c>
      <c r="CM258" s="9"/>
      <c r="CN258" s="9">
        <v>0</v>
      </c>
      <c r="CO258" s="9" t="s">
        <v>1925</v>
      </c>
      <c r="CP258" s="9"/>
      <c r="CQ258" s="9">
        <v>0</v>
      </c>
    </row>
    <row r="259" spans="1:95" x14ac:dyDescent="0.35">
      <c r="A259" s="9" t="b">
        <f>ISNUMBER(MATCH(Claude[[#This Row],[Id]],ChargentOrders[Id],0))</f>
        <v>1</v>
      </c>
      <c r="B259" t="b">
        <f>INDEX(ChargentOrders[VALIDO],MATCH(Claude[[#This Row],[Id]],ChargentOrders[Id],0))</f>
        <v>1</v>
      </c>
      <c r="C259">
        <f>INDEX(Contract[CB_Subscription__c],MATCH(Claude[[#This Row],[Contract__c]],Contract[Id],0))</f>
        <v>0</v>
      </c>
      <c r="D259" s="9" t="s">
        <v>844</v>
      </c>
      <c r="E259" s="9" t="s">
        <v>610</v>
      </c>
      <c r="F259" s="9">
        <v>0</v>
      </c>
      <c r="G259" s="9" t="s">
        <v>845</v>
      </c>
      <c r="H259" s="9">
        <v>46049.686030092591</v>
      </c>
      <c r="I259" s="9" t="s">
        <v>610</v>
      </c>
      <c r="J259" s="9">
        <v>46049.686076388891</v>
      </c>
      <c r="K259" s="9" t="s">
        <v>610</v>
      </c>
      <c r="L259" s="9">
        <v>46049.686076388891</v>
      </c>
      <c r="M259" s="9"/>
      <c r="N259" s="9"/>
      <c r="O259" s="9" t="s">
        <v>2243</v>
      </c>
      <c r="P259" s="9" t="s">
        <v>2053</v>
      </c>
      <c r="Q259" s="9" t="s">
        <v>2015</v>
      </c>
      <c r="R259" s="9" t="s">
        <v>1801</v>
      </c>
      <c r="S259" s="9" t="s">
        <v>2244</v>
      </c>
      <c r="T259" s="9" t="s">
        <v>2245</v>
      </c>
      <c r="U259" s="9" t="s">
        <v>1928</v>
      </c>
      <c r="V259" s="9">
        <v>738</v>
      </c>
      <c r="W259" s="9">
        <v>9</v>
      </c>
      <c r="X259" s="9">
        <v>2029</v>
      </c>
      <c r="Y259" s="9">
        <v>6088</v>
      </c>
      <c r="Z259" s="9">
        <v>9</v>
      </c>
      <c r="AA259" s="9">
        <v>5159480011686080</v>
      </c>
      <c r="AB259" s="9" t="s">
        <v>66</v>
      </c>
      <c r="AC259" s="9">
        <v>2029</v>
      </c>
      <c r="AD259" s="9" t="s">
        <v>93</v>
      </c>
      <c r="AE259" s="9"/>
      <c r="AF259" s="9" t="s">
        <v>1929</v>
      </c>
      <c r="AG259" s="9"/>
      <c r="AH259" s="9" t="s">
        <v>67</v>
      </c>
      <c r="AI259" s="9">
        <v>0</v>
      </c>
      <c r="AJ259" s="9"/>
      <c r="AK259" s="9">
        <v>0</v>
      </c>
      <c r="AL259" s="9" t="s">
        <v>1930</v>
      </c>
      <c r="AM259" s="9"/>
      <c r="AN259" s="9"/>
      <c r="AO259" s="9" t="s">
        <v>1931</v>
      </c>
      <c r="AP259" s="9" t="s">
        <v>69</v>
      </c>
      <c r="AQ259" s="9" t="s">
        <v>1932</v>
      </c>
      <c r="AR259" s="9"/>
      <c r="AS259" s="9"/>
      <c r="AT259" s="9"/>
      <c r="AU259" s="9" t="s">
        <v>92</v>
      </c>
      <c r="AV259" s="9">
        <v>0</v>
      </c>
      <c r="AW259" s="9"/>
      <c r="AX259" s="9"/>
      <c r="AY259" s="9">
        <v>0</v>
      </c>
      <c r="AZ259" s="9"/>
      <c r="BA259" s="9"/>
      <c r="BB259" s="9">
        <v>0</v>
      </c>
      <c r="BC259" s="9">
        <v>1</v>
      </c>
      <c r="BD259" s="9">
        <v>0</v>
      </c>
      <c r="BE259" s="9" t="s">
        <v>846</v>
      </c>
      <c r="BF259" s="9"/>
      <c r="BG259" s="9"/>
      <c r="BH259" s="9">
        <v>0</v>
      </c>
      <c r="BI259" s="9"/>
      <c r="BJ259" s="9">
        <v>1</v>
      </c>
      <c r="BK259" s="9"/>
      <c r="BL259" s="9"/>
      <c r="BM259" s="9" t="s">
        <v>75</v>
      </c>
      <c r="BN259" s="9"/>
      <c r="BO259" s="9">
        <v>0</v>
      </c>
      <c r="BP259" s="9"/>
      <c r="BQ259" s="9">
        <v>1</v>
      </c>
      <c r="BR259" s="9"/>
      <c r="BS259" s="9"/>
      <c r="BT259" s="9"/>
      <c r="BU259" s="9"/>
      <c r="BV259" s="9"/>
      <c r="BW259" s="9">
        <v>0</v>
      </c>
      <c r="BX259" s="9">
        <v>46049.686053240737</v>
      </c>
      <c r="BY259" s="9">
        <v>46049.686053240737</v>
      </c>
      <c r="BZ259" s="9"/>
      <c r="CA259" s="9"/>
      <c r="CB259" s="9"/>
      <c r="CC259" s="9"/>
      <c r="CD259" s="9"/>
      <c r="CE259" s="9"/>
      <c r="CF259" s="9"/>
      <c r="CG259" s="9"/>
      <c r="CH259" s="9">
        <v>1</v>
      </c>
      <c r="CI259" s="9">
        <v>0</v>
      </c>
      <c r="CJ259" s="9"/>
      <c r="CK259" s="9"/>
      <c r="CL259" s="9" t="s">
        <v>2246</v>
      </c>
      <c r="CM259" s="9"/>
      <c r="CN259" s="9">
        <v>0</v>
      </c>
      <c r="CO259" s="9" t="s">
        <v>1925</v>
      </c>
      <c r="CP259" s="9"/>
      <c r="CQ259" s="9"/>
    </row>
    <row r="260" spans="1:95" x14ac:dyDescent="0.35">
      <c r="A260" s="9" t="b">
        <f>ISNUMBER(MATCH(Claude[[#This Row],[Id]],ChargentOrders[Id],0))</f>
        <v>1</v>
      </c>
      <c r="B260" t="b">
        <f>INDEX(ChargentOrders[VALIDO],MATCH(Claude[[#This Row],[Id]],ChargentOrders[Id],0))</f>
        <v>1</v>
      </c>
      <c r="C260">
        <f>INDEX(Contract[CB_Subscription__c],MATCH(Claude[[#This Row],[Contract__c]],Contract[Id],0))</f>
        <v>0</v>
      </c>
      <c r="D260" s="9" t="s">
        <v>847</v>
      </c>
      <c r="E260" s="9" t="s">
        <v>610</v>
      </c>
      <c r="F260" s="9">
        <v>0</v>
      </c>
      <c r="G260" s="9" t="s">
        <v>848</v>
      </c>
      <c r="H260" s="9">
        <v>46049.686388888891</v>
      </c>
      <c r="I260" s="9" t="s">
        <v>610</v>
      </c>
      <c r="J260" s="9">
        <v>46049.686435185184</v>
      </c>
      <c r="K260" s="9" t="s">
        <v>610</v>
      </c>
      <c r="L260" s="9">
        <v>46049.686435185184</v>
      </c>
      <c r="M260" s="9"/>
      <c r="N260" s="9"/>
      <c r="O260" s="9" t="s">
        <v>2243</v>
      </c>
      <c r="P260" s="9" t="s">
        <v>2053</v>
      </c>
      <c r="Q260" s="9" t="s">
        <v>1925</v>
      </c>
      <c r="R260" s="9" t="s">
        <v>1801</v>
      </c>
      <c r="S260" s="9" t="s">
        <v>2244</v>
      </c>
      <c r="T260" s="9" t="s">
        <v>2245</v>
      </c>
      <c r="U260" s="9" t="s">
        <v>1928</v>
      </c>
      <c r="V260" s="9">
        <v>738</v>
      </c>
      <c r="W260" s="9">
        <v>9</v>
      </c>
      <c r="X260" s="9">
        <v>2029</v>
      </c>
      <c r="Y260" s="9">
        <v>6088</v>
      </c>
      <c r="Z260" s="9">
        <v>9</v>
      </c>
      <c r="AA260" s="9">
        <v>5159480011686080</v>
      </c>
      <c r="AB260" s="9" t="s">
        <v>66</v>
      </c>
      <c r="AC260" s="9">
        <v>2029</v>
      </c>
      <c r="AD260" s="9" t="s">
        <v>93</v>
      </c>
      <c r="AE260" s="9"/>
      <c r="AF260" s="9" t="s">
        <v>1929</v>
      </c>
      <c r="AG260" s="9"/>
      <c r="AH260" s="9" t="s">
        <v>67</v>
      </c>
      <c r="AI260" s="9">
        <v>0</v>
      </c>
      <c r="AJ260" s="9"/>
      <c r="AK260" s="9">
        <v>0</v>
      </c>
      <c r="AL260" s="9" t="s">
        <v>1930</v>
      </c>
      <c r="AM260" s="9"/>
      <c r="AN260" s="9"/>
      <c r="AO260" s="9" t="s">
        <v>1931</v>
      </c>
      <c r="AP260" s="9" t="s">
        <v>69</v>
      </c>
      <c r="AQ260" s="9" t="s">
        <v>1932</v>
      </c>
      <c r="AR260" s="9"/>
      <c r="AS260" s="9"/>
      <c r="AT260" s="9"/>
      <c r="AU260" s="9" t="s">
        <v>92</v>
      </c>
      <c r="AV260" s="9">
        <v>0</v>
      </c>
      <c r="AW260" s="9"/>
      <c r="AX260" s="9" t="s">
        <v>849</v>
      </c>
      <c r="AY260" s="9">
        <v>0</v>
      </c>
      <c r="AZ260" s="9"/>
      <c r="BA260" s="9">
        <v>46049.686412037037</v>
      </c>
      <c r="BB260" s="9">
        <v>0</v>
      </c>
      <c r="BC260" s="9">
        <v>1</v>
      </c>
      <c r="BD260" s="9">
        <v>0</v>
      </c>
      <c r="BE260" s="9" t="s">
        <v>846</v>
      </c>
      <c r="BF260" s="9"/>
      <c r="BG260" s="9"/>
      <c r="BH260" s="9">
        <v>0</v>
      </c>
      <c r="BI260" s="9"/>
      <c r="BJ260" s="9">
        <v>1</v>
      </c>
      <c r="BK260" s="9"/>
      <c r="BL260" s="9"/>
      <c r="BM260" s="9" t="s">
        <v>75</v>
      </c>
      <c r="BN260" s="9"/>
      <c r="BO260" s="9">
        <v>0</v>
      </c>
      <c r="BP260" s="9"/>
      <c r="BQ260" s="9">
        <v>1</v>
      </c>
      <c r="BR260" s="9"/>
      <c r="BS260" s="9"/>
      <c r="BT260" s="9"/>
      <c r="BU260" s="9"/>
      <c r="BV260" s="9"/>
      <c r="BW260" s="9">
        <v>0</v>
      </c>
      <c r="BX260" s="9"/>
      <c r="BY260" s="9">
        <v>46049.686412037037</v>
      </c>
      <c r="BZ260" s="9"/>
      <c r="CA260" s="9"/>
      <c r="CB260" s="9"/>
      <c r="CC260" s="9"/>
      <c r="CD260" s="9"/>
      <c r="CE260" s="9"/>
      <c r="CF260" s="9"/>
      <c r="CG260" s="9"/>
      <c r="CH260" s="9">
        <v>1</v>
      </c>
      <c r="CI260" s="9">
        <v>0</v>
      </c>
      <c r="CJ260" s="9"/>
      <c r="CK260" s="9"/>
      <c r="CL260" s="9" t="s">
        <v>2246</v>
      </c>
      <c r="CM260" s="9"/>
      <c r="CN260" s="9">
        <v>0</v>
      </c>
      <c r="CO260" s="9" t="s">
        <v>1925</v>
      </c>
      <c r="CP260" s="9"/>
      <c r="CQ260" s="9"/>
    </row>
    <row r="261" spans="1:95" x14ac:dyDescent="0.35">
      <c r="A261" s="9" t="b">
        <f>ISNUMBER(MATCH(Claude[[#This Row],[Id]],ChargentOrders[Id],0))</f>
        <v>1</v>
      </c>
      <c r="B261" t="b">
        <f>INDEX(ChargentOrders[VALIDO],MATCH(Claude[[#This Row],[Id]],ChargentOrders[Id],0))</f>
        <v>1</v>
      </c>
      <c r="C261">
        <f>INDEX(Contract[CB_Subscription__c],MATCH(Claude[[#This Row],[Contract__c]],Contract[Id],0))</f>
        <v>0</v>
      </c>
      <c r="D261" s="9" t="s">
        <v>850</v>
      </c>
      <c r="E261" s="9" t="s">
        <v>610</v>
      </c>
      <c r="F261" s="9">
        <v>0</v>
      </c>
      <c r="G261" s="9" t="s">
        <v>851</v>
      </c>
      <c r="H261" s="9">
        <v>46049.687997685185</v>
      </c>
      <c r="I261" s="9" t="s">
        <v>610</v>
      </c>
      <c r="J261" s="9">
        <v>46052.442928240744</v>
      </c>
      <c r="K261" s="9" t="s">
        <v>65</v>
      </c>
      <c r="L261" s="9">
        <v>46052.442928240744</v>
      </c>
      <c r="M261" s="9"/>
      <c r="N261" s="9" t="s">
        <v>1803</v>
      </c>
      <c r="O261" s="9" t="s">
        <v>2243</v>
      </c>
      <c r="P261" s="9" t="s">
        <v>2053</v>
      </c>
      <c r="Q261" s="9" t="s">
        <v>1925</v>
      </c>
      <c r="R261" s="9" t="s">
        <v>1801</v>
      </c>
      <c r="S261" s="9" t="s">
        <v>2244</v>
      </c>
      <c r="T261" s="9" t="s">
        <v>2245</v>
      </c>
      <c r="U261" s="9" t="s">
        <v>1928</v>
      </c>
      <c r="V261" s="9">
        <v>738</v>
      </c>
      <c r="W261" s="9">
        <v>9</v>
      </c>
      <c r="X261" s="9">
        <v>2029</v>
      </c>
      <c r="Y261" s="9">
        <v>6088</v>
      </c>
      <c r="Z261" s="9">
        <v>9</v>
      </c>
      <c r="AA261" s="9">
        <v>5159480011686080</v>
      </c>
      <c r="AB261" s="9" t="s">
        <v>66</v>
      </c>
      <c r="AC261" s="9">
        <v>2029</v>
      </c>
      <c r="AD261" s="9" t="s">
        <v>374</v>
      </c>
      <c r="AE261" s="9"/>
      <c r="AF261" s="9" t="s">
        <v>1929</v>
      </c>
      <c r="AG261" s="9"/>
      <c r="AH261" s="9" t="s">
        <v>67</v>
      </c>
      <c r="AI261" s="9">
        <v>0</v>
      </c>
      <c r="AJ261" s="9"/>
      <c r="AK261" s="9">
        <v>0</v>
      </c>
      <c r="AL261" s="9" t="s">
        <v>1930</v>
      </c>
      <c r="AM261" s="9">
        <v>1</v>
      </c>
      <c r="AN261" s="9">
        <v>46052</v>
      </c>
      <c r="AO261" s="9" t="s">
        <v>1931</v>
      </c>
      <c r="AP261" s="9" t="s">
        <v>69</v>
      </c>
      <c r="AQ261" s="9" t="s">
        <v>1932</v>
      </c>
      <c r="AR261" s="9">
        <v>46052</v>
      </c>
      <c r="AS261" s="9" t="s">
        <v>74</v>
      </c>
      <c r="AT261" s="9" t="s">
        <v>1935</v>
      </c>
      <c r="AU261" s="9" t="s">
        <v>374</v>
      </c>
      <c r="AV261" s="9">
        <v>0</v>
      </c>
      <c r="AW261" s="9" t="s">
        <v>92</v>
      </c>
      <c r="AX261" s="9" t="s">
        <v>849</v>
      </c>
      <c r="AY261" s="9">
        <v>0</v>
      </c>
      <c r="AZ261" s="9"/>
      <c r="BA261" s="9"/>
      <c r="BB261" s="9">
        <v>0</v>
      </c>
      <c r="BC261" s="9">
        <v>1</v>
      </c>
      <c r="BD261" s="9">
        <v>0</v>
      </c>
      <c r="BE261" s="9" t="s">
        <v>846</v>
      </c>
      <c r="BF261" s="9" t="s">
        <v>77</v>
      </c>
      <c r="BG261" s="9"/>
      <c r="BH261" s="9">
        <v>0</v>
      </c>
      <c r="BI261" s="9"/>
      <c r="BJ261" s="9">
        <v>1</v>
      </c>
      <c r="BK261" s="9" t="s">
        <v>92</v>
      </c>
      <c r="BL261" s="9" t="s">
        <v>92</v>
      </c>
      <c r="BM261" s="9" t="s">
        <v>75</v>
      </c>
      <c r="BN261" s="9"/>
      <c r="BO261" s="9">
        <v>0</v>
      </c>
      <c r="BP261" s="9"/>
      <c r="BQ261" s="9">
        <v>0</v>
      </c>
      <c r="BR261" s="9"/>
      <c r="BS261" s="9"/>
      <c r="BT261" s="9"/>
      <c r="BU261" s="9"/>
      <c r="BV261" s="9"/>
      <c r="BW261" s="9">
        <v>0</v>
      </c>
      <c r="BX261" s="9">
        <v>46052.442835648151</v>
      </c>
      <c r="BY261" s="9">
        <v>46052.442835648151</v>
      </c>
      <c r="BZ261" s="9"/>
      <c r="CA261" s="9"/>
      <c r="CB261" s="9"/>
      <c r="CC261" s="9"/>
      <c r="CD261" s="9"/>
      <c r="CE261" s="9"/>
      <c r="CF261" s="9"/>
      <c r="CG261" s="9"/>
      <c r="CH261" s="9">
        <v>1</v>
      </c>
      <c r="CI261" s="9">
        <v>0</v>
      </c>
      <c r="CJ261" s="9"/>
      <c r="CK261" s="9"/>
      <c r="CL261" s="9" t="s">
        <v>2246</v>
      </c>
      <c r="CM261" s="9"/>
      <c r="CN261" s="9">
        <v>0</v>
      </c>
      <c r="CO261" s="9" t="s">
        <v>1925</v>
      </c>
      <c r="CP261" s="9"/>
      <c r="CQ261" s="9"/>
    </row>
    <row r="262" spans="1:95" x14ac:dyDescent="0.35">
      <c r="A262" s="9" t="b">
        <f>ISNUMBER(MATCH(Claude[[#This Row],[Id]],ChargentOrders[Id],0))</f>
        <v>1</v>
      </c>
      <c r="B262" t="b">
        <f>INDEX(ChargentOrders[VALIDO],MATCH(Claude[[#This Row],[Id]],ChargentOrders[Id],0))</f>
        <v>1</v>
      </c>
      <c r="C262">
        <f>INDEX(Contract[CB_Subscription__c],MATCH(Claude[[#This Row],[Contract__c]],Contract[Id],0))</f>
        <v>0</v>
      </c>
      <c r="D262" s="9" t="s">
        <v>852</v>
      </c>
      <c r="E262" s="9" t="s">
        <v>531</v>
      </c>
      <c r="F262" s="9">
        <v>0</v>
      </c>
      <c r="G262" s="9" t="s">
        <v>853</v>
      </c>
      <c r="H262" s="9">
        <v>46050.417627314811</v>
      </c>
      <c r="I262" s="9" t="s">
        <v>65</v>
      </c>
      <c r="J262" s="9">
        <v>46163.929722222223</v>
      </c>
      <c r="K262" s="9" t="s">
        <v>78</v>
      </c>
      <c r="L262" s="9">
        <v>46163.929722222223</v>
      </c>
      <c r="M262" s="9"/>
      <c r="N262" s="9" t="s">
        <v>1783</v>
      </c>
      <c r="O262" s="9" t="s">
        <v>2221</v>
      </c>
      <c r="P262" s="9" t="s">
        <v>2222</v>
      </c>
      <c r="Q262" s="9"/>
      <c r="R262" s="9" t="s">
        <v>1781</v>
      </c>
      <c r="S262" s="9" t="s">
        <v>2223</v>
      </c>
      <c r="T262" s="9" t="s">
        <v>2224</v>
      </c>
      <c r="U262" s="9" t="s">
        <v>1928</v>
      </c>
      <c r="V262" s="9">
        <v>719</v>
      </c>
      <c r="W262" s="9">
        <v>6</v>
      </c>
      <c r="X262" s="9">
        <v>2030</v>
      </c>
      <c r="Y262" s="9">
        <v>4242</v>
      </c>
      <c r="Z262" s="9">
        <v>6</v>
      </c>
      <c r="AA262" s="9">
        <v>4549519054534240</v>
      </c>
      <c r="AB262" s="9" t="s">
        <v>73</v>
      </c>
      <c r="AC262" s="9">
        <v>2030</v>
      </c>
      <c r="AD262" s="9" t="s">
        <v>2226</v>
      </c>
      <c r="AE262" s="9">
        <v>25</v>
      </c>
      <c r="AF262" s="9" t="s">
        <v>1929</v>
      </c>
      <c r="AG262" s="9"/>
      <c r="AH262" s="9" t="s">
        <v>98</v>
      </c>
      <c r="AI262" s="9">
        <v>0</v>
      </c>
      <c r="AJ262" s="9"/>
      <c r="AK262" s="9">
        <v>0</v>
      </c>
      <c r="AL262" s="9" t="s">
        <v>1930</v>
      </c>
      <c r="AM262" s="9"/>
      <c r="AN262" s="9"/>
      <c r="AO262" s="9" t="s">
        <v>1943</v>
      </c>
      <c r="AP262" s="9" t="s">
        <v>69</v>
      </c>
      <c r="AQ262" s="9" t="s">
        <v>1932</v>
      </c>
      <c r="AR262" s="9">
        <v>46167</v>
      </c>
      <c r="AS262" s="9" t="s">
        <v>613</v>
      </c>
      <c r="AT262" s="9" t="s">
        <v>1944</v>
      </c>
      <c r="AU262" s="9" t="s">
        <v>2226</v>
      </c>
      <c r="AV262" s="9">
        <v>0</v>
      </c>
      <c r="AW262" s="9" t="s">
        <v>92</v>
      </c>
      <c r="AX262" s="9">
        <v>7.69017172656605E+21</v>
      </c>
      <c r="AY262" s="9">
        <v>0</v>
      </c>
      <c r="AZ262" s="9">
        <v>46106.417650462965</v>
      </c>
      <c r="BA262" s="9">
        <v>46106.417662037034</v>
      </c>
      <c r="BB262" s="9">
        <v>2</v>
      </c>
      <c r="BC262" s="9">
        <v>3</v>
      </c>
      <c r="BD262" s="9" t="s">
        <v>2247</v>
      </c>
      <c r="BE262" s="9" t="s">
        <v>803</v>
      </c>
      <c r="BF262" s="9" t="s">
        <v>76</v>
      </c>
      <c r="BG262" s="9"/>
      <c r="BH262" s="9">
        <v>0</v>
      </c>
      <c r="BI262" s="9"/>
      <c r="BJ262" s="9">
        <v>4</v>
      </c>
      <c r="BK262" s="9" t="s">
        <v>92</v>
      </c>
      <c r="BL262" s="9" t="s">
        <v>92</v>
      </c>
      <c r="BM262" s="9" t="s">
        <v>75</v>
      </c>
      <c r="BN262" s="9"/>
      <c r="BO262" s="9">
        <v>0</v>
      </c>
      <c r="BP262" s="9"/>
      <c r="BQ262" s="9">
        <v>0</v>
      </c>
      <c r="BR262" s="9"/>
      <c r="BS262" s="9"/>
      <c r="BT262" s="9"/>
      <c r="BU262" s="9"/>
      <c r="BV262" s="9"/>
      <c r="BW262" s="9">
        <v>0</v>
      </c>
      <c r="BX262" s="9">
        <v>46136.42114583333</v>
      </c>
      <c r="BY262" s="9">
        <v>46136.42114583333</v>
      </c>
      <c r="BZ262" s="9"/>
      <c r="CA262" s="9"/>
      <c r="CB262" s="9"/>
      <c r="CC262" s="9"/>
      <c r="CD262" s="9"/>
      <c r="CE262" s="9"/>
      <c r="CF262" s="9"/>
      <c r="CG262" s="9"/>
      <c r="CH262" s="9">
        <v>1</v>
      </c>
      <c r="CI262" s="9">
        <v>0</v>
      </c>
      <c r="CJ262" s="9"/>
      <c r="CK262" s="9"/>
      <c r="CL262" s="9" t="s">
        <v>2225</v>
      </c>
      <c r="CM262" s="9"/>
      <c r="CN262" s="9">
        <v>0</v>
      </c>
      <c r="CO262" s="9" t="s">
        <v>1925</v>
      </c>
      <c r="CP262" s="9"/>
      <c r="CQ262" s="9">
        <v>0</v>
      </c>
    </row>
    <row r="263" spans="1:95" x14ac:dyDescent="0.35">
      <c r="A263" s="9" t="b">
        <f>ISNUMBER(MATCH(Claude[[#This Row],[Id]],ChargentOrders[Id],0))</f>
        <v>1</v>
      </c>
      <c r="B263" t="b">
        <f>INDEX(ChargentOrders[VALIDO],MATCH(Claude[[#This Row],[Id]],ChargentOrders[Id],0))</f>
        <v>1</v>
      </c>
      <c r="C263">
        <f>INDEX(Contract[CB_Subscription__c],MATCH(Claude[[#This Row],[Contract__c]],Contract[Id],0))</f>
        <v>0</v>
      </c>
      <c r="D263" s="9" t="s">
        <v>854</v>
      </c>
      <c r="E263" s="9" t="s">
        <v>81</v>
      </c>
      <c r="F263" s="9">
        <v>0</v>
      </c>
      <c r="G263" s="9" t="s">
        <v>855</v>
      </c>
      <c r="H263" s="9">
        <v>46050.771099537036</v>
      </c>
      <c r="I263" s="9" t="s">
        <v>81</v>
      </c>
      <c r="J263" s="9">
        <v>46050.771157407406</v>
      </c>
      <c r="K263" s="9" t="s">
        <v>81</v>
      </c>
      <c r="L263" s="9">
        <v>46050.771157407406</v>
      </c>
      <c r="M263" s="9"/>
      <c r="N263" s="9"/>
      <c r="O263" s="9" t="s">
        <v>2248</v>
      </c>
      <c r="P263" s="9" t="s">
        <v>2249</v>
      </c>
      <c r="Q263" s="9" t="s">
        <v>1925</v>
      </c>
      <c r="R263" s="9" t="s">
        <v>1806</v>
      </c>
      <c r="S263" s="9" t="s">
        <v>2250</v>
      </c>
      <c r="T263" s="9" t="s">
        <v>2251</v>
      </c>
      <c r="U263" s="9" t="s">
        <v>1928</v>
      </c>
      <c r="V263" s="9">
        <v>794</v>
      </c>
      <c r="W263" s="9">
        <v>8</v>
      </c>
      <c r="X263" s="9">
        <v>2030</v>
      </c>
      <c r="Y263" s="9">
        <v>9070</v>
      </c>
      <c r="Z263" s="9">
        <v>8</v>
      </c>
      <c r="AA263" s="9">
        <v>4549519869399070</v>
      </c>
      <c r="AB263" s="9" t="s">
        <v>73</v>
      </c>
      <c r="AC263" s="9">
        <v>2030</v>
      </c>
      <c r="AD263" s="9" t="s">
        <v>93</v>
      </c>
      <c r="AE263" s="9"/>
      <c r="AF263" s="9" t="s">
        <v>1929</v>
      </c>
      <c r="AG263" s="9"/>
      <c r="AH263" s="9" t="s">
        <v>67</v>
      </c>
      <c r="AI263" s="9">
        <v>0</v>
      </c>
      <c r="AJ263" s="9"/>
      <c r="AK263" s="9">
        <v>0</v>
      </c>
      <c r="AL263" s="9" t="s">
        <v>1930</v>
      </c>
      <c r="AM263" s="9"/>
      <c r="AN263" s="9"/>
      <c r="AO263" s="9" t="s">
        <v>1931</v>
      </c>
      <c r="AP263" s="9" t="s">
        <v>69</v>
      </c>
      <c r="AQ263" s="9" t="s">
        <v>1932</v>
      </c>
      <c r="AR263" s="9"/>
      <c r="AS263" s="9"/>
      <c r="AT263" s="9"/>
      <c r="AU263" s="9" t="s">
        <v>92</v>
      </c>
      <c r="AV263" s="9">
        <v>0</v>
      </c>
      <c r="AW263" s="9"/>
      <c r="AX263" s="9" t="s">
        <v>856</v>
      </c>
      <c r="AY263" s="9">
        <v>0</v>
      </c>
      <c r="AZ263" s="9"/>
      <c r="BA263" s="9">
        <v>46050.771122685182</v>
      </c>
      <c r="BB263" s="9">
        <v>0</v>
      </c>
      <c r="BC263" s="9">
        <v>1</v>
      </c>
      <c r="BD263" s="9">
        <v>0</v>
      </c>
      <c r="BE263" s="9" t="s">
        <v>857</v>
      </c>
      <c r="BF263" s="9"/>
      <c r="BG263" s="9"/>
      <c r="BH263" s="9">
        <v>0</v>
      </c>
      <c r="BI263" s="9"/>
      <c r="BJ263" s="9">
        <v>1</v>
      </c>
      <c r="BK263" s="9"/>
      <c r="BL263" s="9"/>
      <c r="BM263" s="9" t="s">
        <v>75</v>
      </c>
      <c r="BN263" s="9"/>
      <c r="BO263" s="9">
        <v>0</v>
      </c>
      <c r="BP263" s="9"/>
      <c r="BQ263" s="9">
        <v>1</v>
      </c>
      <c r="BR263" s="9"/>
      <c r="BS263" s="9"/>
      <c r="BT263" s="9"/>
      <c r="BU263" s="9"/>
      <c r="BV263" s="9"/>
      <c r="BW263" s="9">
        <v>0</v>
      </c>
      <c r="BX263" s="9"/>
      <c r="BY263" s="9">
        <v>46050.771122685182</v>
      </c>
      <c r="BZ263" s="9"/>
      <c r="CA263" s="9"/>
      <c r="CB263" s="9"/>
      <c r="CC263" s="9"/>
      <c r="CD263" s="9"/>
      <c r="CE263" s="9"/>
      <c r="CF263" s="9"/>
      <c r="CG263" s="9"/>
      <c r="CH263" s="9">
        <v>1</v>
      </c>
      <c r="CI263" s="9">
        <v>0</v>
      </c>
      <c r="CJ263" s="9"/>
      <c r="CK263" s="9"/>
      <c r="CL263" s="9" t="s">
        <v>2252</v>
      </c>
      <c r="CM263" s="9"/>
      <c r="CN263" s="9">
        <v>0</v>
      </c>
      <c r="CO263" s="9" t="s">
        <v>1925</v>
      </c>
      <c r="CP263" s="9"/>
      <c r="CQ263" s="9"/>
    </row>
    <row r="264" spans="1:95" x14ac:dyDescent="0.35">
      <c r="A264" s="9" t="b">
        <f>ISNUMBER(MATCH(Claude[[#This Row],[Id]],ChargentOrders[Id],0))</f>
        <v>1</v>
      </c>
      <c r="B264" t="b">
        <f>INDEX(ChargentOrders[VALIDO],MATCH(Claude[[#This Row],[Id]],ChargentOrders[Id],0))</f>
        <v>1</v>
      </c>
      <c r="C264">
        <f>INDEX(Contract[CB_Subscription__c],MATCH(Claude[[#This Row],[Contract__c]],Contract[Id],0))</f>
        <v>0</v>
      </c>
      <c r="D264" s="9" t="s">
        <v>858</v>
      </c>
      <c r="E264" s="9" t="s">
        <v>81</v>
      </c>
      <c r="F264" s="9">
        <v>0</v>
      </c>
      <c r="G264" s="9" t="s">
        <v>859</v>
      </c>
      <c r="H264" s="9">
        <v>46050.800243055557</v>
      </c>
      <c r="I264" s="9" t="s">
        <v>81</v>
      </c>
      <c r="J264" s="9">
        <v>46050.800555555557</v>
      </c>
      <c r="K264" s="9" t="s">
        <v>81</v>
      </c>
      <c r="L264" s="9">
        <v>46050.800555555557</v>
      </c>
      <c r="M264" s="9"/>
      <c r="N264" s="9" t="s">
        <v>1808</v>
      </c>
      <c r="O264" s="9" t="s">
        <v>2248</v>
      </c>
      <c r="P264" s="9" t="s">
        <v>2249</v>
      </c>
      <c r="Q264" s="9" t="s">
        <v>1925</v>
      </c>
      <c r="R264" s="9" t="s">
        <v>1806</v>
      </c>
      <c r="S264" s="9" t="s">
        <v>2250</v>
      </c>
      <c r="T264" s="9" t="s">
        <v>2251</v>
      </c>
      <c r="U264" s="9" t="s">
        <v>1928</v>
      </c>
      <c r="V264" s="9">
        <v>794</v>
      </c>
      <c r="W264" s="9">
        <v>8</v>
      </c>
      <c r="X264" s="9">
        <v>2030</v>
      </c>
      <c r="Y264" s="9">
        <v>9070</v>
      </c>
      <c r="Z264" s="9">
        <v>8</v>
      </c>
      <c r="AA264" s="9">
        <v>4549519869399070</v>
      </c>
      <c r="AB264" s="9" t="s">
        <v>73</v>
      </c>
      <c r="AC264" s="9">
        <v>2030</v>
      </c>
      <c r="AD264" s="9" t="s">
        <v>1936</v>
      </c>
      <c r="AE264" s="9"/>
      <c r="AF264" s="9" t="s">
        <v>1929</v>
      </c>
      <c r="AG264" s="9"/>
      <c r="AH264" s="9" t="s">
        <v>67</v>
      </c>
      <c r="AI264" s="9">
        <v>0</v>
      </c>
      <c r="AJ264" s="9"/>
      <c r="AK264" s="9">
        <v>0</v>
      </c>
      <c r="AL264" s="9" t="s">
        <v>1930</v>
      </c>
      <c r="AM264" s="9">
        <v>1</v>
      </c>
      <c r="AN264" s="9"/>
      <c r="AO264" s="9" t="s">
        <v>1931</v>
      </c>
      <c r="AP264" s="9" t="s">
        <v>69</v>
      </c>
      <c r="AQ264" s="9" t="s">
        <v>1932</v>
      </c>
      <c r="AR264" s="9">
        <v>46050</v>
      </c>
      <c r="AS264" s="9" t="s">
        <v>74</v>
      </c>
      <c r="AT264" s="9" t="s">
        <v>1935</v>
      </c>
      <c r="AU264" s="9" t="s">
        <v>1936</v>
      </c>
      <c r="AV264" s="9">
        <v>0</v>
      </c>
      <c r="AW264" s="9" t="s">
        <v>93</v>
      </c>
      <c r="AX264" s="9" t="s">
        <v>856</v>
      </c>
      <c r="AY264" s="9">
        <v>0</v>
      </c>
      <c r="AZ264" s="9">
        <v>46050.800532407404</v>
      </c>
      <c r="BA264" s="9">
        <v>46050.800532407404</v>
      </c>
      <c r="BB264" s="9">
        <v>1</v>
      </c>
      <c r="BC264" s="9">
        <v>1</v>
      </c>
      <c r="BD264" s="9" t="s">
        <v>1936</v>
      </c>
      <c r="BE264" s="9" t="s">
        <v>857</v>
      </c>
      <c r="BF264" s="9" t="s">
        <v>77</v>
      </c>
      <c r="BG264" s="9"/>
      <c r="BH264" s="9">
        <v>0</v>
      </c>
      <c r="BI264" s="9"/>
      <c r="BJ264" s="9">
        <v>1</v>
      </c>
      <c r="BK264" s="9" t="s">
        <v>92</v>
      </c>
      <c r="BL264" s="9" t="s">
        <v>92</v>
      </c>
      <c r="BM264" s="9" t="s">
        <v>75</v>
      </c>
      <c r="BN264" s="9"/>
      <c r="BO264" s="9">
        <v>0</v>
      </c>
      <c r="BP264" s="9"/>
      <c r="BQ264" s="9">
        <v>0</v>
      </c>
      <c r="BR264" s="9"/>
      <c r="BS264" s="9"/>
      <c r="BT264" s="9"/>
      <c r="BU264" s="9"/>
      <c r="BV264" s="9"/>
      <c r="BW264" s="9">
        <v>0</v>
      </c>
      <c r="BX264" s="9"/>
      <c r="BY264" s="9">
        <v>46050.800532407404</v>
      </c>
      <c r="BZ264" s="9"/>
      <c r="CA264" s="9"/>
      <c r="CB264" s="9"/>
      <c r="CC264" s="9"/>
      <c r="CD264" s="9"/>
      <c r="CE264" s="9"/>
      <c r="CF264" s="9"/>
      <c r="CG264" s="9"/>
      <c r="CH264" s="9">
        <v>1</v>
      </c>
      <c r="CI264" s="9">
        <v>0</v>
      </c>
      <c r="CJ264" s="9"/>
      <c r="CK264" s="9"/>
      <c r="CL264" s="9" t="s">
        <v>2252</v>
      </c>
      <c r="CM264" s="9"/>
      <c r="CN264" s="9">
        <v>0</v>
      </c>
      <c r="CO264" s="9" t="s">
        <v>1925</v>
      </c>
      <c r="CP264" s="9"/>
      <c r="CQ264" s="9"/>
    </row>
    <row r="265" spans="1:95" x14ac:dyDescent="0.35">
      <c r="A265" s="9" t="b">
        <f>ISNUMBER(MATCH(Claude[[#This Row],[Id]],ChargentOrders[Id],0))</f>
        <v>1</v>
      </c>
      <c r="B265" t="b">
        <f>INDEX(ChargentOrders[VALIDO],MATCH(Claude[[#This Row],[Id]],ChargentOrders[Id],0))</f>
        <v>1</v>
      </c>
      <c r="C265">
        <f>INDEX(Contract[CB_Subscription__c],MATCH(Claude[[#This Row],[Contract__c]],Contract[Id],0))</f>
        <v>0</v>
      </c>
      <c r="D265" s="9" t="s">
        <v>860</v>
      </c>
      <c r="E265" s="9" t="s">
        <v>81</v>
      </c>
      <c r="F265" s="9">
        <v>0</v>
      </c>
      <c r="G265" s="9" t="s">
        <v>861</v>
      </c>
      <c r="H265" s="9">
        <v>46050.800243055557</v>
      </c>
      <c r="I265" s="9" t="s">
        <v>81</v>
      </c>
      <c r="J265" s="9">
        <v>46080.428090277775</v>
      </c>
      <c r="K265" s="9" t="s">
        <v>65</v>
      </c>
      <c r="L265" s="9">
        <v>46080.428090277775</v>
      </c>
      <c r="M265" s="9"/>
      <c r="N265" s="9" t="s">
        <v>1808</v>
      </c>
      <c r="O265" s="9" t="s">
        <v>2248</v>
      </c>
      <c r="P265" s="9" t="s">
        <v>2249</v>
      </c>
      <c r="Q265" s="9" t="s">
        <v>1925</v>
      </c>
      <c r="R265" s="9" t="s">
        <v>1806</v>
      </c>
      <c r="S265" s="9" t="s">
        <v>2250</v>
      </c>
      <c r="T265" s="9" t="s">
        <v>2251</v>
      </c>
      <c r="U265" s="9" t="s">
        <v>1928</v>
      </c>
      <c r="V265" s="9">
        <v>794</v>
      </c>
      <c r="W265" s="9">
        <v>8</v>
      </c>
      <c r="X265" s="9">
        <v>2030</v>
      </c>
      <c r="Y265" s="9">
        <v>9070</v>
      </c>
      <c r="Z265" s="9">
        <v>8</v>
      </c>
      <c r="AA265" s="9">
        <v>4549519869399070</v>
      </c>
      <c r="AB265" s="9" t="s">
        <v>73</v>
      </c>
      <c r="AC265" s="9">
        <v>2030</v>
      </c>
      <c r="AD265" s="9" t="s">
        <v>1939</v>
      </c>
      <c r="AE265" s="9"/>
      <c r="AF265" s="9" t="s">
        <v>1929</v>
      </c>
      <c r="AG265" s="9"/>
      <c r="AH265" s="9" t="s">
        <v>67</v>
      </c>
      <c r="AI265" s="9">
        <v>0</v>
      </c>
      <c r="AJ265" s="9"/>
      <c r="AK265" s="9">
        <v>0</v>
      </c>
      <c r="AL265" s="9" t="s">
        <v>1930</v>
      </c>
      <c r="AM265" s="9">
        <v>1</v>
      </c>
      <c r="AN265" s="9">
        <v>46080</v>
      </c>
      <c r="AO265" s="9" t="s">
        <v>1931</v>
      </c>
      <c r="AP265" s="9" t="s">
        <v>69</v>
      </c>
      <c r="AQ265" s="9" t="s">
        <v>1932</v>
      </c>
      <c r="AR265" s="9">
        <v>46080</v>
      </c>
      <c r="AS265" s="9" t="s">
        <v>74</v>
      </c>
      <c r="AT265" s="9" t="s">
        <v>1935</v>
      </c>
      <c r="AU265" s="9" t="s">
        <v>1939</v>
      </c>
      <c r="AV265" s="9">
        <v>0</v>
      </c>
      <c r="AW265" s="9" t="s">
        <v>92</v>
      </c>
      <c r="AX265" s="9" t="s">
        <v>856</v>
      </c>
      <c r="AY265" s="9">
        <v>0</v>
      </c>
      <c r="AZ265" s="9">
        <v>46080.427974537037</v>
      </c>
      <c r="BA265" s="9">
        <v>46080.428032407406</v>
      </c>
      <c r="BB265" s="9">
        <v>1</v>
      </c>
      <c r="BC265" s="9">
        <v>1</v>
      </c>
      <c r="BD265" s="9" t="s">
        <v>1936</v>
      </c>
      <c r="BE265" s="9" t="s">
        <v>857</v>
      </c>
      <c r="BF265" s="9" t="s">
        <v>77</v>
      </c>
      <c r="BG265" s="9"/>
      <c r="BH265" s="9">
        <v>0</v>
      </c>
      <c r="BI265" s="9"/>
      <c r="BJ265" s="9">
        <v>1</v>
      </c>
      <c r="BK265" s="9" t="s">
        <v>92</v>
      </c>
      <c r="BL265" s="9" t="s">
        <v>92</v>
      </c>
      <c r="BM265" s="9" t="s">
        <v>75</v>
      </c>
      <c r="BN265" s="9"/>
      <c r="BO265" s="9">
        <v>0</v>
      </c>
      <c r="BP265" s="9"/>
      <c r="BQ265" s="9">
        <v>0</v>
      </c>
      <c r="BR265" s="9"/>
      <c r="BS265" s="9"/>
      <c r="BT265" s="9"/>
      <c r="BU265" s="9"/>
      <c r="BV265" s="9"/>
      <c r="BW265" s="9">
        <v>0</v>
      </c>
      <c r="BX265" s="9"/>
      <c r="BY265" s="9">
        <v>46080.427974537037</v>
      </c>
      <c r="BZ265" s="9"/>
      <c r="CA265" s="9"/>
      <c r="CB265" s="9"/>
      <c r="CC265" s="9"/>
      <c r="CD265" s="9"/>
      <c r="CE265" s="9"/>
      <c r="CF265" s="9"/>
      <c r="CG265" s="9"/>
      <c r="CH265" s="9">
        <v>1</v>
      </c>
      <c r="CI265" s="9">
        <v>0</v>
      </c>
      <c r="CJ265" s="9"/>
      <c r="CK265" s="9"/>
      <c r="CL265" s="9" t="s">
        <v>2252</v>
      </c>
      <c r="CM265" s="9"/>
      <c r="CN265" s="9">
        <v>0</v>
      </c>
      <c r="CO265" s="9" t="s">
        <v>1925</v>
      </c>
      <c r="CP265" s="9"/>
      <c r="CQ265" s="9"/>
    </row>
    <row r="266" spans="1:95" x14ac:dyDescent="0.35">
      <c r="A266" s="9" t="b">
        <f>ISNUMBER(MATCH(Claude[[#This Row],[Id]],ChargentOrders[Id],0))</f>
        <v>1</v>
      </c>
      <c r="B266" t="b">
        <f>INDEX(ChargentOrders[VALIDO],MATCH(Claude[[#This Row],[Id]],ChargentOrders[Id],0))</f>
        <v>1</v>
      </c>
      <c r="C266">
        <f>INDEX(Contract[CB_Subscription__c],MATCH(Claude[[#This Row],[Contract__c]],Contract[Id],0))</f>
        <v>0</v>
      </c>
      <c r="D266" s="9" t="s">
        <v>862</v>
      </c>
      <c r="E266" s="9" t="s">
        <v>81</v>
      </c>
      <c r="F266" s="9">
        <v>0</v>
      </c>
      <c r="G266" s="9" t="s">
        <v>863</v>
      </c>
      <c r="H266" s="9">
        <v>46051.427615740744</v>
      </c>
      <c r="I266" s="9" t="s">
        <v>65</v>
      </c>
      <c r="J266" s="9">
        <v>46163.929722222223</v>
      </c>
      <c r="K266" s="9" t="s">
        <v>78</v>
      </c>
      <c r="L266" s="9">
        <v>46163.929722222223</v>
      </c>
      <c r="M266" s="9"/>
      <c r="N266" s="9" t="s">
        <v>1778</v>
      </c>
      <c r="O266" s="9" t="s">
        <v>2213</v>
      </c>
      <c r="P266" s="9" t="s">
        <v>2214</v>
      </c>
      <c r="Q266" s="9" t="s">
        <v>1925</v>
      </c>
      <c r="R266" s="9" t="s">
        <v>1776</v>
      </c>
      <c r="S266" s="9" t="s">
        <v>2215</v>
      </c>
      <c r="T266" s="9" t="s">
        <v>2216</v>
      </c>
      <c r="U266" s="9" t="s">
        <v>1928</v>
      </c>
      <c r="V266" s="9">
        <v>791</v>
      </c>
      <c r="W266" s="9">
        <v>11</v>
      </c>
      <c r="X266" s="9">
        <v>2029</v>
      </c>
      <c r="Y266" s="9">
        <v>4457</v>
      </c>
      <c r="Z266" s="9">
        <v>11</v>
      </c>
      <c r="AA266" s="9">
        <v>4457</v>
      </c>
      <c r="AB266" s="9" t="s">
        <v>73</v>
      </c>
      <c r="AC266" s="9">
        <v>2029</v>
      </c>
      <c r="AD266" s="9" t="s">
        <v>374</v>
      </c>
      <c r="AE266" s="9">
        <v>29</v>
      </c>
      <c r="AF266" s="9" t="s">
        <v>1929</v>
      </c>
      <c r="AG266" s="9"/>
      <c r="AH266" s="9" t="s">
        <v>67</v>
      </c>
      <c r="AI266" s="9">
        <v>0</v>
      </c>
      <c r="AJ266" s="9"/>
      <c r="AK266" s="9">
        <v>0</v>
      </c>
      <c r="AL266" s="9" t="s">
        <v>1930</v>
      </c>
      <c r="AM266" s="9"/>
      <c r="AN266" s="9"/>
      <c r="AO266" s="9" t="s">
        <v>1943</v>
      </c>
      <c r="AP266" s="9" t="s">
        <v>69</v>
      </c>
      <c r="AQ266" s="9" t="s">
        <v>1932</v>
      </c>
      <c r="AR266" s="9">
        <v>46171</v>
      </c>
      <c r="AS266" s="9" t="s">
        <v>613</v>
      </c>
      <c r="AT266" s="9" t="s">
        <v>1944</v>
      </c>
      <c r="AU266" s="9" t="s">
        <v>374</v>
      </c>
      <c r="AV266" s="9">
        <v>0</v>
      </c>
      <c r="AW266" s="9" t="s">
        <v>92</v>
      </c>
      <c r="AX266" s="9" t="s">
        <v>778</v>
      </c>
      <c r="AY266" s="9">
        <v>0</v>
      </c>
      <c r="AZ266" s="9"/>
      <c r="BA266" s="9"/>
      <c r="BB266" s="9">
        <v>0</v>
      </c>
      <c r="BC266" s="9">
        <v>3</v>
      </c>
      <c r="BD266" s="9">
        <v>0</v>
      </c>
      <c r="BE266" s="9" t="s">
        <v>779</v>
      </c>
      <c r="BF266" s="9" t="s">
        <v>76</v>
      </c>
      <c r="BG266" s="9"/>
      <c r="BH266" s="9">
        <v>0</v>
      </c>
      <c r="BI266" s="9"/>
      <c r="BJ266" s="9">
        <v>4</v>
      </c>
      <c r="BK266" s="9" t="s">
        <v>92</v>
      </c>
      <c r="BL266" s="9" t="s">
        <v>92</v>
      </c>
      <c r="BM266" s="9" t="s">
        <v>75</v>
      </c>
      <c r="BN266" s="9"/>
      <c r="BO266" s="9">
        <v>0</v>
      </c>
      <c r="BP266" s="9"/>
      <c r="BQ266" s="9">
        <v>0</v>
      </c>
      <c r="BR266" s="9"/>
      <c r="BS266" s="9"/>
      <c r="BT266" s="9"/>
      <c r="BU266" s="9"/>
      <c r="BV266" s="9"/>
      <c r="BW266" s="9">
        <v>0</v>
      </c>
      <c r="BX266" s="9">
        <v>46142.425879629627</v>
      </c>
      <c r="BY266" s="9">
        <v>46142.425879629627</v>
      </c>
      <c r="BZ266" s="9"/>
      <c r="CA266" s="9"/>
      <c r="CB266" s="9"/>
      <c r="CC266" s="9"/>
      <c r="CD266" s="9"/>
      <c r="CE266" s="9"/>
      <c r="CF266" s="9"/>
      <c r="CG266" s="9"/>
      <c r="CH266" s="9">
        <v>1</v>
      </c>
      <c r="CI266" s="9">
        <v>0</v>
      </c>
      <c r="CJ266" s="9"/>
      <c r="CK266" s="9"/>
      <c r="CL266" s="9" t="s">
        <v>2217</v>
      </c>
      <c r="CM266" s="9"/>
      <c r="CN266" s="9">
        <v>0</v>
      </c>
      <c r="CO266" s="9" t="s">
        <v>1925</v>
      </c>
      <c r="CP266" s="9"/>
      <c r="CQ266" s="9">
        <v>0</v>
      </c>
    </row>
    <row r="267" spans="1:95" x14ac:dyDescent="0.35">
      <c r="A267" s="9" t="b">
        <f>ISNUMBER(MATCH(Claude[[#This Row],[Id]],ChargentOrders[Id],0))</f>
        <v>1</v>
      </c>
      <c r="B267" t="b">
        <f>INDEX(ChargentOrders[VALIDO],MATCH(Claude[[#This Row],[Id]],ChargentOrders[Id],0))</f>
        <v>1</v>
      </c>
      <c r="C267">
        <f>INDEX(Contract[CB_Subscription__c],MATCH(Claude[[#This Row],[Contract__c]],Contract[Id],0))</f>
        <v>0</v>
      </c>
      <c r="D267" s="9" t="s">
        <v>864</v>
      </c>
      <c r="E267" s="9" t="s">
        <v>81</v>
      </c>
      <c r="F267" s="9">
        <v>0</v>
      </c>
      <c r="G267" s="9" t="s">
        <v>865</v>
      </c>
      <c r="H267" s="9">
        <v>46052.436296296299</v>
      </c>
      <c r="I267" s="9" t="s">
        <v>65</v>
      </c>
      <c r="J267" s="9">
        <v>46062.427118055559</v>
      </c>
      <c r="K267" s="9" t="s">
        <v>65</v>
      </c>
      <c r="L267" s="9">
        <v>46062.427118055559</v>
      </c>
      <c r="M267" s="9"/>
      <c r="N267" s="9" t="s">
        <v>1718</v>
      </c>
      <c r="O267" s="9" t="s">
        <v>2142</v>
      </c>
      <c r="P267" s="9" t="s">
        <v>2143</v>
      </c>
      <c r="Q267" s="9" t="s">
        <v>1925</v>
      </c>
      <c r="R267" s="9" t="s">
        <v>1716</v>
      </c>
      <c r="S267" s="9" t="s">
        <v>2144</v>
      </c>
      <c r="T267" s="9" t="s">
        <v>2145</v>
      </c>
      <c r="U267" s="9" t="s">
        <v>1928</v>
      </c>
      <c r="V267" s="9">
        <v>641</v>
      </c>
      <c r="W267" s="9">
        <v>8</v>
      </c>
      <c r="X267" s="9">
        <v>2030</v>
      </c>
      <c r="Y267" s="9">
        <v>9728</v>
      </c>
      <c r="Z267" s="9">
        <v>8</v>
      </c>
      <c r="AA267" s="9">
        <v>4549525023689720</v>
      </c>
      <c r="AB267" s="9" t="s">
        <v>73</v>
      </c>
      <c r="AC267" s="9">
        <v>2030</v>
      </c>
      <c r="AD267" s="9" t="s">
        <v>2253</v>
      </c>
      <c r="AE267" s="9"/>
      <c r="AF267" s="9" t="s">
        <v>1929</v>
      </c>
      <c r="AG267" s="9"/>
      <c r="AH267" s="9" t="s">
        <v>98</v>
      </c>
      <c r="AI267" s="9">
        <v>0</v>
      </c>
      <c r="AJ267" s="9"/>
      <c r="AK267" s="9">
        <v>0</v>
      </c>
      <c r="AL267" s="9" t="s">
        <v>1930</v>
      </c>
      <c r="AM267" s="9">
        <v>1</v>
      </c>
      <c r="AN267" s="9">
        <v>46062</v>
      </c>
      <c r="AO267" s="9" t="s">
        <v>1931</v>
      </c>
      <c r="AP267" s="9" t="s">
        <v>69</v>
      </c>
      <c r="AQ267" s="9" t="s">
        <v>1932</v>
      </c>
      <c r="AR267" s="9">
        <v>46062</v>
      </c>
      <c r="AS267" s="9" t="s">
        <v>74</v>
      </c>
      <c r="AT267" s="9" t="s">
        <v>1935</v>
      </c>
      <c r="AU267" s="9" t="s">
        <v>2253</v>
      </c>
      <c r="AV267" s="9">
        <v>0</v>
      </c>
      <c r="AW267" s="9" t="s">
        <v>92</v>
      </c>
      <c r="AX267" s="9">
        <v>7.6599600037667296E+21</v>
      </c>
      <c r="AY267" s="9">
        <v>0</v>
      </c>
      <c r="AZ267" s="9">
        <v>46062.427060185182</v>
      </c>
      <c r="BA267" s="9">
        <v>46062.427083333336</v>
      </c>
      <c r="BB267" s="9">
        <v>1</v>
      </c>
      <c r="BC267" s="9">
        <v>4</v>
      </c>
      <c r="BD267" s="9" t="s">
        <v>2254</v>
      </c>
      <c r="BE267" s="9" t="s">
        <v>631</v>
      </c>
      <c r="BF267" s="9" t="s">
        <v>71</v>
      </c>
      <c r="BG267" s="9"/>
      <c r="BH267" s="9">
        <v>0</v>
      </c>
      <c r="BI267" s="9"/>
      <c r="BJ267" s="9">
        <v>0</v>
      </c>
      <c r="BK267" s="9" t="s">
        <v>92</v>
      </c>
      <c r="BL267" s="9" t="s">
        <v>92</v>
      </c>
      <c r="BM267" s="9" t="s">
        <v>72</v>
      </c>
      <c r="BN267" s="9"/>
      <c r="BO267" s="9">
        <v>1</v>
      </c>
      <c r="BP267" s="9" t="s">
        <v>866</v>
      </c>
      <c r="BQ267" s="9">
        <v>0</v>
      </c>
      <c r="BR267" s="9">
        <v>46017.42900462963</v>
      </c>
      <c r="BS267" s="9" t="s">
        <v>109</v>
      </c>
      <c r="BT267" s="9" t="s">
        <v>65</v>
      </c>
      <c r="BU267" s="9"/>
      <c r="BV267" s="9"/>
      <c r="BW267" s="9">
        <v>0</v>
      </c>
      <c r="BX267" s="9">
        <v>46059.427928240744</v>
      </c>
      <c r="BY267" s="9">
        <v>46062.427060185182</v>
      </c>
      <c r="BZ267" s="9"/>
      <c r="CA267" s="9"/>
      <c r="CB267" s="9"/>
      <c r="CC267" s="9"/>
      <c r="CD267" s="9"/>
      <c r="CE267" s="9"/>
      <c r="CF267" s="9"/>
      <c r="CG267" s="9"/>
      <c r="CH267" s="9">
        <v>1</v>
      </c>
      <c r="CI267" s="9">
        <v>0</v>
      </c>
      <c r="CJ267" s="9"/>
      <c r="CK267" s="9"/>
      <c r="CL267" s="9" t="s">
        <v>2147</v>
      </c>
      <c r="CM267" s="9"/>
      <c r="CN267" s="9">
        <v>0</v>
      </c>
      <c r="CO267" s="9" t="s">
        <v>1925</v>
      </c>
      <c r="CP267" s="9"/>
      <c r="CQ267" s="9"/>
    </row>
    <row r="268" spans="1:95" x14ac:dyDescent="0.35">
      <c r="A268" s="9" t="b">
        <f>ISNUMBER(MATCH(Claude[[#This Row],[Id]],ChargentOrders[Id],0))</f>
        <v>1</v>
      </c>
      <c r="B268" t="b">
        <f>INDEX(ChargentOrders[VALIDO],MATCH(Claude[[#This Row],[Id]],ChargentOrders[Id],0))</f>
        <v>1</v>
      </c>
      <c r="C268">
        <f>INDEX(Contract[CB_Subscription__c],MATCH(Claude[[#This Row],[Contract__c]],Contract[Id],0))</f>
        <v>0</v>
      </c>
      <c r="D268" s="9" t="s">
        <v>867</v>
      </c>
      <c r="E268" s="9" t="s">
        <v>79</v>
      </c>
      <c r="F268" s="9">
        <v>0</v>
      </c>
      <c r="G268" s="9" t="s">
        <v>868</v>
      </c>
      <c r="H268" s="9">
        <v>46052.418009259258</v>
      </c>
      <c r="I268" s="9" t="s">
        <v>65</v>
      </c>
      <c r="J268" s="9">
        <v>46083.422939814816</v>
      </c>
      <c r="K268" s="9" t="s">
        <v>65</v>
      </c>
      <c r="L268" s="9">
        <v>46083.422939814816</v>
      </c>
      <c r="M268" s="9"/>
      <c r="N268" s="9" t="s">
        <v>1576</v>
      </c>
      <c r="O268" s="9" t="s">
        <v>1947</v>
      </c>
      <c r="P268" s="9" t="s">
        <v>1948</v>
      </c>
      <c r="Q268" s="9" t="s">
        <v>1925</v>
      </c>
      <c r="R268" s="9" t="s">
        <v>1574</v>
      </c>
      <c r="S268" s="9" t="s">
        <v>1949</v>
      </c>
      <c r="T268" s="9" t="s">
        <v>1950</v>
      </c>
      <c r="U268" s="9" t="s">
        <v>1928</v>
      </c>
      <c r="V268" s="9">
        <v>769</v>
      </c>
      <c r="W268" s="9">
        <v>7</v>
      </c>
      <c r="X268" s="9">
        <v>2028</v>
      </c>
      <c r="Y268" s="9">
        <v>1524</v>
      </c>
      <c r="Z268" s="9">
        <v>7</v>
      </c>
      <c r="AA268" s="9">
        <v>4549516625621520</v>
      </c>
      <c r="AB268" s="9" t="s">
        <v>73</v>
      </c>
      <c r="AC268" s="9">
        <v>2028</v>
      </c>
      <c r="AD268" s="9" t="s">
        <v>1952</v>
      </c>
      <c r="AE268" s="9"/>
      <c r="AF268" s="9" t="s">
        <v>1929</v>
      </c>
      <c r="AG268" s="9"/>
      <c r="AH268" s="9" t="s">
        <v>67</v>
      </c>
      <c r="AI268" s="9">
        <v>0</v>
      </c>
      <c r="AJ268" s="9"/>
      <c r="AK268" s="9">
        <v>0</v>
      </c>
      <c r="AL268" s="9" t="s">
        <v>1930</v>
      </c>
      <c r="AM268" s="9">
        <v>1</v>
      </c>
      <c r="AN268" s="9">
        <v>46083</v>
      </c>
      <c r="AO268" s="9" t="s">
        <v>1931</v>
      </c>
      <c r="AP268" s="9" t="s">
        <v>69</v>
      </c>
      <c r="AQ268" s="9" t="s">
        <v>1932</v>
      </c>
      <c r="AR268" s="9">
        <v>46083</v>
      </c>
      <c r="AS268" s="9" t="s">
        <v>74</v>
      </c>
      <c r="AT268" s="9" t="s">
        <v>1935</v>
      </c>
      <c r="AU268" s="9" t="s">
        <v>1952</v>
      </c>
      <c r="AV268" s="9">
        <v>0</v>
      </c>
      <c r="AW268" s="9" t="s">
        <v>92</v>
      </c>
      <c r="AX268" s="9" t="s">
        <v>158</v>
      </c>
      <c r="AY268" s="9">
        <v>0</v>
      </c>
      <c r="AZ268" s="9">
        <v>46083.422835648147</v>
      </c>
      <c r="BA268" s="9">
        <v>46083.422893518517</v>
      </c>
      <c r="BB268" s="9">
        <v>1</v>
      </c>
      <c r="BC268" s="9">
        <v>14</v>
      </c>
      <c r="BD268" s="9" t="s">
        <v>2087</v>
      </c>
      <c r="BE268" s="9" t="s">
        <v>159</v>
      </c>
      <c r="BF268" s="9" t="s">
        <v>71</v>
      </c>
      <c r="BG268" s="9"/>
      <c r="BH268" s="9">
        <v>0</v>
      </c>
      <c r="BI268" s="9"/>
      <c r="BJ268" s="9">
        <v>0</v>
      </c>
      <c r="BK268" s="9" t="s">
        <v>92</v>
      </c>
      <c r="BL268" s="9" t="s">
        <v>92</v>
      </c>
      <c r="BM268" s="9" t="s">
        <v>72</v>
      </c>
      <c r="BN268" s="9"/>
      <c r="BO268" s="9">
        <v>1</v>
      </c>
      <c r="BP268" s="9" t="s">
        <v>869</v>
      </c>
      <c r="BQ268" s="9">
        <v>0</v>
      </c>
      <c r="BR268" s="9">
        <v>45392.867974537039</v>
      </c>
      <c r="BS268" s="9" t="s">
        <v>109</v>
      </c>
      <c r="BT268" s="9" t="s">
        <v>65</v>
      </c>
      <c r="BU268" s="9"/>
      <c r="BV268" s="9"/>
      <c r="BW268" s="9">
        <v>0</v>
      </c>
      <c r="BX268" s="9">
        <v>46080.428148148145</v>
      </c>
      <c r="BY268" s="9">
        <v>46083.422835648147</v>
      </c>
      <c r="BZ268" s="9"/>
      <c r="CA268" s="9"/>
      <c r="CB268" s="9"/>
      <c r="CC268" s="9"/>
      <c r="CD268" s="9"/>
      <c r="CE268" s="9"/>
      <c r="CF268" s="9"/>
      <c r="CG268" s="9"/>
      <c r="CH268" s="9">
        <v>1</v>
      </c>
      <c r="CI268" s="9">
        <v>0</v>
      </c>
      <c r="CJ268" s="9"/>
      <c r="CK268" s="9"/>
      <c r="CL268" s="9"/>
      <c r="CM268" s="9"/>
      <c r="CN268" s="9">
        <v>0</v>
      </c>
      <c r="CO268" s="9" t="s">
        <v>1925</v>
      </c>
      <c r="CP268" s="9"/>
      <c r="CQ268" s="9"/>
    </row>
    <row r="269" spans="1:95" x14ac:dyDescent="0.35">
      <c r="A269" s="9" t="b">
        <f>ISNUMBER(MATCH(Claude[[#This Row],[Id]],ChargentOrders[Id],0))</f>
        <v>1</v>
      </c>
      <c r="B269" t="b">
        <f>INDEX(ChargentOrders[VALIDO],MATCH(Claude[[#This Row],[Id]],ChargentOrders[Id],0))</f>
        <v>1</v>
      </c>
      <c r="C269">
        <f>INDEX(Contract[CB_Subscription__c],MATCH(Claude[[#This Row],[Contract__c]],Contract[Id],0))</f>
        <v>0</v>
      </c>
      <c r="D269" s="9" t="s">
        <v>870</v>
      </c>
      <c r="E269" s="9" t="s">
        <v>79</v>
      </c>
      <c r="F269" s="9">
        <v>0</v>
      </c>
      <c r="G269" s="9" t="s">
        <v>871</v>
      </c>
      <c r="H269" s="9">
        <v>46052.418483796297</v>
      </c>
      <c r="I269" s="9" t="s">
        <v>65</v>
      </c>
      <c r="J269" s="9">
        <v>46058.02070601852</v>
      </c>
      <c r="K269" s="9" t="s">
        <v>101</v>
      </c>
      <c r="L269" s="9">
        <v>46058.02070601852</v>
      </c>
      <c r="M269" s="9"/>
      <c r="N269" s="9" t="s">
        <v>1581</v>
      </c>
      <c r="O269" s="9" t="s">
        <v>1960</v>
      </c>
      <c r="P269" s="9" t="s">
        <v>1961</v>
      </c>
      <c r="Q269" s="9" t="s">
        <v>1925</v>
      </c>
      <c r="R269" s="9" t="s">
        <v>1579</v>
      </c>
      <c r="S269" s="9" t="s">
        <v>1962</v>
      </c>
      <c r="T269" s="9" t="s">
        <v>1963</v>
      </c>
      <c r="U269" s="9" t="s">
        <v>1928</v>
      </c>
      <c r="V269" s="9">
        <v>778</v>
      </c>
      <c r="W269" s="9">
        <v>3</v>
      </c>
      <c r="X269" s="9">
        <v>2027</v>
      </c>
      <c r="Y269" s="9">
        <v>4327</v>
      </c>
      <c r="Z269" s="9">
        <v>3</v>
      </c>
      <c r="AA269" s="9">
        <v>4549516808074320</v>
      </c>
      <c r="AB269" s="9" t="s">
        <v>73</v>
      </c>
      <c r="AC269" s="9">
        <v>2027</v>
      </c>
      <c r="AD269" s="9" t="s">
        <v>2087</v>
      </c>
      <c r="AE269" s="9"/>
      <c r="AF269" s="9" t="s">
        <v>1929</v>
      </c>
      <c r="AG269" s="9"/>
      <c r="AH269" s="9" t="s">
        <v>67</v>
      </c>
      <c r="AI269" s="9">
        <v>0</v>
      </c>
      <c r="AJ269" s="9"/>
      <c r="AK269" s="9">
        <v>0</v>
      </c>
      <c r="AL269" s="9" t="s">
        <v>1930</v>
      </c>
      <c r="AM269" s="9">
        <v>1</v>
      </c>
      <c r="AN269" s="9">
        <v>46058</v>
      </c>
      <c r="AO269" s="9" t="s">
        <v>1931</v>
      </c>
      <c r="AP269" s="9" t="s">
        <v>69</v>
      </c>
      <c r="AQ269" s="9" t="s">
        <v>1932</v>
      </c>
      <c r="AR269" s="9">
        <v>46058</v>
      </c>
      <c r="AS269" s="9" t="s">
        <v>74</v>
      </c>
      <c r="AT269" s="9" t="s">
        <v>1935</v>
      </c>
      <c r="AU269" s="9" t="s">
        <v>1952</v>
      </c>
      <c r="AV269" s="9">
        <v>0</v>
      </c>
      <c r="AW269" s="9" t="s">
        <v>93</v>
      </c>
      <c r="AX269" s="9" t="s">
        <v>165</v>
      </c>
      <c r="AY269" s="9">
        <v>0</v>
      </c>
      <c r="AZ269" s="9">
        <v>46058.020671296297</v>
      </c>
      <c r="BA269" s="9">
        <v>46058.020671296297</v>
      </c>
      <c r="BB269" s="9">
        <v>1</v>
      </c>
      <c r="BC269" s="9">
        <v>3</v>
      </c>
      <c r="BD269" s="9" t="s">
        <v>2087</v>
      </c>
      <c r="BE269" s="9" t="s">
        <v>179</v>
      </c>
      <c r="BF269" s="9" t="s">
        <v>71</v>
      </c>
      <c r="BG269" s="9"/>
      <c r="BH269" s="9">
        <v>0</v>
      </c>
      <c r="BI269" s="9"/>
      <c r="BJ269" s="9">
        <v>0</v>
      </c>
      <c r="BK269" s="9" t="s">
        <v>92</v>
      </c>
      <c r="BL269" s="9" t="s">
        <v>92</v>
      </c>
      <c r="BM269" s="9" t="s">
        <v>72</v>
      </c>
      <c r="BN269" s="9"/>
      <c r="BO269" s="9">
        <v>1</v>
      </c>
      <c r="BP269" s="9" t="s">
        <v>872</v>
      </c>
      <c r="BQ269" s="9">
        <v>0</v>
      </c>
      <c r="BR269" s="9">
        <v>45546.777881944443</v>
      </c>
      <c r="BS269" s="9" t="s">
        <v>109</v>
      </c>
      <c r="BT269" s="9" t="s">
        <v>65</v>
      </c>
      <c r="BU269" s="9"/>
      <c r="BV269" s="9"/>
      <c r="BW269" s="9">
        <v>0</v>
      </c>
      <c r="BX269" s="9">
        <v>46055.937835648147</v>
      </c>
      <c r="BY269" s="9">
        <v>46058.020671296297</v>
      </c>
      <c r="BZ269" s="9"/>
      <c r="CA269" s="9"/>
      <c r="CB269" s="9"/>
      <c r="CC269" s="9"/>
      <c r="CD269" s="9"/>
      <c r="CE269" s="9"/>
      <c r="CF269" s="9"/>
      <c r="CG269" s="9"/>
      <c r="CH269" s="9">
        <v>1</v>
      </c>
      <c r="CI269" s="9">
        <v>0</v>
      </c>
      <c r="CJ269" s="9"/>
      <c r="CK269" s="9"/>
      <c r="CL269" s="9" t="s">
        <v>1964</v>
      </c>
      <c r="CM269" s="9"/>
      <c r="CN269" s="9">
        <v>0</v>
      </c>
      <c r="CO269" s="9" t="s">
        <v>1925</v>
      </c>
      <c r="CP269" s="9"/>
      <c r="CQ269" s="9"/>
    </row>
    <row r="270" spans="1:95" x14ac:dyDescent="0.35">
      <c r="A270" s="9" t="b">
        <f>ISNUMBER(MATCH(Claude[[#This Row],[Id]],ChargentOrders[Id],0))</f>
        <v>1</v>
      </c>
      <c r="B270" t="b">
        <f>INDEX(ChargentOrders[VALIDO],MATCH(Claude[[#This Row],[Id]],ChargentOrders[Id],0))</f>
        <v>1</v>
      </c>
      <c r="C270">
        <f>INDEX(Contract[CB_Subscription__c],MATCH(Claude[[#This Row],[Contract__c]],Contract[Id],0))</f>
        <v>0</v>
      </c>
      <c r="D270" s="9" t="s">
        <v>873</v>
      </c>
      <c r="E270" s="9" t="s">
        <v>81</v>
      </c>
      <c r="F270" s="9">
        <v>0</v>
      </c>
      <c r="G270" s="9" t="s">
        <v>874</v>
      </c>
      <c r="H270" s="9">
        <v>46052.421365740738</v>
      </c>
      <c r="I270" s="9" t="s">
        <v>65</v>
      </c>
      <c r="J270" s="9">
        <v>46191.417430555557</v>
      </c>
      <c r="K270" s="9" t="s">
        <v>65</v>
      </c>
      <c r="L270" s="9">
        <v>46191.417430555557</v>
      </c>
      <c r="M270" s="9"/>
      <c r="N270" s="9" t="s">
        <v>1639</v>
      </c>
      <c r="O270" s="9" t="s">
        <v>2043</v>
      </c>
      <c r="P270" s="9" t="s">
        <v>2044</v>
      </c>
      <c r="Q270" s="9" t="s">
        <v>1925</v>
      </c>
      <c r="R270" s="9" t="s">
        <v>1637</v>
      </c>
      <c r="S270" s="9" t="s">
        <v>2045</v>
      </c>
      <c r="T270" s="9" t="s">
        <v>2046</v>
      </c>
      <c r="U270" s="9" t="s">
        <v>1928</v>
      </c>
      <c r="V270" s="9">
        <v>725</v>
      </c>
      <c r="W270" s="9">
        <v>6</v>
      </c>
      <c r="X270" s="9">
        <v>2029</v>
      </c>
      <c r="Y270" s="9">
        <v>3025</v>
      </c>
      <c r="Z270" s="9">
        <v>6</v>
      </c>
      <c r="AA270" s="9">
        <v>3025</v>
      </c>
      <c r="AB270" s="9" t="s">
        <v>66</v>
      </c>
      <c r="AC270" s="9">
        <v>2029</v>
      </c>
      <c r="AD270" s="9" t="s">
        <v>1952</v>
      </c>
      <c r="AE270" s="9"/>
      <c r="AF270" s="9" t="s">
        <v>1929</v>
      </c>
      <c r="AG270" s="9"/>
      <c r="AH270" s="9" t="s">
        <v>67</v>
      </c>
      <c r="AI270" s="9">
        <v>0</v>
      </c>
      <c r="AJ270" s="9"/>
      <c r="AK270" s="9">
        <v>0</v>
      </c>
      <c r="AL270" s="9" t="s">
        <v>1930</v>
      </c>
      <c r="AM270" s="9">
        <v>1</v>
      </c>
      <c r="AN270" s="9">
        <v>46191</v>
      </c>
      <c r="AO270" s="9" t="s">
        <v>1931</v>
      </c>
      <c r="AP270" s="9" t="s">
        <v>69</v>
      </c>
      <c r="AQ270" s="9" t="s">
        <v>1932</v>
      </c>
      <c r="AR270" s="9">
        <v>46191</v>
      </c>
      <c r="AS270" s="9" t="s">
        <v>74</v>
      </c>
      <c r="AT270" s="9" t="s">
        <v>1935</v>
      </c>
      <c r="AU270" s="9" t="s">
        <v>1952</v>
      </c>
      <c r="AV270" s="9">
        <v>0</v>
      </c>
      <c r="AW270" s="9" t="s">
        <v>92</v>
      </c>
      <c r="AX270" s="9" t="s">
        <v>377</v>
      </c>
      <c r="AY270" s="9">
        <v>0</v>
      </c>
      <c r="AZ270" s="9">
        <v>46191.417326388888</v>
      </c>
      <c r="BA270" s="9">
        <v>46191.417384259257</v>
      </c>
      <c r="BB270" s="9">
        <v>1</v>
      </c>
      <c r="BC270" s="9">
        <v>87</v>
      </c>
      <c r="BD270" s="9" t="s">
        <v>2087</v>
      </c>
      <c r="BE270" s="9" t="s">
        <v>378</v>
      </c>
      <c r="BF270" s="9" t="s">
        <v>71</v>
      </c>
      <c r="BG270" s="9"/>
      <c r="BH270" s="9">
        <v>0</v>
      </c>
      <c r="BI270" s="9"/>
      <c r="BJ270" s="9">
        <v>0</v>
      </c>
      <c r="BK270" s="9" t="s">
        <v>92</v>
      </c>
      <c r="BL270" s="9" t="s">
        <v>92</v>
      </c>
      <c r="BM270" s="9" t="s">
        <v>72</v>
      </c>
      <c r="BN270" s="9"/>
      <c r="BO270" s="9">
        <v>1</v>
      </c>
      <c r="BP270" s="9" t="s">
        <v>875</v>
      </c>
      <c r="BQ270" s="9">
        <v>0</v>
      </c>
      <c r="BR270" s="9">
        <v>46081.805173611108</v>
      </c>
      <c r="BS270" s="9" t="s">
        <v>109</v>
      </c>
      <c r="BT270" s="9" t="s">
        <v>65</v>
      </c>
      <c r="BU270" s="9"/>
      <c r="BV270" s="9"/>
      <c r="BW270" s="9">
        <v>0</v>
      </c>
      <c r="BX270" s="9">
        <v>46188.417546296296</v>
      </c>
      <c r="BY270" s="9">
        <v>46191.417326388888</v>
      </c>
      <c r="BZ270" s="9"/>
      <c r="CA270" s="9"/>
      <c r="CB270" s="9"/>
      <c r="CC270" s="9"/>
      <c r="CD270" s="9"/>
      <c r="CE270" s="9"/>
      <c r="CF270" s="9"/>
      <c r="CG270" s="9"/>
      <c r="CH270" s="9">
        <v>1</v>
      </c>
      <c r="CI270" s="9">
        <v>0</v>
      </c>
      <c r="CJ270" s="9"/>
      <c r="CK270" s="9"/>
      <c r="CL270" s="9" t="s">
        <v>2047</v>
      </c>
      <c r="CM270" s="9"/>
      <c r="CN270" s="9">
        <v>0</v>
      </c>
      <c r="CO270" s="9" t="s">
        <v>1925</v>
      </c>
      <c r="CP270" s="9"/>
      <c r="CQ270" s="9">
        <v>0</v>
      </c>
    </row>
    <row r="271" spans="1:95" x14ac:dyDescent="0.35">
      <c r="A271" s="9" t="b">
        <f>ISNUMBER(MATCH(Claude[[#This Row],[Id]],ChargentOrders[Id],0))</f>
        <v>1</v>
      </c>
      <c r="B271" t="b">
        <f>INDEX(ChargentOrders[VALIDO],MATCH(Claude[[#This Row],[Id]],ChargentOrders[Id],0))</f>
        <v>1</v>
      </c>
      <c r="C271">
        <f>INDEX(Contract[CB_Subscription__c],MATCH(Claude[[#This Row],[Contract__c]],Contract[Id],0))</f>
        <v>0</v>
      </c>
      <c r="D271" s="9" t="s">
        <v>876</v>
      </c>
      <c r="E271" s="9" t="s">
        <v>79</v>
      </c>
      <c r="F271" s="9">
        <v>0</v>
      </c>
      <c r="G271" s="9" t="s">
        <v>877</v>
      </c>
      <c r="H271" s="9">
        <v>46052.419456018521</v>
      </c>
      <c r="I271" s="9" t="s">
        <v>65</v>
      </c>
      <c r="J271" s="9">
        <v>46113.063611111109</v>
      </c>
      <c r="K271" s="9" t="s">
        <v>101</v>
      </c>
      <c r="L271" s="9">
        <v>46113.063611111109</v>
      </c>
      <c r="M271" s="9"/>
      <c r="N271" s="9" t="s">
        <v>1591</v>
      </c>
      <c r="O271" s="9" t="s">
        <v>1989</v>
      </c>
      <c r="P271" s="9" t="s">
        <v>1990</v>
      </c>
      <c r="Q271" s="9" t="s">
        <v>1925</v>
      </c>
      <c r="R271" s="9" t="s">
        <v>1589</v>
      </c>
      <c r="S271" s="9" t="s">
        <v>1991</v>
      </c>
      <c r="T271" s="9" t="s">
        <v>1992</v>
      </c>
      <c r="U271" s="9" t="s">
        <v>1928</v>
      </c>
      <c r="V271" s="9">
        <v>915</v>
      </c>
      <c r="W271" s="9">
        <v>2</v>
      </c>
      <c r="X271" s="9">
        <v>2030</v>
      </c>
      <c r="Y271" s="9">
        <v>1962</v>
      </c>
      <c r="Z271" s="9">
        <v>2</v>
      </c>
      <c r="AA271" s="9">
        <v>1962</v>
      </c>
      <c r="AB271" s="9" t="s">
        <v>73</v>
      </c>
      <c r="AC271" s="9">
        <v>2030</v>
      </c>
      <c r="AD271" s="9" t="s">
        <v>2087</v>
      </c>
      <c r="AE271" s="9"/>
      <c r="AF271" s="9" t="s">
        <v>1929</v>
      </c>
      <c r="AG271" s="9"/>
      <c r="AH271" s="9" t="s">
        <v>67</v>
      </c>
      <c r="AI271" s="9">
        <v>0</v>
      </c>
      <c r="AJ271" s="9"/>
      <c r="AK271" s="9">
        <v>0</v>
      </c>
      <c r="AL271" s="9" t="s">
        <v>1930</v>
      </c>
      <c r="AM271" s="9">
        <v>1</v>
      </c>
      <c r="AN271" s="9">
        <v>46114</v>
      </c>
      <c r="AO271" s="9" t="s">
        <v>1931</v>
      </c>
      <c r="AP271" s="9" t="s">
        <v>69</v>
      </c>
      <c r="AQ271" s="9" t="s">
        <v>1932</v>
      </c>
      <c r="AR271" s="9">
        <v>46114</v>
      </c>
      <c r="AS271" s="9" t="s">
        <v>74</v>
      </c>
      <c r="AT271" s="9" t="s">
        <v>1935</v>
      </c>
      <c r="AU271" s="9" t="s">
        <v>1952</v>
      </c>
      <c r="AV271" s="9">
        <v>0</v>
      </c>
      <c r="AW271" s="9" t="s">
        <v>93</v>
      </c>
      <c r="AX271" s="9" t="s">
        <v>240</v>
      </c>
      <c r="AY271" s="9">
        <v>0</v>
      </c>
      <c r="AZ271" s="9">
        <v>46113.063587962963</v>
      </c>
      <c r="BA271" s="9">
        <v>46113.063587962963</v>
      </c>
      <c r="BB271" s="9">
        <v>1</v>
      </c>
      <c r="BC271" s="9">
        <v>32</v>
      </c>
      <c r="BD271" s="9" t="s">
        <v>2087</v>
      </c>
      <c r="BE271" s="9" t="s">
        <v>235</v>
      </c>
      <c r="BF271" s="9" t="s">
        <v>71</v>
      </c>
      <c r="BG271" s="9"/>
      <c r="BH271" s="9">
        <v>0</v>
      </c>
      <c r="BI271" s="9"/>
      <c r="BJ271" s="9">
        <v>0</v>
      </c>
      <c r="BK271" s="9" t="s">
        <v>92</v>
      </c>
      <c r="BL271" s="9" t="s">
        <v>92</v>
      </c>
      <c r="BM271" s="9" t="s">
        <v>72</v>
      </c>
      <c r="BN271" s="9"/>
      <c r="BO271" s="9">
        <v>1</v>
      </c>
      <c r="BP271" s="9" t="s">
        <v>878</v>
      </c>
      <c r="BQ271" s="9">
        <v>0</v>
      </c>
      <c r="BR271" s="9">
        <v>45702.827997685185</v>
      </c>
      <c r="BS271" s="9" t="s">
        <v>109</v>
      </c>
      <c r="BT271" s="9" t="s">
        <v>65</v>
      </c>
      <c r="BU271" s="9"/>
      <c r="BV271" s="9"/>
      <c r="BW271" s="9">
        <v>0</v>
      </c>
      <c r="BX271" s="9">
        <v>46111.427071759259</v>
      </c>
      <c r="BY271" s="9">
        <v>46113.063587962963</v>
      </c>
      <c r="BZ271" s="9"/>
      <c r="CA271" s="9"/>
      <c r="CB271" s="9"/>
      <c r="CC271" s="9"/>
      <c r="CD271" s="9"/>
      <c r="CE271" s="9"/>
      <c r="CF271" s="9"/>
      <c r="CG271" s="9"/>
      <c r="CH271" s="9">
        <v>1</v>
      </c>
      <c r="CI271" s="9">
        <v>0</v>
      </c>
      <c r="CJ271" s="9"/>
      <c r="CK271" s="9"/>
      <c r="CL271" s="9" t="s">
        <v>1993</v>
      </c>
      <c r="CM271" s="9"/>
      <c r="CN271" s="9">
        <v>0</v>
      </c>
      <c r="CO271" s="9" t="s">
        <v>1925</v>
      </c>
      <c r="CP271" s="9"/>
      <c r="CQ271" s="9"/>
    </row>
    <row r="272" spans="1:95" x14ac:dyDescent="0.35">
      <c r="A272" s="9" t="b">
        <f>ISNUMBER(MATCH(Claude[[#This Row],[Id]],ChargentOrders[Id],0))</f>
        <v>1</v>
      </c>
      <c r="B272" t="b">
        <f>INDEX(ChargentOrders[VALIDO],MATCH(Claude[[#This Row],[Id]],ChargentOrders[Id],0))</f>
        <v>1</v>
      </c>
      <c r="C272">
        <f>INDEX(Contract[CB_Subscription__c],MATCH(Claude[[#This Row],[Contract__c]],Contract[Id],0))</f>
        <v>0</v>
      </c>
      <c r="D272" s="9" t="s">
        <v>879</v>
      </c>
      <c r="E272" s="9" t="s">
        <v>79</v>
      </c>
      <c r="F272" s="9">
        <v>0</v>
      </c>
      <c r="G272" s="9" t="s">
        <v>880</v>
      </c>
      <c r="H272" s="9">
        <v>46052.419745370367</v>
      </c>
      <c r="I272" s="9" t="s">
        <v>65</v>
      </c>
      <c r="J272" s="9">
        <v>46191.417430555557</v>
      </c>
      <c r="K272" s="9" t="s">
        <v>65</v>
      </c>
      <c r="L272" s="9">
        <v>46191.417430555557</v>
      </c>
      <c r="M272" s="9"/>
      <c r="N272" s="9" t="s">
        <v>1988</v>
      </c>
      <c r="O272" s="9" t="s">
        <v>1982</v>
      </c>
      <c r="P272" s="9" t="s">
        <v>1983</v>
      </c>
      <c r="Q272" s="9" t="s">
        <v>1925</v>
      </c>
      <c r="R272" s="9" t="s">
        <v>1984</v>
      </c>
      <c r="S272" s="9" t="s">
        <v>1985</v>
      </c>
      <c r="T272" s="9" t="s">
        <v>1986</v>
      </c>
      <c r="U272" s="9" t="s">
        <v>1928</v>
      </c>
      <c r="V272" s="9">
        <v>771</v>
      </c>
      <c r="W272" s="9">
        <v>7</v>
      </c>
      <c r="X272" s="9">
        <v>2029</v>
      </c>
      <c r="Y272" s="9">
        <v>4040</v>
      </c>
      <c r="Z272" s="9">
        <v>7</v>
      </c>
      <c r="AA272" s="9">
        <v>4040</v>
      </c>
      <c r="AB272" s="9" t="s">
        <v>66</v>
      </c>
      <c r="AC272" s="9">
        <v>2029</v>
      </c>
      <c r="AD272" s="9" t="s">
        <v>1952</v>
      </c>
      <c r="AE272" s="9"/>
      <c r="AF272" s="9" t="s">
        <v>1929</v>
      </c>
      <c r="AG272" s="9"/>
      <c r="AH272" s="9" t="s">
        <v>67</v>
      </c>
      <c r="AI272" s="9">
        <v>0</v>
      </c>
      <c r="AJ272" s="9"/>
      <c r="AK272" s="9">
        <v>0</v>
      </c>
      <c r="AL272" s="9" t="s">
        <v>1930</v>
      </c>
      <c r="AM272" s="9">
        <v>1</v>
      </c>
      <c r="AN272" s="9">
        <v>46191</v>
      </c>
      <c r="AO272" s="9" t="s">
        <v>1931</v>
      </c>
      <c r="AP272" s="9" t="s">
        <v>69</v>
      </c>
      <c r="AQ272" s="9" t="s">
        <v>1932</v>
      </c>
      <c r="AR272" s="9">
        <v>46191</v>
      </c>
      <c r="AS272" s="9" t="s">
        <v>74</v>
      </c>
      <c r="AT272" s="9" t="s">
        <v>1935</v>
      </c>
      <c r="AU272" s="9" t="s">
        <v>1952</v>
      </c>
      <c r="AV272" s="9">
        <v>0</v>
      </c>
      <c r="AW272" s="9" t="s">
        <v>92</v>
      </c>
      <c r="AX272" s="9" t="s">
        <v>219</v>
      </c>
      <c r="AY272" s="9">
        <v>0</v>
      </c>
      <c r="AZ272" s="9">
        <v>46191.417337962965</v>
      </c>
      <c r="BA272" s="9">
        <v>46191.417384259257</v>
      </c>
      <c r="BB272" s="9">
        <v>1</v>
      </c>
      <c r="BC272" s="9">
        <v>54</v>
      </c>
      <c r="BD272" s="9" t="s">
        <v>2087</v>
      </c>
      <c r="BE272" s="9" t="s">
        <v>220</v>
      </c>
      <c r="BF272" s="9" t="s">
        <v>71</v>
      </c>
      <c r="BG272" s="9"/>
      <c r="BH272" s="9">
        <v>0</v>
      </c>
      <c r="BI272" s="9"/>
      <c r="BJ272" s="9">
        <v>0</v>
      </c>
      <c r="BK272" s="9" t="s">
        <v>92</v>
      </c>
      <c r="BL272" s="9" t="s">
        <v>92</v>
      </c>
      <c r="BM272" s="9" t="s">
        <v>72</v>
      </c>
      <c r="BN272" s="9"/>
      <c r="BO272" s="9">
        <v>1</v>
      </c>
      <c r="BP272" s="9" t="s">
        <v>881</v>
      </c>
      <c r="BQ272" s="9">
        <v>0</v>
      </c>
      <c r="BR272" s="9">
        <v>45716.429675925923</v>
      </c>
      <c r="BS272" s="9" t="s">
        <v>109</v>
      </c>
      <c r="BT272" s="9" t="s">
        <v>65</v>
      </c>
      <c r="BU272" s="9"/>
      <c r="BV272" s="9"/>
      <c r="BW272" s="9">
        <v>0</v>
      </c>
      <c r="BX272" s="9">
        <v>46188.417569444442</v>
      </c>
      <c r="BY272" s="9">
        <v>46191.417337962965</v>
      </c>
      <c r="BZ272" s="9"/>
      <c r="CA272" s="9"/>
      <c r="CB272" s="9"/>
      <c r="CC272" s="9"/>
      <c r="CD272" s="9"/>
      <c r="CE272" s="9"/>
      <c r="CF272" s="9"/>
      <c r="CG272" s="9"/>
      <c r="CH272" s="9">
        <v>1</v>
      </c>
      <c r="CI272" s="9">
        <v>0</v>
      </c>
      <c r="CJ272" s="9"/>
      <c r="CK272" s="9"/>
      <c r="CL272" s="9" t="s">
        <v>1987</v>
      </c>
      <c r="CM272" s="9"/>
      <c r="CN272" s="9">
        <v>0</v>
      </c>
      <c r="CO272" s="9" t="s">
        <v>1925</v>
      </c>
      <c r="CP272" s="9"/>
      <c r="CQ272" s="9">
        <v>0</v>
      </c>
    </row>
    <row r="273" spans="1:95" x14ac:dyDescent="0.35">
      <c r="A273" s="9" t="b">
        <f>ISNUMBER(MATCH(Claude[[#This Row],[Id]],ChargentOrders[Id],0))</f>
        <v>1</v>
      </c>
      <c r="B273" t="b">
        <f>INDEX(ChargentOrders[VALIDO],MATCH(Claude[[#This Row],[Id]],ChargentOrders[Id],0))</f>
        <v>1</v>
      </c>
      <c r="C273">
        <f>INDEX(Contract[CB_Subscription__c],MATCH(Claude[[#This Row],[Contract__c]],Contract[Id],0))</f>
        <v>0</v>
      </c>
      <c r="D273" s="9" t="s">
        <v>882</v>
      </c>
      <c r="E273" s="9" t="s">
        <v>79</v>
      </c>
      <c r="F273" s="9">
        <v>0</v>
      </c>
      <c r="G273" s="9" t="s">
        <v>883</v>
      </c>
      <c r="H273" s="9">
        <v>46052.419745370367</v>
      </c>
      <c r="I273" s="9" t="s">
        <v>65</v>
      </c>
      <c r="J273" s="9">
        <v>46055.934236111112</v>
      </c>
      <c r="K273" s="9" t="s">
        <v>101</v>
      </c>
      <c r="L273" s="9">
        <v>46055.934236111112</v>
      </c>
      <c r="M273" s="9"/>
      <c r="N273" s="9" t="s">
        <v>1596</v>
      </c>
      <c r="O273" s="9" t="s">
        <v>1997</v>
      </c>
      <c r="P273" s="9" t="s">
        <v>1990</v>
      </c>
      <c r="Q273" s="9" t="s">
        <v>1925</v>
      </c>
      <c r="R273" s="9" t="s">
        <v>1594</v>
      </c>
      <c r="S273" s="9" t="s">
        <v>1998</v>
      </c>
      <c r="T273" s="9" t="s">
        <v>1999</v>
      </c>
      <c r="U273" s="9" t="s">
        <v>1928</v>
      </c>
      <c r="V273" s="9">
        <v>901</v>
      </c>
      <c r="W273" s="9">
        <v>2</v>
      </c>
      <c r="X273" s="9">
        <v>2026</v>
      </c>
      <c r="Y273" s="9">
        <v>7405</v>
      </c>
      <c r="Z273" s="9">
        <v>2</v>
      </c>
      <c r="AA273" s="9">
        <v>4549516847817400</v>
      </c>
      <c r="AB273" s="9" t="s">
        <v>73</v>
      </c>
      <c r="AC273" s="9">
        <v>2026</v>
      </c>
      <c r="AD273" s="9" t="s">
        <v>2087</v>
      </c>
      <c r="AE273" s="9"/>
      <c r="AF273" s="9" t="s">
        <v>1929</v>
      </c>
      <c r="AG273" s="9"/>
      <c r="AH273" s="9" t="s">
        <v>67</v>
      </c>
      <c r="AI273" s="9">
        <v>0</v>
      </c>
      <c r="AJ273" s="9"/>
      <c r="AK273" s="9">
        <v>0</v>
      </c>
      <c r="AL273" s="9" t="s">
        <v>1930</v>
      </c>
      <c r="AM273" s="9">
        <v>1</v>
      </c>
      <c r="AN273" s="9">
        <v>46056</v>
      </c>
      <c r="AO273" s="9" t="s">
        <v>1931</v>
      </c>
      <c r="AP273" s="9" t="s">
        <v>69</v>
      </c>
      <c r="AQ273" s="9" t="s">
        <v>1932</v>
      </c>
      <c r="AR273" s="9">
        <v>46056</v>
      </c>
      <c r="AS273" s="9" t="s">
        <v>74</v>
      </c>
      <c r="AT273" s="9" t="s">
        <v>1935</v>
      </c>
      <c r="AU273" s="9" t="s">
        <v>1952</v>
      </c>
      <c r="AV273" s="9">
        <v>0</v>
      </c>
      <c r="AW273" s="9" t="s">
        <v>93</v>
      </c>
      <c r="AX273" s="9" t="s">
        <v>252</v>
      </c>
      <c r="AY273" s="9">
        <v>0</v>
      </c>
      <c r="AZ273" s="9">
        <v>46055.934201388889</v>
      </c>
      <c r="BA273" s="9">
        <v>46055.934201388889</v>
      </c>
      <c r="BB273" s="9">
        <v>1</v>
      </c>
      <c r="BC273" s="9">
        <v>2</v>
      </c>
      <c r="BD273" s="9" t="s">
        <v>2087</v>
      </c>
      <c r="BE273" s="9" t="s">
        <v>253</v>
      </c>
      <c r="BF273" s="9" t="s">
        <v>71</v>
      </c>
      <c r="BG273" s="9"/>
      <c r="BH273" s="9">
        <v>0</v>
      </c>
      <c r="BI273" s="9"/>
      <c r="BJ273" s="9">
        <v>0</v>
      </c>
      <c r="BK273" s="9" t="s">
        <v>92</v>
      </c>
      <c r="BL273" s="9" t="s">
        <v>92</v>
      </c>
      <c r="BM273" s="9" t="s">
        <v>72</v>
      </c>
      <c r="BN273" s="9"/>
      <c r="BO273" s="9">
        <v>1</v>
      </c>
      <c r="BP273" s="9" t="s">
        <v>884</v>
      </c>
      <c r="BQ273" s="9">
        <v>0</v>
      </c>
      <c r="BR273" s="9">
        <v>45723.426469907405</v>
      </c>
      <c r="BS273" s="9" t="s">
        <v>109</v>
      </c>
      <c r="BT273" s="9" t="s">
        <v>65</v>
      </c>
      <c r="BU273" s="9"/>
      <c r="BV273" s="9"/>
      <c r="BW273" s="9">
        <v>0</v>
      </c>
      <c r="BX273" s="9">
        <v>46053.592928240738</v>
      </c>
      <c r="BY273" s="9">
        <v>46055.934201388889</v>
      </c>
      <c r="BZ273" s="9"/>
      <c r="CA273" s="9"/>
      <c r="CB273" s="9"/>
      <c r="CC273" s="9"/>
      <c r="CD273" s="9"/>
      <c r="CE273" s="9"/>
      <c r="CF273" s="9"/>
      <c r="CG273" s="9"/>
      <c r="CH273" s="9">
        <v>1</v>
      </c>
      <c r="CI273" s="9">
        <v>0</v>
      </c>
      <c r="CJ273" s="9"/>
      <c r="CK273" s="9"/>
      <c r="CL273" s="9" t="s">
        <v>2000</v>
      </c>
      <c r="CM273" s="9"/>
      <c r="CN273" s="9">
        <v>0</v>
      </c>
      <c r="CO273" s="9" t="s">
        <v>1925</v>
      </c>
      <c r="CP273" s="9"/>
      <c r="CQ273" s="9"/>
    </row>
    <row r="274" spans="1:95" x14ac:dyDescent="0.35">
      <c r="A274" s="9" t="b">
        <f>ISNUMBER(MATCH(Claude[[#This Row],[Id]],ChargentOrders[Id],0))</f>
        <v>1</v>
      </c>
      <c r="B274" t="b">
        <f>INDEX(ChargentOrders[VALIDO],MATCH(Claude[[#This Row],[Id]],ChargentOrders[Id],0))</f>
        <v>1</v>
      </c>
      <c r="C274">
        <f>INDEX(Contract[CB_Subscription__c],MATCH(Claude[[#This Row],[Contract__c]],Contract[Id],0))</f>
        <v>0</v>
      </c>
      <c r="D274" s="9" t="s">
        <v>885</v>
      </c>
      <c r="E274" s="9" t="s">
        <v>81</v>
      </c>
      <c r="F274" s="9">
        <v>0</v>
      </c>
      <c r="G274" s="9" t="s">
        <v>886</v>
      </c>
      <c r="H274" s="9">
        <v>46052.419872685183</v>
      </c>
      <c r="I274" s="9" t="s">
        <v>65</v>
      </c>
      <c r="J274" s="9">
        <v>46170.418611111112</v>
      </c>
      <c r="K274" s="9" t="s">
        <v>65</v>
      </c>
      <c r="L274" s="9">
        <v>46170.418611111112</v>
      </c>
      <c r="M274" s="9"/>
      <c r="N274" s="9" t="s">
        <v>1601</v>
      </c>
      <c r="O274" s="9" t="s">
        <v>2005</v>
      </c>
      <c r="P274" s="9" t="s">
        <v>2006</v>
      </c>
      <c r="Q274" s="9" t="s">
        <v>1925</v>
      </c>
      <c r="R274" s="9" t="s">
        <v>1599</v>
      </c>
      <c r="S274" s="9" t="s">
        <v>2007</v>
      </c>
      <c r="T274" s="9" t="s">
        <v>2008</v>
      </c>
      <c r="U274" s="9" t="s">
        <v>1928</v>
      </c>
      <c r="V274" s="9">
        <v>985</v>
      </c>
      <c r="W274" s="9">
        <v>11</v>
      </c>
      <c r="X274" s="9">
        <v>2029</v>
      </c>
      <c r="Y274" s="9">
        <v>6484</v>
      </c>
      <c r="Z274" s="9">
        <v>11</v>
      </c>
      <c r="AA274" s="9">
        <v>6484</v>
      </c>
      <c r="AB274" s="9" t="s">
        <v>73</v>
      </c>
      <c r="AC274" s="9">
        <v>2029</v>
      </c>
      <c r="AD274" s="9" t="s">
        <v>1952</v>
      </c>
      <c r="AE274" s="9"/>
      <c r="AF274" s="9" t="s">
        <v>1929</v>
      </c>
      <c r="AG274" s="9"/>
      <c r="AH274" s="9" t="s">
        <v>67</v>
      </c>
      <c r="AI274" s="9">
        <v>0</v>
      </c>
      <c r="AJ274" s="9"/>
      <c r="AK274" s="9">
        <v>0</v>
      </c>
      <c r="AL274" s="9" t="s">
        <v>1930</v>
      </c>
      <c r="AM274" s="9">
        <v>1</v>
      </c>
      <c r="AN274" s="9">
        <v>46170</v>
      </c>
      <c r="AO274" s="9" t="s">
        <v>1931</v>
      </c>
      <c r="AP274" s="9" t="s">
        <v>69</v>
      </c>
      <c r="AQ274" s="9" t="s">
        <v>1932</v>
      </c>
      <c r="AR274" s="9">
        <v>46170</v>
      </c>
      <c r="AS274" s="9" t="s">
        <v>74</v>
      </c>
      <c r="AT274" s="9" t="s">
        <v>1935</v>
      </c>
      <c r="AU274" s="9" t="s">
        <v>1952</v>
      </c>
      <c r="AV274" s="9">
        <v>0</v>
      </c>
      <c r="AW274" s="9" t="s">
        <v>92</v>
      </c>
      <c r="AX274" s="9" t="s">
        <v>264</v>
      </c>
      <c r="AY274" s="9">
        <v>0</v>
      </c>
      <c r="AZ274" s="9">
        <v>46170.418530092589</v>
      </c>
      <c r="BA274" s="9">
        <v>46170.418564814812</v>
      </c>
      <c r="BB274" s="9">
        <v>1</v>
      </c>
      <c r="BC274" s="9">
        <v>72</v>
      </c>
      <c r="BD274" s="9" t="s">
        <v>2087</v>
      </c>
      <c r="BE274" s="9" t="s">
        <v>265</v>
      </c>
      <c r="BF274" s="9" t="s">
        <v>71</v>
      </c>
      <c r="BG274" s="9"/>
      <c r="BH274" s="9">
        <v>0</v>
      </c>
      <c r="BI274" s="9"/>
      <c r="BJ274" s="9">
        <v>0</v>
      </c>
      <c r="BK274" s="9" t="s">
        <v>92</v>
      </c>
      <c r="BL274" s="9" t="s">
        <v>92</v>
      </c>
      <c r="BM274" s="9" t="s">
        <v>72</v>
      </c>
      <c r="BN274" s="9"/>
      <c r="BO274" s="9">
        <v>1</v>
      </c>
      <c r="BP274" s="9" t="s">
        <v>887</v>
      </c>
      <c r="BQ274" s="9">
        <v>0</v>
      </c>
      <c r="BR274" s="9">
        <v>46081.815428240741</v>
      </c>
      <c r="BS274" s="9" t="s">
        <v>109</v>
      </c>
      <c r="BT274" s="9" t="s">
        <v>65</v>
      </c>
      <c r="BU274" s="9"/>
      <c r="BV274" s="9"/>
      <c r="BW274" s="9">
        <v>0</v>
      </c>
      <c r="BX274" s="9">
        <v>46167.419016203705</v>
      </c>
      <c r="BY274" s="9">
        <v>46170.418530092589</v>
      </c>
      <c r="BZ274" s="9"/>
      <c r="CA274" s="9"/>
      <c r="CB274" s="9"/>
      <c r="CC274" s="9"/>
      <c r="CD274" s="9"/>
      <c r="CE274" s="9"/>
      <c r="CF274" s="9"/>
      <c r="CG274" s="9"/>
      <c r="CH274" s="9">
        <v>1</v>
      </c>
      <c r="CI274" s="9">
        <v>0</v>
      </c>
      <c r="CJ274" s="9"/>
      <c r="CK274" s="9"/>
      <c r="CL274" s="9" t="s">
        <v>2009</v>
      </c>
      <c r="CM274" s="9"/>
      <c r="CN274" s="9">
        <v>0</v>
      </c>
      <c r="CO274" s="9" t="s">
        <v>1925</v>
      </c>
      <c r="CP274" s="9"/>
      <c r="CQ274" s="9">
        <v>0</v>
      </c>
    </row>
    <row r="275" spans="1:95" x14ac:dyDescent="0.35">
      <c r="A275" s="9" t="b">
        <f>ISNUMBER(MATCH(Claude[[#This Row],[Id]],ChargentOrders[Id],0))</f>
        <v>1</v>
      </c>
      <c r="B275" t="b">
        <f>INDEX(ChargentOrders[VALIDO],MATCH(Claude[[#This Row],[Id]],ChargentOrders[Id],0))</f>
        <v>1</v>
      </c>
      <c r="C275">
        <f>INDEX(Contract[CB_Subscription__c],MATCH(Claude[[#This Row],[Contract__c]],Contract[Id],0))</f>
        <v>0</v>
      </c>
      <c r="D275" s="9" t="s">
        <v>888</v>
      </c>
      <c r="E275" s="9" t="s">
        <v>79</v>
      </c>
      <c r="F275" s="9">
        <v>0</v>
      </c>
      <c r="G275" s="9" t="s">
        <v>889</v>
      </c>
      <c r="H275" s="9">
        <v>46052.420868055553</v>
      </c>
      <c r="I275" s="9" t="s">
        <v>65</v>
      </c>
      <c r="J275" s="9">
        <v>46065.42328703704</v>
      </c>
      <c r="K275" s="9" t="s">
        <v>65</v>
      </c>
      <c r="L275" s="9">
        <v>46065.42328703704</v>
      </c>
      <c r="M275" s="9"/>
      <c r="N275" s="9" t="s">
        <v>1629</v>
      </c>
      <c r="O275" s="9" t="s">
        <v>2032</v>
      </c>
      <c r="P275" s="9" t="s">
        <v>2033</v>
      </c>
      <c r="Q275" s="9" t="s">
        <v>1925</v>
      </c>
      <c r="R275" s="9" t="s">
        <v>1627</v>
      </c>
      <c r="S275" s="9" t="s">
        <v>1949</v>
      </c>
      <c r="T275" s="9" t="s">
        <v>2034</v>
      </c>
      <c r="U275" s="9" t="s">
        <v>1928</v>
      </c>
      <c r="V275" s="9">
        <v>754</v>
      </c>
      <c r="W275" s="9">
        <v>7</v>
      </c>
      <c r="X275" s="9">
        <v>2028</v>
      </c>
      <c r="Y275" s="9">
        <v>6818</v>
      </c>
      <c r="Z275" s="9">
        <v>7</v>
      </c>
      <c r="AA275" s="9">
        <v>4870388115256810</v>
      </c>
      <c r="AB275" s="9" t="s">
        <v>73</v>
      </c>
      <c r="AC275" s="9">
        <v>2028</v>
      </c>
      <c r="AD275" s="9" t="s">
        <v>1952</v>
      </c>
      <c r="AE275" s="9"/>
      <c r="AF275" s="9" t="s">
        <v>1929</v>
      </c>
      <c r="AG275" s="9"/>
      <c r="AH275" s="9" t="s">
        <v>67</v>
      </c>
      <c r="AI275" s="9">
        <v>0</v>
      </c>
      <c r="AJ275" s="9"/>
      <c r="AK275" s="9">
        <v>0</v>
      </c>
      <c r="AL275" s="9" t="s">
        <v>1930</v>
      </c>
      <c r="AM275" s="9">
        <v>1</v>
      </c>
      <c r="AN275" s="9">
        <v>46065</v>
      </c>
      <c r="AO275" s="9" t="s">
        <v>1931</v>
      </c>
      <c r="AP275" s="9" t="s">
        <v>69</v>
      </c>
      <c r="AQ275" s="9" t="s">
        <v>1932</v>
      </c>
      <c r="AR275" s="9">
        <v>46065</v>
      </c>
      <c r="AS275" s="9" t="s">
        <v>74</v>
      </c>
      <c r="AT275" s="9" t="s">
        <v>1935</v>
      </c>
      <c r="AU275" s="9" t="s">
        <v>1952</v>
      </c>
      <c r="AV275" s="9">
        <v>0</v>
      </c>
      <c r="AW275" s="9" t="s">
        <v>92</v>
      </c>
      <c r="AX275" s="9" t="s">
        <v>355</v>
      </c>
      <c r="AY275" s="9">
        <v>0</v>
      </c>
      <c r="AZ275" s="9">
        <v>46065.423159722224</v>
      </c>
      <c r="BA275" s="9">
        <v>46065.42324074074</v>
      </c>
      <c r="BB275" s="9">
        <v>1</v>
      </c>
      <c r="BC275" s="9">
        <v>5</v>
      </c>
      <c r="BD275" s="9" t="s">
        <v>2087</v>
      </c>
      <c r="BE275" s="9" t="s">
        <v>356</v>
      </c>
      <c r="BF275" s="9" t="s">
        <v>71</v>
      </c>
      <c r="BG275" s="9"/>
      <c r="BH275" s="9">
        <v>0</v>
      </c>
      <c r="BI275" s="9"/>
      <c r="BJ275" s="9">
        <v>0</v>
      </c>
      <c r="BK275" s="9" t="s">
        <v>92</v>
      </c>
      <c r="BL275" s="9" t="s">
        <v>92</v>
      </c>
      <c r="BM275" s="9" t="s">
        <v>72</v>
      </c>
      <c r="BN275" s="9"/>
      <c r="BO275" s="9">
        <v>1</v>
      </c>
      <c r="BP275" s="9" t="s">
        <v>890</v>
      </c>
      <c r="BQ275" s="9">
        <v>0</v>
      </c>
      <c r="BR275" s="9">
        <v>45812.729178240741</v>
      </c>
      <c r="BS275" s="9" t="s">
        <v>109</v>
      </c>
      <c r="BT275" s="9" t="s">
        <v>65</v>
      </c>
      <c r="BU275" s="9"/>
      <c r="BV275" s="9"/>
      <c r="BW275" s="9">
        <v>0</v>
      </c>
      <c r="BX275" s="9">
        <v>46062.42800925926</v>
      </c>
      <c r="BY275" s="9">
        <v>46065.423159722224</v>
      </c>
      <c r="BZ275" s="9"/>
      <c r="CA275" s="9"/>
      <c r="CB275" s="9"/>
      <c r="CC275" s="9"/>
      <c r="CD275" s="9"/>
      <c r="CE275" s="9"/>
      <c r="CF275" s="9"/>
      <c r="CG275" s="9"/>
      <c r="CH275" s="9">
        <v>1</v>
      </c>
      <c r="CI275" s="9">
        <v>0</v>
      </c>
      <c r="CJ275" s="9"/>
      <c r="CK275" s="9"/>
      <c r="CL275" s="9" t="s">
        <v>2035</v>
      </c>
      <c r="CM275" s="9"/>
      <c r="CN275" s="9">
        <v>0</v>
      </c>
      <c r="CO275" s="9" t="s">
        <v>1925</v>
      </c>
      <c r="CP275" s="9"/>
      <c r="CQ275" s="9"/>
    </row>
    <row r="276" spans="1:95" x14ac:dyDescent="0.35">
      <c r="A276" s="9" t="b">
        <f>ISNUMBER(MATCH(Claude[[#This Row],[Id]],ChargentOrders[Id],0))</f>
        <v>1</v>
      </c>
      <c r="B276" t="b">
        <f>INDEX(ChargentOrders[VALIDO],MATCH(Claude[[#This Row],[Id]],ChargentOrders[Id],0))</f>
        <v>1</v>
      </c>
      <c r="C276">
        <f>INDEX(Contract[CB_Subscription__c],MATCH(Claude[[#This Row],[Contract__c]],Contract[Id],0))</f>
        <v>0</v>
      </c>
      <c r="D276" s="9" t="s">
        <v>891</v>
      </c>
      <c r="E276" s="9" t="s">
        <v>79</v>
      </c>
      <c r="F276" s="9">
        <v>0</v>
      </c>
      <c r="G276" s="9" t="s">
        <v>892</v>
      </c>
      <c r="H276" s="9">
        <v>46052.421168981484</v>
      </c>
      <c r="I276" s="9" t="s">
        <v>65</v>
      </c>
      <c r="J276" s="9">
        <v>46073.029826388891</v>
      </c>
      <c r="K276" s="9" t="s">
        <v>101</v>
      </c>
      <c r="L276" s="9">
        <v>46073.029826388891</v>
      </c>
      <c r="M276" s="9"/>
      <c r="N276" s="9" t="s">
        <v>1634</v>
      </c>
      <c r="O276" s="9" t="s">
        <v>2037</v>
      </c>
      <c r="P276" s="9" t="s">
        <v>1983</v>
      </c>
      <c r="Q276" s="9" t="s">
        <v>1925</v>
      </c>
      <c r="R276" s="9" t="s">
        <v>1632</v>
      </c>
      <c r="S276" s="9" t="s">
        <v>2038</v>
      </c>
      <c r="T276" s="9" t="s">
        <v>2039</v>
      </c>
      <c r="U276" s="9" t="s">
        <v>1928</v>
      </c>
      <c r="V276" s="9">
        <v>771</v>
      </c>
      <c r="W276" s="9">
        <v>7</v>
      </c>
      <c r="X276" s="9">
        <v>2027</v>
      </c>
      <c r="Y276" s="9">
        <v>233</v>
      </c>
      <c r="Z276" s="9">
        <v>7</v>
      </c>
      <c r="AA276" s="9"/>
      <c r="AB276" s="9" t="s">
        <v>66</v>
      </c>
      <c r="AC276" s="9">
        <v>2027</v>
      </c>
      <c r="AD276" s="9" t="s">
        <v>2087</v>
      </c>
      <c r="AE276" s="9"/>
      <c r="AF276" s="9" t="s">
        <v>1929</v>
      </c>
      <c r="AG276" s="9"/>
      <c r="AH276" s="9" t="s">
        <v>107</v>
      </c>
      <c r="AI276" s="9">
        <v>0</v>
      </c>
      <c r="AJ276" s="9"/>
      <c r="AK276" s="9">
        <v>0</v>
      </c>
      <c r="AL276" s="9" t="s">
        <v>1930</v>
      </c>
      <c r="AM276" s="9">
        <v>1</v>
      </c>
      <c r="AN276" s="9">
        <v>46073</v>
      </c>
      <c r="AO276" s="9" t="s">
        <v>1931</v>
      </c>
      <c r="AP276" s="9" t="s">
        <v>69</v>
      </c>
      <c r="AQ276" s="9" t="s">
        <v>1932</v>
      </c>
      <c r="AR276" s="9">
        <v>46073</v>
      </c>
      <c r="AS276" s="9" t="s">
        <v>74</v>
      </c>
      <c r="AT276" s="9" t="s">
        <v>1935</v>
      </c>
      <c r="AU276" s="9" t="s">
        <v>1952</v>
      </c>
      <c r="AV276" s="9">
        <v>0</v>
      </c>
      <c r="AW276" s="9" t="s">
        <v>93</v>
      </c>
      <c r="AX276" s="9" t="s">
        <v>368</v>
      </c>
      <c r="AY276" s="9">
        <v>0</v>
      </c>
      <c r="AZ276" s="9">
        <v>46073.029803240737</v>
      </c>
      <c r="BA276" s="9">
        <v>46073.029803240737</v>
      </c>
      <c r="BB276" s="9">
        <v>1</v>
      </c>
      <c r="BC276" s="9">
        <v>12</v>
      </c>
      <c r="BD276" s="9" t="s">
        <v>2087</v>
      </c>
      <c r="BE276" s="9" t="s">
        <v>369</v>
      </c>
      <c r="BF276" s="9" t="s">
        <v>71</v>
      </c>
      <c r="BG276" s="9"/>
      <c r="BH276" s="9">
        <v>0</v>
      </c>
      <c r="BI276" s="9"/>
      <c r="BJ276" s="9">
        <v>0</v>
      </c>
      <c r="BK276" s="9" t="s">
        <v>92</v>
      </c>
      <c r="BL276" s="9" t="s">
        <v>92</v>
      </c>
      <c r="BM276" s="9" t="s">
        <v>72</v>
      </c>
      <c r="BN276" s="9"/>
      <c r="BO276" s="9">
        <v>1</v>
      </c>
      <c r="BP276" s="9" t="s">
        <v>893</v>
      </c>
      <c r="BQ276" s="9">
        <v>0</v>
      </c>
      <c r="BR276" s="9">
        <v>45849.623969907407</v>
      </c>
      <c r="BS276" s="9" t="s">
        <v>109</v>
      </c>
      <c r="BT276" s="9" t="s">
        <v>65</v>
      </c>
      <c r="BU276" s="9"/>
      <c r="BV276" s="9"/>
      <c r="BW276" s="9">
        <v>0</v>
      </c>
      <c r="BX276" s="9">
        <v>46071.928310185183</v>
      </c>
      <c r="BY276" s="9">
        <v>46073.029803240737</v>
      </c>
      <c r="BZ276" s="9"/>
      <c r="CA276" s="9"/>
      <c r="CB276" s="9"/>
      <c r="CC276" s="9"/>
      <c r="CD276" s="9"/>
      <c r="CE276" s="9"/>
      <c r="CF276" s="9"/>
      <c r="CG276" s="9"/>
      <c r="CH276" s="9">
        <v>1</v>
      </c>
      <c r="CI276" s="9">
        <v>0</v>
      </c>
      <c r="CJ276" s="9"/>
      <c r="CK276" s="9"/>
      <c r="CL276" s="9" t="s">
        <v>2040</v>
      </c>
      <c r="CM276" s="9"/>
      <c r="CN276" s="9">
        <v>0</v>
      </c>
      <c r="CO276" s="9" t="s">
        <v>1925</v>
      </c>
      <c r="CP276" s="9"/>
      <c r="CQ276" s="9"/>
    </row>
    <row r="277" spans="1:95" x14ac:dyDescent="0.35">
      <c r="A277" s="9" t="b">
        <f>ISNUMBER(MATCH(Claude[[#This Row],[Id]],ChargentOrders[Id],0))</f>
        <v>1</v>
      </c>
      <c r="B277" t="b">
        <f>INDEX(ChargentOrders[VALIDO],MATCH(Claude[[#This Row],[Id]],ChargentOrders[Id],0))</f>
        <v>1</v>
      </c>
      <c r="C277">
        <f>INDEX(Contract[CB_Subscription__c],MATCH(Claude[[#This Row],[Contract__c]],Contract[Id],0))</f>
        <v>0</v>
      </c>
      <c r="D277" s="9" t="s">
        <v>894</v>
      </c>
      <c r="E277" s="9" t="s">
        <v>79</v>
      </c>
      <c r="F277" s="9">
        <v>0</v>
      </c>
      <c r="G277" s="9" t="s">
        <v>895</v>
      </c>
      <c r="H277" s="9">
        <v>46052.424432870372</v>
      </c>
      <c r="I277" s="9" t="s">
        <v>65</v>
      </c>
      <c r="J277" s="9">
        <v>46058.044652777775</v>
      </c>
      <c r="K277" s="9" t="s">
        <v>101</v>
      </c>
      <c r="L277" s="9">
        <v>46058.044652777775</v>
      </c>
      <c r="M277" s="9"/>
      <c r="N277" s="9" t="s">
        <v>1659</v>
      </c>
      <c r="O277" s="9" t="s">
        <v>2074</v>
      </c>
      <c r="P277" s="9" t="s">
        <v>2066</v>
      </c>
      <c r="Q277" s="9" t="s">
        <v>1925</v>
      </c>
      <c r="R277" s="9" t="s">
        <v>1657</v>
      </c>
      <c r="S277" s="9" t="s">
        <v>2075</v>
      </c>
      <c r="T277" s="9" t="s">
        <v>2076</v>
      </c>
      <c r="U277" s="9" t="s">
        <v>1928</v>
      </c>
      <c r="V277" s="9">
        <v>956</v>
      </c>
      <c r="W277" s="9">
        <v>9</v>
      </c>
      <c r="X277" s="9">
        <v>2030</v>
      </c>
      <c r="Y277" s="9">
        <v>4428</v>
      </c>
      <c r="Z277" s="9">
        <v>9</v>
      </c>
      <c r="AA277" s="9">
        <v>4549519099984420</v>
      </c>
      <c r="AB277" s="9" t="s">
        <v>73</v>
      </c>
      <c r="AC277" s="9">
        <v>2030</v>
      </c>
      <c r="AD277" s="9" t="s">
        <v>95</v>
      </c>
      <c r="AE277" s="9"/>
      <c r="AF277" s="9" t="s">
        <v>1929</v>
      </c>
      <c r="AG277" s="9"/>
      <c r="AH277" s="9" t="s">
        <v>67</v>
      </c>
      <c r="AI277" s="9">
        <v>0</v>
      </c>
      <c r="AJ277" s="9"/>
      <c r="AK277" s="9">
        <v>0</v>
      </c>
      <c r="AL277" s="9" t="s">
        <v>1930</v>
      </c>
      <c r="AM277" s="9">
        <v>1</v>
      </c>
      <c r="AN277" s="9">
        <v>46058</v>
      </c>
      <c r="AO277" s="9" t="s">
        <v>1931</v>
      </c>
      <c r="AP277" s="9" t="s">
        <v>69</v>
      </c>
      <c r="AQ277" s="9" t="s">
        <v>1932</v>
      </c>
      <c r="AR277" s="9">
        <v>46058</v>
      </c>
      <c r="AS277" s="9" t="s">
        <v>74</v>
      </c>
      <c r="AT277" s="9" t="s">
        <v>1935</v>
      </c>
      <c r="AU277" s="9" t="s">
        <v>2101</v>
      </c>
      <c r="AV277" s="9">
        <v>0</v>
      </c>
      <c r="AW277" s="9" t="s">
        <v>93</v>
      </c>
      <c r="AX277" s="9" t="s">
        <v>479</v>
      </c>
      <c r="AY277" s="9">
        <v>0</v>
      </c>
      <c r="AZ277" s="9">
        <v>46058.044629629629</v>
      </c>
      <c r="BA277" s="9">
        <v>46058.044629629629</v>
      </c>
      <c r="BB277" s="9">
        <v>1</v>
      </c>
      <c r="BC277" s="9">
        <v>3</v>
      </c>
      <c r="BD277" s="9" t="s">
        <v>95</v>
      </c>
      <c r="BE277" s="9" t="s">
        <v>480</v>
      </c>
      <c r="BF277" s="9" t="s">
        <v>71</v>
      </c>
      <c r="BG277" s="9"/>
      <c r="BH277" s="9">
        <v>0</v>
      </c>
      <c r="BI277" s="9"/>
      <c r="BJ277" s="9">
        <v>0</v>
      </c>
      <c r="BK277" s="9" t="s">
        <v>92</v>
      </c>
      <c r="BL277" s="9" t="s">
        <v>92</v>
      </c>
      <c r="BM277" s="9" t="s">
        <v>72</v>
      </c>
      <c r="BN277" s="9"/>
      <c r="BO277" s="9">
        <v>1</v>
      </c>
      <c r="BP277" s="9" t="s">
        <v>896</v>
      </c>
      <c r="BQ277" s="9">
        <v>0</v>
      </c>
      <c r="BR277" s="9">
        <v>46052.983761574076</v>
      </c>
      <c r="BS277" s="9" t="s">
        <v>109</v>
      </c>
      <c r="BT277" s="9" t="s">
        <v>65</v>
      </c>
      <c r="BU277" s="9"/>
      <c r="BV277" s="9"/>
      <c r="BW277" s="9">
        <v>0</v>
      </c>
      <c r="BX277" s="9">
        <v>46055.596770833334</v>
      </c>
      <c r="BY277" s="9">
        <v>46058.044629629629</v>
      </c>
      <c r="BZ277" s="9"/>
      <c r="CA277" s="9"/>
      <c r="CB277" s="9"/>
      <c r="CC277" s="9"/>
      <c r="CD277" s="9"/>
      <c r="CE277" s="9"/>
      <c r="CF277" s="9"/>
      <c r="CG277" s="9"/>
      <c r="CH277" s="9">
        <v>1</v>
      </c>
      <c r="CI277" s="9">
        <v>0</v>
      </c>
      <c r="CJ277" s="9"/>
      <c r="CK277" s="9"/>
      <c r="CL277" s="9" t="s">
        <v>2077</v>
      </c>
      <c r="CM277" s="9"/>
      <c r="CN277" s="9">
        <v>0</v>
      </c>
      <c r="CO277" s="9" t="s">
        <v>1925</v>
      </c>
      <c r="CP277" s="9"/>
      <c r="CQ277" s="9"/>
    </row>
    <row r="278" spans="1:95" x14ac:dyDescent="0.35">
      <c r="A278" s="9" t="b">
        <f>ISNUMBER(MATCH(Claude[[#This Row],[Id]],ChargentOrders[Id],0))</f>
        <v>1</v>
      </c>
      <c r="B278" t="b">
        <f>INDEX(ChargentOrders[VALIDO],MATCH(Claude[[#This Row],[Id]],ChargentOrders[Id],0))</f>
        <v>1</v>
      </c>
      <c r="C278">
        <f>INDEX(Contract[CB_Subscription__c],MATCH(Claude[[#This Row],[Contract__c]],Contract[Id],0))</f>
        <v>0</v>
      </c>
      <c r="D278" s="9" t="s">
        <v>897</v>
      </c>
      <c r="E278" s="9" t="s">
        <v>531</v>
      </c>
      <c r="F278" s="9">
        <v>0</v>
      </c>
      <c r="G278" s="9" t="s">
        <v>898</v>
      </c>
      <c r="H278" s="9">
        <v>46052.441724537035</v>
      </c>
      <c r="I278" s="9" t="s">
        <v>65</v>
      </c>
      <c r="J278" s="9">
        <v>46163.929722222223</v>
      </c>
      <c r="K278" s="9" t="s">
        <v>78</v>
      </c>
      <c r="L278" s="9">
        <v>46163.929722222223</v>
      </c>
      <c r="M278" s="9"/>
      <c r="N278" s="9" t="s">
        <v>1793</v>
      </c>
      <c r="O278" s="9" t="s">
        <v>2233</v>
      </c>
      <c r="P278" s="9" t="s">
        <v>2006</v>
      </c>
      <c r="Q278" s="9"/>
      <c r="R278" s="9" t="s">
        <v>1791</v>
      </c>
      <c r="S278" s="9" t="s">
        <v>2234</v>
      </c>
      <c r="T278" s="9" t="s">
        <v>2235</v>
      </c>
      <c r="U278" s="9" t="s">
        <v>1928</v>
      </c>
      <c r="V278" s="9">
        <v>982</v>
      </c>
      <c r="W278" s="9">
        <v>7</v>
      </c>
      <c r="X278" s="9">
        <v>2029</v>
      </c>
      <c r="Y278" s="9">
        <v>9675</v>
      </c>
      <c r="Z278" s="9">
        <v>7</v>
      </c>
      <c r="AA278" s="9">
        <v>4549518721389670</v>
      </c>
      <c r="AB278" s="9" t="s">
        <v>73</v>
      </c>
      <c r="AC278" s="9">
        <v>2029</v>
      </c>
      <c r="AD278" s="9" t="s">
        <v>374</v>
      </c>
      <c r="AE278" s="9">
        <v>28</v>
      </c>
      <c r="AF278" s="9" t="s">
        <v>1929</v>
      </c>
      <c r="AG278" s="9"/>
      <c r="AH278" s="9" t="s">
        <v>67</v>
      </c>
      <c r="AI278" s="9">
        <v>0</v>
      </c>
      <c r="AJ278" s="9"/>
      <c r="AK278" s="9">
        <v>0</v>
      </c>
      <c r="AL278" s="9" t="s">
        <v>1930</v>
      </c>
      <c r="AM278" s="9"/>
      <c r="AN278" s="9"/>
      <c r="AO278" s="9" t="s">
        <v>1943</v>
      </c>
      <c r="AP278" s="9" t="s">
        <v>69</v>
      </c>
      <c r="AQ278" s="9" t="s">
        <v>1932</v>
      </c>
      <c r="AR278" s="9">
        <v>46140</v>
      </c>
      <c r="AS278" s="9" t="s">
        <v>613</v>
      </c>
      <c r="AT278" s="9" t="s">
        <v>1944</v>
      </c>
      <c r="AU278" s="9" t="s">
        <v>374</v>
      </c>
      <c r="AV278" s="9">
        <v>0</v>
      </c>
      <c r="AW278" s="9" t="s">
        <v>92</v>
      </c>
      <c r="AX278" s="9" t="s">
        <v>820</v>
      </c>
      <c r="AY278" s="9">
        <v>0</v>
      </c>
      <c r="AZ278" s="9">
        <v>46140.417627314811</v>
      </c>
      <c r="BA278" s="9">
        <v>46140.417638888888</v>
      </c>
      <c r="BB278" s="9">
        <v>3</v>
      </c>
      <c r="BC278" s="9">
        <v>3</v>
      </c>
      <c r="BD278" s="9" t="s">
        <v>2173</v>
      </c>
      <c r="BE278" s="9" t="s">
        <v>821</v>
      </c>
      <c r="BF278" s="9" t="s">
        <v>76</v>
      </c>
      <c r="BG278" s="9"/>
      <c r="BH278" s="9">
        <v>0</v>
      </c>
      <c r="BI278" s="9"/>
      <c r="BJ278" s="9">
        <v>4</v>
      </c>
      <c r="BK278" s="9" t="s">
        <v>92</v>
      </c>
      <c r="BL278" s="9" t="s">
        <v>92</v>
      </c>
      <c r="BM278" s="9" t="s">
        <v>75</v>
      </c>
      <c r="BN278" s="9"/>
      <c r="BO278" s="9">
        <v>0</v>
      </c>
      <c r="BP278" s="9"/>
      <c r="BQ278" s="9">
        <v>0</v>
      </c>
      <c r="BR278" s="9"/>
      <c r="BS278" s="9"/>
      <c r="BT278" s="9"/>
      <c r="BU278" s="9"/>
      <c r="BV278" s="9"/>
      <c r="BW278" s="9">
        <v>0</v>
      </c>
      <c r="BX278" s="9"/>
      <c r="BY278" s="9">
        <v>46140.417627314811</v>
      </c>
      <c r="BZ278" s="9"/>
      <c r="CA278" s="9"/>
      <c r="CB278" s="9"/>
      <c r="CC278" s="9"/>
      <c r="CD278" s="9"/>
      <c r="CE278" s="9"/>
      <c r="CF278" s="9"/>
      <c r="CG278" s="9"/>
      <c r="CH278" s="9">
        <v>1</v>
      </c>
      <c r="CI278" s="9">
        <v>0</v>
      </c>
      <c r="CJ278" s="9"/>
      <c r="CK278" s="9"/>
      <c r="CL278" s="9" t="s">
        <v>2236</v>
      </c>
      <c r="CM278" s="9"/>
      <c r="CN278" s="9">
        <v>0</v>
      </c>
      <c r="CO278" s="9" t="s">
        <v>1925</v>
      </c>
      <c r="CP278" s="9"/>
      <c r="CQ278" s="9">
        <v>0</v>
      </c>
    </row>
    <row r="279" spans="1:95" x14ac:dyDescent="0.35">
      <c r="A279" s="9" t="b">
        <f>ISNUMBER(MATCH(Claude[[#This Row],[Id]],ChargentOrders[Id],0))</f>
        <v>1</v>
      </c>
      <c r="B279" t="b">
        <f>INDEX(ChargentOrders[VALIDO],MATCH(Claude[[#This Row],[Id]],ChargentOrders[Id],0))</f>
        <v>1</v>
      </c>
      <c r="C279">
        <f>INDEX(Contract[CB_Subscription__c],MATCH(Claude[[#This Row],[Contract__c]],Contract[Id],0))</f>
        <v>0</v>
      </c>
      <c r="D279" s="9" t="s">
        <v>899</v>
      </c>
      <c r="E279" s="9" t="s">
        <v>81</v>
      </c>
      <c r="F279" s="9">
        <v>0</v>
      </c>
      <c r="G279" s="9" t="s">
        <v>900</v>
      </c>
      <c r="H279" s="9">
        <v>46052.428530092591</v>
      </c>
      <c r="I279" s="9" t="s">
        <v>65</v>
      </c>
      <c r="J279" s="9">
        <v>46072.423009259262</v>
      </c>
      <c r="K279" s="9" t="s">
        <v>65</v>
      </c>
      <c r="L279" s="9">
        <v>46072.423009259262</v>
      </c>
      <c r="M279" s="9"/>
      <c r="N279" s="9" t="s">
        <v>1669</v>
      </c>
      <c r="O279" s="9" t="s">
        <v>2090</v>
      </c>
      <c r="P279" s="9" t="s">
        <v>2027</v>
      </c>
      <c r="Q279" s="9" t="s">
        <v>1925</v>
      </c>
      <c r="R279" s="9" t="s">
        <v>1667</v>
      </c>
      <c r="S279" s="9" t="s">
        <v>2091</v>
      </c>
      <c r="T279" s="9" t="s">
        <v>2092</v>
      </c>
      <c r="U279" s="9" t="s">
        <v>1928</v>
      </c>
      <c r="V279" s="9">
        <v>603</v>
      </c>
      <c r="W279" s="9">
        <v>10</v>
      </c>
      <c r="X279" s="9">
        <v>2029</v>
      </c>
      <c r="Y279" s="9">
        <v>1120</v>
      </c>
      <c r="Z279" s="9">
        <v>10</v>
      </c>
      <c r="AA279" s="9">
        <v>4549518508501120</v>
      </c>
      <c r="AB279" s="9" t="s">
        <v>73</v>
      </c>
      <c r="AC279" s="9">
        <v>2029</v>
      </c>
      <c r="AD279" s="9" t="s">
        <v>2101</v>
      </c>
      <c r="AE279" s="9"/>
      <c r="AF279" s="9" t="s">
        <v>1929</v>
      </c>
      <c r="AG279" s="9"/>
      <c r="AH279" s="9" t="s">
        <v>67</v>
      </c>
      <c r="AI279" s="9">
        <v>0</v>
      </c>
      <c r="AJ279" s="9"/>
      <c r="AK279" s="9">
        <v>0</v>
      </c>
      <c r="AL279" s="9" t="s">
        <v>1930</v>
      </c>
      <c r="AM279" s="9">
        <v>1</v>
      </c>
      <c r="AN279" s="9">
        <v>46072</v>
      </c>
      <c r="AO279" s="9" t="s">
        <v>1931</v>
      </c>
      <c r="AP279" s="9" t="s">
        <v>69</v>
      </c>
      <c r="AQ279" s="9" t="s">
        <v>1932</v>
      </c>
      <c r="AR279" s="9">
        <v>46072</v>
      </c>
      <c r="AS279" s="9" t="s">
        <v>74</v>
      </c>
      <c r="AT279" s="9" t="s">
        <v>1935</v>
      </c>
      <c r="AU279" s="9" t="s">
        <v>2101</v>
      </c>
      <c r="AV279" s="9">
        <v>0</v>
      </c>
      <c r="AW279" s="9" t="s">
        <v>92</v>
      </c>
      <c r="AX279" s="9" t="s">
        <v>515</v>
      </c>
      <c r="AY279" s="9">
        <v>0</v>
      </c>
      <c r="AZ279" s="9">
        <v>46072.422951388886</v>
      </c>
      <c r="BA279" s="9">
        <v>46072.422962962963</v>
      </c>
      <c r="BB279" s="9">
        <v>1</v>
      </c>
      <c r="BC279" s="9">
        <v>8</v>
      </c>
      <c r="BD279" s="9" t="s">
        <v>95</v>
      </c>
      <c r="BE279" s="9" t="s">
        <v>516</v>
      </c>
      <c r="BF279" s="9" t="s">
        <v>71</v>
      </c>
      <c r="BG279" s="9"/>
      <c r="BH279" s="9">
        <v>0</v>
      </c>
      <c r="BI279" s="9"/>
      <c r="BJ279" s="9">
        <v>0</v>
      </c>
      <c r="BK279" s="9" t="s">
        <v>92</v>
      </c>
      <c r="BL279" s="9" t="s">
        <v>92</v>
      </c>
      <c r="BM279" s="9" t="s">
        <v>72</v>
      </c>
      <c r="BN279" s="9"/>
      <c r="BO279" s="9">
        <v>1</v>
      </c>
      <c r="BP279" s="9" t="s">
        <v>901</v>
      </c>
      <c r="BQ279" s="9">
        <v>0</v>
      </c>
      <c r="BR279" s="9">
        <v>45982.878946759258</v>
      </c>
      <c r="BS279" s="9" t="s">
        <v>109</v>
      </c>
      <c r="BT279" s="9" t="s">
        <v>65</v>
      </c>
      <c r="BU279" s="9"/>
      <c r="BV279" s="9"/>
      <c r="BW279" s="9">
        <v>0</v>
      </c>
      <c r="BX279" s="9">
        <v>46069.42392361111</v>
      </c>
      <c r="BY279" s="9">
        <v>46072.422951388886</v>
      </c>
      <c r="BZ279" s="9"/>
      <c r="CA279" s="9"/>
      <c r="CB279" s="9"/>
      <c r="CC279" s="9"/>
      <c r="CD279" s="9"/>
      <c r="CE279" s="9"/>
      <c r="CF279" s="9"/>
      <c r="CG279" s="9"/>
      <c r="CH279" s="9">
        <v>1</v>
      </c>
      <c r="CI279" s="9">
        <v>0</v>
      </c>
      <c r="CJ279" s="9"/>
      <c r="CK279" s="9"/>
      <c r="CL279" s="9" t="s">
        <v>2093</v>
      </c>
      <c r="CM279" s="9"/>
      <c r="CN279" s="9">
        <v>0</v>
      </c>
      <c r="CO279" s="9" t="s">
        <v>1925</v>
      </c>
      <c r="CP279" s="9"/>
      <c r="CQ279" s="9"/>
    </row>
    <row r="280" spans="1:95" x14ac:dyDescent="0.35">
      <c r="A280" s="9" t="b">
        <f>ISNUMBER(MATCH(Claude[[#This Row],[Id]],ChargentOrders[Id],0))</f>
        <v>1</v>
      </c>
      <c r="B280" t="b">
        <f>INDEX(ChargentOrders[VALIDO],MATCH(Claude[[#This Row],[Id]],ChargentOrders[Id],0))</f>
        <v>1</v>
      </c>
      <c r="C280">
        <f>INDEX(Contract[CB_Subscription__c],MATCH(Claude[[#This Row],[Contract__c]],Contract[Id],0))</f>
        <v>0</v>
      </c>
      <c r="D280" s="9" t="s">
        <v>902</v>
      </c>
      <c r="E280" s="9" t="s">
        <v>531</v>
      </c>
      <c r="F280" s="9">
        <v>0</v>
      </c>
      <c r="G280" s="9" t="s">
        <v>903</v>
      </c>
      <c r="H280" s="9">
        <v>46052.43478009259</v>
      </c>
      <c r="I280" s="9" t="s">
        <v>65</v>
      </c>
      <c r="J280" s="9">
        <v>46114.620729166665</v>
      </c>
      <c r="K280" s="9" t="s">
        <v>78</v>
      </c>
      <c r="L280" s="9">
        <v>46114.620729166665</v>
      </c>
      <c r="M280" s="9"/>
      <c r="N280" s="9" t="s">
        <v>2153</v>
      </c>
      <c r="O280" s="9" t="s">
        <v>2148</v>
      </c>
      <c r="P280" s="9" t="s">
        <v>1990</v>
      </c>
      <c r="Q280" s="9" t="s">
        <v>1925</v>
      </c>
      <c r="R280" s="9" t="s">
        <v>2149</v>
      </c>
      <c r="S280" s="9" t="s">
        <v>2150</v>
      </c>
      <c r="T280" s="9" t="s">
        <v>2151</v>
      </c>
      <c r="U280" s="9" t="s">
        <v>1928</v>
      </c>
      <c r="V280" s="9">
        <v>916</v>
      </c>
      <c r="W280" s="9">
        <v>4</v>
      </c>
      <c r="X280" s="9">
        <v>2030</v>
      </c>
      <c r="Y280" s="9">
        <v>883</v>
      </c>
      <c r="Z280" s="9">
        <v>4</v>
      </c>
      <c r="AA280" s="9">
        <v>883</v>
      </c>
      <c r="AB280" s="9" t="s">
        <v>73</v>
      </c>
      <c r="AC280" s="9">
        <v>2030</v>
      </c>
      <c r="AD280" s="9" t="s">
        <v>473</v>
      </c>
      <c r="AE280" s="9">
        <v>16</v>
      </c>
      <c r="AF280" s="9" t="s">
        <v>1929</v>
      </c>
      <c r="AG280" s="9"/>
      <c r="AH280" s="9" t="s">
        <v>67</v>
      </c>
      <c r="AI280" s="9">
        <v>0</v>
      </c>
      <c r="AJ280" s="9"/>
      <c r="AK280" s="9">
        <v>0</v>
      </c>
      <c r="AL280" s="9" t="s">
        <v>1930</v>
      </c>
      <c r="AM280" s="9"/>
      <c r="AN280" s="9"/>
      <c r="AO280" s="9" t="s">
        <v>1943</v>
      </c>
      <c r="AP280" s="9" t="s">
        <v>69</v>
      </c>
      <c r="AQ280" s="9" t="s">
        <v>1932</v>
      </c>
      <c r="AR280" s="9">
        <v>46069</v>
      </c>
      <c r="AS280" s="9" t="s">
        <v>218</v>
      </c>
      <c r="AT280" s="9" t="s">
        <v>1944</v>
      </c>
      <c r="AU280" s="9" t="s">
        <v>473</v>
      </c>
      <c r="AV280" s="9">
        <v>0</v>
      </c>
      <c r="AW280" s="9" t="s">
        <v>92</v>
      </c>
      <c r="AX280" s="9" t="s">
        <v>634</v>
      </c>
      <c r="AY280" s="9">
        <v>0</v>
      </c>
      <c r="AZ280" s="9">
        <v>46097.422546296293</v>
      </c>
      <c r="BA280" s="9">
        <v>46097.422546296293</v>
      </c>
      <c r="BB280" s="9">
        <v>2</v>
      </c>
      <c r="BC280" s="9">
        <v>2</v>
      </c>
      <c r="BD280" s="9" t="s">
        <v>2255</v>
      </c>
      <c r="BE280" s="9" t="s">
        <v>635</v>
      </c>
      <c r="BF280" s="9" t="s">
        <v>76</v>
      </c>
      <c r="BG280" s="9"/>
      <c r="BH280" s="9">
        <v>0</v>
      </c>
      <c r="BI280" s="9"/>
      <c r="BJ280" s="9">
        <v>3</v>
      </c>
      <c r="BK280" s="9" t="s">
        <v>92</v>
      </c>
      <c r="BL280" s="9" t="s">
        <v>92</v>
      </c>
      <c r="BM280" s="9" t="s">
        <v>75</v>
      </c>
      <c r="BN280" s="9"/>
      <c r="BO280" s="9">
        <v>0</v>
      </c>
      <c r="BP280" s="9"/>
      <c r="BQ280" s="9">
        <v>0</v>
      </c>
      <c r="BR280" s="9"/>
      <c r="BS280" s="9"/>
      <c r="BT280" s="9"/>
      <c r="BU280" s="9"/>
      <c r="BV280" s="9"/>
      <c r="BW280" s="9">
        <v>0</v>
      </c>
      <c r="BX280" s="9"/>
      <c r="BY280" s="9">
        <v>46097.422546296293</v>
      </c>
      <c r="BZ280" s="9"/>
      <c r="CA280" s="9"/>
      <c r="CB280" s="9"/>
      <c r="CC280" s="9"/>
      <c r="CD280" s="9"/>
      <c r="CE280" s="9"/>
      <c r="CF280" s="9"/>
      <c r="CG280" s="9"/>
      <c r="CH280" s="9">
        <v>1</v>
      </c>
      <c r="CI280" s="9">
        <v>0</v>
      </c>
      <c r="CJ280" s="9"/>
      <c r="CK280" s="9"/>
      <c r="CL280" s="9" t="s">
        <v>2152</v>
      </c>
      <c r="CM280" s="9"/>
      <c r="CN280" s="9">
        <v>0</v>
      </c>
      <c r="CO280" s="9" t="s">
        <v>1925</v>
      </c>
      <c r="CP280" s="9"/>
      <c r="CQ280" s="9"/>
    </row>
    <row r="281" spans="1:95" x14ac:dyDescent="0.35">
      <c r="A281" s="9" t="b">
        <f>ISNUMBER(MATCH(Claude[[#This Row],[Id]],ChargentOrders[Id],0))</f>
        <v>1</v>
      </c>
      <c r="B281" t="b">
        <f>INDEX(ChargentOrders[VALIDO],MATCH(Claude[[#This Row],[Id]],ChargentOrders[Id],0))</f>
        <v>1</v>
      </c>
      <c r="C281">
        <f>INDEX(Contract[CB_Subscription__c],MATCH(Claude[[#This Row],[Contract__c]],Contract[Id],0))</f>
        <v>0</v>
      </c>
      <c r="D281" s="9" t="s">
        <v>904</v>
      </c>
      <c r="E281" s="9" t="s">
        <v>531</v>
      </c>
      <c r="F281" s="9">
        <v>0</v>
      </c>
      <c r="G281" s="9" t="s">
        <v>905</v>
      </c>
      <c r="H281" s="9">
        <v>46052.435081018521</v>
      </c>
      <c r="I281" s="9" t="s">
        <v>65</v>
      </c>
      <c r="J281" s="9">
        <v>46163.929722222223</v>
      </c>
      <c r="K281" s="9" t="s">
        <v>78</v>
      </c>
      <c r="L281" s="9">
        <v>46163.929722222223</v>
      </c>
      <c r="M281" s="9"/>
      <c r="N281" s="9" t="s">
        <v>1723</v>
      </c>
      <c r="O281" s="9" t="s">
        <v>2154</v>
      </c>
      <c r="P281" s="9" t="s">
        <v>2155</v>
      </c>
      <c r="Q281" s="9"/>
      <c r="R281" s="9" t="s">
        <v>1721</v>
      </c>
      <c r="S281" s="9" t="s">
        <v>2156</v>
      </c>
      <c r="T281" s="9" t="s">
        <v>2157</v>
      </c>
      <c r="U281" s="9" t="s">
        <v>1928</v>
      </c>
      <c r="V281" s="9">
        <v>680</v>
      </c>
      <c r="W281" s="9">
        <v>1</v>
      </c>
      <c r="X281" s="9">
        <v>2029</v>
      </c>
      <c r="Y281" s="9">
        <v>3070</v>
      </c>
      <c r="Z281" s="9">
        <v>1</v>
      </c>
      <c r="AA281" s="9">
        <v>5189207065123070</v>
      </c>
      <c r="AB281" s="9" t="s">
        <v>66</v>
      </c>
      <c r="AC281" s="9">
        <v>2029</v>
      </c>
      <c r="AD281" s="9" t="s">
        <v>1979</v>
      </c>
      <c r="AE281" s="9">
        <v>27</v>
      </c>
      <c r="AF281" s="9" t="s">
        <v>1929</v>
      </c>
      <c r="AG281" s="9"/>
      <c r="AH281" s="9" t="s">
        <v>98</v>
      </c>
      <c r="AI281" s="9">
        <v>0</v>
      </c>
      <c r="AJ281" s="9"/>
      <c r="AK281" s="9">
        <v>0</v>
      </c>
      <c r="AL281" s="9" t="s">
        <v>1930</v>
      </c>
      <c r="AM281" s="9"/>
      <c r="AN281" s="9"/>
      <c r="AO281" s="9" t="s">
        <v>1943</v>
      </c>
      <c r="AP281" s="9" t="s">
        <v>69</v>
      </c>
      <c r="AQ281" s="9" t="s">
        <v>1932</v>
      </c>
      <c r="AR281" s="9">
        <v>46080</v>
      </c>
      <c r="AS281" s="9" t="s">
        <v>613</v>
      </c>
      <c r="AT281" s="9" t="s">
        <v>1944</v>
      </c>
      <c r="AU281" s="9" t="s">
        <v>1979</v>
      </c>
      <c r="AV281" s="9">
        <v>0</v>
      </c>
      <c r="AW281" s="9" t="s">
        <v>92</v>
      </c>
      <c r="AX281" s="9">
        <v>7.6606959579565402E+21</v>
      </c>
      <c r="AY281" s="9">
        <v>0</v>
      </c>
      <c r="AZ281" s="9">
        <v>46139.420335648145</v>
      </c>
      <c r="BA281" s="9">
        <v>46139.420370370368</v>
      </c>
      <c r="BB281" s="9">
        <v>3</v>
      </c>
      <c r="BC281" s="9">
        <v>3</v>
      </c>
      <c r="BD281" s="9" t="s">
        <v>2256</v>
      </c>
      <c r="BE281" s="9" t="s">
        <v>645</v>
      </c>
      <c r="BF281" s="9" t="s">
        <v>76</v>
      </c>
      <c r="BG281" s="9"/>
      <c r="BH281" s="9">
        <v>0</v>
      </c>
      <c r="BI281" s="9"/>
      <c r="BJ281" s="9">
        <v>4</v>
      </c>
      <c r="BK281" s="9" t="s">
        <v>92</v>
      </c>
      <c r="BL281" s="9" t="s">
        <v>92</v>
      </c>
      <c r="BM281" s="9" t="s">
        <v>75</v>
      </c>
      <c r="BN281" s="9"/>
      <c r="BO281" s="9">
        <v>0</v>
      </c>
      <c r="BP281" s="9"/>
      <c r="BQ281" s="9">
        <v>0</v>
      </c>
      <c r="BR281" s="9"/>
      <c r="BS281" s="9"/>
      <c r="BT281" s="9"/>
      <c r="BU281" s="9"/>
      <c r="BV281" s="9"/>
      <c r="BW281" s="9">
        <v>0</v>
      </c>
      <c r="BX281" s="9"/>
      <c r="BY281" s="9">
        <v>46139.420335648145</v>
      </c>
      <c r="BZ281" s="9"/>
      <c r="CA281" s="9"/>
      <c r="CB281" s="9"/>
      <c r="CC281" s="9"/>
      <c r="CD281" s="9"/>
      <c r="CE281" s="9"/>
      <c r="CF281" s="9"/>
      <c r="CG281" s="9"/>
      <c r="CH281" s="9">
        <v>1</v>
      </c>
      <c r="CI281" s="9">
        <v>0</v>
      </c>
      <c r="CJ281" s="9"/>
      <c r="CK281" s="9"/>
      <c r="CL281" s="9" t="s">
        <v>2158</v>
      </c>
      <c r="CM281" s="9"/>
      <c r="CN281" s="9">
        <v>0</v>
      </c>
      <c r="CO281" s="9" t="s">
        <v>1925</v>
      </c>
      <c r="CP281" s="9"/>
      <c r="CQ281" s="9">
        <v>0</v>
      </c>
    </row>
    <row r="282" spans="1:95" x14ac:dyDescent="0.35">
      <c r="A282" s="9" t="b">
        <f>ISNUMBER(MATCH(Claude[[#This Row],[Id]],ChargentOrders[Id],0))</f>
        <v>1</v>
      </c>
      <c r="B282" t="b">
        <f>INDEX(ChargentOrders[VALIDO],MATCH(Claude[[#This Row],[Id]],ChargentOrders[Id],0))</f>
        <v>1</v>
      </c>
      <c r="C282">
        <f>INDEX(Contract[CB_Subscription__c],MATCH(Claude[[#This Row],[Contract__c]],Contract[Id],0))</f>
        <v>0</v>
      </c>
      <c r="D282" s="9" t="s">
        <v>906</v>
      </c>
      <c r="E282" s="9" t="s">
        <v>531</v>
      </c>
      <c r="F282" s="9">
        <v>0</v>
      </c>
      <c r="G282" s="9" t="s">
        <v>907</v>
      </c>
      <c r="H282" s="9">
        <v>46052.438738425924</v>
      </c>
      <c r="I282" s="9" t="s">
        <v>65</v>
      </c>
      <c r="J282" s="9">
        <v>46163.929722222223</v>
      </c>
      <c r="K282" s="9" t="s">
        <v>78</v>
      </c>
      <c r="L282" s="9">
        <v>46163.929722222223</v>
      </c>
      <c r="M282" s="9"/>
      <c r="N282" s="9" t="s">
        <v>1743</v>
      </c>
      <c r="O282" s="9" t="s">
        <v>2174</v>
      </c>
      <c r="P282" s="9" t="s">
        <v>1990</v>
      </c>
      <c r="Q282" s="9" t="s">
        <v>1925</v>
      </c>
      <c r="R282" s="9" t="s">
        <v>1741</v>
      </c>
      <c r="S282" s="9" t="s">
        <v>2175</v>
      </c>
      <c r="T282" s="9" t="s">
        <v>2176</v>
      </c>
      <c r="U282" s="9" t="s">
        <v>1928</v>
      </c>
      <c r="V282" s="9">
        <v>936</v>
      </c>
      <c r="W282" s="9">
        <v>10</v>
      </c>
      <c r="X282" s="9">
        <v>2030</v>
      </c>
      <c r="Y282" s="9">
        <v>2944</v>
      </c>
      <c r="Z282" s="9">
        <v>10</v>
      </c>
      <c r="AA282" s="9">
        <v>4549519542582940</v>
      </c>
      <c r="AB282" s="9" t="s">
        <v>73</v>
      </c>
      <c r="AC282" s="9">
        <v>2030</v>
      </c>
      <c r="AD282" s="9" t="s">
        <v>374</v>
      </c>
      <c r="AE282" s="9">
        <v>28</v>
      </c>
      <c r="AF282" s="9" t="s">
        <v>1929</v>
      </c>
      <c r="AG282" s="9"/>
      <c r="AH282" s="9" t="s">
        <v>67</v>
      </c>
      <c r="AI282" s="9">
        <v>0</v>
      </c>
      <c r="AJ282" s="9"/>
      <c r="AK282" s="9">
        <v>0</v>
      </c>
      <c r="AL282" s="9" t="s">
        <v>1930</v>
      </c>
      <c r="AM282" s="9"/>
      <c r="AN282" s="9"/>
      <c r="AO282" s="9" t="s">
        <v>1943</v>
      </c>
      <c r="AP282" s="9" t="s">
        <v>69</v>
      </c>
      <c r="AQ282" s="9" t="s">
        <v>1932</v>
      </c>
      <c r="AR282" s="9">
        <v>46140</v>
      </c>
      <c r="AS282" s="9" t="s">
        <v>613</v>
      </c>
      <c r="AT282" s="9" t="s">
        <v>1944</v>
      </c>
      <c r="AU282" s="9" t="s">
        <v>374</v>
      </c>
      <c r="AV282" s="9">
        <v>0</v>
      </c>
      <c r="AW282" s="9" t="s">
        <v>92</v>
      </c>
      <c r="AX282" s="9" t="s">
        <v>710</v>
      </c>
      <c r="AY282" s="9">
        <v>0</v>
      </c>
      <c r="AZ282" s="9">
        <v>46140.417708333334</v>
      </c>
      <c r="BA282" s="9">
        <v>46140.417708333334</v>
      </c>
      <c r="BB282" s="9">
        <v>3</v>
      </c>
      <c r="BC282" s="9">
        <v>3</v>
      </c>
      <c r="BD282" s="9" t="s">
        <v>2173</v>
      </c>
      <c r="BE282" s="9" t="s">
        <v>711</v>
      </c>
      <c r="BF282" s="9" t="s">
        <v>76</v>
      </c>
      <c r="BG282" s="9"/>
      <c r="BH282" s="9">
        <v>0</v>
      </c>
      <c r="BI282" s="9"/>
      <c r="BJ282" s="9">
        <v>4</v>
      </c>
      <c r="BK282" s="9" t="s">
        <v>92</v>
      </c>
      <c r="BL282" s="9" t="s">
        <v>92</v>
      </c>
      <c r="BM282" s="9" t="s">
        <v>75</v>
      </c>
      <c r="BN282" s="9"/>
      <c r="BO282" s="9">
        <v>0</v>
      </c>
      <c r="BP282" s="9"/>
      <c r="BQ282" s="9">
        <v>0</v>
      </c>
      <c r="BR282" s="9"/>
      <c r="BS282" s="9"/>
      <c r="BT282" s="9"/>
      <c r="BU282" s="9"/>
      <c r="BV282" s="9"/>
      <c r="BW282" s="9">
        <v>0</v>
      </c>
      <c r="BX282" s="9"/>
      <c r="BY282" s="9">
        <v>46140.417708333334</v>
      </c>
      <c r="BZ282" s="9"/>
      <c r="CA282" s="9"/>
      <c r="CB282" s="9"/>
      <c r="CC282" s="9"/>
      <c r="CD282" s="9"/>
      <c r="CE282" s="9"/>
      <c r="CF282" s="9"/>
      <c r="CG282" s="9"/>
      <c r="CH282" s="9">
        <v>1</v>
      </c>
      <c r="CI282" s="9">
        <v>0</v>
      </c>
      <c r="CJ282" s="9"/>
      <c r="CK282" s="9"/>
      <c r="CL282" s="9" t="s">
        <v>2177</v>
      </c>
      <c r="CM282" s="9"/>
      <c r="CN282" s="9">
        <v>0</v>
      </c>
      <c r="CO282" s="9" t="s">
        <v>1925</v>
      </c>
      <c r="CP282" s="9"/>
      <c r="CQ282" s="9">
        <v>0</v>
      </c>
    </row>
    <row r="283" spans="1:95" x14ac:dyDescent="0.35">
      <c r="A283" s="9" t="b">
        <f>ISNUMBER(MATCH(Claude[[#This Row],[Id]],ChargentOrders[Id],0))</f>
        <v>1</v>
      </c>
      <c r="B283" t="b">
        <f>INDEX(ChargentOrders[VALIDO],MATCH(Claude[[#This Row],[Id]],ChargentOrders[Id],0))</f>
        <v>1</v>
      </c>
      <c r="C283">
        <f>INDEX(Contract[CB_Subscription__c],MATCH(Claude[[#This Row],[Contract__c]],Contract[Id],0))</f>
        <v>0</v>
      </c>
      <c r="D283" s="9" t="s">
        <v>908</v>
      </c>
      <c r="E283" s="9" t="s">
        <v>79</v>
      </c>
      <c r="F283" s="9">
        <v>0</v>
      </c>
      <c r="G283" s="9" t="s">
        <v>909</v>
      </c>
      <c r="H283" s="9">
        <v>46052.438923611109</v>
      </c>
      <c r="I283" s="9" t="s">
        <v>65</v>
      </c>
      <c r="J283" s="9">
        <v>46057.009525462963</v>
      </c>
      <c r="K283" s="9" t="s">
        <v>101</v>
      </c>
      <c r="L283" s="9">
        <v>46057.009525462963</v>
      </c>
      <c r="M283" s="9"/>
      <c r="N283" s="9" t="s">
        <v>1708</v>
      </c>
      <c r="O283" s="9" t="s">
        <v>2132</v>
      </c>
      <c r="P283" s="9" t="s">
        <v>2066</v>
      </c>
      <c r="Q283" s="9" t="s">
        <v>1925</v>
      </c>
      <c r="R283" s="9" t="s">
        <v>1706</v>
      </c>
      <c r="S283" s="9" t="s">
        <v>2133</v>
      </c>
      <c r="T283" s="9" t="s">
        <v>2134</v>
      </c>
      <c r="U283" s="9" t="s">
        <v>1928</v>
      </c>
      <c r="V283" s="9">
        <v>956</v>
      </c>
      <c r="W283" s="9">
        <v>10</v>
      </c>
      <c r="X283" s="9">
        <v>2030</v>
      </c>
      <c r="Y283" s="9">
        <v>2772</v>
      </c>
      <c r="Z283" s="9">
        <v>10</v>
      </c>
      <c r="AA283" s="9">
        <v>4549519496022770</v>
      </c>
      <c r="AB283" s="9" t="s">
        <v>73</v>
      </c>
      <c r="AC283" s="9">
        <v>2030</v>
      </c>
      <c r="AD283" s="9" t="s">
        <v>2087</v>
      </c>
      <c r="AE283" s="9"/>
      <c r="AF283" s="9" t="s">
        <v>1929</v>
      </c>
      <c r="AG283" s="9"/>
      <c r="AH283" s="9" t="s">
        <v>67</v>
      </c>
      <c r="AI283" s="9">
        <v>0</v>
      </c>
      <c r="AJ283" s="9"/>
      <c r="AK283" s="9">
        <v>0</v>
      </c>
      <c r="AL283" s="9" t="s">
        <v>1930</v>
      </c>
      <c r="AM283" s="9">
        <v>1</v>
      </c>
      <c r="AN283" s="9">
        <v>46058</v>
      </c>
      <c r="AO283" s="9" t="s">
        <v>1931</v>
      </c>
      <c r="AP283" s="9" t="s">
        <v>69</v>
      </c>
      <c r="AQ283" s="9" t="s">
        <v>1932</v>
      </c>
      <c r="AR283" s="9">
        <v>46058</v>
      </c>
      <c r="AS283" s="9" t="s">
        <v>74</v>
      </c>
      <c r="AT283" s="9" t="s">
        <v>1935</v>
      </c>
      <c r="AU283" s="9" t="s">
        <v>1952</v>
      </c>
      <c r="AV283" s="9">
        <v>0</v>
      </c>
      <c r="AW283" s="9" t="s">
        <v>93</v>
      </c>
      <c r="AX283" s="9" t="s">
        <v>616</v>
      </c>
      <c r="AY283" s="9">
        <v>0</v>
      </c>
      <c r="AZ283" s="9">
        <v>46057.009502314817</v>
      </c>
      <c r="BA283" s="9">
        <v>46057.009502314817</v>
      </c>
      <c r="BB283" s="9">
        <v>1</v>
      </c>
      <c r="BC283" s="9">
        <v>2</v>
      </c>
      <c r="BD283" s="9" t="s">
        <v>2087</v>
      </c>
      <c r="BE283" s="9" t="s">
        <v>617</v>
      </c>
      <c r="BF283" s="9" t="s">
        <v>71</v>
      </c>
      <c r="BG283" s="9"/>
      <c r="BH283" s="9">
        <v>0</v>
      </c>
      <c r="BI283" s="9"/>
      <c r="BJ283" s="9">
        <v>0</v>
      </c>
      <c r="BK283" s="9" t="s">
        <v>92</v>
      </c>
      <c r="BL283" s="9" t="s">
        <v>92</v>
      </c>
      <c r="BM283" s="9" t="s">
        <v>72</v>
      </c>
      <c r="BN283" s="9"/>
      <c r="BO283" s="9">
        <v>1</v>
      </c>
      <c r="BP283" s="9" t="s">
        <v>910</v>
      </c>
      <c r="BQ283" s="9">
        <v>0</v>
      </c>
      <c r="BR283" s="9">
        <v>46031.426122685189</v>
      </c>
      <c r="BS283" s="9" t="s">
        <v>109</v>
      </c>
      <c r="BT283" s="9" t="s">
        <v>65</v>
      </c>
      <c r="BU283" s="9"/>
      <c r="BV283" s="9"/>
      <c r="BW283" s="9">
        <v>0</v>
      </c>
      <c r="BX283" s="9">
        <v>46055.432152777779</v>
      </c>
      <c r="BY283" s="9">
        <v>46057.009502314817</v>
      </c>
      <c r="BZ283" s="9"/>
      <c r="CA283" s="9"/>
      <c r="CB283" s="9"/>
      <c r="CC283" s="9"/>
      <c r="CD283" s="9"/>
      <c r="CE283" s="9"/>
      <c r="CF283" s="9"/>
      <c r="CG283" s="9"/>
      <c r="CH283" s="9">
        <v>1</v>
      </c>
      <c r="CI283" s="9">
        <v>0</v>
      </c>
      <c r="CJ283" s="9"/>
      <c r="CK283" s="9"/>
      <c r="CL283" s="9" t="s">
        <v>2135</v>
      </c>
      <c r="CM283" s="9"/>
      <c r="CN283" s="9">
        <v>0</v>
      </c>
      <c r="CO283" s="9" t="s">
        <v>1925</v>
      </c>
      <c r="CP283" s="9"/>
      <c r="CQ283" s="9"/>
    </row>
    <row r="284" spans="1:95" x14ac:dyDescent="0.35">
      <c r="A284" s="9" t="b">
        <f>ISNUMBER(MATCH(Claude[[#This Row],[Id]],ChargentOrders[Id],0))</f>
        <v>1</v>
      </c>
      <c r="B284" t="b">
        <f>INDEX(ChargentOrders[VALIDO],MATCH(Claude[[#This Row],[Id]],ChargentOrders[Id],0))</f>
        <v>1</v>
      </c>
      <c r="C284">
        <f>INDEX(Contract[CB_Subscription__c],MATCH(Claude[[#This Row],[Contract__c]],Contract[Id],0))</f>
        <v>0</v>
      </c>
      <c r="D284" s="9" t="s">
        <v>911</v>
      </c>
      <c r="E284" s="9" t="s">
        <v>610</v>
      </c>
      <c r="F284" s="9">
        <v>0</v>
      </c>
      <c r="G284" s="9" t="s">
        <v>912</v>
      </c>
      <c r="H284" s="9">
        <v>46052.44290509259</v>
      </c>
      <c r="I284" s="9" t="s">
        <v>65</v>
      </c>
      <c r="J284" s="9">
        <v>46069.42465277778</v>
      </c>
      <c r="K284" s="9" t="s">
        <v>65</v>
      </c>
      <c r="L284" s="9">
        <v>46069.42465277778</v>
      </c>
      <c r="M284" s="9"/>
      <c r="N284" s="9" t="s">
        <v>1803</v>
      </c>
      <c r="O284" s="9" t="s">
        <v>2243</v>
      </c>
      <c r="P284" s="9" t="s">
        <v>2053</v>
      </c>
      <c r="Q284" s="9" t="s">
        <v>1925</v>
      </c>
      <c r="R284" s="9" t="s">
        <v>1801</v>
      </c>
      <c r="S284" s="9" t="s">
        <v>2244</v>
      </c>
      <c r="T284" s="9" t="s">
        <v>2245</v>
      </c>
      <c r="U284" s="9" t="s">
        <v>1928</v>
      </c>
      <c r="V284" s="9">
        <v>738</v>
      </c>
      <c r="W284" s="9">
        <v>9</v>
      </c>
      <c r="X284" s="9">
        <v>2029</v>
      </c>
      <c r="Y284" s="9">
        <v>6088</v>
      </c>
      <c r="Z284" s="9">
        <v>9</v>
      </c>
      <c r="AA284" s="9">
        <v>5159480011686080</v>
      </c>
      <c r="AB284" s="9" t="s">
        <v>66</v>
      </c>
      <c r="AC284" s="9">
        <v>2029</v>
      </c>
      <c r="AD284" s="9" t="s">
        <v>449</v>
      </c>
      <c r="AE284" s="9"/>
      <c r="AF284" s="9" t="s">
        <v>1929</v>
      </c>
      <c r="AG284" s="9"/>
      <c r="AH284" s="9" t="s">
        <v>67</v>
      </c>
      <c r="AI284" s="9">
        <v>0</v>
      </c>
      <c r="AJ284" s="9"/>
      <c r="AK284" s="9">
        <v>0</v>
      </c>
      <c r="AL284" s="9" t="s">
        <v>1930</v>
      </c>
      <c r="AM284" s="9">
        <v>1</v>
      </c>
      <c r="AN284" s="9">
        <v>46069</v>
      </c>
      <c r="AO284" s="9" t="s">
        <v>1931</v>
      </c>
      <c r="AP284" s="9" t="s">
        <v>69</v>
      </c>
      <c r="AQ284" s="9" t="s">
        <v>1932</v>
      </c>
      <c r="AR284" s="9">
        <v>46069</v>
      </c>
      <c r="AS284" s="9" t="s">
        <v>74</v>
      </c>
      <c r="AT284" s="9" t="s">
        <v>1935</v>
      </c>
      <c r="AU284" s="9" t="s">
        <v>449</v>
      </c>
      <c r="AV284" s="9">
        <v>0</v>
      </c>
      <c r="AW284" s="9" t="s">
        <v>92</v>
      </c>
      <c r="AX284" s="9" t="s">
        <v>849</v>
      </c>
      <c r="AY284" s="9">
        <v>0</v>
      </c>
      <c r="AZ284" s="9">
        <v>46069.42454861111</v>
      </c>
      <c r="BA284" s="9">
        <v>46069.424583333333</v>
      </c>
      <c r="BB284" s="9">
        <v>1</v>
      </c>
      <c r="BC284" s="9">
        <v>7</v>
      </c>
      <c r="BD284" s="9" t="s">
        <v>2220</v>
      </c>
      <c r="BE284" s="9" t="s">
        <v>846</v>
      </c>
      <c r="BF284" s="9" t="s">
        <v>71</v>
      </c>
      <c r="BG284" s="9"/>
      <c r="BH284" s="9">
        <v>0</v>
      </c>
      <c r="BI284" s="9"/>
      <c r="BJ284" s="9"/>
      <c r="BK284" s="9" t="s">
        <v>92</v>
      </c>
      <c r="BL284" s="9" t="s">
        <v>92</v>
      </c>
      <c r="BM284" s="9" t="s">
        <v>72</v>
      </c>
      <c r="BN284" s="9"/>
      <c r="BO284" s="9">
        <v>1</v>
      </c>
      <c r="BP284" s="9" t="s">
        <v>913</v>
      </c>
      <c r="BQ284" s="9">
        <v>0</v>
      </c>
      <c r="BR284" s="9">
        <v>46049.687997685185</v>
      </c>
      <c r="BS284" s="9" t="s">
        <v>109</v>
      </c>
      <c r="BT284" s="9" t="s">
        <v>65</v>
      </c>
      <c r="BU284" s="9"/>
      <c r="BV284" s="9"/>
      <c r="BW284" s="9">
        <v>0</v>
      </c>
      <c r="BX284" s="9">
        <v>46066.429062499999</v>
      </c>
      <c r="BY284" s="9">
        <v>46069.42454861111</v>
      </c>
      <c r="BZ284" s="9"/>
      <c r="CA284" s="9"/>
      <c r="CB284" s="9"/>
      <c r="CC284" s="9"/>
      <c r="CD284" s="9"/>
      <c r="CE284" s="9"/>
      <c r="CF284" s="9"/>
      <c r="CG284" s="9"/>
      <c r="CH284" s="9">
        <v>1</v>
      </c>
      <c r="CI284" s="9">
        <v>0</v>
      </c>
      <c r="CJ284" s="9"/>
      <c r="CK284" s="9"/>
      <c r="CL284" s="9" t="s">
        <v>2246</v>
      </c>
      <c r="CM284" s="9"/>
      <c r="CN284" s="9">
        <v>0</v>
      </c>
      <c r="CO284" s="9" t="s">
        <v>1925</v>
      </c>
      <c r="CP284" s="9"/>
      <c r="CQ284" s="9"/>
    </row>
    <row r="285" spans="1:95" x14ac:dyDescent="0.35">
      <c r="A285" s="9" t="b">
        <f>ISNUMBER(MATCH(Claude[[#This Row],[Id]],ChargentOrders[Id],0))</f>
        <v>1</v>
      </c>
      <c r="B285" t="b">
        <f>INDEX(ChargentOrders[VALIDO],MATCH(Claude[[#This Row],[Id]],ChargentOrders[Id],0))</f>
        <v>1</v>
      </c>
      <c r="C285">
        <f>INDEX(Contract[CB_Subscription__c],MATCH(Claude[[#This Row],[Contract__c]],Contract[Id],0))</f>
        <v>0</v>
      </c>
      <c r="D285" s="9" t="s">
        <v>914</v>
      </c>
      <c r="E285" s="9" t="s">
        <v>531</v>
      </c>
      <c r="F285" s="9">
        <v>0</v>
      </c>
      <c r="G285" s="9" t="s">
        <v>915</v>
      </c>
      <c r="H285" s="9">
        <v>46055.422685185185</v>
      </c>
      <c r="I285" s="9" t="s">
        <v>65</v>
      </c>
      <c r="J285" s="9">
        <v>46163.929722222223</v>
      </c>
      <c r="K285" s="9" t="s">
        <v>78</v>
      </c>
      <c r="L285" s="9">
        <v>46163.929722222223</v>
      </c>
      <c r="M285" s="9"/>
      <c r="N285" s="9" t="s">
        <v>1703</v>
      </c>
      <c r="O285" s="9" t="s">
        <v>2126</v>
      </c>
      <c r="P285" s="9" t="s">
        <v>2127</v>
      </c>
      <c r="Q285" s="9"/>
      <c r="R285" s="9" t="s">
        <v>1701</v>
      </c>
      <c r="S285" s="9" t="s">
        <v>2128</v>
      </c>
      <c r="T285" s="9" t="s">
        <v>2129</v>
      </c>
      <c r="U285" s="9" t="s">
        <v>1928</v>
      </c>
      <c r="V285" s="9">
        <v>718</v>
      </c>
      <c r="W285" s="9">
        <v>9</v>
      </c>
      <c r="X285" s="9">
        <v>2029</v>
      </c>
      <c r="Y285" s="9">
        <v>1669</v>
      </c>
      <c r="Z285" s="9">
        <v>9</v>
      </c>
      <c r="AA285" s="9">
        <v>4549518614741660</v>
      </c>
      <c r="AB285" s="9" t="s">
        <v>73</v>
      </c>
      <c r="AC285" s="9">
        <v>2029</v>
      </c>
      <c r="AD285" s="9" t="s">
        <v>473</v>
      </c>
      <c r="AE285" s="9">
        <v>2</v>
      </c>
      <c r="AF285" s="9" t="s">
        <v>1929</v>
      </c>
      <c r="AG285" s="9"/>
      <c r="AH285" s="9" t="s">
        <v>67</v>
      </c>
      <c r="AI285" s="9">
        <v>0</v>
      </c>
      <c r="AJ285" s="9"/>
      <c r="AK285" s="9">
        <v>0</v>
      </c>
      <c r="AL285" s="9" t="s">
        <v>1930</v>
      </c>
      <c r="AM285" s="9"/>
      <c r="AN285" s="9"/>
      <c r="AO285" s="9" t="s">
        <v>1943</v>
      </c>
      <c r="AP285" s="9" t="s">
        <v>69</v>
      </c>
      <c r="AQ285" s="9" t="s">
        <v>1932</v>
      </c>
      <c r="AR285" s="9">
        <v>46175</v>
      </c>
      <c r="AS285" s="9" t="s">
        <v>613</v>
      </c>
      <c r="AT285" s="9" t="s">
        <v>1944</v>
      </c>
      <c r="AU285" s="9" t="s">
        <v>473</v>
      </c>
      <c r="AV285" s="9">
        <v>0</v>
      </c>
      <c r="AW285" s="9" t="s">
        <v>92</v>
      </c>
      <c r="AX285" s="9" t="s">
        <v>604</v>
      </c>
      <c r="AY285" s="9">
        <v>0</v>
      </c>
      <c r="AZ285" s="9">
        <v>46083.424166666664</v>
      </c>
      <c r="BA285" s="9">
        <v>46083.424166666664</v>
      </c>
      <c r="BB285" s="9">
        <v>1</v>
      </c>
      <c r="BC285" s="9">
        <v>3</v>
      </c>
      <c r="BD285" s="9" t="s">
        <v>91</v>
      </c>
      <c r="BE285" s="9" t="s">
        <v>605</v>
      </c>
      <c r="BF285" s="9" t="s">
        <v>76</v>
      </c>
      <c r="BG285" s="9"/>
      <c r="BH285" s="9">
        <v>0</v>
      </c>
      <c r="BI285" s="9"/>
      <c r="BJ285" s="9">
        <v>4</v>
      </c>
      <c r="BK285" s="9" t="s">
        <v>92</v>
      </c>
      <c r="BL285" s="9" t="s">
        <v>92</v>
      </c>
      <c r="BM285" s="9" t="s">
        <v>75</v>
      </c>
      <c r="BN285" s="9"/>
      <c r="BO285" s="9">
        <v>0</v>
      </c>
      <c r="BP285" s="9"/>
      <c r="BQ285" s="9">
        <v>0</v>
      </c>
      <c r="BR285" s="9"/>
      <c r="BS285" s="9"/>
      <c r="BT285" s="9"/>
      <c r="BU285" s="9"/>
      <c r="BV285" s="9"/>
      <c r="BW285" s="9">
        <v>0</v>
      </c>
      <c r="BX285" s="9">
        <v>46143.421261574076</v>
      </c>
      <c r="BY285" s="9">
        <v>46143.421261574076</v>
      </c>
      <c r="BZ285" s="9"/>
      <c r="CA285" s="9"/>
      <c r="CB285" s="9"/>
      <c r="CC285" s="9"/>
      <c r="CD285" s="9"/>
      <c r="CE285" s="9"/>
      <c r="CF285" s="9"/>
      <c r="CG285" s="9"/>
      <c r="CH285" s="9">
        <v>1</v>
      </c>
      <c r="CI285" s="9">
        <v>0</v>
      </c>
      <c r="CJ285" s="9"/>
      <c r="CK285" s="9"/>
      <c r="CL285" s="9" t="s">
        <v>2130</v>
      </c>
      <c r="CM285" s="9"/>
      <c r="CN285" s="9">
        <v>0</v>
      </c>
      <c r="CO285" s="9" t="s">
        <v>1925</v>
      </c>
      <c r="CP285" s="9"/>
      <c r="CQ285" s="9">
        <v>0</v>
      </c>
    </row>
    <row r="286" spans="1:95" x14ac:dyDescent="0.35">
      <c r="A286" s="9" t="b">
        <f>ISNUMBER(MATCH(Claude[[#This Row],[Id]],ChargentOrders[Id],0))</f>
        <v>1</v>
      </c>
      <c r="B286" t="b">
        <f>INDEX(ChargentOrders[VALIDO],MATCH(Claude[[#This Row],[Id]],ChargentOrders[Id],0))</f>
        <v>1</v>
      </c>
      <c r="C286">
        <f>INDEX(Contract[CB_Subscription__c],MATCH(Claude[[#This Row],[Contract__c]],Contract[Id],0))</f>
        <v>0</v>
      </c>
      <c r="D286" s="9" t="s">
        <v>916</v>
      </c>
      <c r="E286" s="9" t="s">
        <v>79</v>
      </c>
      <c r="F286" s="9">
        <v>0</v>
      </c>
      <c r="G286" s="9" t="s">
        <v>917</v>
      </c>
      <c r="H286" s="9">
        <v>46057.589050925926</v>
      </c>
      <c r="I286" s="9" t="s">
        <v>79</v>
      </c>
      <c r="J286" s="9">
        <v>46057.589131944442</v>
      </c>
      <c r="K286" s="9" t="s">
        <v>79</v>
      </c>
      <c r="L286" s="9">
        <v>46057.589131944442</v>
      </c>
      <c r="M286" s="9"/>
      <c r="N286" s="9"/>
      <c r="O286" s="9" t="s">
        <v>2257</v>
      </c>
      <c r="P286" s="9" t="s">
        <v>2258</v>
      </c>
      <c r="Q286" s="9" t="s">
        <v>1925</v>
      </c>
      <c r="R286" s="9" t="s">
        <v>1811</v>
      </c>
      <c r="S286" s="9" t="s">
        <v>2259</v>
      </c>
      <c r="T286" s="9" t="s">
        <v>2260</v>
      </c>
      <c r="U286" s="9" t="s">
        <v>1928</v>
      </c>
      <c r="V286" s="9">
        <v>688</v>
      </c>
      <c r="W286" s="9">
        <v>11</v>
      </c>
      <c r="X286" s="9">
        <v>2029</v>
      </c>
      <c r="Y286" s="9">
        <v>8375</v>
      </c>
      <c r="Z286" s="9">
        <v>11</v>
      </c>
      <c r="AA286" s="9"/>
      <c r="AB286" s="9" t="s">
        <v>73</v>
      </c>
      <c r="AC286" s="9">
        <v>2029</v>
      </c>
      <c r="AD286" s="9" t="s">
        <v>93</v>
      </c>
      <c r="AE286" s="9"/>
      <c r="AF286" s="9" t="s">
        <v>1929</v>
      </c>
      <c r="AG286" s="9"/>
      <c r="AH286" s="9" t="s">
        <v>107</v>
      </c>
      <c r="AI286" s="9">
        <v>0</v>
      </c>
      <c r="AJ286" s="9"/>
      <c r="AK286" s="9">
        <v>0</v>
      </c>
      <c r="AL286" s="9" t="s">
        <v>1930</v>
      </c>
      <c r="AM286" s="9"/>
      <c r="AN286" s="9"/>
      <c r="AO286" s="9" t="s">
        <v>1931</v>
      </c>
      <c r="AP286" s="9" t="s">
        <v>69</v>
      </c>
      <c r="AQ286" s="9" t="s">
        <v>1932</v>
      </c>
      <c r="AR286" s="9"/>
      <c r="AS286" s="9"/>
      <c r="AT286" s="9"/>
      <c r="AU286" s="9" t="s">
        <v>92</v>
      </c>
      <c r="AV286" s="9">
        <v>0</v>
      </c>
      <c r="AW286" s="9"/>
      <c r="AX286" s="9" t="s">
        <v>918</v>
      </c>
      <c r="AY286" s="9">
        <v>0</v>
      </c>
      <c r="AZ286" s="9"/>
      <c r="BA286" s="9">
        <v>46057.589097222219</v>
      </c>
      <c r="BB286" s="9">
        <v>0</v>
      </c>
      <c r="BC286" s="9">
        <v>1</v>
      </c>
      <c r="BD286" s="9">
        <v>0</v>
      </c>
      <c r="BE286" s="9" t="s">
        <v>919</v>
      </c>
      <c r="BF286" s="9"/>
      <c r="BG286" s="9"/>
      <c r="BH286" s="9">
        <v>0</v>
      </c>
      <c r="BI286" s="9"/>
      <c r="BJ286" s="9">
        <v>1</v>
      </c>
      <c r="BK286" s="9"/>
      <c r="BL286" s="9"/>
      <c r="BM286" s="9" t="s">
        <v>75</v>
      </c>
      <c r="BN286" s="9"/>
      <c r="BO286" s="9">
        <v>0</v>
      </c>
      <c r="BP286" s="9"/>
      <c r="BQ286" s="9">
        <v>1</v>
      </c>
      <c r="BR286" s="9"/>
      <c r="BS286" s="9"/>
      <c r="BT286" s="9"/>
      <c r="BU286" s="9"/>
      <c r="BV286" s="9"/>
      <c r="BW286" s="9">
        <v>0</v>
      </c>
      <c r="BX286" s="9"/>
      <c r="BY286" s="9">
        <v>46057.589085648149</v>
      </c>
      <c r="BZ286" s="9"/>
      <c r="CA286" s="9"/>
      <c r="CB286" s="9"/>
      <c r="CC286" s="9"/>
      <c r="CD286" s="9"/>
      <c r="CE286" s="9"/>
      <c r="CF286" s="9"/>
      <c r="CG286" s="9"/>
      <c r="CH286" s="9">
        <v>1</v>
      </c>
      <c r="CI286" s="9">
        <v>0</v>
      </c>
      <c r="CJ286" s="9"/>
      <c r="CK286" s="9"/>
      <c r="CL286" s="9" t="s">
        <v>2261</v>
      </c>
      <c r="CM286" s="9"/>
      <c r="CN286" s="9">
        <v>0</v>
      </c>
      <c r="CO286" s="9" t="s">
        <v>1925</v>
      </c>
      <c r="CP286" s="9"/>
      <c r="CQ286" s="9"/>
    </row>
    <row r="287" spans="1:95" x14ac:dyDescent="0.35">
      <c r="A287" s="9" t="b">
        <f>ISNUMBER(MATCH(Claude[[#This Row],[Id]],ChargentOrders[Id],0))</f>
        <v>1</v>
      </c>
      <c r="B287" t="b">
        <f>INDEX(ChargentOrders[VALIDO],MATCH(Claude[[#This Row],[Id]],ChargentOrders[Id],0))</f>
        <v>1</v>
      </c>
      <c r="C287">
        <f>INDEX(Contract[CB_Subscription__c],MATCH(Claude[[#This Row],[Contract__c]],Contract[Id],0))</f>
        <v>0</v>
      </c>
      <c r="D287" s="9" t="s">
        <v>920</v>
      </c>
      <c r="E287" s="9" t="s">
        <v>79</v>
      </c>
      <c r="F287" s="9">
        <v>0</v>
      </c>
      <c r="G287" s="9" t="s">
        <v>921</v>
      </c>
      <c r="H287" s="9">
        <v>46057.589502314811</v>
      </c>
      <c r="I287" s="9" t="s">
        <v>79</v>
      </c>
      <c r="J287" s="9">
        <v>46059.430787037039</v>
      </c>
      <c r="K287" s="9" t="s">
        <v>65</v>
      </c>
      <c r="L287" s="9">
        <v>46059.430787037039</v>
      </c>
      <c r="M287" s="9"/>
      <c r="N287" s="9" t="s">
        <v>1813</v>
      </c>
      <c r="O287" s="9" t="s">
        <v>2257</v>
      </c>
      <c r="P287" s="9" t="s">
        <v>2258</v>
      </c>
      <c r="Q287" s="9" t="s">
        <v>1925</v>
      </c>
      <c r="R287" s="9" t="s">
        <v>1811</v>
      </c>
      <c r="S287" s="9" t="s">
        <v>2259</v>
      </c>
      <c r="T287" s="9" t="s">
        <v>2260</v>
      </c>
      <c r="U287" s="9" t="s">
        <v>1928</v>
      </c>
      <c r="V287" s="9">
        <v>688</v>
      </c>
      <c r="W287" s="9">
        <v>11</v>
      </c>
      <c r="X287" s="9">
        <v>2029</v>
      </c>
      <c r="Y287" s="9">
        <v>8375</v>
      </c>
      <c r="Z287" s="9">
        <v>11</v>
      </c>
      <c r="AA287" s="9"/>
      <c r="AB287" s="9" t="s">
        <v>73</v>
      </c>
      <c r="AC287" s="9">
        <v>2029</v>
      </c>
      <c r="AD287" s="9" t="s">
        <v>374</v>
      </c>
      <c r="AE287" s="9"/>
      <c r="AF287" s="9" t="s">
        <v>1929</v>
      </c>
      <c r="AG287" s="9"/>
      <c r="AH287" s="9" t="s">
        <v>107</v>
      </c>
      <c r="AI287" s="9">
        <v>0</v>
      </c>
      <c r="AJ287" s="9"/>
      <c r="AK287" s="9">
        <v>0</v>
      </c>
      <c r="AL287" s="9" t="s">
        <v>1930</v>
      </c>
      <c r="AM287" s="9">
        <v>1</v>
      </c>
      <c r="AN287" s="9"/>
      <c r="AO287" s="9" t="s">
        <v>1931</v>
      </c>
      <c r="AP287" s="9" t="s">
        <v>69</v>
      </c>
      <c r="AQ287" s="9" t="s">
        <v>1932</v>
      </c>
      <c r="AR287" s="9">
        <v>46059</v>
      </c>
      <c r="AS287" s="9" t="s">
        <v>74</v>
      </c>
      <c r="AT287" s="9" t="s">
        <v>1935</v>
      </c>
      <c r="AU287" s="9" t="s">
        <v>374</v>
      </c>
      <c r="AV287" s="9">
        <v>0</v>
      </c>
      <c r="AW287" s="9" t="s">
        <v>92</v>
      </c>
      <c r="AX287" s="9" t="s">
        <v>918</v>
      </c>
      <c r="AY287" s="9">
        <v>0</v>
      </c>
      <c r="AZ287" s="9">
        <v>46059.430717592593</v>
      </c>
      <c r="BA287" s="9">
        <v>46059.430717592593</v>
      </c>
      <c r="BB287" s="9">
        <v>1</v>
      </c>
      <c r="BC287" s="9">
        <v>1</v>
      </c>
      <c r="BD287" s="9" t="s">
        <v>167</v>
      </c>
      <c r="BE287" s="9" t="s">
        <v>919</v>
      </c>
      <c r="BF287" s="9" t="s">
        <v>77</v>
      </c>
      <c r="BG287" s="9"/>
      <c r="BH287" s="9">
        <v>0</v>
      </c>
      <c r="BI287" s="9"/>
      <c r="BJ287" s="9">
        <v>1</v>
      </c>
      <c r="BK287" s="9" t="s">
        <v>92</v>
      </c>
      <c r="BL287" s="9" t="s">
        <v>92</v>
      </c>
      <c r="BM287" s="9" t="s">
        <v>75</v>
      </c>
      <c r="BN287" s="9"/>
      <c r="BO287" s="9">
        <v>0</v>
      </c>
      <c r="BP287" s="9"/>
      <c r="BQ287" s="9">
        <v>0</v>
      </c>
      <c r="BR287" s="9"/>
      <c r="BS287" s="9"/>
      <c r="BT287" s="9"/>
      <c r="BU287" s="9"/>
      <c r="BV287" s="9"/>
      <c r="BW287" s="9">
        <v>0</v>
      </c>
      <c r="BX287" s="9"/>
      <c r="BY287" s="9">
        <v>46059.430717592593</v>
      </c>
      <c r="BZ287" s="9"/>
      <c r="CA287" s="9"/>
      <c r="CB287" s="9"/>
      <c r="CC287" s="9"/>
      <c r="CD287" s="9"/>
      <c r="CE287" s="9"/>
      <c r="CF287" s="9"/>
      <c r="CG287" s="9"/>
      <c r="CH287" s="9">
        <v>1</v>
      </c>
      <c r="CI287" s="9">
        <v>0</v>
      </c>
      <c r="CJ287" s="9"/>
      <c r="CK287" s="9"/>
      <c r="CL287" s="9" t="s">
        <v>2261</v>
      </c>
      <c r="CM287" s="9"/>
      <c r="CN287" s="9">
        <v>0</v>
      </c>
      <c r="CO287" s="9" t="s">
        <v>1925</v>
      </c>
      <c r="CP287" s="9"/>
      <c r="CQ287" s="9"/>
    </row>
    <row r="288" spans="1:95" x14ac:dyDescent="0.35">
      <c r="A288" s="9" t="b">
        <f>ISNUMBER(MATCH(Claude[[#This Row],[Id]],ChargentOrders[Id],0))</f>
        <v>1</v>
      </c>
      <c r="B288" t="b">
        <f>INDEX(ChargentOrders[VALIDO],MATCH(Claude[[#This Row],[Id]],ChargentOrders[Id],0))</f>
        <v>1</v>
      </c>
      <c r="C288">
        <f>INDEX(Contract[CB_Subscription__c],MATCH(Claude[[#This Row],[Contract__c]],Contract[Id],0))</f>
        <v>0</v>
      </c>
      <c r="D288" s="9" t="s">
        <v>922</v>
      </c>
      <c r="E288" s="9" t="s">
        <v>155</v>
      </c>
      <c r="F288" s="9">
        <v>0</v>
      </c>
      <c r="G288" s="9" t="s">
        <v>923</v>
      </c>
      <c r="H288" s="9">
        <v>46059.424699074072</v>
      </c>
      <c r="I288" s="9" t="s">
        <v>65</v>
      </c>
      <c r="J288" s="9">
        <v>46062.430115740739</v>
      </c>
      <c r="K288" s="9" t="s">
        <v>65</v>
      </c>
      <c r="L288" s="9">
        <v>46062.430115740739</v>
      </c>
      <c r="M288" s="9"/>
      <c r="N288" s="9" t="s">
        <v>1738</v>
      </c>
      <c r="O288" s="9" t="s">
        <v>2169</v>
      </c>
      <c r="P288" s="9" t="s">
        <v>1990</v>
      </c>
      <c r="Q288" s="9" t="s">
        <v>1925</v>
      </c>
      <c r="R288" s="9" t="s">
        <v>1736</v>
      </c>
      <c r="S288" s="9" t="s">
        <v>2170</v>
      </c>
      <c r="T288" s="9" t="s">
        <v>2171</v>
      </c>
      <c r="U288" s="9" t="s">
        <v>1928</v>
      </c>
      <c r="V288" s="9">
        <v>926</v>
      </c>
      <c r="W288" s="9">
        <v>12</v>
      </c>
      <c r="X288" s="9">
        <v>2030</v>
      </c>
      <c r="Y288" s="9">
        <v>1912</v>
      </c>
      <c r="Z288" s="9">
        <v>12</v>
      </c>
      <c r="AA288" s="9">
        <v>4549519711041910</v>
      </c>
      <c r="AB288" s="9" t="s">
        <v>73</v>
      </c>
      <c r="AC288" s="9">
        <v>2030</v>
      </c>
      <c r="AD288" s="9" t="s">
        <v>449</v>
      </c>
      <c r="AE288" s="9"/>
      <c r="AF288" s="9" t="s">
        <v>1929</v>
      </c>
      <c r="AG288" s="9"/>
      <c r="AH288" s="9" t="s">
        <v>67</v>
      </c>
      <c r="AI288" s="9">
        <v>0</v>
      </c>
      <c r="AJ288" s="9"/>
      <c r="AK288" s="9">
        <v>0</v>
      </c>
      <c r="AL288" s="9" t="s">
        <v>1930</v>
      </c>
      <c r="AM288" s="9">
        <v>1</v>
      </c>
      <c r="AN288" s="9">
        <v>46062</v>
      </c>
      <c r="AO288" s="9" t="s">
        <v>1931</v>
      </c>
      <c r="AP288" s="9" t="s">
        <v>69</v>
      </c>
      <c r="AQ288" s="9" t="s">
        <v>1932</v>
      </c>
      <c r="AR288" s="9">
        <v>46062</v>
      </c>
      <c r="AS288" s="9" t="s">
        <v>74</v>
      </c>
      <c r="AT288" s="9" t="s">
        <v>1935</v>
      </c>
      <c r="AU288" s="9" t="s">
        <v>449</v>
      </c>
      <c r="AV288" s="9">
        <v>0</v>
      </c>
      <c r="AW288" s="9" t="s">
        <v>92</v>
      </c>
      <c r="AX288" s="9" t="s">
        <v>702</v>
      </c>
      <c r="AY288" s="9">
        <v>0</v>
      </c>
      <c r="AZ288" s="9">
        <v>46062.430023148147</v>
      </c>
      <c r="BA288" s="9">
        <v>46062.430069444446</v>
      </c>
      <c r="BB288" s="9">
        <v>1</v>
      </c>
      <c r="BC288" s="9">
        <v>1</v>
      </c>
      <c r="BD288" s="9" t="s">
        <v>2220</v>
      </c>
      <c r="BE288" s="9" t="s">
        <v>703</v>
      </c>
      <c r="BF288" s="9" t="s">
        <v>71</v>
      </c>
      <c r="BG288" s="9"/>
      <c r="BH288" s="9">
        <v>0</v>
      </c>
      <c r="BI288" s="9"/>
      <c r="BJ288" s="9">
        <v>0</v>
      </c>
      <c r="BK288" s="9" t="s">
        <v>92</v>
      </c>
      <c r="BL288" s="9" t="s">
        <v>92</v>
      </c>
      <c r="BM288" s="9" t="s">
        <v>72</v>
      </c>
      <c r="BN288" s="9"/>
      <c r="BO288" s="9">
        <v>1</v>
      </c>
      <c r="BP288" s="9" t="s">
        <v>924</v>
      </c>
      <c r="BQ288" s="9">
        <v>0</v>
      </c>
      <c r="BR288" s="9">
        <v>46024.841527777775</v>
      </c>
      <c r="BS288" s="9" t="s">
        <v>109</v>
      </c>
      <c r="BT288" s="9" t="s">
        <v>65</v>
      </c>
      <c r="BU288" s="9"/>
      <c r="BV288" s="9"/>
      <c r="BW288" s="9">
        <v>0</v>
      </c>
      <c r="BX288" s="9"/>
      <c r="BY288" s="9">
        <v>46062.430023148147</v>
      </c>
      <c r="BZ288" s="9"/>
      <c r="CA288" s="9"/>
      <c r="CB288" s="9"/>
      <c r="CC288" s="9"/>
      <c r="CD288" s="9"/>
      <c r="CE288" s="9"/>
      <c r="CF288" s="9"/>
      <c r="CG288" s="9"/>
      <c r="CH288" s="9">
        <v>1</v>
      </c>
      <c r="CI288" s="9">
        <v>0</v>
      </c>
      <c r="CJ288" s="9"/>
      <c r="CK288" s="9"/>
      <c r="CL288" s="9" t="s">
        <v>2172</v>
      </c>
      <c r="CM288" s="9"/>
      <c r="CN288" s="9">
        <v>0</v>
      </c>
      <c r="CO288" s="9" t="s">
        <v>1925</v>
      </c>
      <c r="CP288" s="9"/>
      <c r="CQ288" s="9"/>
    </row>
    <row r="289" spans="1:95" x14ac:dyDescent="0.35">
      <c r="A289" s="9" t="b">
        <f>ISNUMBER(MATCH(Claude[[#This Row],[Id]],ChargentOrders[Id],0))</f>
        <v>1</v>
      </c>
      <c r="B289" t="b">
        <f>INDEX(ChargentOrders[VALIDO],MATCH(Claude[[#This Row],[Id]],ChargentOrders[Id],0))</f>
        <v>1</v>
      </c>
      <c r="C289">
        <f>INDEX(Contract[CB_Subscription__c],MATCH(Claude[[#This Row],[Contract__c]],Contract[Id],0))</f>
        <v>0</v>
      </c>
      <c r="D289" s="9" t="s">
        <v>925</v>
      </c>
      <c r="E289" s="9" t="s">
        <v>79</v>
      </c>
      <c r="F289" s="9">
        <v>0</v>
      </c>
      <c r="G289" s="9" t="s">
        <v>926</v>
      </c>
      <c r="H289" s="9">
        <v>46059.43074074074</v>
      </c>
      <c r="I289" s="9" t="s">
        <v>65</v>
      </c>
      <c r="J289" s="9">
        <v>46217.738564814812</v>
      </c>
      <c r="K289" s="9" t="s">
        <v>78</v>
      </c>
      <c r="L289" s="9">
        <v>46217.738564814812</v>
      </c>
      <c r="M289" s="9"/>
      <c r="N289" s="9" t="s">
        <v>1813</v>
      </c>
      <c r="O289" s="9" t="s">
        <v>2257</v>
      </c>
      <c r="P289" s="9" t="s">
        <v>2258</v>
      </c>
      <c r="Q289" s="9" t="s">
        <v>1925</v>
      </c>
      <c r="R289" s="9" t="s">
        <v>1811</v>
      </c>
      <c r="S289" s="9" t="s">
        <v>2259</v>
      </c>
      <c r="T289" s="9" t="s">
        <v>2260</v>
      </c>
      <c r="U289" s="9" t="s">
        <v>1928</v>
      </c>
      <c r="V289" s="9">
        <v>688</v>
      </c>
      <c r="W289" s="9">
        <v>11</v>
      </c>
      <c r="X289" s="9">
        <v>2029</v>
      </c>
      <c r="Y289" s="9">
        <v>8375</v>
      </c>
      <c r="Z289" s="9">
        <v>11</v>
      </c>
      <c r="AA289" s="9"/>
      <c r="AB289" s="9" t="s">
        <v>73</v>
      </c>
      <c r="AC289" s="9">
        <v>2029</v>
      </c>
      <c r="AD289" s="9" t="s">
        <v>167</v>
      </c>
      <c r="AE289" s="9">
        <v>30</v>
      </c>
      <c r="AF289" s="9" t="s">
        <v>1929</v>
      </c>
      <c r="AG289" s="9"/>
      <c r="AH289" s="9" t="s">
        <v>107</v>
      </c>
      <c r="AI289" s="9">
        <v>0</v>
      </c>
      <c r="AJ289" s="9"/>
      <c r="AK289" s="9">
        <v>0</v>
      </c>
      <c r="AL289" s="9" t="s">
        <v>1930</v>
      </c>
      <c r="AM289" s="9"/>
      <c r="AN289" s="9"/>
      <c r="AO289" s="9" t="s">
        <v>1943</v>
      </c>
      <c r="AP289" s="9" t="s">
        <v>69</v>
      </c>
      <c r="AQ289" s="9" t="s">
        <v>1932</v>
      </c>
      <c r="AR289" s="9">
        <v>46233</v>
      </c>
      <c r="AS289" s="9" t="s">
        <v>84</v>
      </c>
      <c r="AT289" s="9" t="s">
        <v>1944</v>
      </c>
      <c r="AU289" s="9" t="s">
        <v>167</v>
      </c>
      <c r="AV289" s="9">
        <v>0</v>
      </c>
      <c r="AW289" s="9" t="s">
        <v>93</v>
      </c>
      <c r="AX289" s="9" t="s">
        <v>918</v>
      </c>
      <c r="AY289" s="9">
        <v>0</v>
      </c>
      <c r="AZ289" s="9"/>
      <c r="BA289" s="9"/>
      <c r="BB289" s="9">
        <v>0</v>
      </c>
      <c r="BC289" s="9">
        <v>2</v>
      </c>
      <c r="BD289" s="9">
        <v>0</v>
      </c>
      <c r="BE289" s="9" t="s">
        <v>919</v>
      </c>
      <c r="BF289" s="9" t="s">
        <v>76</v>
      </c>
      <c r="BG289" s="9"/>
      <c r="BH289" s="9">
        <v>0</v>
      </c>
      <c r="BI289" s="9"/>
      <c r="BJ289" s="9">
        <v>3</v>
      </c>
      <c r="BK289" s="9" t="s">
        <v>92</v>
      </c>
      <c r="BL289" s="9" t="s">
        <v>92</v>
      </c>
      <c r="BM289" s="9" t="s">
        <v>75</v>
      </c>
      <c r="BN289" s="9"/>
      <c r="BO289" s="9">
        <v>0</v>
      </c>
      <c r="BP289" s="9"/>
      <c r="BQ289" s="9">
        <v>0</v>
      </c>
      <c r="BR289" s="9"/>
      <c r="BS289" s="9"/>
      <c r="BT289" s="9"/>
      <c r="BU289" s="9"/>
      <c r="BV289" s="9"/>
      <c r="BW289" s="9">
        <v>0</v>
      </c>
      <c r="BX289" s="9"/>
      <c r="BY289" s="9">
        <v>46189.551446759258</v>
      </c>
      <c r="BZ289" s="9"/>
      <c r="CA289" s="9"/>
      <c r="CB289" s="9"/>
      <c r="CC289" s="9"/>
      <c r="CD289" s="9"/>
      <c r="CE289" s="9"/>
      <c r="CF289" s="9"/>
      <c r="CG289" s="9"/>
      <c r="CH289" s="9">
        <v>1</v>
      </c>
      <c r="CI289" s="9">
        <v>0</v>
      </c>
      <c r="CJ289" s="9"/>
      <c r="CK289" s="9"/>
      <c r="CL289" s="9" t="s">
        <v>2261</v>
      </c>
      <c r="CM289" s="9"/>
      <c r="CN289" s="9">
        <v>0</v>
      </c>
      <c r="CO289" s="9" t="s">
        <v>1925</v>
      </c>
      <c r="CP289" s="9" t="s">
        <v>2262</v>
      </c>
      <c r="CQ289" s="9">
        <v>0</v>
      </c>
    </row>
    <row r="290" spans="1:95" x14ac:dyDescent="0.35">
      <c r="A290" s="9" t="b">
        <f>ISNUMBER(MATCH(Claude[[#This Row],[Id]],ChargentOrders[Id],0))</f>
        <v>1</v>
      </c>
      <c r="B290" t="b">
        <f>INDEX(ChargentOrders[VALIDO],MATCH(Claude[[#This Row],[Id]],ChargentOrders[Id],0))</f>
        <v>1</v>
      </c>
      <c r="C290">
        <f>INDEX(Contract[CB_Subscription__c],MATCH(Claude[[#This Row],[Contract__c]],Contract[Id],0))</f>
        <v>0</v>
      </c>
      <c r="D290" s="9" t="s">
        <v>927</v>
      </c>
      <c r="E290" s="9" t="s">
        <v>531</v>
      </c>
      <c r="F290" s="9">
        <v>0</v>
      </c>
      <c r="G290" s="9" t="s">
        <v>928</v>
      </c>
      <c r="H290" s="9">
        <v>46063.417407407411</v>
      </c>
      <c r="I290" s="9" t="s">
        <v>65</v>
      </c>
      <c r="J290" s="9">
        <v>46126.993726851855</v>
      </c>
      <c r="K290" s="9" t="s">
        <v>101</v>
      </c>
      <c r="L290" s="9">
        <v>46126.993726851855</v>
      </c>
      <c r="M290" s="9"/>
      <c r="N290" s="9" t="s">
        <v>1678</v>
      </c>
      <c r="O290" s="9" t="s">
        <v>2102</v>
      </c>
      <c r="P290" s="9" t="s">
        <v>2103</v>
      </c>
      <c r="Q290" s="9"/>
      <c r="R290" s="9" t="s">
        <v>1676</v>
      </c>
      <c r="S290" s="9" t="s">
        <v>2104</v>
      </c>
      <c r="T290" s="9" t="s">
        <v>2105</v>
      </c>
      <c r="U290" s="9" t="s">
        <v>1928</v>
      </c>
      <c r="V290" s="9">
        <v>723</v>
      </c>
      <c r="W290" s="9">
        <v>10</v>
      </c>
      <c r="X290" s="9">
        <v>2028</v>
      </c>
      <c r="Y290" s="9">
        <v>5142</v>
      </c>
      <c r="Z290" s="9">
        <v>10</v>
      </c>
      <c r="AA290" s="9">
        <v>5142</v>
      </c>
      <c r="AB290" s="9" t="s">
        <v>66</v>
      </c>
      <c r="AC290" s="9">
        <v>2028</v>
      </c>
      <c r="AD290" s="9" t="s">
        <v>95</v>
      </c>
      <c r="AE290" s="9"/>
      <c r="AF290" s="9" t="s">
        <v>1929</v>
      </c>
      <c r="AG290" s="9"/>
      <c r="AH290" s="9" t="s">
        <v>67</v>
      </c>
      <c r="AI290" s="9">
        <v>0</v>
      </c>
      <c r="AJ290" s="9"/>
      <c r="AK290" s="9">
        <v>0</v>
      </c>
      <c r="AL290" s="9" t="s">
        <v>1930</v>
      </c>
      <c r="AM290" s="9">
        <v>1</v>
      </c>
      <c r="AN290" s="9">
        <v>46128</v>
      </c>
      <c r="AO290" s="9" t="s">
        <v>1931</v>
      </c>
      <c r="AP290" s="9" t="s">
        <v>69</v>
      </c>
      <c r="AQ290" s="9" t="s">
        <v>1932</v>
      </c>
      <c r="AR290" s="9">
        <v>46128</v>
      </c>
      <c r="AS290" s="9" t="s">
        <v>74</v>
      </c>
      <c r="AT290" s="9" t="s">
        <v>1935</v>
      </c>
      <c r="AU290" s="9" t="s">
        <v>2101</v>
      </c>
      <c r="AV290" s="9">
        <v>0</v>
      </c>
      <c r="AW290" s="9" t="s">
        <v>93</v>
      </c>
      <c r="AX290" s="9" t="s">
        <v>562</v>
      </c>
      <c r="AY290" s="9">
        <v>0</v>
      </c>
      <c r="AZ290" s="9">
        <v>46126.993692129632</v>
      </c>
      <c r="BA290" s="9">
        <v>46126.993692129632</v>
      </c>
      <c r="BB290" s="9">
        <v>1</v>
      </c>
      <c r="BC290" s="9">
        <v>38</v>
      </c>
      <c r="BD290" s="9" t="s">
        <v>95</v>
      </c>
      <c r="BE290" s="9" t="s">
        <v>563</v>
      </c>
      <c r="BF290" s="9" t="s">
        <v>71</v>
      </c>
      <c r="BG290" s="9"/>
      <c r="BH290" s="9">
        <v>0</v>
      </c>
      <c r="BI290" s="9"/>
      <c r="BJ290" s="9">
        <v>0</v>
      </c>
      <c r="BK290" s="9" t="s">
        <v>92</v>
      </c>
      <c r="BL290" s="9" t="s">
        <v>92</v>
      </c>
      <c r="BM290" s="9" t="s">
        <v>72</v>
      </c>
      <c r="BN290" s="9"/>
      <c r="BO290" s="9">
        <v>1</v>
      </c>
      <c r="BP290" s="9" t="s">
        <v>929</v>
      </c>
      <c r="BQ290" s="9">
        <v>0</v>
      </c>
      <c r="BR290" s="9">
        <v>46125.967974537038</v>
      </c>
      <c r="BS290" s="9" t="s">
        <v>109</v>
      </c>
      <c r="BT290" s="9" t="s">
        <v>65</v>
      </c>
      <c r="BU290" s="9"/>
      <c r="BV290" s="9"/>
      <c r="BW290" s="9">
        <v>0</v>
      </c>
      <c r="BX290" s="9">
        <v>46125.969687500001</v>
      </c>
      <c r="BY290" s="9">
        <v>46126.993692129632</v>
      </c>
      <c r="BZ290" s="9"/>
      <c r="CA290" s="9"/>
      <c r="CB290" s="9"/>
      <c r="CC290" s="9"/>
      <c r="CD290" s="9"/>
      <c r="CE290" s="9"/>
      <c r="CF290" s="9"/>
      <c r="CG290" s="9"/>
      <c r="CH290" s="9">
        <v>1</v>
      </c>
      <c r="CI290" s="9">
        <v>0</v>
      </c>
      <c r="CJ290" s="9"/>
      <c r="CK290" s="9"/>
      <c r="CL290" s="9" t="s">
        <v>2106</v>
      </c>
      <c r="CM290" s="9"/>
      <c r="CN290" s="9">
        <v>0</v>
      </c>
      <c r="CO290" s="9" t="s">
        <v>1925</v>
      </c>
      <c r="CP290" s="9"/>
      <c r="CQ290" s="9"/>
    </row>
    <row r="291" spans="1:95" x14ac:dyDescent="0.35">
      <c r="A291" s="9" t="b">
        <f>ISNUMBER(MATCH(Claude[[#This Row],[Id]],ChargentOrders[Id],0))</f>
        <v>1</v>
      </c>
      <c r="B291" t="b">
        <f>INDEX(ChargentOrders[VALIDO],MATCH(Claude[[#This Row],[Id]],ChargentOrders[Id],0))</f>
        <v>1</v>
      </c>
      <c r="C291">
        <f>INDEX(Contract[CB_Subscription__c],MATCH(Claude[[#This Row],[Contract__c]],Contract[Id],0))</f>
        <v>0</v>
      </c>
      <c r="D291" s="9" t="s">
        <v>931</v>
      </c>
      <c r="E291" s="9" t="s">
        <v>78</v>
      </c>
      <c r="F291" s="9">
        <v>0</v>
      </c>
      <c r="G291" s="9" t="s">
        <v>932</v>
      </c>
      <c r="H291" s="9">
        <v>46065.699629629627</v>
      </c>
      <c r="I291" s="9" t="s">
        <v>78</v>
      </c>
      <c r="J291" s="9">
        <v>46073.5625</v>
      </c>
      <c r="K291" s="9" t="s">
        <v>78</v>
      </c>
      <c r="L291" s="9">
        <v>46073.5625</v>
      </c>
      <c r="M291" s="9"/>
      <c r="N291" s="9" t="s">
        <v>1748</v>
      </c>
      <c r="O291" s="9" t="s">
        <v>2178</v>
      </c>
      <c r="P291" s="9" t="s">
        <v>2179</v>
      </c>
      <c r="Q291" s="9" t="s">
        <v>2180</v>
      </c>
      <c r="R291" s="9" t="s">
        <v>1746</v>
      </c>
      <c r="S291" s="9" t="s">
        <v>2045</v>
      </c>
      <c r="T291" s="9" t="s">
        <v>2193</v>
      </c>
      <c r="U291" s="9" t="s">
        <v>2180</v>
      </c>
      <c r="V291" s="9">
        <v>32822</v>
      </c>
      <c r="W291" s="9">
        <v>11</v>
      </c>
      <c r="X291" s="9">
        <v>2030</v>
      </c>
      <c r="Y291" s="9">
        <v>9468</v>
      </c>
      <c r="Z291" s="9">
        <v>11</v>
      </c>
      <c r="AA291" s="9" t="s">
        <v>1515</v>
      </c>
      <c r="AB291" s="9" t="s">
        <v>73</v>
      </c>
      <c r="AC291" s="9">
        <v>2030</v>
      </c>
      <c r="AD291" s="9" t="s">
        <v>449</v>
      </c>
      <c r="AE291" s="9"/>
      <c r="AF291" s="9"/>
      <c r="AG291" s="9"/>
      <c r="AH291" s="9" t="s">
        <v>107</v>
      </c>
      <c r="AI291" s="9">
        <v>0</v>
      </c>
      <c r="AJ291" s="9"/>
      <c r="AK291" s="9">
        <v>0</v>
      </c>
      <c r="AL291" s="9" t="s">
        <v>1930</v>
      </c>
      <c r="AM291" s="9">
        <v>1</v>
      </c>
      <c r="AN291" s="9">
        <v>46076</v>
      </c>
      <c r="AO291" s="9" t="s">
        <v>1931</v>
      </c>
      <c r="AP291" s="9" t="s">
        <v>69</v>
      </c>
      <c r="AQ291" s="9"/>
      <c r="AR291" s="9">
        <v>46076</v>
      </c>
      <c r="AS291" s="9" t="s">
        <v>70</v>
      </c>
      <c r="AT291" s="9" t="s">
        <v>1935</v>
      </c>
      <c r="AU291" s="9" t="s">
        <v>449</v>
      </c>
      <c r="AV291" s="9">
        <v>0</v>
      </c>
      <c r="AW291" s="9" t="s">
        <v>92</v>
      </c>
      <c r="AX291" s="9" t="s">
        <v>722</v>
      </c>
      <c r="AY291" s="9">
        <v>0</v>
      </c>
      <c r="AZ291" s="9"/>
      <c r="BA291" s="9"/>
      <c r="BB291" s="9">
        <v>0</v>
      </c>
      <c r="BC291" s="9">
        <v>0</v>
      </c>
      <c r="BD291" s="9">
        <v>0</v>
      </c>
      <c r="BE291" s="9" t="s">
        <v>717</v>
      </c>
      <c r="BF291" s="9" t="s">
        <v>71</v>
      </c>
      <c r="BG291" s="9" t="s">
        <v>930</v>
      </c>
      <c r="BH291" s="9">
        <v>0</v>
      </c>
      <c r="BI291" s="9"/>
      <c r="BJ291" s="9">
        <v>1</v>
      </c>
      <c r="BK291" s="9">
        <v>0</v>
      </c>
      <c r="BL291" s="9">
        <v>0</v>
      </c>
      <c r="BM291" s="9" t="s">
        <v>75</v>
      </c>
      <c r="BN291" s="9"/>
      <c r="BO291" s="9">
        <v>1</v>
      </c>
      <c r="BP291" s="9"/>
      <c r="BQ291" s="9">
        <v>0</v>
      </c>
      <c r="BR291" s="9">
        <v>46065.712696759256</v>
      </c>
      <c r="BS291" s="9" t="s">
        <v>109</v>
      </c>
      <c r="BT291" s="9"/>
      <c r="BU291" s="9"/>
      <c r="BV291" s="9"/>
      <c r="BW291" s="9">
        <v>0</v>
      </c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>
        <v>1</v>
      </c>
      <c r="CI291" s="9">
        <v>0</v>
      </c>
      <c r="CJ291" s="9"/>
      <c r="CK291" s="9"/>
      <c r="CL291" s="9"/>
      <c r="CM291" s="9" t="s">
        <v>231</v>
      </c>
      <c r="CN291" s="9">
        <v>0</v>
      </c>
      <c r="CO291" s="9" t="s">
        <v>1925</v>
      </c>
      <c r="CP291" s="9"/>
      <c r="CQ291" s="9"/>
    </row>
    <row r="292" spans="1:95" x14ac:dyDescent="0.35">
      <c r="A292" s="9" t="b">
        <f>ISNUMBER(MATCH(Claude[[#This Row],[Id]],ChargentOrders[Id],0))</f>
        <v>1</v>
      </c>
      <c r="B292" t="b">
        <f>INDEX(ChargentOrders[VALIDO],MATCH(Claude[[#This Row],[Id]],ChargentOrders[Id],0))</f>
        <v>1</v>
      </c>
      <c r="C292">
        <f>INDEX(Contract[CB_Subscription__c],MATCH(Claude[[#This Row],[Contract__c]],Contract[Id],0))</f>
        <v>0</v>
      </c>
      <c r="D292" s="9" t="s">
        <v>933</v>
      </c>
      <c r="E292" s="9" t="s">
        <v>81</v>
      </c>
      <c r="F292" s="9">
        <v>0</v>
      </c>
      <c r="G292" s="9" t="s">
        <v>934</v>
      </c>
      <c r="H292" s="9">
        <v>46066.426041666666</v>
      </c>
      <c r="I292" s="9" t="s">
        <v>65</v>
      </c>
      <c r="J292" s="9">
        <v>46163.929722222223</v>
      </c>
      <c r="K292" s="9" t="s">
        <v>78</v>
      </c>
      <c r="L292" s="9">
        <v>46163.929722222223</v>
      </c>
      <c r="M292" s="9"/>
      <c r="N292" s="9" t="s">
        <v>1773</v>
      </c>
      <c r="O292" s="9" t="s">
        <v>2207</v>
      </c>
      <c r="P292" s="9" t="s">
        <v>2208</v>
      </c>
      <c r="Q292" s="9" t="s">
        <v>1925</v>
      </c>
      <c r="R292" s="9" t="s">
        <v>1771</v>
      </c>
      <c r="S292" s="9" t="s">
        <v>2209</v>
      </c>
      <c r="T292" s="9" t="s">
        <v>2210</v>
      </c>
      <c r="U292" s="9" t="s">
        <v>1928</v>
      </c>
      <c r="V292" s="9">
        <v>617</v>
      </c>
      <c r="W292" s="9">
        <v>1</v>
      </c>
      <c r="X292" s="9">
        <v>2031</v>
      </c>
      <c r="Y292" s="9">
        <v>7352</v>
      </c>
      <c r="Z292" s="9">
        <v>1</v>
      </c>
      <c r="AA292" s="9">
        <v>5189207019437350</v>
      </c>
      <c r="AB292" s="9" t="s">
        <v>66</v>
      </c>
      <c r="AC292" s="9">
        <v>2031</v>
      </c>
      <c r="AD292" s="9" t="s">
        <v>374</v>
      </c>
      <c r="AE292" s="9">
        <v>29</v>
      </c>
      <c r="AF292" s="9" t="s">
        <v>1929</v>
      </c>
      <c r="AG292" s="9"/>
      <c r="AH292" s="9" t="s">
        <v>67</v>
      </c>
      <c r="AI292" s="9">
        <v>0</v>
      </c>
      <c r="AJ292" s="9"/>
      <c r="AK292" s="9">
        <v>0</v>
      </c>
      <c r="AL292" s="9" t="s">
        <v>1930</v>
      </c>
      <c r="AM292" s="9"/>
      <c r="AN292" s="9"/>
      <c r="AO292" s="9" t="s">
        <v>1943</v>
      </c>
      <c r="AP292" s="9" t="s">
        <v>69</v>
      </c>
      <c r="AQ292" s="9" t="s">
        <v>1932</v>
      </c>
      <c r="AR292" s="9">
        <v>46171</v>
      </c>
      <c r="AS292" s="9" t="s">
        <v>613</v>
      </c>
      <c r="AT292" s="9" t="s">
        <v>1944</v>
      </c>
      <c r="AU292" s="9" t="s">
        <v>374</v>
      </c>
      <c r="AV292" s="9">
        <v>0</v>
      </c>
      <c r="AW292" s="9" t="s">
        <v>92</v>
      </c>
      <c r="AX292" s="9" t="s">
        <v>768</v>
      </c>
      <c r="AY292" s="9">
        <v>0</v>
      </c>
      <c r="AZ292" s="9">
        <v>46142.427407407406</v>
      </c>
      <c r="BA292" s="9">
        <v>46142.427418981482</v>
      </c>
      <c r="BB292" s="9">
        <v>1</v>
      </c>
      <c r="BC292" s="9">
        <v>2</v>
      </c>
      <c r="BD292" s="9" t="s">
        <v>167</v>
      </c>
      <c r="BE292" s="9" t="s">
        <v>769</v>
      </c>
      <c r="BF292" s="9" t="s">
        <v>76</v>
      </c>
      <c r="BG292" s="9"/>
      <c r="BH292" s="9">
        <v>0</v>
      </c>
      <c r="BI292" s="9"/>
      <c r="BJ292" s="9">
        <v>3</v>
      </c>
      <c r="BK292" s="9" t="s">
        <v>92</v>
      </c>
      <c r="BL292" s="9" t="s">
        <v>92</v>
      </c>
      <c r="BM292" s="9" t="s">
        <v>75</v>
      </c>
      <c r="BN292" s="9"/>
      <c r="BO292" s="9">
        <v>0</v>
      </c>
      <c r="BP292" s="9"/>
      <c r="BQ292" s="9">
        <v>0</v>
      </c>
      <c r="BR292" s="9"/>
      <c r="BS292" s="9"/>
      <c r="BT292" s="9"/>
      <c r="BU292" s="9"/>
      <c r="BV292" s="9"/>
      <c r="BW292" s="9">
        <v>0</v>
      </c>
      <c r="BX292" s="9">
        <v>46111.428969907407</v>
      </c>
      <c r="BY292" s="9">
        <v>46142.427407407406</v>
      </c>
      <c r="BZ292" s="9"/>
      <c r="CA292" s="9"/>
      <c r="CB292" s="9"/>
      <c r="CC292" s="9"/>
      <c r="CD292" s="9"/>
      <c r="CE292" s="9"/>
      <c r="CF292" s="9"/>
      <c r="CG292" s="9"/>
      <c r="CH292" s="9">
        <v>1</v>
      </c>
      <c r="CI292" s="9">
        <v>0</v>
      </c>
      <c r="CJ292" s="9"/>
      <c r="CK292" s="9"/>
      <c r="CL292" s="9" t="s">
        <v>2211</v>
      </c>
      <c r="CM292" s="9"/>
      <c r="CN292" s="9">
        <v>0</v>
      </c>
      <c r="CO292" s="9" t="s">
        <v>1925</v>
      </c>
      <c r="CP292" s="9"/>
      <c r="CQ292" s="9">
        <v>0</v>
      </c>
    </row>
    <row r="293" spans="1:95" x14ac:dyDescent="0.35">
      <c r="A293" s="9" t="b">
        <f>ISNUMBER(MATCH(Claude[[#This Row],[Id]],ChargentOrders[Id],0))</f>
        <v>1</v>
      </c>
      <c r="B293" t="b">
        <f>INDEX(ChargentOrders[VALIDO],MATCH(Claude[[#This Row],[Id]],ChargentOrders[Id],0))</f>
        <v>1</v>
      </c>
      <c r="C293">
        <f>INDEX(Contract[CB_Subscription__c],MATCH(Claude[[#This Row],[Contract__c]],Contract[Id],0))</f>
        <v>0</v>
      </c>
      <c r="D293" s="9" t="s">
        <v>935</v>
      </c>
      <c r="E293" s="9" t="s">
        <v>81</v>
      </c>
      <c r="F293" s="9">
        <v>0</v>
      </c>
      <c r="G293" s="9" t="s">
        <v>936</v>
      </c>
      <c r="H293" s="9">
        <v>46066.427199074074</v>
      </c>
      <c r="I293" s="9" t="s">
        <v>65</v>
      </c>
      <c r="J293" s="9">
        <v>46163.929722222223</v>
      </c>
      <c r="K293" s="9" t="s">
        <v>78</v>
      </c>
      <c r="L293" s="9">
        <v>46163.929722222223</v>
      </c>
      <c r="M293" s="9"/>
      <c r="N293" s="9" t="s">
        <v>1798</v>
      </c>
      <c r="O293" s="9" t="s">
        <v>2239</v>
      </c>
      <c r="P293" s="9" t="s">
        <v>1924</v>
      </c>
      <c r="Q293" s="9" t="s">
        <v>1925</v>
      </c>
      <c r="R293" s="9" t="s">
        <v>1796</v>
      </c>
      <c r="S293" s="9" t="s">
        <v>2240</v>
      </c>
      <c r="T293" s="9" t="s">
        <v>2241</v>
      </c>
      <c r="U293" s="9" t="s">
        <v>1928</v>
      </c>
      <c r="V293" s="9">
        <v>949</v>
      </c>
      <c r="W293" s="9">
        <v>2</v>
      </c>
      <c r="X293" s="9">
        <v>2029</v>
      </c>
      <c r="Y293" s="9">
        <v>9833</v>
      </c>
      <c r="Z293" s="9">
        <v>2</v>
      </c>
      <c r="AA293" s="9">
        <v>9833</v>
      </c>
      <c r="AB293" s="9" t="s">
        <v>73</v>
      </c>
      <c r="AC293" s="9">
        <v>2029</v>
      </c>
      <c r="AD293" s="9" t="s">
        <v>374</v>
      </c>
      <c r="AE293" s="9">
        <v>15</v>
      </c>
      <c r="AF293" s="9" t="s">
        <v>1929</v>
      </c>
      <c r="AG293" s="9"/>
      <c r="AH293" s="9" t="s">
        <v>67</v>
      </c>
      <c r="AI293" s="9">
        <v>0</v>
      </c>
      <c r="AJ293" s="9"/>
      <c r="AK293" s="9">
        <v>0</v>
      </c>
      <c r="AL293" s="9" t="s">
        <v>1930</v>
      </c>
      <c r="AM293" s="9"/>
      <c r="AN293" s="9"/>
      <c r="AO293" s="9" t="s">
        <v>1943</v>
      </c>
      <c r="AP293" s="9" t="s">
        <v>69</v>
      </c>
      <c r="AQ293" s="9" t="s">
        <v>1932</v>
      </c>
      <c r="AR293" s="9">
        <v>46127</v>
      </c>
      <c r="AS293" s="9" t="s">
        <v>613</v>
      </c>
      <c r="AT293" s="9" t="s">
        <v>1944</v>
      </c>
      <c r="AU293" s="9" t="s">
        <v>374</v>
      </c>
      <c r="AV293" s="9">
        <v>0</v>
      </c>
      <c r="AW293" s="9" t="s">
        <v>92</v>
      </c>
      <c r="AX293" s="9" t="s">
        <v>836</v>
      </c>
      <c r="AY293" s="9">
        <v>0</v>
      </c>
      <c r="AZ293" s="9">
        <v>46157.423784722225</v>
      </c>
      <c r="BA293" s="9">
        <v>46157.423854166664</v>
      </c>
      <c r="BB293" s="9">
        <v>3</v>
      </c>
      <c r="BC293" s="9">
        <v>3</v>
      </c>
      <c r="BD293" s="9" t="s">
        <v>2173</v>
      </c>
      <c r="BE293" s="9" t="s">
        <v>837</v>
      </c>
      <c r="BF293" s="9" t="s">
        <v>76</v>
      </c>
      <c r="BG293" s="9"/>
      <c r="BH293" s="9">
        <v>0</v>
      </c>
      <c r="BI293" s="9"/>
      <c r="BJ293" s="9">
        <v>4</v>
      </c>
      <c r="BK293" s="9" t="s">
        <v>92</v>
      </c>
      <c r="BL293" s="9" t="s">
        <v>92</v>
      </c>
      <c r="BM293" s="9" t="s">
        <v>75</v>
      </c>
      <c r="BN293" s="9"/>
      <c r="BO293" s="9">
        <v>0</v>
      </c>
      <c r="BP293" s="9"/>
      <c r="BQ293" s="9">
        <v>0</v>
      </c>
      <c r="BR293" s="9"/>
      <c r="BS293" s="9"/>
      <c r="BT293" s="9"/>
      <c r="BU293" s="9"/>
      <c r="BV293" s="9"/>
      <c r="BW293" s="9">
        <v>0</v>
      </c>
      <c r="BX293" s="9"/>
      <c r="BY293" s="9">
        <v>46157.423784722225</v>
      </c>
      <c r="BZ293" s="9"/>
      <c r="CA293" s="9"/>
      <c r="CB293" s="9"/>
      <c r="CC293" s="9"/>
      <c r="CD293" s="9"/>
      <c r="CE293" s="9"/>
      <c r="CF293" s="9"/>
      <c r="CG293" s="9"/>
      <c r="CH293" s="9">
        <v>1</v>
      </c>
      <c r="CI293" s="9">
        <v>0</v>
      </c>
      <c r="CJ293" s="9"/>
      <c r="CK293" s="9"/>
      <c r="CL293" s="9" t="s">
        <v>2242</v>
      </c>
      <c r="CM293" s="9"/>
      <c r="CN293" s="9">
        <v>0</v>
      </c>
      <c r="CO293" s="9" t="s">
        <v>1925</v>
      </c>
      <c r="CP293" s="9"/>
      <c r="CQ293" s="9">
        <v>0</v>
      </c>
    </row>
    <row r="294" spans="1:95" x14ac:dyDescent="0.35">
      <c r="A294" s="9" t="b">
        <f>ISNUMBER(MATCH(Claude[[#This Row],[Id]],ChargentOrders[Id],0))</f>
        <v>1</v>
      </c>
      <c r="B294" t="b">
        <f>INDEX(ChargentOrders[VALIDO],MATCH(Claude[[#This Row],[Id]],ChargentOrders[Id],0))</f>
        <v>1</v>
      </c>
      <c r="C294">
        <f>INDEX(Contract[CB_Subscription__c],MATCH(Claude[[#This Row],[Contract__c]],Contract[Id],0))</f>
        <v>0</v>
      </c>
      <c r="D294" s="9" t="s">
        <v>937</v>
      </c>
      <c r="E294" s="9" t="s">
        <v>610</v>
      </c>
      <c r="F294" s="9">
        <v>0</v>
      </c>
      <c r="G294" s="9" t="s">
        <v>938</v>
      </c>
      <c r="H294" s="9">
        <v>46069.42460648148</v>
      </c>
      <c r="I294" s="9" t="s">
        <v>65</v>
      </c>
      <c r="J294" s="9">
        <v>46217.738564814812</v>
      </c>
      <c r="K294" s="9" t="s">
        <v>78</v>
      </c>
      <c r="L294" s="9">
        <v>46217.738564814812</v>
      </c>
      <c r="M294" s="9"/>
      <c r="N294" s="9" t="s">
        <v>1803</v>
      </c>
      <c r="O294" s="9" t="s">
        <v>2243</v>
      </c>
      <c r="P294" s="9" t="s">
        <v>2053</v>
      </c>
      <c r="Q294" s="9" t="s">
        <v>1925</v>
      </c>
      <c r="R294" s="9" t="s">
        <v>1801</v>
      </c>
      <c r="S294" s="9" t="s">
        <v>2244</v>
      </c>
      <c r="T294" s="9" t="s">
        <v>2245</v>
      </c>
      <c r="U294" s="9" t="s">
        <v>1928</v>
      </c>
      <c r="V294" s="9">
        <v>738</v>
      </c>
      <c r="W294" s="9">
        <v>9</v>
      </c>
      <c r="X294" s="9">
        <v>2029</v>
      </c>
      <c r="Y294" s="9">
        <v>6088</v>
      </c>
      <c r="Z294" s="9">
        <v>9</v>
      </c>
      <c r="AA294" s="9">
        <v>6088</v>
      </c>
      <c r="AB294" s="9" t="s">
        <v>66</v>
      </c>
      <c r="AC294" s="9">
        <v>2029</v>
      </c>
      <c r="AD294" s="9" t="s">
        <v>374</v>
      </c>
      <c r="AE294" s="9">
        <v>30</v>
      </c>
      <c r="AF294" s="9" t="s">
        <v>1929</v>
      </c>
      <c r="AG294" s="9"/>
      <c r="AH294" s="9" t="s">
        <v>67</v>
      </c>
      <c r="AI294" s="9">
        <v>0</v>
      </c>
      <c r="AJ294" s="9"/>
      <c r="AK294" s="9">
        <v>0</v>
      </c>
      <c r="AL294" s="9" t="s">
        <v>1930</v>
      </c>
      <c r="AM294" s="9"/>
      <c r="AN294" s="9"/>
      <c r="AO294" s="9" t="s">
        <v>1943</v>
      </c>
      <c r="AP294" s="9" t="s">
        <v>69</v>
      </c>
      <c r="AQ294" s="9" t="s">
        <v>1932</v>
      </c>
      <c r="AR294" s="9">
        <v>46203</v>
      </c>
      <c r="AS294" s="9" t="s">
        <v>84</v>
      </c>
      <c r="AT294" s="9" t="s">
        <v>1944</v>
      </c>
      <c r="AU294" s="9" t="s">
        <v>374</v>
      </c>
      <c r="AV294" s="9">
        <v>0</v>
      </c>
      <c r="AW294" s="9" t="s">
        <v>92</v>
      </c>
      <c r="AX294" s="9" t="s">
        <v>849</v>
      </c>
      <c r="AY294" s="9">
        <v>0</v>
      </c>
      <c r="AZ294" s="9">
        <v>46203.41746527778</v>
      </c>
      <c r="BA294" s="9">
        <v>46203.417557870373</v>
      </c>
      <c r="BB294" s="9">
        <v>1</v>
      </c>
      <c r="BC294" s="9">
        <v>4</v>
      </c>
      <c r="BD294" s="9" t="s">
        <v>167</v>
      </c>
      <c r="BE294" s="9" t="s">
        <v>846</v>
      </c>
      <c r="BF294" s="9" t="s">
        <v>76</v>
      </c>
      <c r="BG294" s="9"/>
      <c r="BH294" s="9">
        <v>0</v>
      </c>
      <c r="BI294" s="9"/>
      <c r="BJ294" s="9">
        <v>5</v>
      </c>
      <c r="BK294" s="9" t="s">
        <v>92</v>
      </c>
      <c r="BL294" s="9" t="s">
        <v>92</v>
      </c>
      <c r="BM294" s="9" t="s">
        <v>75</v>
      </c>
      <c r="BN294" s="9"/>
      <c r="BO294" s="9">
        <v>0</v>
      </c>
      <c r="BP294" s="9"/>
      <c r="BQ294" s="9">
        <v>0</v>
      </c>
      <c r="BR294" s="9"/>
      <c r="BS294" s="9"/>
      <c r="BT294" s="9"/>
      <c r="BU294" s="9"/>
      <c r="BV294" s="9"/>
      <c r="BW294" s="9">
        <v>0</v>
      </c>
      <c r="BX294" s="9">
        <v>46171.419907407406</v>
      </c>
      <c r="BY294" s="9">
        <v>46203.41746527778</v>
      </c>
      <c r="BZ294" s="9"/>
      <c r="CA294" s="9"/>
      <c r="CB294" s="9"/>
      <c r="CC294" s="9"/>
      <c r="CD294" s="9"/>
      <c r="CE294" s="9"/>
      <c r="CF294" s="9"/>
      <c r="CG294" s="9"/>
      <c r="CH294" s="9">
        <v>1</v>
      </c>
      <c r="CI294" s="9">
        <v>0</v>
      </c>
      <c r="CJ294" s="9"/>
      <c r="CK294" s="9"/>
      <c r="CL294" s="9" t="s">
        <v>2246</v>
      </c>
      <c r="CM294" s="9"/>
      <c r="CN294" s="9">
        <v>0</v>
      </c>
      <c r="CO294" s="9" t="s">
        <v>1925</v>
      </c>
      <c r="CP294" s="9" t="s">
        <v>2263</v>
      </c>
      <c r="CQ294" s="9">
        <v>0</v>
      </c>
    </row>
    <row r="295" spans="1:95" x14ac:dyDescent="0.35">
      <c r="A295" s="9" t="b">
        <f>ISNUMBER(MATCH(Claude[[#This Row],[Id]],ChargentOrders[Id],0))</f>
        <v>1</v>
      </c>
      <c r="B295" t="b">
        <f>INDEX(ChargentOrders[VALIDO],MATCH(Claude[[#This Row],[Id]],ChargentOrders[Id],0))</f>
        <v>1</v>
      </c>
      <c r="C295">
        <f>INDEX(Contract[CB_Subscription__c],MATCH(Claude[[#This Row],[Contract__c]],Contract[Id],0))</f>
        <v>0</v>
      </c>
      <c r="D295" s="9" t="s">
        <v>939</v>
      </c>
      <c r="E295" s="9" t="s">
        <v>79</v>
      </c>
      <c r="F295" s="9">
        <v>0</v>
      </c>
      <c r="G295" s="9" t="s">
        <v>940</v>
      </c>
      <c r="H295" s="9">
        <v>46070.654791666668</v>
      </c>
      <c r="I295" s="9" t="s">
        <v>78</v>
      </c>
      <c r="J295" s="9">
        <v>46217.738564814812</v>
      </c>
      <c r="K295" s="9" t="s">
        <v>78</v>
      </c>
      <c r="L295" s="9">
        <v>46217.738564814812</v>
      </c>
      <c r="M295" s="9"/>
      <c r="N295" s="9" t="s">
        <v>1659</v>
      </c>
      <c r="O295" s="9" t="s">
        <v>2074</v>
      </c>
      <c r="P295" s="9" t="s">
        <v>2066</v>
      </c>
      <c r="Q295" s="9" t="s">
        <v>1925</v>
      </c>
      <c r="R295" s="9" t="s">
        <v>1657</v>
      </c>
      <c r="S295" s="9" t="s">
        <v>2075</v>
      </c>
      <c r="T295" s="9" t="s">
        <v>2076</v>
      </c>
      <c r="U295" s="9" t="s">
        <v>1928</v>
      </c>
      <c r="V295" s="9">
        <v>956</v>
      </c>
      <c r="W295" s="9">
        <v>9</v>
      </c>
      <c r="X295" s="9">
        <v>2030</v>
      </c>
      <c r="Y295" s="9">
        <v>4428</v>
      </c>
      <c r="Z295" s="9">
        <v>9</v>
      </c>
      <c r="AA295" s="9">
        <v>4428</v>
      </c>
      <c r="AB295" s="9" t="s">
        <v>73</v>
      </c>
      <c r="AC295" s="9">
        <v>2030</v>
      </c>
      <c r="AD295" s="9" t="s">
        <v>2101</v>
      </c>
      <c r="AE295" s="9"/>
      <c r="AF295" s="9" t="s">
        <v>1929</v>
      </c>
      <c r="AG295" s="9"/>
      <c r="AH295" s="9" t="s">
        <v>67</v>
      </c>
      <c r="AI295" s="9">
        <v>0</v>
      </c>
      <c r="AJ295" s="9"/>
      <c r="AK295" s="9">
        <v>0</v>
      </c>
      <c r="AL295" s="9" t="s">
        <v>1930</v>
      </c>
      <c r="AM295" s="9">
        <v>1</v>
      </c>
      <c r="AN295" s="9">
        <v>46212</v>
      </c>
      <c r="AO295" s="9" t="s">
        <v>1931</v>
      </c>
      <c r="AP295" s="9" t="s">
        <v>69</v>
      </c>
      <c r="AQ295" s="9" t="s">
        <v>1932</v>
      </c>
      <c r="AR295" s="9">
        <v>46212</v>
      </c>
      <c r="AS295" s="9" t="s">
        <v>84</v>
      </c>
      <c r="AT295" s="9" t="s">
        <v>1935</v>
      </c>
      <c r="AU295" s="9" t="s">
        <v>2101</v>
      </c>
      <c r="AV295" s="9">
        <v>0</v>
      </c>
      <c r="AW295" s="9" t="s">
        <v>92</v>
      </c>
      <c r="AX295" s="9" t="s">
        <v>479</v>
      </c>
      <c r="AY295" s="9">
        <v>0</v>
      </c>
      <c r="AZ295" s="9"/>
      <c r="BA295" s="9"/>
      <c r="BB295" s="9">
        <v>0</v>
      </c>
      <c r="BC295" s="9">
        <v>70</v>
      </c>
      <c r="BD295" s="9">
        <v>0</v>
      </c>
      <c r="BE295" s="9" t="s">
        <v>480</v>
      </c>
      <c r="BF295" s="9" t="s">
        <v>71</v>
      </c>
      <c r="BG295" s="9"/>
      <c r="BH295" s="9">
        <v>0</v>
      </c>
      <c r="BI295" s="9"/>
      <c r="BJ295" s="9">
        <v>4</v>
      </c>
      <c r="BK295" s="9" t="s">
        <v>92</v>
      </c>
      <c r="BL295" s="9" t="s">
        <v>92</v>
      </c>
      <c r="BM295" s="9" t="s">
        <v>72</v>
      </c>
      <c r="BN295" s="9"/>
      <c r="BO295" s="9">
        <v>1</v>
      </c>
      <c r="BP295" s="9" t="s">
        <v>941</v>
      </c>
      <c r="BQ295" s="9">
        <v>0</v>
      </c>
      <c r="BR295" s="9">
        <v>46081.8</v>
      </c>
      <c r="BS295" s="9" t="s">
        <v>109</v>
      </c>
      <c r="BT295" s="9" t="s">
        <v>78</v>
      </c>
      <c r="BU295" s="9"/>
      <c r="BV295" s="9"/>
      <c r="BW295" s="9">
        <v>0</v>
      </c>
      <c r="BX295" s="9">
        <v>46209.417870370373</v>
      </c>
      <c r="BY295" s="9">
        <v>46209.417870370373</v>
      </c>
      <c r="BZ295" s="9"/>
      <c r="CA295" s="9"/>
      <c r="CB295" s="9"/>
      <c r="CC295" s="9"/>
      <c r="CD295" s="9"/>
      <c r="CE295" s="9"/>
      <c r="CF295" s="9"/>
      <c r="CG295" s="9"/>
      <c r="CH295" s="9">
        <v>1</v>
      </c>
      <c r="CI295" s="9">
        <v>0</v>
      </c>
      <c r="CJ295" s="9"/>
      <c r="CK295" s="9"/>
      <c r="CL295" s="9" t="s">
        <v>2077</v>
      </c>
      <c r="CM295" s="9"/>
      <c r="CN295" s="9">
        <v>0</v>
      </c>
      <c r="CO295" s="9" t="s">
        <v>1925</v>
      </c>
      <c r="CP295" s="9"/>
      <c r="CQ295" s="9">
        <v>0</v>
      </c>
    </row>
    <row r="296" spans="1:95" x14ac:dyDescent="0.35">
      <c r="A296" s="9" t="b">
        <f>ISNUMBER(MATCH(Claude[[#This Row],[Id]],ChargentOrders[Id],0))</f>
        <v>1</v>
      </c>
      <c r="B296" t="b">
        <f>INDEX(ChargentOrders[VALIDO],MATCH(Claude[[#This Row],[Id]],ChargentOrders[Id],0))</f>
        <v>1</v>
      </c>
      <c r="C296">
        <f>INDEX(Contract[CB_Subscription__c],MATCH(Claude[[#This Row],[Contract__c]],Contract[Id],0))</f>
        <v>0</v>
      </c>
      <c r="D296" s="9" t="s">
        <v>942</v>
      </c>
      <c r="E296" s="9" t="s">
        <v>79</v>
      </c>
      <c r="F296" s="9">
        <v>0</v>
      </c>
      <c r="G296" s="9" t="s">
        <v>943</v>
      </c>
      <c r="H296" s="9">
        <v>46070.654791666668</v>
      </c>
      <c r="I296" s="9" t="s">
        <v>78</v>
      </c>
      <c r="J296" s="9">
        <v>46080.432349537034</v>
      </c>
      <c r="K296" s="9" t="s">
        <v>65</v>
      </c>
      <c r="L296" s="9">
        <v>46080.432349537034</v>
      </c>
      <c r="M296" s="9"/>
      <c r="N296" s="9" t="s">
        <v>1654</v>
      </c>
      <c r="O296" s="9" t="s">
        <v>2065</v>
      </c>
      <c r="P296" s="9" t="s">
        <v>2066</v>
      </c>
      <c r="Q296" s="9" t="s">
        <v>1925</v>
      </c>
      <c r="R296" s="9" t="s">
        <v>1652</v>
      </c>
      <c r="S296" s="9" t="s">
        <v>2067</v>
      </c>
      <c r="T296" s="9" t="s">
        <v>2068</v>
      </c>
      <c r="U296" s="9" t="s">
        <v>1928</v>
      </c>
      <c r="V296" s="9">
        <v>961</v>
      </c>
      <c r="W296" s="9">
        <v>10</v>
      </c>
      <c r="X296" s="9">
        <v>2028</v>
      </c>
      <c r="Y296" s="9">
        <v>1352</v>
      </c>
      <c r="Z296" s="9">
        <v>10</v>
      </c>
      <c r="AA296" s="9">
        <v>1352</v>
      </c>
      <c r="AB296" s="9" t="s">
        <v>66</v>
      </c>
      <c r="AC296" s="9">
        <v>2028</v>
      </c>
      <c r="AD296" s="9" t="s">
        <v>1970</v>
      </c>
      <c r="AE296" s="9"/>
      <c r="AF296" s="9" t="s">
        <v>1929</v>
      </c>
      <c r="AG296" s="9"/>
      <c r="AH296" s="9" t="s">
        <v>67</v>
      </c>
      <c r="AI296" s="9">
        <v>0</v>
      </c>
      <c r="AJ296" s="9"/>
      <c r="AK296" s="9">
        <v>0</v>
      </c>
      <c r="AL296" s="9" t="s">
        <v>1930</v>
      </c>
      <c r="AM296" s="9">
        <v>1</v>
      </c>
      <c r="AN296" s="9">
        <v>46080</v>
      </c>
      <c r="AO296" s="9" t="s">
        <v>1931</v>
      </c>
      <c r="AP296" s="9" t="s">
        <v>69</v>
      </c>
      <c r="AQ296" s="9" t="s">
        <v>1932</v>
      </c>
      <c r="AR296" s="9">
        <v>46080</v>
      </c>
      <c r="AS296" s="9" t="s">
        <v>74</v>
      </c>
      <c r="AT296" s="9" t="s">
        <v>1935</v>
      </c>
      <c r="AU296" s="9" t="s">
        <v>1970</v>
      </c>
      <c r="AV296" s="9">
        <v>0</v>
      </c>
      <c r="AW296" s="9" t="s">
        <v>92</v>
      </c>
      <c r="AX296" s="9" t="s">
        <v>429</v>
      </c>
      <c r="AY296" s="9">
        <v>0</v>
      </c>
      <c r="AZ296" s="9">
        <v>46080.432233796295</v>
      </c>
      <c r="BA296" s="9">
        <v>46080.432314814818</v>
      </c>
      <c r="BB296" s="9">
        <v>1</v>
      </c>
      <c r="BC296" s="9">
        <v>4</v>
      </c>
      <c r="BD296" s="9" t="s">
        <v>94</v>
      </c>
      <c r="BE296" s="9" t="s">
        <v>424</v>
      </c>
      <c r="BF296" s="9" t="s">
        <v>71</v>
      </c>
      <c r="BG296" s="9"/>
      <c r="BH296" s="9">
        <v>0</v>
      </c>
      <c r="BI296" s="9"/>
      <c r="BJ296" s="9"/>
      <c r="BK296" s="9" t="s">
        <v>92</v>
      </c>
      <c r="BL296" s="9" t="s">
        <v>92</v>
      </c>
      <c r="BM296" s="9" t="s">
        <v>72</v>
      </c>
      <c r="BN296" s="9"/>
      <c r="BO296" s="9">
        <v>1</v>
      </c>
      <c r="BP296" s="9" t="s">
        <v>944</v>
      </c>
      <c r="BQ296" s="9">
        <v>0</v>
      </c>
      <c r="BR296" s="9">
        <v>45894.594756944447</v>
      </c>
      <c r="BS296" s="9" t="s">
        <v>109</v>
      </c>
      <c r="BT296" s="9" t="s">
        <v>78</v>
      </c>
      <c r="BU296" s="9"/>
      <c r="BV296" s="9"/>
      <c r="BW296" s="9">
        <v>0</v>
      </c>
      <c r="BX296" s="9">
        <v>46079.425798611112</v>
      </c>
      <c r="BY296" s="9">
        <v>46080.432233796295</v>
      </c>
      <c r="BZ296" s="9"/>
      <c r="CA296" s="9"/>
      <c r="CB296" s="9"/>
      <c r="CC296" s="9"/>
      <c r="CD296" s="9"/>
      <c r="CE296" s="9"/>
      <c r="CF296" s="9"/>
      <c r="CG296" s="9"/>
      <c r="CH296" s="9">
        <v>1</v>
      </c>
      <c r="CI296" s="9">
        <v>0</v>
      </c>
      <c r="CJ296" s="9"/>
      <c r="CK296" s="9"/>
      <c r="CL296" s="9" t="s">
        <v>2069</v>
      </c>
      <c r="CM296" s="9"/>
      <c r="CN296" s="9">
        <v>0</v>
      </c>
      <c r="CO296" s="9" t="s">
        <v>1925</v>
      </c>
      <c r="CP296" s="9"/>
      <c r="CQ296" s="9"/>
    </row>
    <row r="297" spans="1:95" x14ac:dyDescent="0.35">
      <c r="A297" s="9" t="b">
        <f>ISNUMBER(MATCH(Claude[[#This Row],[Id]],ChargentOrders[Id],0))</f>
        <v>1</v>
      </c>
      <c r="B297" t="b">
        <f>INDEX(ChargentOrders[VALIDO],MATCH(Claude[[#This Row],[Id]],ChargentOrders[Id],0))</f>
        <v>1</v>
      </c>
      <c r="C297">
        <f>INDEX(Contract[CB_Subscription__c],MATCH(Claude[[#This Row],[Contract__c]],Contract[Id],0))</f>
        <v>0</v>
      </c>
      <c r="D297" s="9" t="s">
        <v>945</v>
      </c>
      <c r="E297" s="9" t="s">
        <v>79</v>
      </c>
      <c r="F297" s="9">
        <v>0</v>
      </c>
      <c r="G297" s="9" t="s">
        <v>946</v>
      </c>
      <c r="H297" s="9">
        <v>46070.654791666668</v>
      </c>
      <c r="I297" s="9" t="s">
        <v>78</v>
      </c>
      <c r="J297" s="9">
        <v>46217.738564814812</v>
      </c>
      <c r="K297" s="9" t="s">
        <v>78</v>
      </c>
      <c r="L297" s="9">
        <v>46217.738564814812</v>
      </c>
      <c r="M297" s="9"/>
      <c r="N297" s="9" t="s">
        <v>1596</v>
      </c>
      <c r="O297" s="9" t="s">
        <v>1997</v>
      </c>
      <c r="P297" s="9" t="s">
        <v>1990</v>
      </c>
      <c r="Q297" s="9" t="s">
        <v>1925</v>
      </c>
      <c r="R297" s="9" t="s">
        <v>1594</v>
      </c>
      <c r="S297" s="9" t="s">
        <v>1998</v>
      </c>
      <c r="T297" s="9" t="s">
        <v>1999</v>
      </c>
      <c r="U297" s="9" t="s">
        <v>1928</v>
      </c>
      <c r="V297" s="9">
        <v>901</v>
      </c>
      <c r="W297" s="9">
        <v>2</v>
      </c>
      <c r="X297" s="9">
        <v>2026</v>
      </c>
      <c r="Y297" s="9">
        <v>7405</v>
      </c>
      <c r="Z297" s="9">
        <v>2</v>
      </c>
      <c r="AA297" s="9">
        <v>7405</v>
      </c>
      <c r="AB297" s="9" t="s">
        <v>73</v>
      </c>
      <c r="AC297" s="9">
        <v>2026</v>
      </c>
      <c r="AD297" s="9" t="s">
        <v>1952</v>
      </c>
      <c r="AE297" s="9"/>
      <c r="AF297" s="9" t="s">
        <v>1929</v>
      </c>
      <c r="AG297" s="9"/>
      <c r="AH297" s="9" t="s">
        <v>67</v>
      </c>
      <c r="AI297" s="9">
        <v>0</v>
      </c>
      <c r="AJ297" s="9"/>
      <c r="AK297" s="9">
        <v>0</v>
      </c>
      <c r="AL297" s="9" t="s">
        <v>1930</v>
      </c>
      <c r="AM297" s="9">
        <v>1</v>
      </c>
      <c r="AN297" s="9">
        <v>46212</v>
      </c>
      <c r="AO297" s="9" t="s">
        <v>1931</v>
      </c>
      <c r="AP297" s="9" t="s">
        <v>69</v>
      </c>
      <c r="AQ297" s="9" t="s">
        <v>1932</v>
      </c>
      <c r="AR297" s="9">
        <v>46212</v>
      </c>
      <c r="AS297" s="9" t="s">
        <v>84</v>
      </c>
      <c r="AT297" s="9" t="s">
        <v>1935</v>
      </c>
      <c r="AU297" s="9" t="s">
        <v>1952</v>
      </c>
      <c r="AV297" s="9">
        <v>0</v>
      </c>
      <c r="AW297" s="9" t="s">
        <v>92</v>
      </c>
      <c r="AX297" s="9" t="s">
        <v>252</v>
      </c>
      <c r="AY297" s="9">
        <v>0</v>
      </c>
      <c r="AZ297" s="9"/>
      <c r="BA297" s="9"/>
      <c r="BB297" s="9">
        <v>0</v>
      </c>
      <c r="BC297" s="9">
        <v>63</v>
      </c>
      <c r="BD297" s="9">
        <v>0</v>
      </c>
      <c r="BE297" s="9" t="s">
        <v>253</v>
      </c>
      <c r="BF297" s="9" t="s">
        <v>71</v>
      </c>
      <c r="BG297" s="9"/>
      <c r="BH297" s="9">
        <v>0</v>
      </c>
      <c r="BI297" s="9"/>
      <c r="BJ297" s="9">
        <v>10</v>
      </c>
      <c r="BK297" s="9" t="s">
        <v>92</v>
      </c>
      <c r="BL297" s="9" t="s">
        <v>92</v>
      </c>
      <c r="BM297" s="9" t="s">
        <v>72</v>
      </c>
      <c r="BN297" s="9"/>
      <c r="BO297" s="9">
        <v>1</v>
      </c>
      <c r="BP297" s="9" t="s">
        <v>947</v>
      </c>
      <c r="BQ297" s="9">
        <v>0</v>
      </c>
      <c r="BR297" s="9">
        <v>45723.426469907405</v>
      </c>
      <c r="BS297" s="9" t="s">
        <v>109</v>
      </c>
      <c r="BT297" s="9" t="s">
        <v>78</v>
      </c>
      <c r="BU297" s="9"/>
      <c r="BV297" s="9"/>
      <c r="BW297" s="9">
        <v>0</v>
      </c>
      <c r="BX297" s="9">
        <v>46209.417939814812</v>
      </c>
      <c r="BY297" s="9">
        <v>46209.417939814812</v>
      </c>
      <c r="BZ297" s="9"/>
      <c r="CA297" s="9"/>
      <c r="CB297" s="9"/>
      <c r="CC297" s="9"/>
      <c r="CD297" s="9"/>
      <c r="CE297" s="9"/>
      <c r="CF297" s="9"/>
      <c r="CG297" s="9"/>
      <c r="CH297" s="9">
        <v>1</v>
      </c>
      <c r="CI297" s="9">
        <v>0</v>
      </c>
      <c r="CJ297" s="9"/>
      <c r="CK297" s="9"/>
      <c r="CL297" s="9" t="s">
        <v>2000</v>
      </c>
      <c r="CM297" s="9"/>
      <c r="CN297" s="9">
        <v>0</v>
      </c>
      <c r="CO297" s="9" t="s">
        <v>1925</v>
      </c>
      <c r="CP297" s="9"/>
      <c r="CQ297" s="9">
        <v>0</v>
      </c>
    </row>
    <row r="298" spans="1:95" x14ac:dyDescent="0.35">
      <c r="A298" s="9" t="b">
        <f>ISNUMBER(MATCH(Claude[[#This Row],[Id]],ChargentOrders[Id],0))</f>
        <v>1</v>
      </c>
      <c r="B298" t="b">
        <f>INDEX(ChargentOrders[VALIDO],MATCH(Claude[[#This Row],[Id]],ChargentOrders[Id],0))</f>
        <v>1</v>
      </c>
      <c r="C298">
        <f>INDEX(Contract[CB_Subscription__c],MATCH(Claude[[#This Row],[Contract__c]],Contract[Id],0))</f>
        <v>0</v>
      </c>
      <c r="D298" s="9" t="s">
        <v>948</v>
      </c>
      <c r="E298" s="9" t="s">
        <v>155</v>
      </c>
      <c r="F298" s="9">
        <v>0</v>
      </c>
      <c r="G298" s="9" t="s">
        <v>949</v>
      </c>
      <c r="H298" s="9">
        <v>46070.73337962963</v>
      </c>
      <c r="I298" s="9" t="s">
        <v>155</v>
      </c>
      <c r="J298" s="9">
        <v>46070.733437499999</v>
      </c>
      <c r="K298" s="9" t="s">
        <v>155</v>
      </c>
      <c r="L298" s="9">
        <v>46070.733437499999</v>
      </c>
      <c r="M298" s="9"/>
      <c r="N298" s="9"/>
      <c r="O298" s="9" t="s">
        <v>2264</v>
      </c>
      <c r="P298" s="9" t="s">
        <v>2066</v>
      </c>
      <c r="Q298" s="9" t="s">
        <v>1925</v>
      </c>
      <c r="R298" s="9" t="s">
        <v>1816</v>
      </c>
      <c r="S298" s="9" t="s">
        <v>2265</v>
      </c>
      <c r="T298" s="9" t="s">
        <v>2266</v>
      </c>
      <c r="U298" s="9" t="s">
        <v>1928</v>
      </c>
      <c r="V298" s="9">
        <v>956</v>
      </c>
      <c r="W298" s="9">
        <v>11</v>
      </c>
      <c r="X298" s="9">
        <v>2030</v>
      </c>
      <c r="Y298" s="9">
        <v>8794</v>
      </c>
      <c r="Z298" s="9">
        <v>11</v>
      </c>
      <c r="AA298" s="9">
        <v>4549519108118790</v>
      </c>
      <c r="AB298" s="9" t="s">
        <v>73</v>
      </c>
      <c r="AC298" s="9">
        <v>2030</v>
      </c>
      <c r="AD298" s="9" t="s">
        <v>93</v>
      </c>
      <c r="AE298" s="9"/>
      <c r="AF298" s="9" t="s">
        <v>1929</v>
      </c>
      <c r="AG298" s="9"/>
      <c r="AH298" s="9" t="s">
        <v>67</v>
      </c>
      <c r="AI298" s="9">
        <v>0</v>
      </c>
      <c r="AJ298" s="9"/>
      <c r="AK298" s="9">
        <v>0</v>
      </c>
      <c r="AL298" s="9" t="s">
        <v>1930</v>
      </c>
      <c r="AM298" s="9"/>
      <c r="AN298" s="9"/>
      <c r="AO298" s="9" t="s">
        <v>1931</v>
      </c>
      <c r="AP298" s="9" t="s">
        <v>69</v>
      </c>
      <c r="AQ298" s="9" t="s">
        <v>1932</v>
      </c>
      <c r="AR298" s="9"/>
      <c r="AS298" s="9"/>
      <c r="AT298" s="9"/>
      <c r="AU298" s="9" t="s">
        <v>92</v>
      </c>
      <c r="AV298" s="9">
        <v>0</v>
      </c>
      <c r="AW298" s="9"/>
      <c r="AX298" s="9" t="s">
        <v>950</v>
      </c>
      <c r="AY298" s="9">
        <v>0</v>
      </c>
      <c r="AZ298" s="9"/>
      <c r="BA298" s="9">
        <v>46070.733402777776</v>
      </c>
      <c r="BB298" s="9">
        <v>0</v>
      </c>
      <c r="BC298" s="9">
        <v>1</v>
      </c>
      <c r="BD298" s="9">
        <v>0</v>
      </c>
      <c r="BE298" s="9" t="s">
        <v>951</v>
      </c>
      <c r="BF298" s="9"/>
      <c r="BG298" s="9"/>
      <c r="BH298" s="9">
        <v>0</v>
      </c>
      <c r="BI298" s="9"/>
      <c r="BJ298" s="9">
        <v>1</v>
      </c>
      <c r="BK298" s="9"/>
      <c r="BL298" s="9"/>
      <c r="BM298" s="9" t="s">
        <v>75</v>
      </c>
      <c r="BN298" s="9"/>
      <c r="BO298" s="9">
        <v>0</v>
      </c>
      <c r="BP298" s="9"/>
      <c r="BQ298" s="9">
        <v>1</v>
      </c>
      <c r="BR298" s="9"/>
      <c r="BS298" s="9"/>
      <c r="BT298" s="9"/>
      <c r="BU298" s="9"/>
      <c r="BV298" s="9"/>
      <c r="BW298" s="9">
        <v>0</v>
      </c>
      <c r="BX298" s="9"/>
      <c r="BY298" s="9">
        <v>46070.733402777776</v>
      </c>
      <c r="BZ298" s="9"/>
      <c r="CA298" s="9"/>
      <c r="CB298" s="9"/>
      <c r="CC298" s="9"/>
      <c r="CD298" s="9"/>
      <c r="CE298" s="9"/>
      <c r="CF298" s="9"/>
      <c r="CG298" s="9"/>
      <c r="CH298" s="9">
        <v>1</v>
      </c>
      <c r="CI298" s="9">
        <v>0</v>
      </c>
      <c r="CJ298" s="9"/>
      <c r="CK298" s="9"/>
      <c r="CL298" s="9" t="s">
        <v>2267</v>
      </c>
      <c r="CM298" s="9"/>
      <c r="CN298" s="9">
        <v>0</v>
      </c>
      <c r="CO298" s="9" t="s">
        <v>1925</v>
      </c>
      <c r="CP298" s="9"/>
      <c r="CQ298" s="9"/>
    </row>
    <row r="299" spans="1:95" x14ac:dyDescent="0.35">
      <c r="A299" s="9" t="b">
        <f>ISNUMBER(MATCH(Claude[[#This Row],[Id]],ChargentOrders[Id],0))</f>
        <v>1</v>
      </c>
      <c r="B299" t="b">
        <f>INDEX(ChargentOrders[VALIDO],MATCH(Claude[[#This Row],[Id]],ChargentOrders[Id],0))</f>
        <v>1</v>
      </c>
      <c r="C299">
        <f>INDEX(Contract[CB_Subscription__c],MATCH(Claude[[#This Row],[Contract__c]],Contract[Id],0))</f>
        <v>0</v>
      </c>
      <c r="D299" s="9" t="s">
        <v>952</v>
      </c>
      <c r="E299" s="9" t="s">
        <v>155</v>
      </c>
      <c r="F299" s="9">
        <v>0</v>
      </c>
      <c r="G299" s="9" t="s">
        <v>953</v>
      </c>
      <c r="H299" s="9">
        <v>46070.734166666669</v>
      </c>
      <c r="I299" s="9" t="s">
        <v>155</v>
      </c>
      <c r="J299" s="9">
        <v>46073.428472222222</v>
      </c>
      <c r="K299" s="9" t="s">
        <v>65</v>
      </c>
      <c r="L299" s="9">
        <v>46073.428472222222</v>
      </c>
      <c r="M299" s="9"/>
      <c r="N299" s="9" t="s">
        <v>1818</v>
      </c>
      <c r="O299" s="9" t="s">
        <v>2264</v>
      </c>
      <c r="P299" s="9" t="s">
        <v>2066</v>
      </c>
      <c r="Q299" s="9" t="s">
        <v>1925</v>
      </c>
      <c r="R299" s="9" t="s">
        <v>1816</v>
      </c>
      <c r="S299" s="9" t="s">
        <v>2265</v>
      </c>
      <c r="T299" s="9" t="s">
        <v>2266</v>
      </c>
      <c r="U299" s="9" t="s">
        <v>1928</v>
      </c>
      <c r="V299" s="9">
        <v>956</v>
      </c>
      <c r="W299" s="9">
        <v>11</v>
      </c>
      <c r="X299" s="9">
        <v>2030</v>
      </c>
      <c r="Y299" s="9">
        <v>8794</v>
      </c>
      <c r="Z299" s="9">
        <v>11</v>
      </c>
      <c r="AA299" s="9">
        <v>4549519108118790</v>
      </c>
      <c r="AB299" s="9" t="s">
        <v>73</v>
      </c>
      <c r="AC299" s="9">
        <v>2030</v>
      </c>
      <c r="AD299" s="9" t="s">
        <v>2268</v>
      </c>
      <c r="AE299" s="9"/>
      <c r="AF299" s="9" t="s">
        <v>1929</v>
      </c>
      <c r="AG299" s="9"/>
      <c r="AH299" s="9" t="s">
        <v>67</v>
      </c>
      <c r="AI299" s="9">
        <v>0</v>
      </c>
      <c r="AJ299" s="9"/>
      <c r="AK299" s="9">
        <v>0</v>
      </c>
      <c r="AL299" s="9" t="s">
        <v>1930</v>
      </c>
      <c r="AM299" s="9">
        <v>1</v>
      </c>
      <c r="AN299" s="9">
        <v>46073</v>
      </c>
      <c r="AO299" s="9" t="s">
        <v>1931</v>
      </c>
      <c r="AP299" s="9" t="s">
        <v>69</v>
      </c>
      <c r="AQ299" s="9" t="s">
        <v>1932</v>
      </c>
      <c r="AR299" s="9">
        <v>46073</v>
      </c>
      <c r="AS299" s="9" t="s">
        <v>74</v>
      </c>
      <c r="AT299" s="9" t="s">
        <v>1935</v>
      </c>
      <c r="AU299" s="9" t="s">
        <v>2268</v>
      </c>
      <c r="AV299" s="9">
        <v>0</v>
      </c>
      <c r="AW299" s="9" t="s">
        <v>92</v>
      </c>
      <c r="AX299" s="9" t="s">
        <v>950</v>
      </c>
      <c r="AY299" s="9">
        <v>0</v>
      </c>
      <c r="AZ299" s="9"/>
      <c r="BA299" s="9"/>
      <c r="BB299" s="9">
        <v>0</v>
      </c>
      <c r="BC299" s="9">
        <v>1</v>
      </c>
      <c r="BD299" s="9">
        <v>0</v>
      </c>
      <c r="BE299" s="9" t="s">
        <v>951</v>
      </c>
      <c r="BF299" s="9" t="s">
        <v>77</v>
      </c>
      <c r="BG299" s="9"/>
      <c r="BH299" s="9">
        <v>0</v>
      </c>
      <c r="BI299" s="9"/>
      <c r="BJ299" s="9">
        <v>1</v>
      </c>
      <c r="BK299" s="9" t="s">
        <v>92</v>
      </c>
      <c r="BL299" s="9" t="s">
        <v>92</v>
      </c>
      <c r="BM299" s="9" t="s">
        <v>75</v>
      </c>
      <c r="BN299" s="9"/>
      <c r="BO299" s="9">
        <v>0</v>
      </c>
      <c r="BP299" s="9"/>
      <c r="BQ299" s="9">
        <v>0</v>
      </c>
      <c r="BR299" s="9"/>
      <c r="BS299" s="9"/>
      <c r="BT299" s="9"/>
      <c r="BU299" s="9"/>
      <c r="BV299" s="9"/>
      <c r="BW299" s="9">
        <v>0</v>
      </c>
      <c r="BX299" s="9">
        <v>46073.428368055553</v>
      </c>
      <c r="BY299" s="9">
        <v>46073.428368055553</v>
      </c>
      <c r="BZ299" s="9"/>
      <c r="CA299" s="9"/>
      <c r="CB299" s="9"/>
      <c r="CC299" s="9"/>
      <c r="CD299" s="9"/>
      <c r="CE299" s="9"/>
      <c r="CF299" s="9"/>
      <c r="CG299" s="9"/>
      <c r="CH299" s="9">
        <v>1</v>
      </c>
      <c r="CI299" s="9">
        <v>0</v>
      </c>
      <c r="CJ299" s="9"/>
      <c r="CK299" s="9"/>
      <c r="CL299" s="9" t="s">
        <v>2267</v>
      </c>
      <c r="CM299" s="9"/>
      <c r="CN299" s="9">
        <v>0</v>
      </c>
      <c r="CO299" s="9" t="s">
        <v>1925</v>
      </c>
      <c r="CP299" s="9"/>
      <c r="CQ299" s="9"/>
    </row>
    <row r="300" spans="1:95" x14ac:dyDescent="0.35">
      <c r="A300" s="9" t="b">
        <f>ISNUMBER(MATCH(Claude[[#This Row],[Id]],ChargentOrders[Id],0))</f>
        <v>1</v>
      </c>
      <c r="B300" t="b">
        <f>INDEX(ChargentOrders[VALIDO],MATCH(Claude[[#This Row],[Id]],ChargentOrders[Id],0))</f>
        <v>1</v>
      </c>
      <c r="C300">
        <f>INDEX(Contract[CB_Subscription__c],MATCH(Claude[[#This Row],[Contract__c]],Contract[Id],0))</f>
        <v>0</v>
      </c>
      <c r="D300" s="9" t="s">
        <v>954</v>
      </c>
      <c r="E300" s="9" t="s">
        <v>155</v>
      </c>
      <c r="F300" s="9">
        <v>0</v>
      </c>
      <c r="G300" s="9" t="s">
        <v>955</v>
      </c>
      <c r="H300" s="9">
        <v>46073.428449074076</v>
      </c>
      <c r="I300" s="9" t="s">
        <v>65</v>
      </c>
      <c r="J300" s="9">
        <v>46073.854016203702</v>
      </c>
      <c r="K300" s="9" t="s">
        <v>155</v>
      </c>
      <c r="L300" s="9">
        <v>46073.854016203702</v>
      </c>
      <c r="M300" s="9"/>
      <c r="N300" s="9" t="s">
        <v>1818</v>
      </c>
      <c r="O300" s="9" t="s">
        <v>2264</v>
      </c>
      <c r="P300" s="9" t="s">
        <v>2066</v>
      </c>
      <c r="Q300" s="9" t="s">
        <v>1925</v>
      </c>
      <c r="R300" s="9" t="s">
        <v>1816</v>
      </c>
      <c r="S300" s="9" t="s">
        <v>2265</v>
      </c>
      <c r="T300" s="9" t="s">
        <v>2266</v>
      </c>
      <c r="U300" s="9" t="s">
        <v>1928</v>
      </c>
      <c r="V300" s="9">
        <v>956</v>
      </c>
      <c r="W300" s="9">
        <v>11</v>
      </c>
      <c r="X300" s="9">
        <v>2030</v>
      </c>
      <c r="Y300" s="9">
        <v>8794</v>
      </c>
      <c r="Z300" s="9">
        <v>11</v>
      </c>
      <c r="AA300" s="9">
        <v>4549519108118790</v>
      </c>
      <c r="AB300" s="9" t="s">
        <v>73</v>
      </c>
      <c r="AC300" s="9">
        <v>2030</v>
      </c>
      <c r="AD300" s="9" t="s">
        <v>2269</v>
      </c>
      <c r="AE300" s="9"/>
      <c r="AF300" s="9" t="s">
        <v>1929</v>
      </c>
      <c r="AG300" s="9"/>
      <c r="AH300" s="9" t="s">
        <v>67</v>
      </c>
      <c r="AI300" s="9">
        <v>0</v>
      </c>
      <c r="AJ300" s="9"/>
      <c r="AK300" s="9">
        <v>0</v>
      </c>
      <c r="AL300" s="9" t="s">
        <v>1930</v>
      </c>
      <c r="AM300" s="9">
        <v>1</v>
      </c>
      <c r="AN300" s="9">
        <v>46076</v>
      </c>
      <c r="AO300" s="9" t="s">
        <v>1931</v>
      </c>
      <c r="AP300" s="9" t="s">
        <v>69</v>
      </c>
      <c r="AQ300" s="9" t="s">
        <v>1932</v>
      </c>
      <c r="AR300" s="9">
        <v>46076</v>
      </c>
      <c r="AS300" s="9" t="s">
        <v>74</v>
      </c>
      <c r="AT300" s="9" t="s">
        <v>1935</v>
      </c>
      <c r="AU300" s="9" t="s">
        <v>2268</v>
      </c>
      <c r="AV300" s="9">
        <v>0</v>
      </c>
      <c r="AW300" s="9" t="s">
        <v>93</v>
      </c>
      <c r="AX300" s="9" t="s">
        <v>950</v>
      </c>
      <c r="AY300" s="9">
        <v>0</v>
      </c>
      <c r="AZ300" s="9">
        <v>46073.853958333333</v>
      </c>
      <c r="BA300" s="9">
        <v>46073.853958333333</v>
      </c>
      <c r="BB300" s="9">
        <v>1</v>
      </c>
      <c r="BC300" s="9">
        <v>1</v>
      </c>
      <c r="BD300" s="9" t="s">
        <v>2269</v>
      </c>
      <c r="BE300" s="9" t="s">
        <v>951</v>
      </c>
      <c r="BF300" s="9" t="s">
        <v>71</v>
      </c>
      <c r="BG300" s="9"/>
      <c r="BH300" s="9">
        <v>0</v>
      </c>
      <c r="BI300" s="9"/>
      <c r="BJ300" s="9"/>
      <c r="BK300" s="9" t="s">
        <v>92</v>
      </c>
      <c r="BL300" s="9" t="s">
        <v>92</v>
      </c>
      <c r="BM300" s="9" t="s">
        <v>72</v>
      </c>
      <c r="BN300" s="9"/>
      <c r="BO300" s="9">
        <v>0</v>
      </c>
      <c r="BP300" s="9" t="s">
        <v>956</v>
      </c>
      <c r="BQ300" s="9">
        <v>0</v>
      </c>
      <c r="BR300" s="9">
        <v>46073.831076388888</v>
      </c>
      <c r="BS300" s="9">
        <v>0</v>
      </c>
      <c r="BT300" s="9" t="s">
        <v>65</v>
      </c>
      <c r="BU300" s="9"/>
      <c r="BV300" s="9"/>
      <c r="BW300" s="9">
        <v>0</v>
      </c>
      <c r="BX300" s="9"/>
      <c r="BY300" s="9">
        <v>46073.853958333333</v>
      </c>
      <c r="BZ300" s="9"/>
      <c r="CA300" s="9"/>
      <c r="CB300" s="9"/>
      <c r="CC300" s="9"/>
      <c r="CD300" s="9"/>
      <c r="CE300" s="9"/>
      <c r="CF300" s="9"/>
      <c r="CG300" s="9"/>
      <c r="CH300" s="9">
        <v>1</v>
      </c>
      <c r="CI300" s="9">
        <v>0</v>
      </c>
      <c r="CJ300" s="9"/>
      <c r="CK300" s="9"/>
      <c r="CL300" s="9" t="s">
        <v>2267</v>
      </c>
      <c r="CM300" s="9"/>
      <c r="CN300" s="9">
        <v>0</v>
      </c>
      <c r="CO300" s="9" t="s">
        <v>1925</v>
      </c>
      <c r="CP300" s="9"/>
      <c r="CQ300" s="9"/>
    </row>
    <row r="301" spans="1:95" x14ac:dyDescent="0.35">
      <c r="A301" s="9" t="b">
        <f>ISNUMBER(MATCH(Claude[[#This Row],[Id]],ChargentOrders[Id],0))</f>
        <v>1</v>
      </c>
      <c r="B301" t="b">
        <f>INDEX(ChargentOrders[VALIDO],MATCH(Claude[[#This Row],[Id]],ChargentOrders[Id],0))</f>
        <v>1</v>
      </c>
      <c r="C301">
        <f>INDEX(Contract[CB_Subscription__c],MATCH(Claude[[#This Row],[Contract__c]],Contract[Id],0))</f>
        <v>0</v>
      </c>
      <c r="D301" s="9" t="s">
        <v>957</v>
      </c>
      <c r="E301" s="9" t="s">
        <v>155</v>
      </c>
      <c r="F301" s="9">
        <v>0</v>
      </c>
      <c r="G301" s="9" t="s">
        <v>958</v>
      </c>
      <c r="H301" s="9">
        <v>46073.597083333334</v>
      </c>
      <c r="I301" s="9" t="s">
        <v>101</v>
      </c>
      <c r="J301" s="9">
        <v>46086.675775462965</v>
      </c>
      <c r="K301" s="9" t="s">
        <v>102</v>
      </c>
      <c r="L301" s="9">
        <v>46086.675775462965</v>
      </c>
      <c r="M301" s="9"/>
      <c r="N301" s="9" t="s">
        <v>1748</v>
      </c>
      <c r="O301" s="9" t="s">
        <v>2178</v>
      </c>
      <c r="P301" s="9" t="s">
        <v>2179</v>
      </c>
      <c r="Q301" s="9" t="s">
        <v>2180</v>
      </c>
      <c r="R301" s="9" t="s">
        <v>1746</v>
      </c>
      <c r="S301" s="9" t="s">
        <v>2045</v>
      </c>
      <c r="T301" s="9" t="s">
        <v>2181</v>
      </c>
      <c r="U301" s="9" t="s">
        <v>2182</v>
      </c>
      <c r="V301" s="9">
        <v>32822</v>
      </c>
      <c r="W301" s="9">
        <v>2</v>
      </c>
      <c r="X301" s="9">
        <v>2029</v>
      </c>
      <c r="Y301" s="9">
        <v>7328</v>
      </c>
      <c r="Z301" s="9">
        <v>2</v>
      </c>
      <c r="AA301" s="9"/>
      <c r="AB301" s="9" t="s">
        <v>73</v>
      </c>
      <c r="AC301" s="9">
        <v>2029</v>
      </c>
      <c r="AD301" s="9" t="s">
        <v>2220</v>
      </c>
      <c r="AE301" s="9"/>
      <c r="AF301" s="9" t="s">
        <v>1929</v>
      </c>
      <c r="AG301" s="9"/>
      <c r="AH301" s="9" t="s">
        <v>107</v>
      </c>
      <c r="AI301" s="9">
        <v>0</v>
      </c>
      <c r="AJ301" s="9"/>
      <c r="AK301" s="9">
        <v>0</v>
      </c>
      <c r="AL301" s="9" t="s">
        <v>1930</v>
      </c>
      <c r="AM301" s="9">
        <v>1</v>
      </c>
      <c r="AN301" s="9">
        <v>46087</v>
      </c>
      <c r="AO301" s="9" t="s">
        <v>1931</v>
      </c>
      <c r="AP301" s="9" t="s">
        <v>69</v>
      </c>
      <c r="AQ301" s="9" t="s">
        <v>1932</v>
      </c>
      <c r="AR301" s="9">
        <v>46087</v>
      </c>
      <c r="AS301" s="9" t="s">
        <v>74</v>
      </c>
      <c r="AT301" s="9" t="s">
        <v>1935</v>
      </c>
      <c r="AU301" s="9" t="s">
        <v>167</v>
      </c>
      <c r="AV301" s="9">
        <v>0</v>
      </c>
      <c r="AW301" s="9" t="s">
        <v>93</v>
      </c>
      <c r="AX301" s="9" t="s">
        <v>959</v>
      </c>
      <c r="AY301" s="9">
        <v>0</v>
      </c>
      <c r="AZ301" s="9">
        <v>46086.675752314812</v>
      </c>
      <c r="BA301" s="9">
        <v>46086.675752314812</v>
      </c>
      <c r="BB301" s="9">
        <v>1</v>
      </c>
      <c r="BC301" s="9">
        <v>8</v>
      </c>
      <c r="BD301" s="9" t="s">
        <v>2220</v>
      </c>
      <c r="BE301" s="9" t="s">
        <v>717</v>
      </c>
      <c r="BF301" s="9" t="s">
        <v>71</v>
      </c>
      <c r="BG301" s="9"/>
      <c r="BH301" s="9">
        <v>0</v>
      </c>
      <c r="BI301" s="9"/>
      <c r="BJ301" s="9">
        <v>2</v>
      </c>
      <c r="BK301" s="9" t="s">
        <v>92</v>
      </c>
      <c r="BL301" s="9" t="s">
        <v>92</v>
      </c>
      <c r="BM301" s="9" t="s">
        <v>72</v>
      </c>
      <c r="BN301" s="9"/>
      <c r="BO301" s="9">
        <v>1</v>
      </c>
      <c r="BP301" s="9" t="s">
        <v>960</v>
      </c>
      <c r="BQ301" s="9">
        <v>0</v>
      </c>
      <c r="BR301" s="9">
        <v>46031.672777777778</v>
      </c>
      <c r="BS301" s="9" t="s">
        <v>109</v>
      </c>
      <c r="BT301" s="9" t="s">
        <v>101</v>
      </c>
      <c r="BU301" s="9"/>
      <c r="BV301" s="9"/>
      <c r="BW301" s="9">
        <v>0</v>
      </c>
      <c r="BX301" s="9"/>
      <c r="BY301" s="9">
        <v>46086.675752314812</v>
      </c>
      <c r="BZ301" s="9"/>
      <c r="CA301" s="9"/>
      <c r="CB301" s="9"/>
      <c r="CC301" s="9"/>
      <c r="CD301" s="9"/>
      <c r="CE301" s="9"/>
      <c r="CF301" s="9"/>
      <c r="CG301" s="9"/>
      <c r="CH301" s="9">
        <v>1</v>
      </c>
      <c r="CI301" s="9">
        <v>0</v>
      </c>
      <c r="CJ301" s="9"/>
      <c r="CK301" s="9"/>
      <c r="CL301" s="9" t="s">
        <v>2183</v>
      </c>
      <c r="CM301" s="9"/>
      <c r="CN301" s="9">
        <v>0</v>
      </c>
      <c r="CO301" s="9" t="s">
        <v>1925</v>
      </c>
      <c r="CP301" s="9"/>
      <c r="CQ301" s="9"/>
    </row>
    <row r="302" spans="1:95" x14ac:dyDescent="0.35">
      <c r="A302" s="9" t="b">
        <f>ISNUMBER(MATCH(Claude[[#This Row],[Id]],ChargentOrders[Id],0))</f>
        <v>1</v>
      </c>
      <c r="B302" t="b">
        <f>INDEX(ChargentOrders[VALIDO],MATCH(Claude[[#This Row],[Id]],ChargentOrders[Id],0))</f>
        <v>1</v>
      </c>
      <c r="C302">
        <f>INDEX(Contract[CB_Subscription__c],MATCH(Claude[[#This Row],[Contract__c]],Contract[Id],0))</f>
        <v>0</v>
      </c>
      <c r="D302" s="9" t="s">
        <v>961</v>
      </c>
      <c r="E302" s="9" t="s">
        <v>155</v>
      </c>
      <c r="F302" s="9">
        <v>0</v>
      </c>
      <c r="G302" s="9" t="s">
        <v>962</v>
      </c>
      <c r="H302" s="9">
        <v>46073.853981481479</v>
      </c>
      <c r="I302" s="9" t="s">
        <v>155</v>
      </c>
      <c r="J302" s="9">
        <v>46163.929722222223</v>
      </c>
      <c r="K302" s="9" t="s">
        <v>78</v>
      </c>
      <c r="L302" s="9">
        <v>46163.929722222223</v>
      </c>
      <c r="M302" s="9"/>
      <c r="N302" s="9" t="s">
        <v>1818</v>
      </c>
      <c r="O302" s="9" t="s">
        <v>2264</v>
      </c>
      <c r="P302" s="9" t="s">
        <v>2066</v>
      </c>
      <c r="Q302" s="9" t="s">
        <v>1925</v>
      </c>
      <c r="R302" s="9" t="s">
        <v>1816</v>
      </c>
      <c r="S302" s="9" t="s">
        <v>2265</v>
      </c>
      <c r="T302" s="9" t="s">
        <v>2266</v>
      </c>
      <c r="U302" s="9" t="s">
        <v>1928</v>
      </c>
      <c r="V302" s="9">
        <v>956</v>
      </c>
      <c r="W302" s="9">
        <v>11</v>
      </c>
      <c r="X302" s="9">
        <v>2030</v>
      </c>
      <c r="Y302" s="9">
        <v>8794</v>
      </c>
      <c r="Z302" s="9">
        <v>11</v>
      </c>
      <c r="AA302" s="9">
        <v>8794</v>
      </c>
      <c r="AB302" s="9" t="s">
        <v>73</v>
      </c>
      <c r="AC302" s="9">
        <v>2030</v>
      </c>
      <c r="AD302" s="9" t="s">
        <v>473</v>
      </c>
      <c r="AE302" s="9">
        <v>10</v>
      </c>
      <c r="AF302" s="9" t="s">
        <v>1929</v>
      </c>
      <c r="AG302" s="9"/>
      <c r="AH302" s="9" t="s">
        <v>67</v>
      </c>
      <c r="AI302" s="9">
        <v>0</v>
      </c>
      <c r="AJ302" s="9"/>
      <c r="AK302" s="9">
        <v>0</v>
      </c>
      <c r="AL302" s="9" t="s">
        <v>1930</v>
      </c>
      <c r="AM302" s="9"/>
      <c r="AN302" s="9"/>
      <c r="AO302" s="9" t="s">
        <v>1943</v>
      </c>
      <c r="AP302" s="9" t="s">
        <v>69</v>
      </c>
      <c r="AQ302" s="9" t="s">
        <v>1932</v>
      </c>
      <c r="AR302" s="9">
        <v>46183</v>
      </c>
      <c r="AS302" s="9" t="s">
        <v>613</v>
      </c>
      <c r="AT302" s="9" t="s">
        <v>1944</v>
      </c>
      <c r="AU302" s="9" t="s">
        <v>473</v>
      </c>
      <c r="AV302" s="9">
        <v>0</v>
      </c>
      <c r="AW302" s="9" t="s">
        <v>92</v>
      </c>
      <c r="AX302" s="9" t="s">
        <v>950</v>
      </c>
      <c r="AY302" s="9">
        <v>0</v>
      </c>
      <c r="AZ302" s="9">
        <v>46122.422951388886</v>
      </c>
      <c r="BA302" s="9">
        <v>46122.422974537039</v>
      </c>
      <c r="BB302" s="9">
        <v>2</v>
      </c>
      <c r="BC302" s="9">
        <v>3</v>
      </c>
      <c r="BD302" s="9" t="s">
        <v>2255</v>
      </c>
      <c r="BE302" s="9" t="s">
        <v>951</v>
      </c>
      <c r="BF302" s="9" t="s">
        <v>76</v>
      </c>
      <c r="BG302" s="9"/>
      <c r="BH302" s="9">
        <v>0</v>
      </c>
      <c r="BI302" s="9"/>
      <c r="BJ302" s="9">
        <v>4</v>
      </c>
      <c r="BK302" s="9" t="s">
        <v>92</v>
      </c>
      <c r="BL302" s="9" t="s">
        <v>92</v>
      </c>
      <c r="BM302" s="9" t="s">
        <v>75</v>
      </c>
      <c r="BN302" s="9"/>
      <c r="BO302" s="9">
        <v>0</v>
      </c>
      <c r="BP302" s="9"/>
      <c r="BQ302" s="9">
        <v>0</v>
      </c>
      <c r="BR302" s="9"/>
      <c r="BS302" s="9"/>
      <c r="BT302" s="9"/>
      <c r="BU302" s="9"/>
      <c r="BV302" s="9"/>
      <c r="BW302" s="9">
        <v>0</v>
      </c>
      <c r="BX302" s="9">
        <v>46150.422476851854</v>
      </c>
      <c r="BY302" s="9">
        <v>46150.422476851854</v>
      </c>
      <c r="BZ302" s="9"/>
      <c r="CA302" s="9"/>
      <c r="CB302" s="9"/>
      <c r="CC302" s="9"/>
      <c r="CD302" s="9"/>
      <c r="CE302" s="9"/>
      <c r="CF302" s="9"/>
      <c r="CG302" s="9"/>
      <c r="CH302" s="9">
        <v>1</v>
      </c>
      <c r="CI302" s="9">
        <v>0</v>
      </c>
      <c r="CJ302" s="9"/>
      <c r="CK302" s="9"/>
      <c r="CL302" s="9" t="s">
        <v>2267</v>
      </c>
      <c r="CM302" s="9"/>
      <c r="CN302" s="9">
        <v>0</v>
      </c>
      <c r="CO302" s="9" t="s">
        <v>1925</v>
      </c>
      <c r="CP302" s="9"/>
      <c r="CQ302" s="9">
        <v>0</v>
      </c>
    </row>
    <row r="303" spans="1:95" x14ac:dyDescent="0.35">
      <c r="A303" s="9" t="b">
        <f>ISNUMBER(MATCH(Claude[[#This Row],[Id]],ChargentOrders[Id],0))</f>
        <v>1</v>
      </c>
      <c r="B303" t="b">
        <f>INDEX(ChargentOrders[VALIDO],MATCH(Claude[[#This Row],[Id]],ChargentOrders[Id],0))</f>
        <v>1</v>
      </c>
      <c r="C303">
        <f>INDEX(Contract[CB_Subscription__c],MATCH(Claude[[#This Row],[Contract__c]],Contract[Id],0))</f>
        <v>0</v>
      </c>
      <c r="D303" s="9" t="s">
        <v>963</v>
      </c>
      <c r="E303" s="9" t="s">
        <v>155</v>
      </c>
      <c r="F303" s="9">
        <v>0</v>
      </c>
      <c r="G303" s="9" t="s">
        <v>964</v>
      </c>
      <c r="H303" s="9">
        <v>46079.422094907408</v>
      </c>
      <c r="I303" s="9" t="s">
        <v>65</v>
      </c>
      <c r="J303" s="9">
        <v>46217.738564814812</v>
      </c>
      <c r="K303" s="9" t="s">
        <v>78</v>
      </c>
      <c r="L303" s="9">
        <v>46217.738564814812</v>
      </c>
      <c r="M303" s="9"/>
      <c r="N303" s="9" t="s">
        <v>1763</v>
      </c>
      <c r="O303" s="9" t="s">
        <v>2198</v>
      </c>
      <c r="P303" s="9" t="s">
        <v>2199</v>
      </c>
      <c r="Q303" s="9" t="s">
        <v>1925</v>
      </c>
      <c r="R303" s="9" t="s">
        <v>1761</v>
      </c>
      <c r="S303" s="9" t="s">
        <v>2200</v>
      </c>
      <c r="T303" s="9" t="s">
        <v>2201</v>
      </c>
      <c r="U303" s="9" t="s">
        <v>1928</v>
      </c>
      <c r="V303" s="9">
        <v>784</v>
      </c>
      <c r="W303" s="9">
        <v>7</v>
      </c>
      <c r="X303" s="9">
        <v>2030</v>
      </c>
      <c r="Y303" s="9">
        <v>1311</v>
      </c>
      <c r="Z303" s="9">
        <v>7</v>
      </c>
      <c r="AA303" s="9">
        <v>4549519302711310</v>
      </c>
      <c r="AB303" s="9" t="s">
        <v>73</v>
      </c>
      <c r="AC303" s="9">
        <v>2030</v>
      </c>
      <c r="AD303" s="9" t="s">
        <v>374</v>
      </c>
      <c r="AE303" s="9">
        <v>24</v>
      </c>
      <c r="AF303" s="9" t="s">
        <v>1929</v>
      </c>
      <c r="AG303" s="9"/>
      <c r="AH303" s="9" t="s">
        <v>67</v>
      </c>
      <c r="AI303" s="9">
        <v>0</v>
      </c>
      <c r="AJ303" s="9"/>
      <c r="AK303" s="9">
        <v>0</v>
      </c>
      <c r="AL303" s="9" t="s">
        <v>1930</v>
      </c>
      <c r="AM303" s="9"/>
      <c r="AN303" s="9"/>
      <c r="AO303" s="9" t="s">
        <v>1943</v>
      </c>
      <c r="AP303" s="9" t="s">
        <v>69</v>
      </c>
      <c r="AQ303" s="9" t="s">
        <v>1932</v>
      </c>
      <c r="AR303" s="9">
        <v>46227</v>
      </c>
      <c r="AS303" s="9" t="s">
        <v>84</v>
      </c>
      <c r="AT303" s="9" t="s">
        <v>1944</v>
      </c>
      <c r="AU303" s="9" t="s">
        <v>374</v>
      </c>
      <c r="AV303" s="9">
        <v>0</v>
      </c>
      <c r="AW303" s="9" t="s">
        <v>92</v>
      </c>
      <c r="AX303" s="9" t="s">
        <v>755</v>
      </c>
      <c r="AY303" s="9">
        <v>0</v>
      </c>
      <c r="AZ303" s="9">
        <v>46094.969166666669</v>
      </c>
      <c r="BA303" s="9">
        <v>46094.969166666669</v>
      </c>
      <c r="BB303" s="9">
        <v>1</v>
      </c>
      <c r="BC303" s="9">
        <v>4</v>
      </c>
      <c r="BD303" s="9" t="s">
        <v>167</v>
      </c>
      <c r="BE303" s="9" t="s">
        <v>752</v>
      </c>
      <c r="BF303" s="9" t="s">
        <v>76</v>
      </c>
      <c r="BG303" s="9"/>
      <c r="BH303" s="9">
        <v>0</v>
      </c>
      <c r="BI303" s="9"/>
      <c r="BJ303" s="9">
        <v>5</v>
      </c>
      <c r="BK303" s="9" t="s">
        <v>92</v>
      </c>
      <c r="BL303" s="9" t="s">
        <v>92</v>
      </c>
      <c r="BM303" s="9" t="s">
        <v>75</v>
      </c>
      <c r="BN303" s="9"/>
      <c r="BO303" s="9">
        <v>0</v>
      </c>
      <c r="BP303" s="9"/>
      <c r="BQ303" s="9">
        <v>0</v>
      </c>
      <c r="BR303" s="9"/>
      <c r="BS303" s="9"/>
      <c r="BT303" s="9"/>
      <c r="BU303" s="9"/>
      <c r="BV303" s="9"/>
      <c r="BW303" s="9">
        <v>0</v>
      </c>
      <c r="BX303" s="9">
        <v>46198.418136574073</v>
      </c>
      <c r="BY303" s="9">
        <v>46198.418136574073</v>
      </c>
      <c r="BZ303" s="9"/>
      <c r="CA303" s="9"/>
      <c r="CB303" s="9"/>
      <c r="CC303" s="9"/>
      <c r="CD303" s="9"/>
      <c r="CE303" s="9"/>
      <c r="CF303" s="9"/>
      <c r="CG303" s="9"/>
      <c r="CH303" s="9">
        <v>1</v>
      </c>
      <c r="CI303" s="9">
        <v>0</v>
      </c>
      <c r="CJ303" s="9"/>
      <c r="CK303" s="9"/>
      <c r="CL303" s="9" t="s">
        <v>2202</v>
      </c>
      <c r="CM303" s="9"/>
      <c r="CN303" s="9">
        <v>0</v>
      </c>
      <c r="CO303" s="9" t="s">
        <v>1925</v>
      </c>
      <c r="CP303" s="9" t="s">
        <v>2270</v>
      </c>
      <c r="CQ303" s="9">
        <v>0</v>
      </c>
    </row>
    <row r="304" spans="1:95" x14ac:dyDescent="0.35">
      <c r="A304" s="9" t="b">
        <f>ISNUMBER(MATCH(Claude[[#This Row],[Id]],ChargentOrders[Id],0))</f>
        <v>1</v>
      </c>
      <c r="B304" t="b">
        <f>INDEX(ChargentOrders[VALIDO],MATCH(Claude[[#This Row],[Id]],ChargentOrders[Id],0))</f>
        <v>1</v>
      </c>
      <c r="C304">
        <f>INDEX(Contract[CB_Subscription__c],MATCH(Claude[[#This Row],[Contract__c]],Contract[Id],0))</f>
        <v>0</v>
      </c>
      <c r="D304" s="9" t="s">
        <v>965</v>
      </c>
      <c r="E304" s="9" t="s">
        <v>79</v>
      </c>
      <c r="F304" s="9">
        <v>0</v>
      </c>
      <c r="G304" s="9" t="s">
        <v>966</v>
      </c>
      <c r="H304" s="9">
        <v>46080.418043981481</v>
      </c>
      <c r="I304" s="9" t="s">
        <v>65</v>
      </c>
      <c r="J304" s="9">
        <v>46217.738564814812</v>
      </c>
      <c r="K304" s="9" t="s">
        <v>78</v>
      </c>
      <c r="L304" s="9">
        <v>46217.738564814812</v>
      </c>
      <c r="M304" s="9"/>
      <c r="N304" s="9" t="s">
        <v>1586</v>
      </c>
      <c r="O304" s="9" t="s">
        <v>1973</v>
      </c>
      <c r="P304" s="9" t="s">
        <v>1974</v>
      </c>
      <c r="Q304" s="9" t="s">
        <v>1925</v>
      </c>
      <c r="R304" s="9" t="s">
        <v>1584</v>
      </c>
      <c r="S304" s="9" t="s">
        <v>1975</v>
      </c>
      <c r="T304" s="9" t="s">
        <v>1976</v>
      </c>
      <c r="U304" s="9" t="s">
        <v>1928</v>
      </c>
      <c r="V304" s="9">
        <v>969</v>
      </c>
      <c r="W304" s="9">
        <v>8</v>
      </c>
      <c r="X304" s="9">
        <v>2028</v>
      </c>
      <c r="Y304" s="9">
        <v>5191</v>
      </c>
      <c r="Z304" s="9">
        <v>8</v>
      </c>
      <c r="AA304" s="9">
        <v>5191</v>
      </c>
      <c r="AB304" s="9" t="s">
        <v>73</v>
      </c>
      <c r="AC304" s="9">
        <v>2028</v>
      </c>
      <c r="AD304" s="9" t="s">
        <v>1970</v>
      </c>
      <c r="AE304" s="9"/>
      <c r="AF304" s="9" t="s">
        <v>1929</v>
      </c>
      <c r="AG304" s="9"/>
      <c r="AH304" s="9" t="s">
        <v>67</v>
      </c>
      <c r="AI304" s="9">
        <v>0</v>
      </c>
      <c r="AJ304" s="9"/>
      <c r="AK304" s="9">
        <v>0</v>
      </c>
      <c r="AL304" s="9" t="s">
        <v>1930</v>
      </c>
      <c r="AM304" s="9">
        <v>1</v>
      </c>
      <c r="AN304" s="9">
        <v>46212</v>
      </c>
      <c r="AO304" s="9" t="s">
        <v>1931</v>
      </c>
      <c r="AP304" s="9" t="s">
        <v>69</v>
      </c>
      <c r="AQ304" s="9" t="s">
        <v>1932</v>
      </c>
      <c r="AR304" s="9">
        <v>46212</v>
      </c>
      <c r="AS304" s="9" t="s">
        <v>84</v>
      </c>
      <c r="AT304" s="9" t="s">
        <v>1935</v>
      </c>
      <c r="AU304" s="9" t="s">
        <v>1970</v>
      </c>
      <c r="AV304" s="9">
        <v>0</v>
      </c>
      <c r="AW304" s="9" t="s">
        <v>92</v>
      </c>
      <c r="AX304" s="9" t="s">
        <v>202</v>
      </c>
      <c r="AY304" s="9">
        <v>0</v>
      </c>
      <c r="AZ304" s="9"/>
      <c r="BA304" s="9"/>
      <c r="BB304" s="9">
        <v>0</v>
      </c>
      <c r="BC304" s="9">
        <v>56</v>
      </c>
      <c r="BD304" s="9">
        <v>0</v>
      </c>
      <c r="BE304" s="9" t="s">
        <v>197</v>
      </c>
      <c r="BF304" s="9" t="s">
        <v>71</v>
      </c>
      <c r="BG304" s="9"/>
      <c r="BH304" s="9">
        <v>0</v>
      </c>
      <c r="BI304" s="9"/>
      <c r="BJ304" s="9"/>
      <c r="BK304" s="9" t="s">
        <v>92</v>
      </c>
      <c r="BL304" s="9" t="s">
        <v>92</v>
      </c>
      <c r="BM304" s="9" t="s">
        <v>72</v>
      </c>
      <c r="BN304" s="9"/>
      <c r="BO304" s="9">
        <v>1</v>
      </c>
      <c r="BP304" s="9" t="s">
        <v>967</v>
      </c>
      <c r="BQ304" s="9">
        <v>0</v>
      </c>
      <c r="BR304" s="9">
        <v>46081.821712962963</v>
      </c>
      <c r="BS304" s="9" t="s">
        <v>109</v>
      </c>
      <c r="BT304" s="9" t="s">
        <v>65</v>
      </c>
      <c r="BU304" s="9"/>
      <c r="BV304" s="9"/>
      <c r="BW304" s="9">
        <v>0</v>
      </c>
      <c r="BX304" s="9">
        <v>46209.418124999997</v>
      </c>
      <c r="BY304" s="9">
        <v>46209.418124999997</v>
      </c>
      <c r="BZ304" s="9"/>
      <c r="CA304" s="9"/>
      <c r="CB304" s="9"/>
      <c r="CC304" s="9"/>
      <c r="CD304" s="9"/>
      <c r="CE304" s="9"/>
      <c r="CF304" s="9"/>
      <c r="CG304" s="9"/>
      <c r="CH304" s="9">
        <v>1</v>
      </c>
      <c r="CI304" s="9">
        <v>0</v>
      </c>
      <c r="CJ304" s="9"/>
      <c r="CK304" s="9"/>
      <c r="CL304" s="9" t="s">
        <v>1977</v>
      </c>
      <c r="CM304" s="9"/>
      <c r="CN304" s="9">
        <v>0</v>
      </c>
      <c r="CO304" s="9" t="s">
        <v>1925</v>
      </c>
      <c r="CP304" s="9"/>
      <c r="CQ304" s="9">
        <v>0</v>
      </c>
    </row>
    <row r="305" spans="1:95" x14ac:dyDescent="0.35">
      <c r="A305" s="9" t="b">
        <f>ISNUMBER(MATCH(Claude[[#This Row],[Id]],ChargentOrders[Id],0))</f>
        <v>1</v>
      </c>
      <c r="B305" t="b">
        <f>INDEX(ChargentOrders[VALIDO],MATCH(Claude[[#This Row],[Id]],ChargentOrders[Id],0))</f>
        <v>1</v>
      </c>
      <c r="C305">
        <f>INDEX(Contract[CB_Subscription__c],MATCH(Claude[[#This Row],[Contract__c]],Contract[Id],0))</f>
        <v>0</v>
      </c>
      <c r="D305" s="9" t="s">
        <v>968</v>
      </c>
      <c r="E305" s="9" t="s">
        <v>79</v>
      </c>
      <c r="F305" s="9">
        <v>0</v>
      </c>
      <c r="G305" s="9" t="s">
        <v>969</v>
      </c>
      <c r="H305" s="9">
        <v>46080.419537037036</v>
      </c>
      <c r="I305" s="9" t="s">
        <v>65</v>
      </c>
      <c r="J305" s="9">
        <v>46217.738564814812</v>
      </c>
      <c r="K305" s="9" t="s">
        <v>78</v>
      </c>
      <c r="L305" s="9">
        <v>46217.738564814812</v>
      </c>
      <c r="M305" s="9"/>
      <c r="N305" s="9" t="s">
        <v>1644</v>
      </c>
      <c r="O305" s="9" t="s">
        <v>2052</v>
      </c>
      <c r="P305" s="9" t="s">
        <v>2053</v>
      </c>
      <c r="Q305" s="9" t="s">
        <v>1925</v>
      </c>
      <c r="R305" s="9" t="s">
        <v>1642</v>
      </c>
      <c r="S305" s="9" t="s">
        <v>2054</v>
      </c>
      <c r="T305" s="9" t="s">
        <v>2055</v>
      </c>
      <c r="U305" s="9" t="s">
        <v>1928</v>
      </c>
      <c r="V305" s="9">
        <v>738</v>
      </c>
      <c r="W305" s="9">
        <v>1</v>
      </c>
      <c r="X305" s="9">
        <v>2027</v>
      </c>
      <c r="Y305" s="9">
        <v>2506</v>
      </c>
      <c r="Z305" s="9">
        <v>1</v>
      </c>
      <c r="AA305" s="9">
        <v>2506</v>
      </c>
      <c r="AB305" s="9" t="s">
        <v>73</v>
      </c>
      <c r="AC305" s="9">
        <v>2027</v>
      </c>
      <c r="AD305" s="9" t="s">
        <v>1952</v>
      </c>
      <c r="AE305" s="9"/>
      <c r="AF305" s="9" t="s">
        <v>1929</v>
      </c>
      <c r="AG305" s="9"/>
      <c r="AH305" s="9" t="s">
        <v>67</v>
      </c>
      <c r="AI305" s="9">
        <v>0</v>
      </c>
      <c r="AJ305" s="9"/>
      <c r="AK305" s="9">
        <v>0</v>
      </c>
      <c r="AL305" s="9" t="s">
        <v>1930</v>
      </c>
      <c r="AM305" s="9">
        <v>1</v>
      </c>
      <c r="AN305" s="9">
        <v>46212</v>
      </c>
      <c r="AO305" s="9" t="s">
        <v>1931</v>
      </c>
      <c r="AP305" s="9" t="s">
        <v>69</v>
      </c>
      <c r="AQ305" s="9" t="s">
        <v>1932</v>
      </c>
      <c r="AR305" s="9">
        <v>46212</v>
      </c>
      <c r="AS305" s="9" t="s">
        <v>84</v>
      </c>
      <c r="AT305" s="9" t="s">
        <v>1935</v>
      </c>
      <c r="AU305" s="9" t="s">
        <v>1952</v>
      </c>
      <c r="AV305" s="9">
        <v>0</v>
      </c>
      <c r="AW305" s="9" t="s">
        <v>92</v>
      </c>
      <c r="AX305" s="9" t="s">
        <v>406</v>
      </c>
      <c r="AY305" s="9">
        <v>0</v>
      </c>
      <c r="AZ305" s="9"/>
      <c r="BA305" s="9"/>
      <c r="BB305" s="9">
        <v>0</v>
      </c>
      <c r="BC305" s="9">
        <v>55</v>
      </c>
      <c r="BD305" s="9">
        <v>0</v>
      </c>
      <c r="BE305" s="9" t="s">
        <v>407</v>
      </c>
      <c r="BF305" s="9" t="s">
        <v>71</v>
      </c>
      <c r="BG305" s="9"/>
      <c r="BH305" s="9">
        <v>0</v>
      </c>
      <c r="BI305" s="9"/>
      <c r="BJ305" s="9"/>
      <c r="BK305" s="9" t="s">
        <v>92</v>
      </c>
      <c r="BL305" s="9" t="s">
        <v>92</v>
      </c>
      <c r="BM305" s="9" t="s">
        <v>72</v>
      </c>
      <c r="BN305" s="9"/>
      <c r="BO305" s="9">
        <v>1</v>
      </c>
      <c r="BP305" s="9" t="s">
        <v>970</v>
      </c>
      <c r="BQ305" s="9">
        <v>0</v>
      </c>
      <c r="BR305" s="9">
        <v>45874.6794212963</v>
      </c>
      <c r="BS305" s="9" t="s">
        <v>109</v>
      </c>
      <c r="BT305" s="9" t="s">
        <v>65</v>
      </c>
      <c r="BU305" s="9"/>
      <c r="BV305" s="9"/>
      <c r="BW305" s="9">
        <v>0</v>
      </c>
      <c r="BX305" s="9">
        <v>46209.41814814815</v>
      </c>
      <c r="BY305" s="9">
        <v>46209.41814814815</v>
      </c>
      <c r="BZ305" s="9"/>
      <c r="CA305" s="9"/>
      <c r="CB305" s="9"/>
      <c r="CC305" s="9"/>
      <c r="CD305" s="9"/>
      <c r="CE305" s="9"/>
      <c r="CF305" s="9"/>
      <c r="CG305" s="9"/>
      <c r="CH305" s="9">
        <v>1</v>
      </c>
      <c r="CI305" s="9">
        <v>0</v>
      </c>
      <c r="CJ305" s="9"/>
      <c r="CK305" s="9"/>
      <c r="CL305" s="9" t="s">
        <v>2056</v>
      </c>
      <c r="CM305" s="9"/>
      <c r="CN305" s="9">
        <v>0</v>
      </c>
      <c r="CO305" s="9" t="s">
        <v>1925</v>
      </c>
      <c r="CP305" s="9"/>
      <c r="CQ305" s="9">
        <v>0</v>
      </c>
    </row>
    <row r="306" spans="1:95" x14ac:dyDescent="0.35">
      <c r="A306" s="9" t="b">
        <f>ISNUMBER(MATCH(Claude[[#This Row],[Id]],ChargentOrders[Id],0))</f>
        <v>1</v>
      </c>
      <c r="B306" t="b">
        <f>INDEX(ChargentOrders[VALIDO],MATCH(Claude[[#This Row],[Id]],ChargentOrders[Id],0))</f>
        <v>1</v>
      </c>
      <c r="C306">
        <f>INDEX(Contract[CB_Subscription__c],MATCH(Claude[[#This Row],[Contract__c]],Contract[Id],0))</f>
        <v>0</v>
      </c>
      <c r="D306" s="9" t="s">
        <v>971</v>
      </c>
      <c r="E306" s="9" t="s">
        <v>155</v>
      </c>
      <c r="F306" s="9">
        <v>0</v>
      </c>
      <c r="G306" s="9" t="s">
        <v>972</v>
      </c>
      <c r="H306" s="9">
        <v>46080.42150462963</v>
      </c>
      <c r="I306" s="9" t="s">
        <v>65</v>
      </c>
      <c r="J306" s="9">
        <v>46217.738564814812</v>
      </c>
      <c r="K306" s="9" t="s">
        <v>78</v>
      </c>
      <c r="L306" s="9">
        <v>46217.738564814812</v>
      </c>
      <c r="M306" s="9"/>
      <c r="N306" s="9" t="s">
        <v>1664</v>
      </c>
      <c r="O306" s="9" t="s">
        <v>2081</v>
      </c>
      <c r="P306" s="9" t="s">
        <v>2082</v>
      </c>
      <c r="Q306" s="9" t="s">
        <v>2015</v>
      </c>
      <c r="R306" s="9" t="s">
        <v>1662</v>
      </c>
      <c r="S306" s="9" t="s">
        <v>2083</v>
      </c>
      <c r="T306" s="9" t="s">
        <v>2084</v>
      </c>
      <c r="U306" s="9" t="s">
        <v>2085</v>
      </c>
      <c r="V306" s="9">
        <v>17042</v>
      </c>
      <c r="W306" s="9">
        <v>10</v>
      </c>
      <c r="X306" s="9">
        <v>2030</v>
      </c>
      <c r="Y306" s="9">
        <v>3323</v>
      </c>
      <c r="Z306" s="9">
        <v>10</v>
      </c>
      <c r="AA306" s="9"/>
      <c r="AB306" s="9" t="s">
        <v>73</v>
      </c>
      <c r="AC306" s="9">
        <v>2030</v>
      </c>
      <c r="AD306" s="9" t="s">
        <v>2101</v>
      </c>
      <c r="AE306" s="9"/>
      <c r="AF306" s="9" t="s">
        <v>1929</v>
      </c>
      <c r="AG306" s="9"/>
      <c r="AH306" s="9" t="s">
        <v>107</v>
      </c>
      <c r="AI306" s="9">
        <v>0</v>
      </c>
      <c r="AJ306" s="9"/>
      <c r="AK306" s="9">
        <v>0</v>
      </c>
      <c r="AL306" s="9" t="s">
        <v>1930</v>
      </c>
      <c r="AM306" s="9">
        <v>1</v>
      </c>
      <c r="AN306" s="9">
        <v>46212</v>
      </c>
      <c r="AO306" s="9" t="s">
        <v>1931</v>
      </c>
      <c r="AP306" s="9" t="s">
        <v>69</v>
      </c>
      <c r="AQ306" s="9" t="s">
        <v>1932</v>
      </c>
      <c r="AR306" s="9">
        <v>46212</v>
      </c>
      <c r="AS306" s="9" t="s">
        <v>84</v>
      </c>
      <c r="AT306" s="9" t="s">
        <v>1935</v>
      </c>
      <c r="AU306" s="9" t="s">
        <v>2101</v>
      </c>
      <c r="AV306" s="9">
        <v>0</v>
      </c>
      <c r="AW306" s="9" t="s">
        <v>92</v>
      </c>
      <c r="AX306" s="9" t="s">
        <v>489</v>
      </c>
      <c r="AY306" s="9">
        <v>0</v>
      </c>
      <c r="AZ306" s="9"/>
      <c r="BA306" s="9"/>
      <c r="BB306" s="9">
        <v>0</v>
      </c>
      <c r="BC306" s="9">
        <v>55</v>
      </c>
      <c r="BD306" s="9">
        <v>0</v>
      </c>
      <c r="BE306" s="9" t="s">
        <v>490</v>
      </c>
      <c r="BF306" s="9" t="s">
        <v>71</v>
      </c>
      <c r="BG306" s="9"/>
      <c r="BH306" s="9">
        <v>0</v>
      </c>
      <c r="BI306" s="9"/>
      <c r="BJ306" s="9"/>
      <c r="BK306" s="9" t="s">
        <v>92</v>
      </c>
      <c r="BL306" s="9" t="s">
        <v>92</v>
      </c>
      <c r="BM306" s="9" t="s">
        <v>72</v>
      </c>
      <c r="BN306" s="9"/>
      <c r="BO306" s="9">
        <v>1</v>
      </c>
      <c r="BP306" s="9" t="s">
        <v>973</v>
      </c>
      <c r="BQ306" s="9">
        <v>0</v>
      </c>
      <c r="BR306" s="9">
        <v>45961.424942129626</v>
      </c>
      <c r="BS306" s="9" t="s">
        <v>109</v>
      </c>
      <c r="BT306" s="9" t="s">
        <v>65</v>
      </c>
      <c r="BU306" s="9"/>
      <c r="BV306" s="9"/>
      <c r="BW306" s="9">
        <v>0</v>
      </c>
      <c r="BX306" s="9"/>
      <c r="BY306" s="9">
        <v>46209.418229166666</v>
      </c>
      <c r="BZ306" s="9"/>
      <c r="CA306" s="9"/>
      <c r="CB306" s="9"/>
      <c r="CC306" s="9"/>
      <c r="CD306" s="9"/>
      <c r="CE306" s="9"/>
      <c r="CF306" s="9"/>
      <c r="CG306" s="9"/>
      <c r="CH306" s="9">
        <v>1</v>
      </c>
      <c r="CI306" s="9">
        <v>0</v>
      </c>
      <c r="CJ306" s="9"/>
      <c r="CK306" s="9"/>
      <c r="CL306" s="9" t="s">
        <v>2086</v>
      </c>
      <c r="CM306" s="9"/>
      <c r="CN306" s="9">
        <v>0</v>
      </c>
      <c r="CO306" s="9" t="s">
        <v>1925</v>
      </c>
      <c r="CP306" s="9"/>
      <c r="CQ306" s="9">
        <v>0</v>
      </c>
    </row>
    <row r="307" spans="1:95" x14ac:dyDescent="0.35">
      <c r="A307" s="9" t="b">
        <f>ISNUMBER(MATCH(Claude[[#This Row],[Id]],ChargentOrders[Id],0))</f>
        <v>1</v>
      </c>
      <c r="B307" t="b">
        <f>INDEX(ChargentOrders[VALIDO],MATCH(Claude[[#This Row],[Id]],ChargentOrders[Id],0))</f>
        <v>1</v>
      </c>
      <c r="C307">
        <f>INDEX(Contract[CB_Subscription__c],MATCH(Claude[[#This Row],[Contract__c]],Contract[Id],0))</f>
        <v>0</v>
      </c>
      <c r="D307" s="9" t="s">
        <v>974</v>
      </c>
      <c r="E307" s="9" t="s">
        <v>79</v>
      </c>
      <c r="F307" s="9">
        <v>0</v>
      </c>
      <c r="G307" s="9" t="s">
        <v>975</v>
      </c>
      <c r="H307" s="9">
        <v>46080.42701388889</v>
      </c>
      <c r="I307" s="9" t="s">
        <v>65</v>
      </c>
      <c r="J307" s="9">
        <v>46217.739004629628</v>
      </c>
      <c r="K307" s="9" t="s">
        <v>78</v>
      </c>
      <c r="L307" s="9">
        <v>46217.739004629628</v>
      </c>
      <c r="M307" s="9"/>
      <c r="N307" s="9" t="s">
        <v>1753</v>
      </c>
      <c r="O307" s="9" t="s">
        <v>2185</v>
      </c>
      <c r="P307" s="9" t="s">
        <v>2186</v>
      </c>
      <c r="Q307" s="9" t="s">
        <v>1925</v>
      </c>
      <c r="R307" s="9" t="s">
        <v>1751</v>
      </c>
      <c r="S307" s="9" t="s">
        <v>2187</v>
      </c>
      <c r="T307" s="9" t="s">
        <v>2029</v>
      </c>
      <c r="U307" s="9" t="s">
        <v>1928</v>
      </c>
      <c r="V307" s="9">
        <v>692</v>
      </c>
      <c r="W307" s="9">
        <v>9</v>
      </c>
      <c r="X307" s="9">
        <v>2028</v>
      </c>
      <c r="Y307" s="9">
        <v>799</v>
      </c>
      <c r="Z307" s="9">
        <v>9</v>
      </c>
      <c r="AA307" s="9">
        <v>799</v>
      </c>
      <c r="AB307" s="9" t="s">
        <v>73</v>
      </c>
      <c r="AC307" s="9">
        <v>2028</v>
      </c>
      <c r="AD307" s="9" t="s">
        <v>993</v>
      </c>
      <c r="AE307" s="9"/>
      <c r="AF307" s="9" t="s">
        <v>1929</v>
      </c>
      <c r="AG307" s="9"/>
      <c r="AH307" s="9" t="s">
        <v>67</v>
      </c>
      <c r="AI307" s="9">
        <v>0</v>
      </c>
      <c r="AJ307" s="9"/>
      <c r="AK307" s="9">
        <v>0</v>
      </c>
      <c r="AL307" s="9" t="s">
        <v>1930</v>
      </c>
      <c r="AM307" s="9">
        <v>1</v>
      </c>
      <c r="AN307" s="9">
        <v>46205</v>
      </c>
      <c r="AO307" s="9" t="s">
        <v>1931</v>
      </c>
      <c r="AP307" s="9" t="s">
        <v>69</v>
      </c>
      <c r="AQ307" s="9" t="s">
        <v>1932</v>
      </c>
      <c r="AR307" s="9">
        <v>46205</v>
      </c>
      <c r="AS307" s="9" t="s">
        <v>84</v>
      </c>
      <c r="AT307" s="9" t="s">
        <v>1935</v>
      </c>
      <c r="AU307" s="9" t="s">
        <v>993</v>
      </c>
      <c r="AV307" s="9">
        <v>0</v>
      </c>
      <c r="AW307" s="9" t="s">
        <v>92</v>
      </c>
      <c r="AX307" s="9" t="s">
        <v>731</v>
      </c>
      <c r="AY307" s="9">
        <v>0</v>
      </c>
      <c r="AZ307" s="9"/>
      <c r="BA307" s="9"/>
      <c r="BB307" s="9">
        <v>0</v>
      </c>
      <c r="BC307" s="9">
        <v>52</v>
      </c>
      <c r="BD307" s="9">
        <v>0</v>
      </c>
      <c r="BE307" s="9" t="s">
        <v>732</v>
      </c>
      <c r="BF307" s="9" t="s">
        <v>71</v>
      </c>
      <c r="BG307" s="9"/>
      <c r="BH307" s="9">
        <v>0</v>
      </c>
      <c r="BI307" s="9"/>
      <c r="BJ307" s="9"/>
      <c r="BK307" s="9" t="s">
        <v>92</v>
      </c>
      <c r="BL307" s="9" t="s">
        <v>92</v>
      </c>
      <c r="BM307" s="9" t="s">
        <v>72</v>
      </c>
      <c r="BN307" s="9"/>
      <c r="BO307" s="9">
        <v>1</v>
      </c>
      <c r="BP307" s="9" t="s">
        <v>976</v>
      </c>
      <c r="BQ307" s="9">
        <v>0</v>
      </c>
      <c r="BR307" s="9">
        <v>46039.416909722226</v>
      </c>
      <c r="BS307" s="9" t="s">
        <v>109</v>
      </c>
      <c r="BT307" s="9" t="s">
        <v>65</v>
      </c>
      <c r="BU307" s="9"/>
      <c r="BV307" s="9"/>
      <c r="BW307" s="9">
        <v>0</v>
      </c>
      <c r="BX307" s="9">
        <v>46202.418298611112</v>
      </c>
      <c r="BY307" s="9">
        <v>46202.418298611112</v>
      </c>
      <c r="BZ307" s="9"/>
      <c r="CA307" s="9"/>
      <c r="CB307" s="9"/>
      <c r="CC307" s="9"/>
      <c r="CD307" s="9"/>
      <c r="CE307" s="9"/>
      <c r="CF307" s="9"/>
      <c r="CG307" s="9"/>
      <c r="CH307" s="9">
        <v>1</v>
      </c>
      <c r="CI307" s="9">
        <v>0</v>
      </c>
      <c r="CJ307" s="9"/>
      <c r="CK307" s="9"/>
      <c r="CL307" s="9" t="s">
        <v>2188</v>
      </c>
      <c r="CM307" s="9"/>
      <c r="CN307" s="9">
        <v>0</v>
      </c>
      <c r="CO307" s="9" t="s">
        <v>1925</v>
      </c>
      <c r="CP307" s="9"/>
      <c r="CQ307" s="9">
        <v>0</v>
      </c>
    </row>
    <row r="308" spans="1:95" x14ac:dyDescent="0.35">
      <c r="A308" s="9" t="b">
        <f>ISNUMBER(MATCH(Claude[[#This Row],[Id]],ChargentOrders[Id],0))</f>
        <v>1</v>
      </c>
      <c r="B308" t="b">
        <f>INDEX(ChargentOrders[VALIDO],MATCH(Claude[[#This Row],[Id]],ChargentOrders[Id],0))</f>
        <v>1</v>
      </c>
      <c r="C308">
        <f>INDEX(Contract[CB_Subscription__c],MATCH(Claude[[#This Row],[Contract__c]],Contract[Id],0))</f>
        <v>0</v>
      </c>
      <c r="D308" s="9" t="s">
        <v>977</v>
      </c>
      <c r="E308" s="9" t="s">
        <v>81</v>
      </c>
      <c r="F308" s="9">
        <v>0</v>
      </c>
      <c r="G308" s="9" t="s">
        <v>978</v>
      </c>
      <c r="H308" s="9">
        <v>46080.428043981483</v>
      </c>
      <c r="I308" s="9" t="s">
        <v>65</v>
      </c>
      <c r="J308" s="9">
        <v>46163.929722222223</v>
      </c>
      <c r="K308" s="9" t="s">
        <v>78</v>
      </c>
      <c r="L308" s="9">
        <v>46163.929722222223</v>
      </c>
      <c r="M308" s="9"/>
      <c r="N308" s="9" t="s">
        <v>1808</v>
      </c>
      <c r="O308" s="9" t="s">
        <v>2248</v>
      </c>
      <c r="P308" s="9" t="s">
        <v>2249</v>
      </c>
      <c r="Q308" s="9" t="s">
        <v>1925</v>
      </c>
      <c r="R308" s="9" t="s">
        <v>1806</v>
      </c>
      <c r="S308" s="9" t="s">
        <v>2250</v>
      </c>
      <c r="T308" s="9" t="s">
        <v>2251</v>
      </c>
      <c r="U308" s="9" t="s">
        <v>1928</v>
      </c>
      <c r="V308" s="9">
        <v>794</v>
      </c>
      <c r="W308" s="9">
        <v>8</v>
      </c>
      <c r="X308" s="9">
        <v>2030</v>
      </c>
      <c r="Y308" s="9">
        <v>9070</v>
      </c>
      <c r="Z308" s="9">
        <v>8</v>
      </c>
      <c r="AA308" s="9">
        <v>4549519869399070</v>
      </c>
      <c r="AB308" s="9" t="s">
        <v>73</v>
      </c>
      <c r="AC308" s="9">
        <v>2030</v>
      </c>
      <c r="AD308" s="9" t="s">
        <v>374</v>
      </c>
      <c r="AE308" s="9">
        <v>29</v>
      </c>
      <c r="AF308" s="9" t="s">
        <v>1929</v>
      </c>
      <c r="AG308" s="9"/>
      <c r="AH308" s="9" t="s">
        <v>67</v>
      </c>
      <c r="AI308" s="9">
        <v>0</v>
      </c>
      <c r="AJ308" s="9"/>
      <c r="AK308" s="9">
        <v>0</v>
      </c>
      <c r="AL308" s="9" t="s">
        <v>1930</v>
      </c>
      <c r="AM308" s="9"/>
      <c r="AN308" s="9"/>
      <c r="AO308" s="9" t="s">
        <v>1943</v>
      </c>
      <c r="AP308" s="9" t="s">
        <v>69</v>
      </c>
      <c r="AQ308" s="9" t="s">
        <v>1932</v>
      </c>
      <c r="AR308" s="9">
        <v>46171</v>
      </c>
      <c r="AS308" s="9" t="s">
        <v>613</v>
      </c>
      <c r="AT308" s="9" t="s">
        <v>1944</v>
      </c>
      <c r="AU308" s="9" t="s">
        <v>374</v>
      </c>
      <c r="AV308" s="9">
        <v>0</v>
      </c>
      <c r="AW308" s="9" t="s">
        <v>92</v>
      </c>
      <c r="AX308" s="9" t="s">
        <v>856</v>
      </c>
      <c r="AY308" s="9">
        <v>0</v>
      </c>
      <c r="AZ308" s="9">
        <v>46142.428912037038</v>
      </c>
      <c r="BA308" s="9">
        <v>46142.428969907407</v>
      </c>
      <c r="BB308" s="9">
        <v>2</v>
      </c>
      <c r="BC308" s="9">
        <v>2</v>
      </c>
      <c r="BD308" s="9" t="s">
        <v>2237</v>
      </c>
      <c r="BE308" s="9" t="s">
        <v>857</v>
      </c>
      <c r="BF308" s="9" t="s">
        <v>76</v>
      </c>
      <c r="BG308" s="9"/>
      <c r="BH308" s="9">
        <v>0</v>
      </c>
      <c r="BI308" s="9"/>
      <c r="BJ308" s="9">
        <v>3</v>
      </c>
      <c r="BK308" s="9" t="s">
        <v>92</v>
      </c>
      <c r="BL308" s="9" t="s">
        <v>92</v>
      </c>
      <c r="BM308" s="9" t="s">
        <v>75</v>
      </c>
      <c r="BN308" s="9"/>
      <c r="BO308" s="9">
        <v>0</v>
      </c>
      <c r="BP308" s="9"/>
      <c r="BQ308" s="9">
        <v>0</v>
      </c>
      <c r="BR308" s="9"/>
      <c r="BS308" s="9"/>
      <c r="BT308" s="9"/>
      <c r="BU308" s="9"/>
      <c r="BV308" s="9"/>
      <c r="BW308" s="9">
        <v>0</v>
      </c>
      <c r="BX308" s="9"/>
      <c r="BY308" s="9">
        <v>46142.428912037038</v>
      </c>
      <c r="BZ308" s="9"/>
      <c r="CA308" s="9"/>
      <c r="CB308" s="9"/>
      <c r="CC308" s="9"/>
      <c r="CD308" s="9"/>
      <c r="CE308" s="9"/>
      <c r="CF308" s="9"/>
      <c r="CG308" s="9"/>
      <c r="CH308" s="9">
        <v>1</v>
      </c>
      <c r="CI308" s="9">
        <v>0</v>
      </c>
      <c r="CJ308" s="9"/>
      <c r="CK308" s="9"/>
      <c r="CL308" s="9" t="s">
        <v>2252</v>
      </c>
      <c r="CM308" s="9"/>
      <c r="CN308" s="9">
        <v>0</v>
      </c>
      <c r="CO308" s="9" t="s">
        <v>1925</v>
      </c>
      <c r="CP308" s="9"/>
      <c r="CQ308" s="9">
        <v>0</v>
      </c>
    </row>
    <row r="309" spans="1:95" x14ac:dyDescent="0.35">
      <c r="A309" s="9" t="b">
        <f>ISNUMBER(MATCH(Claude[[#This Row],[Id]],ChargentOrders[Id],0))</f>
        <v>1</v>
      </c>
      <c r="B309" t="b">
        <f>INDEX(ChargentOrders[VALIDO],MATCH(Claude[[#This Row],[Id]],ChargentOrders[Id],0))</f>
        <v>1</v>
      </c>
      <c r="C309">
        <f>INDEX(Contract[CB_Subscription__c],MATCH(Claude[[#This Row],[Contract__c]],Contract[Id],0))</f>
        <v>0</v>
      </c>
      <c r="D309" s="9" t="s">
        <v>979</v>
      </c>
      <c r="E309" s="9" t="s">
        <v>81</v>
      </c>
      <c r="F309" s="9">
        <v>0</v>
      </c>
      <c r="G309" s="9" t="s">
        <v>980</v>
      </c>
      <c r="H309" s="9">
        <v>46080.428078703706</v>
      </c>
      <c r="I309" s="9" t="s">
        <v>65</v>
      </c>
      <c r="J309" s="9">
        <v>46086.427025462966</v>
      </c>
      <c r="K309" s="9" t="s">
        <v>65</v>
      </c>
      <c r="L309" s="9">
        <v>46086.427025462966</v>
      </c>
      <c r="M309" s="9"/>
      <c r="N309" s="9" t="s">
        <v>1778</v>
      </c>
      <c r="O309" s="9" t="s">
        <v>2213</v>
      </c>
      <c r="P309" s="9" t="s">
        <v>2214</v>
      </c>
      <c r="Q309" s="9" t="s">
        <v>1925</v>
      </c>
      <c r="R309" s="9" t="s">
        <v>1776</v>
      </c>
      <c r="S309" s="9" t="s">
        <v>2215</v>
      </c>
      <c r="T309" s="9" t="s">
        <v>2216</v>
      </c>
      <c r="U309" s="9" t="s">
        <v>1928</v>
      </c>
      <c r="V309" s="9">
        <v>791</v>
      </c>
      <c r="W309" s="9">
        <v>11</v>
      </c>
      <c r="X309" s="9">
        <v>2029</v>
      </c>
      <c r="Y309" s="9">
        <v>4457</v>
      </c>
      <c r="Z309" s="9">
        <v>11</v>
      </c>
      <c r="AA309" s="9">
        <v>4457</v>
      </c>
      <c r="AB309" s="9" t="s">
        <v>73</v>
      </c>
      <c r="AC309" s="9">
        <v>2029</v>
      </c>
      <c r="AD309" s="9" t="s">
        <v>449</v>
      </c>
      <c r="AE309" s="9"/>
      <c r="AF309" s="9" t="s">
        <v>1929</v>
      </c>
      <c r="AG309" s="9"/>
      <c r="AH309" s="9" t="s">
        <v>67</v>
      </c>
      <c r="AI309" s="9">
        <v>0</v>
      </c>
      <c r="AJ309" s="9"/>
      <c r="AK309" s="9">
        <v>0</v>
      </c>
      <c r="AL309" s="9" t="s">
        <v>1930</v>
      </c>
      <c r="AM309" s="9">
        <v>1</v>
      </c>
      <c r="AN309" s="9">
        <v>46086</v>
      </c>
      <c r="AO309" s="9" t="s">
        <v>1931</v>
      </c>
      <c r="AP309" s="9" t="s">
        <v>69</v>
      </c>
      <c r="AQ309" s="9" t="s">
        <v>1932</v>
      </c>
      <c r="AR309" s="9">
        <v>46086</v>
      </c>
      <c r="AS309" s="9" t="s">
        <v>74</v>
      </c>
      <c r="AT309" s="9" t="s">
        <v>1935</v>
      </c>
      <c r="AU309" s="9" t="s">
        <v>449</v>
      </c>
      <c r="AV309" s="9">
        <v>0</v>
      </c>
      <c r="AW309" s="9" t="s">
        <v>92</v>
      </c>
      <c r="AX309" s="9" t="s">
        <v>778</v>
      </c>
      <c r="AY309" s="9">
        <v>0</v>
      </c>
      <c r="AZ309" s="9">
        <v>46086.42695601852</v>
      </c>
      <c r="BA309" s="9">
        <v>46086.426979166667</v>
      </c>
      <c r="BB309" s="9">
        <v>1</v>
      </c>
      <c r="BC309" s="9">
        <v>2</v>
      </c>
      <c r="BD309" s="9" t="s">
        <v>2220</v>
      </c>
      <c r="BE309" s="9" t="s">
        <v>779</v>
      </c>
      <c r="BF309" s="9" t="s">
        <v>71</v>
      </c>
      <c r="BG309" s="9"/>
      <c r="BH309" s="9">
        <v>0</v>
      </c>
      <c r="BI309" s="9"/>
      <c r="BJ309" s="9">
        <v>0</v>
      </c>
      <c r="BK309" s="9" t="s">
        <v>92</v>
      </c>
      <c r="BL309" s="9" t="s">
        <v>92</v>
      </c>
      <c r="BM309" s="9" t="s">
        <v>72</v>
      </c>
      <c r="BN309" s="9"/>
      <c r="BO309" s="9">
        <v>1</v>
      </c>
      <c r="BP309" s="9" t="s">
        <v>981</v>
      </c>
      <c r="BQ309" s="9">
        <v>0</v>
      </c>
      <c r="BR309" s="9">
        <v>46051.427615740744</v>
      </c>
      <c r="BS309" s="9" t="s">
        <v>109</v>
      </c>
      <c r="BT309" s="9" t="s">
        <v>65</v>
      </c>
      <c r="BU309" s="9"/>
      <c r="BV309" s="9"/>
      <c r="BW309" s="9">
        <v>0</v>
      </c>
      <c r="BX309" s="9">
        <v>46083.428159722222</v>
      </c>
      <c r="BY309" s="9">
        <v>46086.42695601852</v>
      </c>
      <c r="BZ309" s="9"/>
      <c r="CA309" s="9"/>
      <c r="CB309" s="9"/>
      <c r="CC309" s="9"/>
      <c r="CD309" s="9"/>
      <c r="CE309" s="9"/>
      <c r="CF309" s="9"/>
      <c r="CG309" s="9"/>
      <c r="CH309" s="9">
        <v>1</v>
      </c>
      <c r="CI309" s="9">
        <v>0</v>
      </c>
      <c r="CJ309" s="9"/>
      <c r="CK309" s="9"/>
      <c r="CL309" s="9" t="s">
        <v>2217</v>
      </c>
      <c r="CM309" s="9"/>
      <c r="CN309" s="9">
        <v>0</v>
      </c>
      <c r="CO309" s="9" t="s">
        <v>1925</v>
      </c>
      <c r="CP309" s="9"/>
      <c r="CQ309" s="9"/>
    </row>
    <row r="310" spans="1:95" x14ac:dyDescent="0.35">
      <c r="A310" s="9" t="b">
        <f>ISNUMBER(MATCH(Claude[[#This Row],[Id]],ChargentOrders[Id],0))</f>
        <v>1</v>
      </c>
      <c r="B310" t="b">
        <f>INDEX(ChargentOrders[VALIDO],MATCH(Claude[[#This Row],[Id]],ChargentOrders[Id],0))</f>
        <v>1</v>
      </c>
      <c r="C310">
        <f>INDEX(Contract[CB_Subscription__c],MATCH(Claude[[#This Row],[Contract__c]],Contract[Id],0))</f>
        <v>0</v>
      </c>
      <c r="D310" s="9" t="s">
        <v>982</v>
      </c>
      <c r="E310" s="9" t="s">
        <v>531</v>
      </c>
      <c r="F310" s="9">
        <v>0</v>
      </c>
      <c r="G310" s="9" t="s">
        <v>983</v>
      </c>
      <c r="H310" s="9">
        <v>46080.427928240744</v>
      </c>
      <c r="I310" s="9" t="s">
        <v>65</v>
      </c>
      <c r="J310" s="9">
        <v>46094.42931712963</v>
      </c>
      <c r="K310" s="9" t="s">
        <v>65</v>
      </c>
      <c r="L310" s="9">
        <v>46094.42931712963</v>
      </c>
      <c r="M310" s="9"/>
      <c r="N310" s="9" t="s">
        <v>1788</v>
      </c>
      <c r="O310" s="9" t="s">
        <v>2227</v>
      </c>
      <c r="P310" s="9" t="s">
        <v>2228</v>
      </c>
      <c r="Q310" s="9"/>
      <c r="R310" s="9" t="s">
        <v>2229</v>
      </c>
      <c r="S310" s="9" t="s">
        <v>2230</v>
      </c>
      <c r="T310" s="9" t="s">
        <v>2231</v>
      </c>
      <c r="U310" s="9" t="s">
        <v>1928</v>
      </c>
      <c r="V310" s="9">
        <v>698</v>
      </c>
      <c r="W310" s="9">
        <v>4</v>
      </c>
      <c r="X310" s="9">
        <v>2029</v>
      </c>
      <c r="Y310" s="9">
        <v>4500</v>
      </c>
      <c r="Z310" s="9">
        <v>4</v>
      </c>
      <c r="AA310" s="9">
        <v>4500</v>
      </c>
      <c r="AB310" s="9" t="s">
        <v>73</v>
      </c>
      <c r="AC310" s="9">
        <v>2029</v>
      </c>
      <c r="AD310" s="9" t="s">
        <v>449</v>
      </c>
      <c r="AE310" s="9"/>
      <c r="AF310" s="9" t="s">
        <v>1929</v>
      </c>
      <c r="AG310" s="9"/>
      <c r="AH310" s="9" t="s">
        <v>67</v>
      </c>
      <c r="AI310" s="9">
        <v>0</v>
      </c>
      <c r="AJ310" s="9"/>
      <c r="AK310" s="9">
        <v>0</v>
      </c>
      <c r="AL310" s="9" t="s">
        <v>1930</v>
      </c>
      <c r="AM310" s="9">
        <v>1</v>
      </c>
      <c r="AN310" s="9">
        <v>46094</v>
      </c>
      <c r="AO310" s="9" t="s">
        <v>1931</v>
      </c>
      <c r="AP310" s="9" t="s">
        <v>69</v>
      </c>
      <c r="AQ310" s="9" t="s">
        <v>1932</v>
      </c>
      <c r="AR310" s="9">
        <v>46094</v>
      </c>
      <c r="AS310" s="9" t="s">
        <v>74</v>
      </c>
      <c r="AT310" s="9" t="s">
        <v>1935</v>
      </c>
      <c r="AU310" s="9" t="s">
        <v>449</v>
      </c>
      <c r="AV310" s="9">
        <v>0</v>
      </c>
      <c r="AW310" s="9" t="s">
        <v>92</v>
      </c>
      <c r="AX310" s="9" t="s">
        <v>811</v>
      </c>
      <c r="AY310" s="9">
        <v>0</v>
      </c>
      <c r="AZ310" s="9">
        <v>46094.429236111115</v>
      </c>
      <c r="BA310" s="9">
        <v>46094.429270833331</v>
      </c>
      <c r="BB310" s="9">
        <v>1</v>
      </c>
      <c r="BC310" s="9">
        <v>6</v>
      </c>
      <c r="BD310" s="9" t="s">
        <v>2220</v>
      </c>
      <c r="BE310" s="9" t="s">
        <v>812</v>
      </c>
      <c r="BF310" s="9" t="s">
        <v>71</v>
      </c>
      <c r="BG310" s="9"/>
      <c r="BH310" s="9">
        <v>0</v>
      </c>
      <c r="BI310" s="9"/>
      <c r="BJ310" s="9">
        <v>0</v>
      </c>
      <c r="BK310" s="9" t="s">
        <v>92</v>
      </c>
      <c r="BL310" s="9" t="s">
        <v>92</v>
      </c>
      <c r="BM310" s="9" t="s">
        <v>72</v>
      </c>
      <c r="BN310" s="9"/>
      <c r="BO310" s="9">
        <v>1</v>
      </c>
      <c r="BP310" s="9" t="s">
        <v>984</v>
      </c>
      <c r="BQ310" s="9">
        <v>0</v>
      </c>
      <c r="BR310" s="9">
        <v>46049.417384259257</v>
      </c>
      <c r="BS310" s="9" t="s">
        <v>109</v>
      </c>
      <c r="BT310" s="9" t="s">
        <v>65</v>
      </c>
      <c r="BU310" s="9"/>
      <c r="BV310" s="9"/>
      <c r="BW310" s="9">
        <v>0</v>
      </c>
      <c r="BX310" s="9">
        <v>46093.425798611112</v>
      </c>
      <c r="BY310" s="9">
        <v>46094.429236111115</v>
      </c>
      <c r="BZ310" s="9"/>
      <c r="CA310" s="9"/>
      <c r="CB310" s="9"/>
      <c r="CC310" s="9"/>
      <c r="CD310" s="9"/>
      <c r="CE310" s="9"/>
      <c r="CF310" s="9"/>
      <c r="CG310" s="9"/>
      <c r="CH310" s="9">
        <v>1</v>
      </c>
      <c r="CI310" s="9">
        <v>0</v>
      </c>
      <c r="CJ310" s="9"/>
      <c r="CK310" s="9"/>
      <c r="CL310" s="9" t="s">
        <v>2232</v>
      </c>
      <c r="CM310" s="9"/>
      <c r="CN310" s="9">
        <v>0</v>
      </c>
      <c r="CO310" s="9" t="s">
        <v>1925</v>
      </c>
      <c r="CP310" s="9"/>
      <c r="CQ310" s="9"/>
    </row>
    <row r="311" spans="1:95" x14ac:dyDescent="0.35">
      <c r="A311" s="9" t="b">
        <f>ISNUMBER(MATCH(Claude[[#This Row],[Id]],ChargentOrders[Id],0))</f>
        <v>1</v>
      </c>
      <c r="B311" t="b">
        <f>INDEX(ChargentOrders[VALIDO],MATCH(Claude[[#This Row],[Id]],ChargentOrders[Id],0))</f>
        <v>1</v>
      </c>
      <c r="C311">
        <f>INDEX(Contract[CB_Subscription__c],MATCH(Claude[[#This Row],[Contract__c]],Contract[Id],0))</f>
        <v>0</v>
      </c>
      <c r="D311" s="9" t="s">
        <v>985</v>
      </c>
      <c r="E311" s="9" t="s">
        <v>610</v>
      </c>
      <c r="F311" s="9">
        <v>0</v>
      </c>
      <c r="G311" s="9" t="s">
        <v>986</v>
      </c>
      <c r="H311" s="9">
        <v>46080.432025462964</v>
      </c>
      <c r="I311" s="9" t="s">
        <v>65</v>
      </c>
      <c r="J311" s="9">
        <v>46107.914953703701</v>
      </c>
      <c r="K311" s="9" t="s">
        <v>78</v>
      </c>
      <c r="L311" s="9">
        <v>46107.914953703701</v>
      </c>
      <c r="M311" s="9"/>
      <c r="N311" s="9" t="s">
        <v>1803</v>
      </c>
      <c r="O311" s="9" t="s">
        <v>2243</v>
      </c>
      <c r="P311" s="9" t="s">
        <v>2053</v>
      </c>
      <c r="Q311" s="9" t="s">
        <v>1925</v>
      </c>
      <c r="R311" s="9" t="s">
        <v>1801</v>
      </c>
      <c r="S311" s="9" t="s">
        <v>2244</v>
      </c>
      <c r="T311" s="9" t="s">
        <v>2245</v>
      </c>
      <c r="U311" s="9" t="s">
        <v>1928</v>
      </c>
      <c r="V311" s="9">
        <v>738</v>
      </c>
      <c r="W311" s="9">
        <v>9</v>
      </c>
      <c r="X311" s="9">
        <v>2029</v>
      </c>
      <c r="Y311" s="9">
        <v>6088</v>
      </c>
      <c r="Z311" s="9">
        <v>9</v>
      </c>
      <c r="AA311" s="9">
        <v>6088</v>
      </c>
      <c r="AB311" s="9" t="s">
        <v>66</v>
      </c>
      <c r="AC311" s="9">
        <v>2029</v>
      </c>
      <c r="AD311" s="9" t="s">
        <v>167</v>
      </c>
      <c r="AE311" s="9"/>
      <c r="AF311" s="9" t="s">
        <v>1929</v>
      </c>
      <c r="AG311" s="9"/>
      <c r="AH311" s="9" t="s">
        <v>67</v>
      </c>
      <c r="AI311" s="9">
        <v>0</v>
      </c>
      <c r="AJ311" s="9"/>
      <c r="AK311" s="9">
        <v>0</v>
      </c>
      <c r="AL311" s="9" t="s">
        <v>1930</v>
      </c>
      <c r="AM311" s="9">
        <v>1</v>
      </c>
      <c r="AN311" s="9">
        <v>46108</v>
      </c>
      <c r="AO311" s="9" t="s">
        <v>1931</v>
      </c>
      <c r="AP311" s="9" t="s">
        <v>69</v>
      </c>
      <c r="AQ311" s="9" t="s">
        <v>1932</v>
      </c>
      <c r="AR311" s="9">
        <v>46107</v>
      </c>
      <c r="AS311" s="9" t="s">
        <v>74</v>
      </c>
      <c r="AT311" s="9" t="s">
        <v>1935</v>
      </c>
      <c r="AU311" s="9" t="s">
        <v>374</v>
      </c>
      <c r="AV311" s="9">
        <v>0</v>
      </c>
      <c r="AW311" s="9" t="s">
        <v>93</v>
      </c>
      <c r="AX311" s="9" t="s">
        <v>849</v>
      </c>
      <c r="AY311" s="9">
        <v>0</v>
      </c>
      <c r="AZ311" s="9">
        <v>46107.914918981478</v>
      </c>
      <c r="BA311" s="9">
        <v>46107.914918981478</v>
      </c>
      <c r="BB311" s="9">
        <v>1</v>
      </c>
      <c r="BC311" s="9">
        <v>13</v>
      </c>
      <c r="BD311" s="9" t="s">
        <v>167</v>
      </c>
      <c r="BE311" s="9" t="s">
        <v>846</v>
      </c>
      <c r="BF311" s="9" t="s">
        <v>71</v>
      </c>
      <c r="BG311" s="9"/>
      <c r="BH311" s="9">
        <v>0</v>
      </c>
      <c r="BI311" s="9"/>
      <c r="BJ311" s="9">
        <v>0</v>
      </c>
      <c r="BK311" s="9" t="s">
        <v>92</v>
      </c>
      <c r="BL311" s="9" t="s">
        <v>92</v>
      </c>
      <c r="BM311" s="9" t="s">
        <v>72</v>
      </c>
      <c r="BN311" s="9"/>
      <c r="BO311" s="9">
        <v>0</v>
      </c>
      <c r="BP311" s="9" t="s">
        <v>987</v>
      </c>
      <c r="BQ311" s="9">
        <v>0</v>
      </c>
      <c r="BR311" s="9">
        <v>46107.836782407408</v>
      </c>
      <c r="BS311" s="9" t="s">
        <v>92</v>
      </c>
      <c r="BT311" s="9" t="s">
        <v>65</v>
      </c>
      <c r="BU311" s="9"/>
      <c r="BV311" s="9"/>
      <c r="BW311" s="9">
        <v>0</v>
      </c>
      <c r="BX311" s="9">
        <v>46105.938703703701</v>
      </c>
      <c r="BY311" s="9">
        <v>46107.914918981478</v>
      </c>
      <c r="BZ311" s="9"/>
      <c r="CA311" s="9"/>
      <c r="CB311" s="9"/>
      <c r="CC311" s="9"/>
      <c r="CD311" s="9"/>
      <c r="CE311" s="9"/>
      <c r="CF311" s="9"/>
      <c r="CG311" s="9"/>
      <c r="CH311" s="9">
        <v>1</v>
      </c>
      <c r="CI311" s="9">
        <v>0</v>
      </c>
      <c r="CJ311" s="9"/>
      <c r="CK311" s="9"/>
      <c r="CL311" s="9" t="s">
        <v>2246</v>
      </c>
      <c r="CM311" s="9" t="s">
        <v>231</v>
      </c>
      <c r="CN311" s="9">
        <v>0</v>
      </c>
      <c r="CO311" s="9" t="s">
        <v>1925</v>
      </c>
      <c r="CP311" s="9"/>
      <c r="CQ311" s="9"/>
    </row>
    <row r="312" spans="1:95" x14ac:dyDescent="0.35">
      <c r="A312" s="9" t="b">
        <f>ISNUMBER(MATCH(Claude[[#This Row],[Id]],ChargentOrders[Id],0))</f>
        <v>1</v>
      </c>
      <c r="B312" t="b">
        <f>INDEX(ChargentOrders[VALIDO],MATCH(Claude[[#This Row],[Id]],ChargentOrders[Id],0))</f>
        <v>1</v>
      </c>
      <c r="C312">
        <f>INDEX(Contract[CB_Subscription__c],MATCH(Claude[[#This Row],[Contract__c]],Contract[Id],0))</f>
        <v>0</v>
      </c>
      <c r="D312" s="9" t="s">
        <v>988</v>
      </c>
      <c r="E312" s="9" t="s">
        <v>79</v>
      </c>
      <c r="F312" s="9">
        <v>0</v>
      </c>
      <c r="G312" s="9" t="s">
        <v>989</v>
      </c>
      <c r="H312" s="9">
        <v>46080.913402777776</v>
      </c>
      <c r="I312" s="9" t="s">
        <v>101</v>
      </c>
      <c r="J312" s="9">
        <v>46217.738564814812</v>
      </c>
      <c r="K312" s="9" t="s">
        <v>78</v>
      </c>
      <c r="L312" s="9">
        <v>46217.738564814812</v>
      </c>
      <c r="M312" s="9"/>
      <c r="N312" s="9" t="s">
        <v>1581</v>
      </c>
      <c r="O312" s="9" t="s">
        <v>1960</v>
      </c>
      <c r="P312" s="9" t="s">
        <v>1961</v>
      </c>
      <c r="Q312" s="9" t="s">
        <v>1925</v>
      </c>
      <c r="R312" s="9" t="s">
        <v>1579</v>
      </c>
      <c r="S312" s="9" t="s">
        <v>1962</v>
      </c>
      <c r="T312" s="9" t="s">
        <v>1963</v>
      </c>
      <c r="U312" s="9" t="s">
        <v>1928</v>
      </c>
      <c r="V312" s="9">
        <v>778</v>
      </c>
      <c r="W312" s="9">
        <v>3</v>
      </c>
      <c r="X312" s="9">
        <v>2027</v>
      </c>
      <c r="Y312" s="9">
        <v>4327</v>
      </c>
      <c r="Z312" s="9">
        <v>3</v>
      </c>
      <c r="AA312" s="9">
        <v>4327</v>
      </c>
      <c r="AB312" s="9" t="s">
        <v>73</v>
      </c>
      <c r="AC312" s="9">
        <v>2027</v>
      </c>
      <c r="AD312" s="9" t="s">
        <v>1952</v>
      </c>
      <c r="AE312" s="9"/>
      <c r="AF312" s="9" t="s">
        <v>1929</v>
      </c>
      <c r="AG312" s="9"/>
      <c r="AH312" s="9" t="s">
        <v>67</v>
      </c>
      <c r="AI312" s="9">
        <v>0</v>
      </c>
      <c r="AJ312" s="9"/>
      <c r="AK312" s="9">
        <v>0</v>
      </c>
      <c r="AL312" s="9" t="s">
        <v>1930</v>
      </c>
      <c r="AM312" s="9">
        <v>1</v>
      </c>
      <c r="AN312" s="9">
        <v>46212</v>
      </c>
      <c r="AO312" s="9" t="s">
        <v>1931</v>
      </c>
      <c r="AP312" s="9" t="s">
        <v>69</v>
      </c>
      <c r="AQ312" s="9" t="s">
        <v>1932</v>
      </c>
      <c r="AR312" s="9">
        <v>46212</v>
      </c>
      <c r="AS312" s="9" t="s">
        <v>84</v>
      </c>
      <c r="AT312" s="9" t="s">
        <v>1935</v>
      </c>
      <c r="AU312" s="9" t="s">
        <v>1952</v>
      </c>
      <c r="AV312" s="9">
        <v>0</v>
      </c>
      <c r="AW312" s="9" t="s">
        <v>92</v>
      </c>
      <c r="AX312" s="9" t="s">
        <v>165</v>
      </c>
      <c r="AY312" s="9">
        <v>0</v>
      </c>
      <c r="AZ312" s="9"/>
      <c r="BA312" s="9"/>
      <c r="BB312" s="9">
        <v>0</v>
      </c>
      <c r="BC312" s="9">
        <v>60</v>
      </c>
      <c r="BD312" s="9">
        <v>0</v>
      </c>
      <c r="BE312" s="9" t="s">
        <v>179</v>
      </c>
      <c r="BF312" s="9" t="s">
        <v>71</v>
      </c>
      <c r="BG312" s="9"/>
      <c r="BH312" s="9">
        <v>0</v>
      </c>
      <c r="BI312" s="9"/>
      <c r="BJ312" s="9">
        <v>17</v>
      </c>
      <c r="BK312" s="9" t="s">
        <v>92</v>
      </c>
      <c r="BL312" s="9" t="s">
        <v>92</v>
      </c>
      <c r="BM312" s="9" t="s">
        <v>72</v>
      </c>
      <c r="BN312" s="9"/>
      <c r="BO312" s="9">
        <v>1</v>
      </c>
      <c r="BP312" s="9" t="s">
        <v>990</v>
      </c>
      <c r="BQ312" s="9">
        <v>0</v>
      </c>
      <c r="BR312" s="9">
        <v>46081.820520833331</v>
      </c>
      <c r="BS312" s="9" t="s">
        <v>109</v>
      </c>
      <c r="BT312" s="9" t="s">
        <v>101</v>
      </c>
      <c r="BU312" s="9"/>
      <c r="BV312" s="9"/>
      <c r="BW312" s="9">
        <v>0</v>
      </c>
      <c r="BX312" s="9">
        <v>46209.418252314812</v>
      </c>
      <c r="BY312" s="9">
        <v>46209.418252314812</v>
      </c>
      <c r="BZ312" s="9"/>
      <c r="CA312" s="9"/>
      <c r="CB312" s="9"/>
      <c r="CC312" s="9"/>
      <c r="CD312" s="9"/>
      <c r="CE312" s="9"/>
      <c r="CF312" s="9"/>
      <c r="CG312" s="9"/>
      <c r="CH312" s="9">
        <v>1</v>
      </c>
      <c r="CI312" s="9">
        <v>0</v>
      </c>
      <c r="CJ312" s="9"/>
      <c r="CK312" s="9"/>
      <c r="CL312" s="9" t="s">
        <v>1964</v>
      </c>
      <c r="CM312" s="9"/>
      <c r="CN312" s="9">
        <v>0</v>
      </c>
      <c r="CO312" s="9" t="s">
        <v>1925</v>
      </c>
      <c r="CP312" s="9"/>
      <c r="CQ312" s="9">
        <v>0</v>
      </c>
    </row>
    <row r="313" spans="1:95" x14ac:dyDescent="0.35">
      <c r="A313" s="9" t="b">
        <f>ISNUMBER(MATCH(Claude[[#This Row],[Id]],ChargentOrders[Id],0))</f>
        <v>1</v>
      </c>
      <c r="B313" t="b">
        <f>INDEX(ChargentOrders[VALIDO],MATCH(Claude[[#This Row],[Id]],ChargentOrders[Id],0))</f>
        <v>1</v>
      </c>
      <c r="C313">
        <f>INDEX(Contract[CB_Subscription__c],MATCH(Claude[[#This Row],[Contract__c]],Contract[Id],0))</f>
        <v>0</v>
      </c>
      <c r="D313" s="9" t="s">
        <v>991</v>
      </c>
      <c r="E313" s="9" t="s">
        <v>102</v>
      </c>
      <c r="F313" s="9">
        <v>0</v>
      </c>
      <c r="G313" s="9" t="s">
        <v>992</v>
      </c>
      <c r="H313" s="9">
        <v>46086.554444444446</v>
      </c>
      <c r="I313" s="9" t="s">
        <v>102</v>
      </c>
      <c r="J313" s="9">
        <v>46086.554513888892</v>
      </c>
      <c r="K313" s="9" t="s">
        <v>102</v>
      </c>
      <c r="L313" s="9">
        <v>46086.554513888892</v>
      </c>
      <c r="M313" s="9"/>
      <c r="N313" s="9"/>
      <c r="O313" s="9" t="s">
        <v>2178</v>
      </c>
      <c r="P313" s="9" t="s">
        <v>2179</v>
      </c>
      <c r="Q313" s="9" t="s">
        <v>2180</v>
      </c>
      <c r="R313" s="9" t="s">
        <v>1746</v>
      </c>
      <c r="S313" s="9" t="s">
        <v>2045</v>
      </c>
      <c r="T313" s="9" t="s">
        <v>2193</v>
      </c>
      <c r="U313" s="9" t="s">
        <v>2182</v>
      </c>
      <c r="V313" s="9">
        <v>32822</v>
      </c>
      <c r="W313" s="9">
        <v>2</v>
      </c>
      <c r="X313" s="9">
        <v>2029</v>
      </c>
      <c r="Y313" s="9">
        <v>7328</v>
      </c>
      <c r="Z313" s="9">
        <v>2</v>
      </c>
      <c r="AA313" s="9"/>
      <c r="AB313" s="9" t="s">
        <v>73</v>
      </c>
      <c r="AC313" s="9">
        <v>2029</v>
      </c>
      <c r="AD313" s="9" t="s">
        <v>93</v>
      </c>
      <c r="AE313" s="9"/>
      <c r="AF313" s="9" t="s">
        <v>1929</v>
      </c>
      <c r="AG313" s="9"/>
      <c r="AH313" s="9" t="s">
        <v>107</v>
      </c>
      <c r="AI313" s="9">
        <v>0</v>
      </c>
      <c r="AJ313" s="9"/>
      <c r="AK313" s="9">
        <v>0</v>
      </c>
      <c r="AL313" s="9" t="s">
        <v>1930</v>
      </c>
      <c r="AM313" s="9"/>
      <c r="AN313" s="9"/>
      <c r="AO313" s="9" t="s">
        <v>1931</v>
      </c>
      <c r="AP313" s="9" t="s">
        <v>69</v>
      </c>
      <c r="AQ313" s="9" t="s">
        <v>1932</v>
      </c>
      <c r="AR313" s="9"/>
      <c r="AS313" s="9"/>
      <c r="AT313" s="9"/>
      <c r="AU313" s="9" t="s">
        <v>92</v>
      </c>
      <c r="AV313" s="9">
        <v>0</v>
      </c>
      <c r="AW313" s="9"/>
      <c r="AX313" s="9" t="s">
        <v>959</v>
      </c>
      <c r="AY313" s="9">
        <v>0</v>
      </c>
      <c r="AZ313" s="9"/>
      <c r="BA313" s="9">
        <v>46086.554479166669</v>
      </c>
      <c r="BB313" s="9">
        <v>0</v>
      </c>
      <c r="BC313" s="9">
        <v>1</v>
      </c>
      <c r="BD313" s="9">
        <v>0</v>
      </c>
      <c r="BE313" s="9" t="s">
        <v>717</v>
      </c>
      <c r="BF313" s="9"/>
      <c r="BG313" s="9"/>
      <c r="BH313" s="9">
        <v>0</v>
      </c>
      <c r="BI313" s="9"/>
      <c r="BJ313" s="9">
        <v>1</v>
      </c>
      <c r="BK313" s="9"/>
      <c r="BL313" s="9"/>
      <c r="BM313" s="9" t="s">
        <v>75</v>
      </c>
      <c r="BN313" s="9"/>
      <c r="BO313" s="9">
        <v>0</v>
      </c>
      <c r="BP313" s="9"/>
      <c r="BQ313" s="9">
        <v>1</v>
      </c>
      <c r="BR313" s="9"/>
      <c r="BS313" s="9"/>
      <c r="BT313" s="9"/>
      <c r="BU313" s="9"/>
      <c r="BV313" s="9"/>
      <c r="BW313" s="9">
        <v>0</v>
      </c>
      <c r="BX313" s="9"/>
      <c r="BY313" s="9">
        <v>46086.554479166669</v>
      </c>
      <c r="BZ313" s="9"/>
      <c r="CA313" s="9"/>
      <c r="CB313" s="9"/>
      <c r="CC313" s="9"/>
      <c r="CD313" s="9"/>
      <c r="CE313" s="9"/>
      <c r="CF313" s="9"/>
      <c r="CG313" s="9"/>
      <c r="CH313" s="9">
        <v>1</v>
      </c>
      <c r="CI313" s="9">
        <v>0</v>
      </c>
      <c r="CJ313" s="9"/>
      <c r="CK313" s="9"/>
      <c r="CL313" s="9" t="s">
        <v>2183</v>
      </c>
      <c r="CM313" s="9"/>
      <c r="CN313" s="9">
        <v>0</v>
      </c>
      <c r="CO313" s="9" t="s">
        <v>1925</v>
      </c>
      <c r="CP313" s="9"/>
      <c r="CQ313" s="9"/>
    </row>
    <row r="314" spans="1:95" x14ac:dyDescent="0.35">
      <c r="A314" s="9" t="b">
        <f>ISNUMBER(MATCH(Claude[[#This Row],[Id]],ChargentOrders[Id],0))</f>
        <v>1</v>
      </c>
      <c r="B314" t="b">
        <f>INDEX(ChargentOrders[VALIDO],MATCH(Claude[[#This Row],[Id]],ChargentOrders[Id],0))</f>
        <v>1</v>
      </c>
      <c r="C314">
        <f>INDEX(Contract[CB_Subscription__c],MATCH(Claude[[#This Row],[Contract__c]],Contract[Id],0))</f>
        <v>0</v>
      </c>
      <c r="D314" s="9" t="s">
        <v>994</v>
      </c>
      <c r="E314" s="9" t="s">
        <v>79</v>
      </c>
      <c r="F314" s="9">
        <v>0</v>
      </c>
      <c r="G314" s="9" t="s">
        <v>995</v>
      </c>
      <c r="H314" s="9">
        <v>46093.015219907407</v>
      </c>
      <c r="I314" s="9" t="s">
        <v>101</v>
      </c>
      <c r="J314" s="9">
        <v>46217.738564814812</v>
      </c>
      <c r="K314" s="9" t="s">
        <v>78</v>
      </c>
      <c r="L314" s="9">
        <v>46217.738564814812</v>
      </c>
      <c r="M314" s="9"/>
      <c r="N314" s="9" t="s">
        <v>1634</v>
      </c>
      <c r="O314" s="9" t="s">
        <v>2037</v>
      </c>
      <c r="P314" s="9" t="s">
        <v>1983</v>
      </c>
      <c r="Q314" s="9" t="s">
        <v>1925</v>
      </c>
      <c r="R314" s="9" t="s">
        <v>1632</v>
      </c>
      <c r="S314" s="9" t="s">
        <v>2038</v>
      </c>
      <c r="T314" s="9" t="s">
        <v>2039</v>
      </c>
      <c r="U314" s="9" t="s">
        <v>1928</v>
      </c>
      <c r="V314" s="9">
        <v>771</v>
      </c>
      <c r="W314" s="9">
        <v>7</v>
      </c>
      <c r="X314" s="9">
        <v>2027</v>
      </c>
      <c r="Y314" s="9">
        <v>233</v>
      </c>
      <c r="Z314" s="9">
        <v>7</v>
      </c>
      <c r="AA314" s="9"/>
      <c r="AB314" s="9" t="s">
        <v>66</v>
      </c>
      <c r="AC314" s="9">
        <v>2027</v>
      </c>
      <c r="AD314" s="9" t="s">
        <v>1952</v>
      </c>
      <c r="AE314" s="9"/>
      <c r="AF314" s="9" t="s">
        <v>1929</v>
      </c>
      <c r="AG314" s="9"/>
      <c r="AH314" s="9" t="s">
        <v>107</v>
      </c>
      <c r="AI314" s="9">
        <v>0</v>
      </c>
      <c r="AJ314" s="9"/>
      <c r="AK314" s="9">
        <v>0</v>
      </c>
      <c r="AL314" s="9" t="s">
        <v>1930</v>
      </c>
      <c r="AM314" s="9">
        <v>1</v>
      </c>
      <c r="AN314" s="9">
        <v>46212</v>
      </c>
      <c r="AO314" s="9" t="s">
        <v>1931</v>
      </c>
      <c r="AP314" s="9" t="s">
        <v>69</v>
      </c>
      <c r="AQ314" s="9" t="s">
        <v>1932</v>
      </c>
      <c r="AR314" s="9">
        <v>46212</v>
      </c>
      <c r="AS314" s="9" t="s">
        <v>84</v>
      </c>
      <c r="AT314" s="9" t="s">
        <v>1935</v>
      </c>
      <c r="AU314" s="9" t="s">
        <v>1952</v>
      </c>
      <c r="AV314" s="9">
        <v>0</v>
      </c>
      <c r="AW314" s="9" t="s">
        <v>92</v>
      </c>
      <c r="AX314" s="9" t="s">
        <v>368</v>
      </c>
      <c r="AY314" s="9">
        <v>0</v>
      </c>
      <c r="AZ314" s="9"/>
      <c r="BA314" s="9"/>
      <c r="BB314" s="9">
        <v>0</v>
      </c>
      <c r="BC314" s="9">
        <v>56</v>
      </c>
      <c r="BD314" s="9">
        <v>0</v>
      </c>
      <c r="BE314" s="9" t="s">
        <v>369</v>
      </c>
      <c r="BF314" s="9" t="s">
        <v>71</v>
      </c>
      <c r="BG314" s="9"/>
      <c r="BH314" s="9">
        <v>0</v>
      </c>
      <c r="BI314" s="9"/>
      <c r="BJ314" s="9">
        <v>7</v>
      </c>
      <c r="BK314" s="9" t="s">
        <v>92</v>
      </c>
      <c r="BL314" s="9" t="s">
        <v>92</v>
      </c>
      <c r="BM314" s="9" t="s">
        <v>72</v>
      </c>
      <c r="BN314" s="9"/>
      <c r="BO314" s="9">
        <v>1</v>
      </c>
      <c r="BP314" s="9" t="s">
        <v>996</v>
      </c>
      <c r="BQ314" s="9">
        <v>0</v>
      </c>
      <c r="BR314" s="9">
        <v>45849.623969907407</v>
      </c>
      <c r="BS314" s="9" t="s">
        <v>109</v>
      </c>
      <c r="BT314" s="9" t="s">
        <v>101</v>
      </c>
      <c r="BU314" s="9"/>
      <c r="BV314" s="9"/>
      <c r="BW314" s="9">
        <v>0</v>
      </c>
      <c r="BX314" s="9"/>
      <c r="BY314" s="9">
        <v>46209.41851851852</v>
      </c>
      <c r="BZ314" s="9"/>
      <c r="CA314" s="9"/>
      <c r="CB314" s="9"/>
      <c r="CC314" s="9"/>
      <c r="CD314" s="9"/>
      <c r="CE314" s="9"/>
      <c r="CF314" s="9"/>
      <c r="CG314" s="9"/>
      <c r="CH314" s="9">
        <v>1</v>
      </c>
      <c r="CI314" s="9">
        <v>0</v>
      </c>
      <c r="CJ314" s="9"/>
      <c r="CK314" s="9"/>
      <c r="CL314" s="9" t="s">
        <v>2040</v>
      </c>
      <c r="CM314" s="9"/>
      <c r="CN314" s="9">
        <v>0</v>
      </c>
      <c r="CO314" s="9" t="s">
        <v>1925</v>
      </c>
      <c r="CP314" s="9"/>
      <c r="CQ314" s="9">
        <v>0</v>
      </c>
    </row>
    <row r="315" spans="1:95" x14ac:dyDescent="0.35">
      <c r="A315" s="9" t="b">
        <f>ISNUMBER(MATCH(Claude[[#This Row],[Id]],ChargentOrders[Id],0))</f>
        <v>1</v>
      </c>
      <c r="B315" t="b">
        <f>INDEX(ChargentOrders[VALIDO],MATCH(Claude[[#This Row],[Id]],ChargentOrders[Id],0))</f>
        <v>1</v>
      </c>
      <c r="C315">
        <f>INDEX(Contract[CB_Subscription__c],MATCH(Claude[[#This Row],[Contract__c]],Contract[Id],0))</f>
        <v>0</v>
      </c>
      <c r="D315" s="9" t="s">
        <v>997</v>
      </c>
      <c r="E315" s="9" t="s">
        <v>79</v>
      </c>
      <c r="F315" s="9">
        <v>0</v>
      </c>
      <c r="G315" s="9" t="s">
        <v>998</v>
      </c>
      <c r="H315" s="9">
        <v>46093.030138888891</v>
      </c>
      <c r="I315" s="9" t="s">
        <v>101</v>
      </c>
      <c r="J315" s="9">
        <v>46101.427245370367</v>
      </c>
      <c r="K315" s="9" t="s">
        <v>65</v>
      </c>
      <c r="L315" s="9">
        <v>46101.427245370367</v>
      </c>
      <c r="M315" s="9"/>
      <c r="N315" s="9" t="s">
        <v>1708</v>
      </c>
      <c r="O315" s="9" t="s">
        <v>2132</v>
      </c>
      <c r="P315" s="9" t="s">
        <v>2066</v>
      </c>
      <c r="Q315" s="9" t="s">
        <v>1925</v>
      </c>
      <c r="R315" s="9" t="s">
        <v>1706</v>
      </c>
      <c r="S315" s="9" t="s">
        <v>2133</v>
      </c>
      <c r="T315" s="9" t="s">
        <v>2134</v>
      </c>
      <c r="U315" s="9" t="s">
        <v>1928</v>
      </c>
      <c r="V315" s="9">
        <v>956</v>
      </c>
      <c r="W315" s="9">
        <v>10</v>
      </c>
      <c r="X315" s="9">
        <v>2030</v>
      </c>
      <c r="Y315" s="9">
        <v>2772</v>
      </c>
      <c r="Z315" s="9">
        <v>10</v>
      </c>
      <c r="AA315" s="9">
        <v>4549519496022770</v>
      </c>
      <c r="AB315" s="9" t="s">
        <v>73</v>
      </c>
      <c r="AC315" s="9">
        <v>2030</v>
      </c>
      <c r="AD315" s="9">
        <v>1.04E+20</v>
      </c>
      <c r="AE315" s="9"/>
      <c r="AF315" s="9" t="s">
        <v>1929</v>
      </c>
      <c r="AG315" s="9"/>
      <c r="AH315" s="9" t="s">
        <v>67</v>
      </c>
      <c r="AI315" s="9">
        <v>0</v>
      </c>
      <c r="AJ315" s="9"/>
      <c r="AK315" s="9">
        <v>0</v>
      </c>
      <c r="AL315" s="9" t="s">
        <v>1930</v>
      </c>
      <c r="AM315" s="9">
        <v>1</v>
      </c>
      <c r="AN315" s="9">
        <v>46101</v>
      </c>
      <c r="AO315" s="9" t="s">
        <v>1931</v>
      </c>
      <c r="AP315" s="9" t="s">
        <v>69</v>
      </c>
      <c r="AQ315" s="9" t="s">
        <v>1932</v>
      </c>
      <c r="AR315" s="9">
        <v>46101</v>
      </c>
      <c r="AS315" s="9" t="s">
        <v>74</v>
      </c>
      <c r="AT315" s="9" t="s">
        <v>1935</v>
      </c>
      <c r="AU315" s="9" t="s">
        <v>1952</v>
      </c>
      <c r="AV315" s="9">
        <v>0</v>
      </c>
      <c r="AW315" s="9" t="s">
        <v>93</v>
      </c>
      <c r="AX315" s="9" t="s">
        <v>616</v>
      </c>
      <c r="AY315" s="9">
        <v>0</v>
      </c>
      <c r="AZ315" s="9">
        <v>46101.427106481482</v>
      </c>
      <c r="BA315" s="9">
        <v>46101.427187499998</v>
      </c>
      <c r="BB315" s="9">
        <v>1</v>
      </c>
      <c r="BC315" s="9">
        <v>6</v>
      </c>
      <c r="BD315" s="9" t="s">
        <v>2087</v>
      </c>
      <c r="BE315" s="9" t="s">
        <v>617</v>
      </c>
      <c r="BF315" s="9" t="s">
        <v>71</v>
      </c>
      <c r="BG315" s="9"/>
      <c r="BH315" s="9">
        <v>0</v>
      </c>
      <c r="BI315" s="9"/>
      <c r="BJ315" s="9">
        <v>3</v>
      </c>
      <c r="BK315" s="9" t="s">
        <v>92</v>
      </c>
      <c r="BL315" s="9" t="s">
        <v>92</v>
      </c>
      <c r="BM315" s="9" t="s">
        <v>72</v>
      </c>
      <c r="BN315" s="9"/>
      <c r="BO315" s="9">
        <v>1</v>
      </c>
      <c r="BP315" s="9" t="s">
        <v>999</v>
      </c>
      <c r="BQ315" s="9">
        <v>0</v>
      </c>
      <c r="BR315" s="9">
        <v>46031.426122685189</v>
      </c>
      <c r="BS315" s="9" t="s">
        <v>109</v>
      </c>
      <c r="BT315" s="9" t="s">
        <v>101</v>
      </c>
      <c r="BU315" s="9"/>
      <c r="BV315" s="9"/>
      <c r="BW315" s="9">
        <v>0</v>
      </c>
      <c r="BX315" s="9">
        <v>46099.995023148149</v>
      </c>
      <c r="BY315" s="9">
        <v>46101.427106481482</v>
      </c>
      <c r="BZ315" s="9"/>
      <c r="CA315" s="9"/>
      <c r="CB315" s="9"/>
      <c r="CC315" s="9"/>
      <c r="CD315" s="9"/>
      <c r="CE315" s="9"/>
      <c r="CF315" s="9"/>
      <c r="CG315" s="9"/>
      <c r="CH315" s="9">
        <v>1</v>
      </c>
      <c r="CI315" s="9">
        <v>0</v>
      </c>
      <c r="CJ315" s="9"/>
      <c r="CK315" s="9"/>
      <c r="CL315" s="9" t="s">
        <v>2135</v>
      </c>
      <c r="CM315" s="9"/>
      <c r="CN315" s="9">
        <v>0</v>
      </c>
      <c r="CO315" s="9" t="s">
        <v>1925</v>
      </c>
      <c r="CP315" s="9"/>
      <c r="CQ315" s="9"/>
    </row>
    <row r="316" spans="1:95" x14ac:dyDescent="0.35">
      <c r="A316" s="9" t="b">
        <f>ISNUMBER(MATCH(Claude[[#This Row],[Id]],ChargentOrders[Id],0))</f>
        <v>1</v>
      </c>
      <c r="B316" t="b">
        <f>INDEX(ChargentOrders[VALIDO],MATCH(Claude[[#This Row],[Id]],ChargentOrders[Id],0))</f>
        <v>1</v>
      </c>
      <c r="C316">
        <f>INDEX(Contract[CB_Subscription__c],MATCH(Claude[[#This Row],[Contract__c]],Contract[Id],0))</f>
        <v>0</v>
      </c>
      <c r="D316" s="9" t="s">
        <v>1000</v>
      </c>
      <c r="E316" s="9" t="s">
        <v>155</v>
      </c>
      <c r="F316" s="9">
        <v>0</v>
      </c>
      <c r="G316" s="9" t="s">
        <v>1001</v>
      </c>
      <c r="H316" s="9">
        <v>46095.416932870372</v>
      </c>
      <c r="I316" s="9" t="s">
        <v>65</v>
      </c>
      <c r="J316" s="9">
        <v>46216.998865740738</v>
      </c>
      <c r="K316" s="9" t="s">
        <v>101</v>
      </c>
      <c r="L316" s="9">
        <v>46216.998865740738</v>
      </c>
      <c r="M316" s="9"/>
      <c r="N316" s="9" t="s">
        <v>1748</v>
      </c>
      <c r="O316" s="9" t="s">
        <v>2178</v>
      </c>
      <c r="P316" s="9" t="s">
        <v>2179</v>
      </c>
      <c r="Q316" s="9" t="s">
        <v>2180</v>
      </c>
      <c r="R316" s="9" t="s">
        <v>1746</v>
      </c>
      <c r="S316" s="9" t="s">
        <v>2045</v>
      </c>
      <c r="T316" s="9" t="s">
        <v>2181</v>
      </c>
      <c r="U316" s="9" t="s">
        <v>2182</v>
      </c>
      <c r="V316" s="9">
        <v>32822</v>
      </c>
      <c r="W316" s="9">
        <v>6</v>
      </c>
      <c r="X316" s="9">
        <v>2030</v>
      </c>
      <c r="Y316" s="9">
        <v>6709</v>
      </c>
      <c r="Z316" s="9">
        <v>6</v>
      </c>
      <c r="AA316" s="9"/>
      <c r="AB316" s="9" t="s">
        <v>73</v>
      </c>
      <c r="AC316" s="9">
        <v>2030</v>
      </c>
      <c r="AD316" s="9" t="s">
        <v>2220</v>
      </c>
      <c r="AE316" s="9"/>
      <c r="AF316" s="9" t="s">
        <v>1929</v>
      </c>
      <c r="AG316" s="9"/>
      <c r="AH316" s="9" t="s">
        <v>107</v>
      </c>
      <c r="AI316" s="9">
        <v>0</v>
      </c>
      <c r="AJ316" s="9"/>
      <c r="AK316" s="9">
        <v>0</v>
      </c>
      <c r="AL316" s="9" t="s">
        <v>1930</v>
      </c>
      <c r="AM316" s="9" t="s">
        <v>1958</v>
      </c>
      <c r="AN316" s="9">
        <v>46198</v>
      </c>
      <c r="AO316" s="9" t="s">
        <v>1931</v>
      </c>
      <c r="AP316" s="9" t="s">
        <v>69</v>
      </c>
      <c r="AQ316" s="9" t="s">
        <v>1932</v>
      </c>
      <c r="AR316" s="9">
        <v>46212</v>
      </c>
      <c r="AS316" s="9" t="s">
        <v>90</v>
      </c>
      <c r="AT316" s="9" t="s">
        <v>1935</v>
      </c>
      <c r="AU316" s="9" t="s">
        <v>449</v>
      </c>
      <c r="AV316" s="9">
        <v>0</v>
      </c>
      <c r="AW316" s="9" t="s">
        <v>93</v>
      </c>
      <c r="AX316" s="9" t="s">
        <v>1002</v>
      </c>
      <c r="AY316" s="9">
        <v>0</v>
      </c>
      <c r="AZ316" s="9"/>
      <c r="BA316" s="9"/>
      <c r="BB316" s="9">
        <v>0</v>
      </c>
      <c r="BC316" s="9">
        <v>31</v>
      </c>
      <c r="BD316" s="9">
        <v>0</v>
      </c>
      <c r="BE316" s="9" t="s">
        <v>717</v>
      </c>
      <c r="BF316" s="9" t="s">
        <v>71</v>
      </c>
      <c r="BG316" s="9"/>
      <c r="BH316" s="9">
        <v>0</v>
      </c>
      <c r="BI316" s="9"/>
      <c r="BJ316" s="9"/>
      <c r="BK316" s="9" t="s">
        <v>92</v>
      </c>
      <c r="BL316" s="9" t="s">
        <v>92</v>
      </c>
      <c r="BM316" s="9" t="s">
        <v>72</v>
      </c>
      <c r="BN316" s="9"/>
      <c r="BO316" s="9">
        <v>1</v>
      </c>
      <c r="BP316" s="9" t="s">
        <v>1003</v>
      </c>
      <c r="BQ316" s="9">
        <v>0</v>
      </c>
      <c r="BR316" s="9">
        <v>46031.672777777778</v>
      </c>
      <c r="BS316" s="9" t="s">
        <v>109</v>
      </c>
      <c r="BT316" s="9" t="s">
        <v>65</v>
      </c>
      <c r="BU316" s="9"/>
      <c r="BV316" s="9"/>
      <c r="BW316" s="9">
        <v>0</v>
      </c>
      <c r="BX316" s="9"/>
      <c r="BY316" s="9">
        <v>46216.998854166668</v>
      </c>
      <c r="BZ316" s="9"/>
      <c r="CA316" s="9"/>
      <c r="CB316" s="9"/>
      <c r="CC316" s="9"/>
      <c r="CD316" s="9"/>
      <c r="CE316" s="9"/>
      <c r="CF316" s="9"/>
      <c r="CG316" s="9"/>
      <c r="CH316" s="9">
        <v>1</v>
      </c>
      <c r="CI316" s="9">
        <v>0</v>
      </c>
      <c r="CJ316" s="9"/>
      <c r="CK316" s="9"/>
      <c r="CL316" s="9" t="s">
        <v>2183</v>
      </c>
      <c r="CM316" s="9"/>
      <c r="CN316" s="9">
        <v>0</v>
      </c>
      <c r="CO316" s="9" t="s">
        <v>1925</v>
      </c>
      <c r="CP316" s="9"/>
      <c r="CQ316" s="9">
        <v>0</v>
      </c>
    </row>
    <row r="317" spans="1:95" x14ac:dyDescent="0.35">
      <c r="A317" s="9" t="b">
        <f>ISNUMBER(MATCH(Claude[[#This Row],[Id]],ChargentOrders[Id],0))</f>
        <v>1</v>
      </c>
      <c r="B317" t="b">
        <f>INDEX(ChargentOrders[VALIDO],MATCH(Claude[[#This Row],[Id]],ChargentOrders[Id],0))</f>
        <v>1</v>
      </c>
      <c r="C317">
        <f>INDEX(Contract[CB_Subscription__c],MATCH(Claude[[#This Row],[Contract__c]],Contract[Id],0))</f>
        <v>0</v>
      </c>
      <c r="D317" s="9" t="s">
        <v>1004</v>
      </c>
      <c r="E317" s="9" t="s">
        <v>79</v>
      </c>
      <c r="F317" s="9">
        <v>0</v>
      </c>
      <c r="G317" s="9" t="s">
        <v>1005</v>
      </c>
      <c r="H317" s="9">
        <v>46099.034548611111</v>
      </c>
      <c r="I317" s="9" t="s">
        <v>101</v>
      </c>
      <c r="J317" s="9">
        <v>46206.990104166667</v>
      </c>
      <c r="K317" s="9" t="s">
        <v>101</v>
      </c>
      <c r="L317" s="9">
        <v>46206.990104166667</v>
      </c>
      <c r="M317" s="9"/>
      <c r="N317" s="9" t="s">
        <v>1576</v>
      </c>
      <c r="O317" s="9" t="s">
        <v>1947</v>
      </c>
      <c r="P317" s="9" t="s">
        <v>1948</v>
      </c>
      <c r="Q317" s="9" t="s">
        <v>1925</v>
      </c>
      <c r="R317" s="9" t="s">
        <v>1574</v>
      </c>
      <c r="S317" s="9" t="s">
        <v>1949</v>
      </c>
      <c r="T317" s="9" t="s">
        <v>1950</v>
      </c>
      <c r="U317" s="9" t="s">
        <v>1928</v>
      </c>
      <c r="V317" s="9">
        <v>769</v>
      </c>
      <c r="W317" s="9">
        <v>7</v>
      </c>
      <c r="X317" s="9">
        <v>2028</v>
      </c>
      <c r="Y317" s="9">
        <v>1524</v>
      </c>
      <c r="Z317" s="9">
        <v>7</v>
      </c>
      <c r="AA317" s="9">
        <v>4549516625621520</v>
      </c>
      <c r="AB317" s="9" t="s">
        <v>73</v>
      </c>
      <c r="AC317" s="9">
        <v>2028</v>
      </c>
      <c r="AD317" s="9" t="s">
        <v>2087</v>
      </c>
      <c r="AE317" s="9"/>
      <c r="AF317" s="9" t="s">
        <v>1929</v>
      </c>
      <c r="AG317" s="9"/>
      <c r="AH317" s="9" t="s">
        <v>67</v>
      </c>
      <c r="AI317" s="9">
        <v>0</v>
      </c>
      <c r="AJ317" s="9"/>
      <c r="AK317" s="9">
        <v>0</v>
      </c>
      <c r="AL317" s="9" t="s">
        <v>1930</v>
      </c>
      <c r="AM317" s="9">
        <v>1</v>
      </c>
      <c r="AN317" s="9">
        <v>46209</v>
      </c>
      <c r="AO317" s="9" t="s">
        <v>1931</v>
      </c>
      <c r="AP317" s="9" t="s">
        <v>69</v>
      </c>
      <c r="AQ317" s="9" t="s">
        <v>1932</v>
      </c>
      <c r="AR317" s="9">
        <v>46209</v>
      </c>
      <c r="AS317" s="9" t="s">
        <v>74</v>
      </c>
      <c r="AT317" s="9" t="s">
        <v>1935</v>
      </c>
      <c r="AU317" s="9" t="s">
        <v>1952</v>
      </c>
      <c r="AV317" s="9">
        <v>0</v>
      </c>
      <c r="AW317" s="9" t="s">
        <v>93</v>
      </c>
      <c r="AX317" s="9" t="s">
        <v>158</v>
      </c>
      <c r="AY317" s="9">
        <v>0</v>
      </c>
      <c r="AZ317" s="9">
        <v>46206.990069444444</v>
      </c>
      <c r="BA317" s="9">
        <v>46206.990069444444</v>
      </c>
      <c r="BB317" s="9">
        <v>1</v>
      </c>
      <c r="BC317" s="9">
        <v>28</v>
      </c>
      <c r="BD317" s="9" t="s">
        <v>2087</v>
      </c>
      <c r="BE317" s="9" t="s">
        <v>159</v>
      </c>
      <c r="BF317" s="9" t="s">
        <v>71</v>
      </c>
      <c r="BG317" s="9"/>
      <c r="BH317" s="9">
        <v>0</v>
      </c>
      <c r="BI317" s="9"/>
      <c r="BJ317" s="9">
        <v>22</v>
      </c>
      <c r="BK317" s="9" t="s">
        <v>92</v>
      </c>
      <c r="BL317" s="9" t="s">
        <v>92</v>
      </c>
      <c r="BM317" s="9" t="s">
        <v>72</v>
      </c>
      <c r="BN317" s="9"/>
      <c r="BO317" s="9">
        <v>1</v>
      </c>
      <c r="BP317" s="9" t="s">
        <v>1006</v>
      </c>
      <c r="BQ317" s="9">
        <v>0</v>
      </c>
      <c r="BR317" s="9">
        <v>46111.971215277779</v>
      </c>
      <c r="BS317" s="9" t="s">
        <v>109</v>
      </c>
      <c r="BT317" s="9" t="s">
        <v>101</v>
      </c>
      <c r="BU317" s="9"/>
      <c r="BV317" s="9"/>
      <c r="BW317" s="9">
        <v>0</v>
      </c>
      <c r="BX317" s="9">
        <v>46206.418993055559</v>
      </c>
      <c r="BY317" s="9">
        <v>46206.990069444444</v>
      </c>
      <c r="BZ317" s="9"/>
      <c r="CA317" s="9"/>
      <c r="CB317" s="9"/>
      <c r="CC317" s="9"/>
      <c r="CD317" s="9"/>
      <c r="CE317" s="9"/>
      <c r="CF317" s="9"/>
      <c r="CG317" s="9"/>
      <c r="CH317" s="9">
        <v>1</v>
      </c>
      <c r="CI317" s="9">
        <v>0</v>
      </c>
      <c r="CJ317" s="9"/>
      <c r="CK317" s="9"/>
      <c r="CL317" s="9"/>
      <c r="CM317" s="9"/>
      <c r="CN317" s="9">
        <v>0</v>
      </c>
      <c r="CO317" s="9" t="s">
        <v>1925</v>
      </c>
      <c r="CP317" s="9"/>
      <c r="CQ317" s="9">
        <v>0</v>
      </c>
    </row>
    <row r="318" spans="1:95" x14ac:dyDescent="0.35">
      <c r="A318" s="9" t="b">
        <f>ISNUMBER(MATCH(Claude[[#This Row],[Id]],ChargentOrders[Id],0))</f>
        <v>1</v>
      </c>
      <c r="B318" t="b">
        <f>INDEX(ChargentOrders[VALIDO],MATCH(Claude[[#This Row],[Id]],ChargentOrders[Id],0))</f>
        <v>1</v>
      </c>
      <c r="C318">
        <f>INDEX(Contract[CB_Subscription__c],MATCH(Claude[[#This Row],[Contract__c]],Contract[Id],0))</f>
        <v>0</v>
      </c>
      <c r="D318" s="9" t="s">
        <v>1008</v>
      </c>
      <c r="E318" s="9" t="s">
        <v>78</v>
      </c>
      <c r="F318" s="9">
        <v>0</v>
      </c>
      <c r="G318" s="9" t="s">
        <v>1009</v>
      </c>
      <c r="H318" s="9">
        <v>46107.947083333333</v>
      </c>
      <c r="I318" s="9" t="s">
        <v>78</v>
      </c>
      <c r="J318" s="9">
        <v>46216.989537037036</v>
      </c>
      <c r="K318" s="9" t="s">
        <v>101</v>
      </c>
      <c r="L318" s="9">
        <v>46216.989537037036</v>
      </c>
      <c r="M318" s="9"/>
      <c r="N318" s="9" t="s">
        <v>1803</v>
      </c>
      <c r="O318" s="9" t="s">
        <v>2243</v>
      </c>
      <c r="P318" s="9" t="s">
        <v>2053</v>
      </c>
      <c r="Q318" s="9" t="s">
        <v>2015</v>
      </c>
      <c r="R318" s="9" t="s">
        <v>1801</v>
      </c>
      <c r="S318" s="9" t="s">
        <v>2244</v>
      </c>
      <c r="T318" s="9" t="s">
        <v>2245</v>
      </c>
      <c r="U318" s="9" t="s">
        <v>1925</v>
      </c>
      <c r="V318" s="9">
        <v>738</v>
      </c>
      <c r="W318" s="9">
        <v>9</v>
      </c>
      <c r="X318" s="9">
        <v>2029</v>
      </c>
      <c r="Y318" s="9">
        <v>6088</v>
      </c>
      <c r="Z318" s="9">
        <v>9</v>
      </c>
      <c r="AA318" s="9" t="s">
        <v>1517</v>
      </c>
      <c r="AB318" s="9" t="s">
        <v>66</v>
      </c>
      <c r="AC318" s="9">
        <v>2029</v>
      </c>
      <c r="AD318" s="9" t="s">
        <v>2220</v>
      </c>
      <c r="AE318" s="9"/>
      <c r="AF318" s="9"/>
      <c r="AG318" s="9"/>
      <c r="AH318" s="9" t="s">
        <v>67</v>
      </c>
      <c r="AI318" s="9">
        <v>0</v>
      </c>
      <c r="AJ318" s="9"/>
      <c r="AK318" s="9">
        <v>0</v>
      </c>
      <c r="AL318" s="9" t="s">
        <v>1930</v>
      </c>
      <c r="AM318" s="9" t="s">
        <v>1958</v>
      </c>
      <c r="AN318" s="9">
        <v>46212</v>
      </c>
      <c r="AO318" s="9" t="s">
        <v>1931</v>
      </c>
      <c r="AP318" s="9" t="s">
        <v>69</v>
      </c>
      <c r="AQ318" s="9"/>
      <c r="AR318" s="9">
        <v>46212</v>
      </c>
      <c r="AS318" s="9" t="s">
        <v>90</v>
      </c>
      <c r="AT318" s="9" t="s">
        <v>1935</v>
      </c>
      <c r="AU318" s="9" t="s">
        <v>449</v>
      </c>
      <c r="AV318" s="9">
        <v>0</v>
      </c>
      <c r="AW318" s="9" t="s">
        <v>93</v>
      </c>
      <c r="AX318" s="9" t="s">
        <v>849</v>
      </c>
      <c r="AY318" s="9">
        <v>0</v>
      </c>
      <c r="AZ318" s="9"/>
      <c r="BA318" s="9"/>
      <c r="BB318" s="9">
        <v>0</v>
      </c>
      <c r="BC318" s="9">
        <v>42</v>
      </c>
      <c r="BD318" s="9">
        <v>0</v>
      </c>
      <c r="BE318" s="9" t="s">
        <v>846</v>
      </c>
      <c r="BF318" s="9" t="s">
        <v>71</v>
      </c>
      <c r="BG318" s="9" t="s">
        <v>1007</v>
      </c>
      <c r="BH318" s="9">
        <v>0</v>
      </c>
      <c r="BI318" s="9"/>
      <c r="BJ318" s="9">
        <v>1</v>
      </c>
      <c r="BK318" s="9">
        <v>0</v>
      </c>
      <c r="BL318" s="9">
        <v>0</v>
      </c>
      <c r="BM318" s="9" t="s">
        <v>75</v>
      </c>
      <c r="BN318" s="9"/>
      <c r="BO318" s="9">
        <v>1</v>
      </c>
      <c r="BP318" s="9"/>
      <c r="BQ318" s="9">
        <v>0</v>
      </c>
      <c r="BR318" s="9">
        <v>46127.965474537035</v>
      </c>
      <c r="BS318" s="9" t="s">
        <v>109</v>
      </c>
      <c r="BT318" s="9"/>
      <c r="BU318" s="9"/>
      <c r="BV318" s="9"/>
      <c r="BW318" s="9">
        <v>0</v>
      </c>
      <c r="BX318" s="9">
        <v>46216.989537037036</v>
      </c>
      <c r="BY318" s="9">
        <v>46216.989537037036</v>
      </c>
      <c r="BZ318" s="9"/>
      <c r="CA318" s="9"/>
      <c r="CB318" s="9"/>
      <c r="CC318" s="9"/>
      <c r="CD318" s="9"/>
      <c r="CE318" s="9"/>
      <c r="CF318" s="9"/>
      <c r="CG318" s="9"/>
      <c r="CH318" s="9">
        <v>1</v>
      </c>
      <c r="CI318" s="9">
        <v>0</v>
      </c>
      <c r="CJ318" s="9"/>
      <c r="CK318" s="9"/>
      <c r="CL318" s="9"/>
      <c r="CM318" s="9" t="s">
        <v>249</v>
      </c>
      <c r="CN318" s="9">
        <v>0</v>
      </c>
      <c r="CO318" s="9" t="s">
        <v>1925</v>
      </c>
      <c r="CP318" s="9"/>
      <c r="CQ318" s="9">
        <v>0</v>
      </c>
    </row>
    <row r="319" spans="1:95" x14ac:dyDescent="0.35">
      <c r="A319" s="9" t="b">
        <f>ISNUMBER(MATCH(Claude[[#This Row],[Id]],ChargentOrders[Id],0))</f>
        <v>1</v>
      </c>
      <c r="B319" t="b">
        <f>INDEX(ChargentOrders[VALIDO],MATCH(Claude[[#This Row],[Id]],ChargentOrders[Id],0))</f>
        <v>1</v>
      </c>
      <c r="C319">
        <f>INDEX(Contract[CB_Subscription__c],MATCH(Claude[[#This Row],[Contract__c]],Contract[Id],0))</f>
        <v>0</v>
      </c>
      <c r="D319" s="9" t="s">
        <v>1010</v>
      </c>
      <c r="E319" s="9" t="s">
        <v>79</v>
      </c>
      <c r="F319" s="9">
        <v>0</v>
      </c>
      <c r="G319" s="9" t="s">
        <v>1011</v>
      </c>
      <c r="H319" s="9">
        <v>46108.421006944445</v>
      </c>
      <c r="I319" s="9" t="s">
        <v>65</v>
      </c>
      <c r="J319" s="9">
        <v>46217.739004629628</v>
      </c>
      <c r="K319" s="9" t="s">
        <v>78</v>
      </c>
      <c r="L319" s="9">
        <v>46217.739004629628</v>
      </c>
      <c r="M319" s="9"/>
      <c r="N319" s="9" t="s">
        <v>1753</v>
      </c>
      <c r="O319" s="9" t="s">
        <v>2185</v>
      </c>
      <c r="P319" s="9" t="s">
        <v>2186</v>
      </c>
      <c r="Q319" s="9" t="s">
        <v>1925</v>
      </c>
      <c r="R319" s="9" t="s">
        <v>1751</v>
      </c>
      <c r="S319" s="9" t="s">
        <v>2187</v>
      </c>
      <c r="T319" s="9" t="s">
        <v>2029</v>
      </c>
      <c r="U319" s="9" t="s">
        <v>1928</v>
      </c>
      <c r="V319" s="9">
        <v>692</v>
      </c>
      <c r="W319" s="9">
        <v>9</v>
      </c>
      <c r="X319" s="9">
        <v>2028</v>
      </c>
      <c r="Y319" s="9">
        <v>799</v>
      </c>
      <c r="Z319" s="9">
        <v>9</v>
      </c>
      <c r="AA319" s="9">
        <v>799</v>
      </c>
      <c r="AB319" s="9" t="s">
        <v>73</v>
      </c>
      <c r="AC319" s="9">
        <v>2028</v>
      </c>
      <c r="AD319" s="9" t="s">
        <v>993</v>
      </c>
      <c r="AE319" s="9"/>
      <c r="AF319" s="9" t="s">
        <v>1929</v>
      </c>
      <c r="AG319" s="9"/>
      <c r="AH319" s="9" t="s">
        <v>67</v>
      </c>
      <c r="AI319" s="9">
        <v>0</v>
      </c>
      <c r="AJ319" s="9"/>
      <c r="AK319" s="9">
        <v>0</v>
      </c>
      <c r="AL319" s="9" t="s">
        <v>1930</v>
      </c>
      <c r="AM319" s="9">
        <v>1</v>
      </c>
      <c r="AN319" s="9">
        <v>46205</v>
      </c>
      <c r="AO319" s="9" t="s">
        <v>1931</v>
      </c>
      <c r="AP319" s="9" t="s">
        <v>69</v>
      </c>
      <c r="AQ319" s="9" t="s">
        <v>1932</v>
      </c>
      <c r="AR319" s="9">
        <v>46205</v>
      </c>
      <c r="AS319" s="9" t="s">
        <v>84</v>
      </c>
      <c r="AT319" s="9" t="s">
        <v>1935</v>
      </c>
      <c r="AU319" s="9" t="s">
        <v>993</v>
      </c>
      <c r="AV319" s="9">
        <v>0</v>
      </c>
      <c r="AW319" s="9" t="s">
        <v>92</v>
      </c>
      <c r="AX319" s="9" t="s">
        <v>731</v>
      </c>
      <c r="AY319" s="9">
        <v>0</v>
      </c>
      <c r="AZ319" s="9"/>
      <c r="BA319" s="9"/>
      <c r="BB319" s="9">
        <v>0</v>
      </c>
      <c r="BC319" s="9">
        <v>40</v>
      </c>
      <c r="BD319" s="9">
        <v>0</v>
      </c>
      <c r="BE319" s="9" t="s">
        <v>732</v>
      </c>
      <c r="BF319" s="9" t="s">
        <v>71</v>
      </c>
      <c r="BG319" s="9"/>
      <c r="BH319" s="9">
        <v>0</v>
      </c>
      <c r="BI319" s="9"/>
      <c r="BJ319" s="9"/>
      <c r="BK319" s="9" t="s">
        <v>92</v>
      </c>
      <c r="BL319" s="9" t="s">
        <v>92</v>
      </c>
      <c r="BM319" s="9" t="s">
        <v>72</v>
      </c>
      <c r="BN319" s="9"/>
      <c r="BO319" s="9">
        <v>1</v>
      </c>
      <c r="BP319" s="9" t="s">
        <v>1012</v>
      </c>
      <c r="BQ319" s="9">
        <v>0</v>
      </c>
      <c r="BR319" s="9">
        <v>46039.416909722226</v>
      </c>
      <c r="BS319" s="9" t="s">
        <v>109</v>
      </c>
      <c r="BT319" s="9" t="s">
        <v>65</v>
      </c>
      <c r="BU319" s="9"/>
      <c r="BV319" s="9"/>
      <c r="BW319" s="9">
        <v>0</v>
      </c>
      <c r="BX319" s="9">
        <v>46202.419224537036</v>
      </c>
      <c r="BY319" s="9">
        <v>46202.419224537036</v>
      </c>
      <c r="BZ319" s="9"/>
      <c r="CA319" s="9"/>
      <c r="CB319" s="9"/>
      <c r="CC319" s="9"/>
      <c r="CD319" s="9"/>
      <c r="CE319" s="9"/>
      <c r="CF319" s="9"/>
      <c r="CG319" s="9"/>
      <c r="CH319" s="9">
        <v>1</v>
      </c>
      <c r="CI319" s="9">
        <v>0</v>
      </c>
      <c r="CJ319" s="9"/>
      <c r="CK319" s="9"/>
      <c r="CL319" s="9" t="s">
        <v>2188</v>
      </c>
      <c r="CM319" s="9"/>
      <c r="CN319" s="9">
        <v>0</v>
      </c>
      <c r="CO319" s="9" t="s">
        <v>1925</v>
      </c>
      <c r="CP319" s="9"/>
      <c r="CQ319" s="9">
        <v>0</v>
      </c>
    </row>
    <row r="320" spans="1:95" x14ac:dyDescent="0.35">
      <c r="A320" s="9" t="b">
        <f>ISNUMBER(MATCH(Claude[[#This Row],[Id]],ChargentOrders[Id],0))</f>
        <v>1</v>
      </c>
      <c r="B320" t="b">
        <f>INDEX(ChargentOrders[VALIDO],MATCH(Claude[[#This Row],[Id]],ChargentOrders[Id],0))</f>
        <v>1</v>
      </c>
      <c r="C320">
        <f>INDEX(Contract[CB_Subscription__c],MATCH(Claude[[#This Row],[Contract__c]],Contract[Id],0))</f>
        <v>0</v>
      </c>
      <c r="D320" s="9" t="s">
        <v>1013</v>
      </c>
      <c r="E320" s="9" t="s">
        <v>531</v>
      </c>
      <c r="F320" s="9">
        <v>0</v>
      </c>
      <c r="G320" s="9" t="s">
        <v>1014</v>
      </c>
      <c r="H320" s="9">
        <v>46108.421701388892</v>
      </c>
      <c r="I320" s="9" t="s">
        <v>65</v>
      </c>
      <c r="J320" s="9">
        <v>46125.425381944442</v>
      </c>
      <c r="K320" s="9" t="s">
        <v>65</v>
      </c>
      <c r="L320" s="9">
        <v>46125.425381944442</v>
      </c>
      <c r="M320" s="9"/>
      <c r="N320" s="9" t="s">
        <v>1788</v>
      </c>
      <c r="O320" s="9" t="s">
        <v>2227</v>
      </c>
      <c r="P320" s="9" t="s">
        <v>2228</v>
      </c>
      <c r="Q320" s="9"/>
      <c r="R320" s="9" t="s">
        <v>2229</v>
      </c>
      <c r="S320" s="9" t="s">
        <v>2230</v>
      </c>
      <c r="T320" s="9" t="s">
        <v>2231</v>
      </c>
      <c r="U320" s="9" t="s">
        <v>1928</v>
      </c>
      <c r="V320" s="9">
        <v>698</v>
      </c>
      <c r="W320" s="9">
        <v>4</v>
      </c>
      <c r="X320" s="9">
        <v>2029</v>
      </c>
      <c r="Y320" s="9">
        <v>4500</v>
      </c>
      <c r="Z320" s="9">
        <v>4</v>
      </c>
      <c r="AA320" s="9">
        <v>4500</v>
      </c>
      <c r="AB320" s="9" t="s">
        <v>73</v>
      </c>
      <c r="AC320" s="9">
        <v>2029</v>
      </c>
      <c r="AD320" s="9" t="s">
        <v>449</v>
      </c>
      <c r="AE320" s="9"/>
      <c r="AF320" s="9" t="s">
        <v>1929</v>
      </c>
      <c r="AG320" s="9"/>
      <c r="AH320" s="9" t="s">
        <v>67</v>
      </c>
      <c r="AI320" s="9">
        <v>0</v>
      </c>
      <c r="AJ320" s="9"/>
      <c r="AK320" s="9">
        <v>0</v>
      </c>
      <c r="AL320" s="9" t="s">
        <v>1930</v>
      </c>
      <c r="AM320" s="9">
        <v>1</v>
      </c>
      <c r="AN320" s="9">
        <v>46125</v>
      </c>
      <c r="AO320" s="9" t="s">
        <v>1931</v>
      </c>
      <c r="AP320" s="9" t="s">
        <v>69</v>
      </c>
      <c r="AQ320" s="9" t="s">
        <v>1932</v>
      </c>
      <c r="AR320" s="9">
        <v>46125</v>
      </c>
      <c r="AS320" s="9" t="s">
        <v>74</v>
      </c>
      <c r="AT320" s="9" t="s">
        <v>1935</v>
      </c>
      <c r="AU320" s="9" t="s">
        <v>449</v>
      </c>
      <c r="AV320" s="9">
        <v>0</v>
      </c>
      <c r="AW320" s="9" t="s">
        <v>92</v>
      </c>
      <c r="AX320" s="9" t="s">
        <v>811</v>
      </c>
      <c r="AY320" s="9">
        <v>0</v>
      </c>
      <c r="AZ320" s="9">
        <v>46125.425312500003</v>
      </c>
      <c r="BA320" s="9">
        <v>46125.425347222219</v>
      </c>
      <c r="BB320" s="9">
        <v>1</v>
      </c>
      <c r="BC320" s="9">
        <v>7</v>
      </c>
      <c r="BD320" s="9" t="s">
        <v>2220</v>
      </c>
      <c r="BE320" s="9" t="s">
        <v>812</v>
      </c>
      <c r="BF320" s="9" t="s">
        <v>71</v>
      </c>
      <c r="BG320" s="9"/>
      <c r="BH320" s="9">
        <v>0</v>
      </c>
      <c r="BI320" s="9"/>
      <c r="BJ320" s="9">
        <v>0</v>
      </c>
      <c r="BK320" s="9" t="s">
        <v>92</v>
      </c>
      <c r="BL320" s="9" t="s">
        <v>92</v>
      </c>
      <c r="BM320" s="9" t="s">
        <v>72</v>
      </c>
      <c r="BN320" s="9"/>
      <c r="BO320" s="9">
        <v>1</v>
      </c>
      <c r="BP320" s="9" t="s">
        <v>1015</v>
      </c>
      <c r="BQ320" s="9">
        <v>0</v>
      </c>
      <c r="BR320" s="9">
        <v>46049.417384259257</v>
      </c>
      <c r="BS320" s="9" t="s">
        <v>109</v>
      </c>
      <c r="BT320" s="9" t="s">
        <v>65</v>
      </c>
      <c r="BU320" s="9"/>
      <c r="BV320" s="9"/>
      <c r="BW320" s="9">
        <v>0</v>
      </c>
      <c r="BX320" s="9">
        <v>46122.426377314812</v>
      </c>
      <c r="BY320" s="9">
        <v>46125.425312500003</v>
      </c>
      <c r="BZ320" s="9"/>
      <c r="CA320" s="9"/>
      <c r="CB320" s="9"/>
      <c r="CC320" s="9"/>
      <c r="CD320" s="9"/>
      <c r="CE320" s="9"/>
      <c r="CF320" s="9"/>
      <c r="CG320" s="9"/>
      <c r="CH320" s="9">
        <v>1</v>
      </c>
      <c r="CI320" s="9">
        <v>0</v>
      </c>
      <c r="CJ320" s="9"/>
      <c r="CK320" s="9"/>
      <c r="CL320" s="9" t="s">
        <v>2232</v>
      </c>
      <c r="CM320" s="9"/>
      <c r="CN320" s="9">
        <v>0</v>
      </c>
      <c r="CO320" s="9" t="s">
        <v>1925</v>
      </c>
      <c r="CP320" s="9"/>
      <c r="CQ320" s="9"/>
    </row>
    <row r="321" spans="1:95" x14ac:dyDescent="0.35">
      <c r="A321" s="9" t="b">
        <f>ISNUMBER(MATCH(Claude[[#This Row],[Id]],ChargentOrders[Id],0))</f>
        <v>1</v>
      </c>
      <c r="B321" t="b">
        <f>INDEX(ChargentOrders[VALIDO],MATCH(Claude[[#This Row],[Id]],ChargentOrders[Id],0))</f>
        <v>1</v>
      </c>
      <c r="C321">
        <f>INDEX(Contract[CB_Subscription__c],MATCH(Claude[[#This Row],[Contract__c]],Contract[Id],0))</f>
        <v>0</v>
      </c>
      <c r="D321" s="9" t="s">
        <v>1016</v>
      </c>
      <c r="E321" s="9" t="s">
        <v>79</v>
      </c>
      <c r="F321" s="9">
        <v>0</v>
      </c>
      <c r="G321" s="9" t="s">
        <v>1017</v>
      </c>
      <c r="H321" s="9">
        <v>46108.423171296294</v>
      </c>
      <c r="I321" s="9" t="s">
        <v>65</v>
      </c>
      <c r="J321" s="9">
        <v>46128.425497685188</v>
      </c>
      <c r="K321" s="9" t="s">
        <v>65</v>
      </c>
      <c r="L321" s="9">
        <v>46128.425497685188</v>
      </c>
      <c r="M321" s="9"/>
      <c r="N321" s="9" t="s">
        <v>1813</v>
      </c>
      <c r="O321" s="9" t="s">
        <v>2257</v>
      </c>
      <c r="P321" s="9" t="s">
        <v>2258</v>
      </c>
      <c r="Q321" s="9" t="s">
        <v>1925</v>
      </c>
      <c r="R321" s="9" t="s">
        <v>1811</v>
      </c>
      <c r="S321" s="9" t="s">
        <v>2259</v>
      </c>
      <c r="T321" s="9" t="s">
        <v>2260</v>
      </c>
      <c r="U321" s="9" t="s">
        <v>1928</v>
      </c>
      <c r="V321" s="9">
        <v>688</v>
      </c>
      <c r="W321" s="9">
        <v>11</v>
      </c>
      <c r="X321" s="9">
        <v>2029</v>
      </c>
      <c r="Y321" s="9">
        <v>8375</v>
      </c>
      <c r="Z321" s="9">
        <v>11</v>
      </c>
      <c r="AA321" s="9"/>
      <c r="AB321" s="9" t="s">
        <v>73</v>
      </c>
      <c r="AC321" s="9">
        <v>2029</v>
      </c>
      <c r="AD321" s="9" t="s">
        <v>449</v>
      </c>
      <c r="AE321" s="9"/>
      <c r="AF321" s="9" t="s">
        <v>1929</v>
      </c>
      <c r="AG321" s="9"/>
      <c r="AH321" s="9" t="s">
        <v>107</v>
      </c>
      <c r="AI321" s="9">
        <v>0</v>
      </c>
      <c r="AJ321" s="9"/>
      <c r="AK321" s="9">
        <v>0</v>
      </c>
      <c r="AL321" s="9" t="s">
        <v>1930</v>
      </c>
      <c r="AM321" s="9">
        <v>1</v>
      </c>
      <c r="AN321" s="9">
        <v>46128</v>
      </c>
      <c r="AO321" s="9" t="s">
        <v>1931</v>
      </c>
      <c r="AP321" s="9" t="s">
        <v>69</v>
      </c>
      <c r="AQ321" s="9" t="s">
        <v>1932</v>
      </c>
      <c r="AR321" s="9">
        <v>46128</v>
      </c>
      <c r="AS321" s="9" t="s">
        <v>74</v>
      </c>
      <c r="AT321" s="9" t="s">
        <v>1935</v>
      </c>
      <c r="AU321" s="9" t="s">
        <v>449</v>
      </c>
      <c r="AV321" s="9">
        <v>0</v>
      </c>
      <c r="AW321" s="9" t="s">
        <v>92</v>
      </c>
      <c r="AX321" s="9" t="s">
        <v>918</v>
      </c>
      <c r="AY321" s="9">
        <v>0</v>
      </c>
      <c r="AZ321" s="9">
        <v>46128.425416666665</v>
      </c>
      <c r="BA321" s="9">
        <v>46128.425439814811</v>
      </c>
      <c r="BB321" s="9">
        <v>1</v>
      </c>
      <c r="BC321" s="9">
        <v>8</v>
      </c>
      <c r="BD321" s="9" t="s">
        <v>2220</v>
      </c>
      <c r="BE321" s="9" t="s">
        <v>919</v>
      </c>
      <c r="BF321" s="9" t="s">
        <v>71</v>
      </c>
      <c r="BG321" s="9"/>
      <c r="BH321" s="9">
        <v>0</v>
      </c>
      <c r="BI321" s="9"/>
      <c r="BJ321" s="9">
        <v>0</v>
      </c>
      <c r="BK321" s="9" t="s">
        <v>92</v>
      </c>
      <c r="BL321" s="9" t="s">
        <v>92</v>
      </c>
      <c r="BM321" s="9" t="s">
        <v>72</v>
      </c>
      <c r="BN321" s="9"/>
      <c r="BO321" s="9">
        <v>1</v>
      </c>
      <c r="BP321" s="9" t="s">
        <v>1018</v>
      </c>
      <c r="BQ321" s="9">
        <v>0</v>
      </c>
      <c r="BR321" s="9">
        <v>46059.43074074074</v>
      </c>
      <c r="BS321" s="9" t="s">
        <v>109</v>
      </c>
      <c r="BT321" s="9" t="s">
        <v>65</v>
      </c>
      <c r="BU321" s="9"/>
      <c r="BV321" s="9"/>
      <c r="BW321" s="9">
        <v>0</v>
      </c>
      <c r="BX321" s="9"/>
      <c r="BY321" s="9">
        <v>46128.425416666665</v>
      </c>
      <c r="BZ321" s="9"/>
      <c r="CA321" s="9"/>
      <c r="CB321" s="9"/>
      <c r="CC321" s="9"/>
      <c r="CD321" s="9"/>
      <c r="CE321" s="9"/>
      <c r="CF321" s="9"/>
      <c r="CG321" s="9"/>
      <c r="CH321" s="9">
        <v>1</v>
      </c>
      <c r="CI321" s="9">
        <v>0</v>
      </c>
      <c r="CJ321" s="9"/>
      <c r="CK321" s="9"/>
      <c r="CL321" s="9" t="s">
        <v>2261</v>
      </c>
      <c r="CM321" s="9"/>
      <c r="CN321" s="9">
        <v>0</v>
      </c>
      <c r="CO321" s="9" t="s">
        <v>1925</v>
      </c>
      <c r="CP321" s="9"/>
      <c r="CQ321" s="9"/>
    </row>
    <row r="322" spans="1:95" x14ac:dyDescent="0.35">
      <c r="A322" s="9" t="b">
        <f>ISNUMBER(MATCH(Claude[[#This Row],[Id]],ChargentOrders[Id],0))</f>
        <v>1</v>
      </c>
      <c r="B322" t="b">
        <f>INDEX(ChargentOrders[VALIDO],MATCH(Claude[[#This Row],[Id]],ChargentOrders[Id],0))</f>
        <v>1</v>
      </c>
      <c r="C322">
        <f>INDEX(Contract[CB_Subscription__c],MATCH(Claude[[#This Row],[Contract__c]],Contract[Id],0))</f>
        <v>0</v>
      </c>
      <c r="D322" s="9" t="s">
        <v>1019</v>
      </c>
      <c r="E322" s="9" t="s">
        <v>102</v>
      </c>
      <c r="F322" s="9">
        <v>0</v>
      </c>
      <c r="G322" s="9" t="s">
        <v>1020</v>
      </c>
      <c r="H322" s="9">
        <v>46111.417361111111</v>
      </c>
      <c r="I322" s="9" t="s">
        <v>65</v>
      </c>
      <c r="J322" s="9">
        <v>46217.738564814812</v>
      </c>
      <c r="K322" s="9" t="s">
        <v>78</v>
      </c>
      <c r="L322" s="9">
        <v>46217.738564814812</v>
      </c>
      <c r="M322" s="9"/>
      <c r="N322" s="9" t="s">
        <v>1570</v>
      </c>
      <c r="O322" s="9" t="s">
        <v>1923</v>
      </c>
      <c r="P322" s="9" t="s">
        <v>1924</v>
      </c>
      <c r="Q322" s="9" t="s">
        <v>1925</v>
      </c>
      <c r="R322" s="9" t="s">
        <v>1568</v>
      </c>
      <c r="S322" s="9" t="s">
        <v>1926</v>
      </c>
      <c r="T322" s="9" t="s">
        <v>1927</v>
      </c>
      <c r="U322" s="9" t="s">
        <v>1928</v>
      </c>
      <c r="V322" s="9">
        <v>949</v>
      </c>
      <c r="W322" s="9">
        <v>6</v>
      </c>
      <c r="X322" s="9">
        <v>2030</v>
      </c>
      <c r="Y322" s="9">
        <v>2774</v>
      </c>
      <c r="Z322" s="9">
        <v>6</v>
      </c>
      <c r="AA322" s="9">
        <v>2774</v>
      </c>
      <c r="AB322" s="9" t="s">
        <v>73</v>
      </c>
      <c r="AC322" s="9">
        <v>2030</v>
      </c>
      <c r="AD322" s="9" t="s">
        <v>1970</v>
      </c>
      <c r="AE322" s="9"/>
      <c r="AF322" s="9" t="s">
        <v>1929</v>
      </c>
      <c r="AG322" s="9"/>
      <c r="AH322" s="9" t="s">
        <v>67</v>
      </c>
      <c r="AI322" s="9">
        <v>0</v>
      </c>
      <c r="AJ322" s="9"/>
      <c r="AK322" s="9">
        <v>0</v>
      </c>
      <c r="AL322" s="9" t="s">
        <v>1930</v>
      </c>
      <c r="AM322" s="9">
        <v>1</v>
      </c>
      <c r="AN322" s="9">
        <v>46212</v>
      </c>
      <c r="AO322" s="9" t="s">
        <v>1931</v>
      </c>
      <c r="AP322" s="9" t="s">
        <v>69</v>
      </c>
      <c r="AQ322" s="9" t="s">
        <v>1932</v>
      </c>
      <c r="AR322" s="9">
        <v>46212</v>
      </c>
      <c r="AS322" s="9" t="s">
        <v>84</v>
      </c>
      <c r="AT322" s="9" t="s">
        <v>1935</v>
      </c>
      <c r="AU322" s="9" t="s">
        <v>1970</v>
      </c>
      <c r="AV322" s="9">
        <v>0</v>
      </c>
      <c r="AW322" s="9" t="s">
        <v>92</v>
      </c>
      <c r="AX322" s="9" t="s">
        <v>147</v>
      </c>
      <c r="AY322" s="9">
        <v>0</v>
      </c>
      <c r="AZ322" s="9"/>
      <c r="BA322" s="9"/>
      <c r="BB322" s="9">
        <v>0</v>
      </c>
      <c r="BC322" s="9">
        <v>22</v>
      </c>
      <c r="BD322" s="9">
        <v>0</v>
      </c>
      <c r="BE322" s="9" t="s">
        <v>112</v>
      </c>
      <c r="BF322" s="9" t="s">
        <v>71</v>
      </c>
      <c r="BG322" s="9"/>
      <c r="BH322" s="9">
        <v>0</v>
      </c>
      <c r="BI322" s="9"/>
      <c r="BJ322" s="9"/>
      <c r="BK322" s="9" t="s">
        <v>92</v>
      </c>
      <c r="BL322" s="9" t="s">
        <v>92</v>
      </c>
      <c r="BM322" s="9" t="s">
        <v>72</v>
      </c>
      <c r="BN322" s="9"/>
      <c r="BO322" s="9">
        <v>1</v>
      </c>
      <c r="BP322" s="9" t="s">
        <v>1021</v>
      </c>
      <c r="BQ322" s="9">
        <v>0</v>
      </c>
      <c r="BR322" s="9">
        <v>46111.977523148147</v>
      </c>
      <c r="BS322" s="9" t="s">
        <v>109</v>
      </c>
      <c r="BT322" s="9" t="s">
        <v>65</v>
      </c>
      <c r="BU322" s="9"/>
      <c r="BV322" s="9"/>
      <c r="BW322" s="9">
        <v>0</v>
      </c>
      <c r="BX322" s="9">
        <v>46209.419108796297</v>
      </c>
      <c r="BY322" s="9">
        <v>46209.419108796297</v>
      </c>
      <c r="BZ322" s="9"/>
      <c r="CA322" s="9"/>
      <c r="CB322" s="9"/>
      <c r="CC322" s="9"/>
      <c r="CD322" s="9"/>
      <c r="CE322" s="9"/>
      <c r="CF322" s="9"/>
      <c r="CG322" s="9"/>
      <c r="CH322" s="9">
        <v>1</v>
      </c>
      <c r="CI322" s="9">
        <v>0</v>
      </c>
      <c r="CJ322" s="9"/>
      <c r="CK322" s="9"/>
      <c r="CL322" s="9"/>
      <c r="CM322" s="9"/>
      <c r="CN322" s="9">
        <v>0</v>
      </c>
      <c r="CO322" s="9" t="s">
        <v>1925</v>
      </c>
      <c r="CP322" s="9"/>
      <c r="CQ322" s="9">
        <v>0</v>
      </c>
    </row>
    <row r="323" spans="1:95" x14ac:dyDescent="0.35">
      <c r="A323" s="9" t="b">
        <f>ISNUMBER(MATCH(Claude[[#This Row],[Id]],ChargentOrders[Id],0))</f>
        <v>1</v>
      </c>
      <c r="B323" t="b">
        <f>INDEX(ChargentOrders[VALIDO],MATCH(Claude[[#This Row],[Id]],ChargentOrders[Id],0))</f>
        <v>1</v>
      </c>
      <c r="C323">
        <f>INDEX(Contract[CB_Subscription__c],MATCH(Claude[[#This Row],[Contract__c]],Contract[Id],0))</f>
        <v>0</v>
      </c>
      <c r="D323" s="9" t="s">
        <v>1022</v>
      </c>
      <c r="E323" s="9" t="s">
        <v>81</v>
      </c>
      <c r="F323" s="9">
        <v>0</v>
      </c>
      <c r="G323" s="9" t="s">
        <v>1023</v>
      </c>
      <c r="H323" s="9">
        <v>46111.419930555552</v>
      </c>
      <c r="I323" s="9" t="s">
        <v>65</v>
      </c>
      <c r="J323" s="9">
        <v>46122.426747685182</v>
      </c>
      <c r="K323" s="9" t="s">
        <v>65</v>
      </c>
      <c r="L323" s="9">
        <v>46122.426747685182</v>
      </c>
      <c r="M323" s="9"/>
      <c r="N323" s="9" t="s">
        <v>1639</v>
      </c>
      <c r="O323" s="9" t="s">
        <v>2043</v>
      </c>
      <c r="P323" s="9" t="s">
        <v>2044</v>
      </c>
      <c r="Q323" s="9" t="s">
        <v>1925</v>
      </c>
      <c r="R323" s="9" t="s">
        <v>1637</v>
      </c>
      <c r="S323" s="9" t="s">
        <v>2045</v>
      </c>
      <c r="T323" s="9" t="s">
        <v>2046</v>
      </c>
      <c r="U323" s="9" t="s">
        <v>1928</v>
      </c>
      <c r="V323" s="9">
        <v>725</v>
      </c>
      <c r="W323" s="9">
        <v>6</v>
      </c>
      <c r="X323" s="9">
        <v>2029</v>
      </c>
      <c r="Y323" s="9">
        <v>3025</v>
      </c>
      <c r="Z323" s="9">
        <v>6</v>
      </c>
      <c r="AA323" s="9">
        <v>3025</v>
      </c>
      <c r="AB323" s="9" t="s">
        <v>66</v>
      </c>
      <c r="AC323" s="9">
        <v>2029</v>
      </c>
      <c r="AD323" s="9" t="s">
        <v>1952</v>
      </c>
      <c r="AE323" s="9"/>
      <c r="AF323" s="9" t="s">
        <v>1929</v>
      </c>
      <c r="AG323" s="9"/>
      <c r="AH323" s="9" t="s">
        <v>67</v>
      </c>
      <c r="AI323" s="9">
        <v>0</v>
      </c>
      <c r="AJ323" s="9"/>
      <c r="AK323" s="9">
        <v>0</v>
      </c>
      <c r="AL323" s="9" t="s">
        <v>1930</v>
      </c>
      <c r="AM323" s="9">
        <v>1</v>
      </c>
      <c r="AN323" s="9">
        <v>46122</v>
      </c>
      <c r="AO323" s="9" t="s">
        <v>1931</v>
      </c>
      <c r="AP323" s="9" t="s">
        <v>69</v>
      </c>
      <c r="AQ323" s="9" t="s">
        <v>1932</v>
      </c>
      <c r="AR323" s="9">
        <v>46122</v>
      </c>
      <c r="AS323" s="9" t="s">
        <v>74</v>
      </c>
      <c r="AT323" s="9" t="s">
        <v>1935</v>
      </c>
      <c r="AU323" s="9" t="s">
        <v>1952</v>
      </c>
      <c r="AV323" s="9">
        <v>0</v>
      </c>
      <c r="AW323" s="9" t="s">
        <v>92</v>
      </c>
      <c r="AX323" s="9" t="s">
        <v>377</v>
      </c>
      <c r="AY323" s="9">
        <v>0</v>
      </c>
      <c r="AZ323" s="9">
        <v>46122.426678240743</v>
      </c>
      <c r="BA323" s="9">
        <v>46122.426712962966</v>
      </c>
      <c r="BB323" s="9">
        <v>1</v>
      </c>
      <c r="BC323" s="9">
        <v>5</v>
      </c>
      <c r="BD323" s="9" t="s">
        <v>2087</v>
      </c>
      <c r="BE323" s="9" t="s">
        <v>378</v>
      </c>
      <c r="BF323" s="9" t="s">
        <v>71</v>
      </c>
      <c r="BG323" s="9"/>
      <c r="BH323" s="9">
        <v>0</v>
      </c>
      <c r="BI323" s="9"/>
      <c r="BJ323" s="9">
        <v>0</v>
      </c>
      <c r="BK323" s="9" t="s">
        <v>92</v>
      </c>
      <c r="BL323" s="9" t="s">
        <v>92</v>
      </c>
      <c r="BM323" s="9" t="s">
        <v>72</v>
      </c>
      <c r="BN323" s="9"/>
      <c r="BO323" s="9">
        <v>1</v>
      </c>
      <c r="BP323" s="9" t="s">
        <v>1024</v>
      </c>
      <c r="BQ323" s="9">
        <v>0</v>
      </c>
      <c r="BR323" s="9">
        <v>45864.41710648148</v>
      </c>
      <c r="BS323" s="9" t="s">
        <v>109</v>
      </c>
      <c r="BT323" s="9" t="s">
        <v>65</v>
      </c>
      <c r="BU323" s="9"/>
      <c r="BV323" s="9"/>
      <c r="BW323" s="9">
        <v>0</v>
      </c>
      <c r="BX323" s="9">
        <v>46121.425543981481</v>
      </c>
      <c r="BY323" s="9">
        <v>46122.426678240743</v>
      </c>
      <c r="BZ323" s="9"/>
      <c r="CA323" s="9"/>
      <c r="CB323" s="9"/>
      <c r="CC323" s="9"/>
      <c r="CD323" s="9"/>
      <c r="CE323" s="9"/>
      <c r="CF323" s="9"/>
      <c r="CG323" s="9"/>
      <c r="CH323" s="9">
        <v>1</v>
      </c>
      <c r="CI323" s="9">
        <v>0</v>
      </c>
      <c r="CJ323" s="9"/>
      <c r="CK323" s="9"/>
      <c r="CL323" s="9" t="s">
        <v>2047</v>
      </c>
      <c r="CM323" s="9"/>
      <c r="CN323" s="9">
        <v>0</v>
      </c>
      <c r="CO323" s="9" t="s">
        <v>1925</v>
      </c>
      <c r="CP323" s="9"/>
      <c r="CQ323" s="9"/>
    </row>
    <row r="324" spans="1:95" x14ac:dyDescent="0.35">
      <c r="A324" s="9" t="b">
        <f>ISNUMBER(MATCH(Claude[[#This Row],[Id]],ChargentOrders[Id],0))</f>
        <v>1</v>
      </c>
      <c r="B324" t="b">
        <f>INDEX(ChargentOrders[VALIDO],MATCH(Claude[[#This Row],[Id]],ChargentOrders[Id],0))</f>
        <v>1</v>
      </c>
      <c r="C324">
        <f>INDEX(Contract[CB_Subscription__c],MATCH(Claude[[#This Row],[Contract__c]],Contract[Id],0))</f>
        <v>0</v>
      </c>
      <c r="D324" s="9" t="s">
        <v>1025</v>
      </c>
      <c r="E324" s="9" t="s">
        <v>155</v>
      </c>
      <c r="F324" s="9">
        <v>0</v>
      </c>
      <c r="G324" s="9" t="s">
        <v>1026</v>
      </c>
      <c r="H324" s="9">
        <v>46111.420370370368</v>
      </c>
      <c r="I324" s="9" t="s">
        <v>65</v>
      </c>
      <c r="J324" s="9">
        <v>46217.738564814812</v>
      </c>
      <c r="K324" s="9" t="s">
        <v>78</v>
      </c>
      <c r="L324" s="9">
        <v>46217.738564814812</v>
      </c>
      <c r="M324" s="9"/>
      <c r="N324" s="9" t="s">
        <v>1649</v>
      </c>
      <c r="O324" s="9" t="s">
        <v>2059</v>
      </c>
      <c r="P324" s="9" t="s">
        <v>1990</v>
      </c>
      <c r="Q324" s="9" t="s">
        <v>1925</v>
      </c>
      <c r="R324" s="9" t="s">
        <v>1647</v>
      </c>
      <c r="S324" s="9" t="s">
        <v>2060</v>
      </c>
      <c r="T324" s="9" t="s">
        <v>2061</v>
      </c>
      <c r="U324" s="9" t="s">
        <v>1928</v>
      </c>
      <c r="V324" s="9">
        <v>915</v>
      </c>
      <c r="W324" s="9">
        <v>10</v>
      </c>
      <c r="X324" s="9">
        <v>2028</v>
      </c>
      <c r="Y324" s="9">
        <v>2362</v>
      </c>
      <c r="Z324" s="9">
        <v>10</v>
      </c>
      <c r="AA324" s="9">
        <v>4549516362132360</v>
      </c>
      <c r="AB324" s="9" t="s">
        <v>73</v>
      </c>
      <c r="AC324" s="9">
        <v>2028</v>
      </c>
      <c r="AD324" s="9" t="s">
        <v>449</v>
      </c>
      <c r="AE324" s="9"/>
      <c r="AF324" s="9" t="s">
        <v>1929</v>
      </c>
      <c r="AG324" s="9"/>
      <c r="AH324" s="9" t="s">
        <v>67</v>
      </c>
      <c r="AI324" s="9">
        <v>0</v>
      </c>
      <c r="AJ324" s="9"/>
      <c r="AK324" s="9">
        <v>0</v>
      </c>
      <c r="AL324" s="9" t="s">
        <v>1930</v>
      </c>
      <c r="AM324" s="9">
        <v>1</v>
      </c>
      <c r="AN324" s="9">
        <v>46212</v>
      </c>
      <c r="AO324" s="9" t="s">
        <v>1931</v>
      </c>
      <c r="AP324" s="9" t="s">
        <v>69</v>
      </c>
      <c r="AQ324" s="9" t="s">
        <v>1932</v>
      </c>
      <c r="AR324" s="9">
        <v>46212</v>
      </c>
      <c r="AS324" s="9" t="s">
        <v>84</v>
      </c>
      <c r="AT324" s="9" t="s">
        <v>1935</v>
      </c>
      <c r="AU324" s="9" t="s">
        <v>449</v>
      </c>
      <c r="AV324" s="9">
        <v>0</v>
      </c>
      <c r="AW324" s="9" t="s">
        <v>92</v>
      </c>
      <c r="AX324" s="9" t="s">
        <v>414</v>
      </c>
      <c r="AY324" s="9">
        <v>0</v>
      </c>
      <c r="AZ324" s="9"/>
      <c r="BA324" s="9"/>
      <c r="BB324" s="9">
        <v>0</v>
      </c>
      <c r="BC324" s="9">
        <v>12</v>
      </c>
      <c r="BD324" s="9">
        <v>0</v>
      </c>
      <c r="BE324" s="9" t="s">
        <v>415</v>
      </c>
      <c r="BF324" s="9" t="s">
        <v>71</v>
      </c>
      <c r="BG324" s="9"/>
      <c r="BH324" s="9">
        <v>0</v>
      </c>
      <c r="BI324" s="9"/>
      <c r="BJ324" s="9"/>
      <c r="BK324" s="9" t="s">
        <v>92</v>
      </c>
      <c r="BL324" s="9" t="s">
        <v>92</v>
      </c>
      <c r="BM324" s="9" t="s">
        <v>72</v>
      </c>
      <c r="BN324" s="9"/>
      <c r="BO324" s="9">
        <v>1</v>
      </c>
      <c r="BP324" s="9" t="s">
        <v>1027</v>
      </c>
      <c r="BQ324" s="9">
        <v>0</v>
      </c>
      <c r="BR324" s="9">
        <v>45901.428703703707</v>
      </c>
      <c r="BS324" s="9" t="s">
        <v>109</v>
      </c>
      <c r="BT324" s="9" t="s">
        <v>65</v>
      </c>
      <c r="BU324" s="9"/>
      <c r="BV324" s="9"/>
      <c r="BW324" s="9">
        <v>0</v>
      </c>
      <c r="BX324" s="9">
        <v>46209.41914351852</v>
      </c>
      <c r="BY324" s="9">
        <v>46209.41914351852</v>
      </c>
      <c r="BZ324" s="9"/>
      <c r="CA324" s="9"/>
      <c r="CB324" s="9"/>
      <c r="CC324" s="9"/>
      <c r="CD324" s="9"/>
      <c r="CE324" s="9"/>
      <c r="CF324" s="9"/>
      <c r="CG324" s="9"/>
      <c r="CH324" s="9">
        <v>1</v>
      </c>
      <c r="CI324" s="9">
        <v>0</v>
      </c>
      <c r="CJ324" s="9"/>
      <c r="CK324" s="9"/>
      <c r="CL324" s="9" t="s">
        <v>2062</v>
      </c>
      <c r="CM324" s="9"/>
      <c r="CN324" s="9">
        <v>0</v>
      </c>
      <c r="CO324" s="9" t="s">
        <v>1925</v>
      </c>
      <c r="CP324" s="9"/>
      <c r="CQ324" s="9">
        <v>0</v>
      </c>
    </row>
    <row r="325" spans="1:95" x14ac:dyDescent="0.35">
      <c r="A325" s="9" t="b">
        <f>ISNUMBER(MATCH(Claude[[#This Row],[Id]],ChargentOrders[Id],0))</f>
        <v>1</v>
      </c>
      <c r="B325" t="b">
        <f>INDEX(ChargentOrders[VALIDO],MATCH(Claude[[#This Row],[Id]],ChargentOrders[Id],0))</f>
        <v>1</v>
      </c>
      <c r="C325">
        <f>INDEX(Contract[CB_Subscription__c],MATCH(Claude[[#This Row],[Contract__c]],Contract[Id],0))</f>
        <v>0</v>
      </c>
      <c r="D325" s="9" t="s">
        <v>1028</v>
      </c>
      <c r="E325" s="9" t="s">
        <v>79</v>
      </c>
      <c r="F325" s="9">
        <v>0</v>
      </c>
      <c r="G325" s="9" t="s">
        <v>1029</v>
      </c>
      <c r="H325" s="9">
        <v>46111.418206018519</v>
      </c>
      <c r="I325" s="9" t="s">
        <v>65</v>
      </c>
      <c r="J325" s="9">
        <v>46217.738564814812</v>
      </c>
      <c r="K325" s="9" t="s">
        <v>78</v>
      </c>
      <c r="L325" s="9">
        <v>46217.738564814812</v>
      </c>
      <c r="M325" s="9"/>
      <c r="N325" s="9" t="s">
        <v>1586</v>
      </c>
      <c r="O325" s="9" t="s">
        <v>1973</v>
      </c>
      <c r="P325" s="9" t="s">
        <v>1974</v>
      </c>
      <c r="Q325" s="9" t="s">
        <v>1925</v>
      </c>
      <c r="R325" s="9" t="s">
        <v>1584</v>
      </c>
      <c r="S325" s="9" t="s">
        <v>1975</v>
      </c>
      <c r="T325" s="9" t="s">
        <v>1976</v>
      </c>
      <c r="U325" s="9" t="s">
        <v>1928</v>
      </c>
      <c r="V325" s="9">
        <v>969</v>
      </c>
      <c r="W325" s="9">
        <v>8</v>
      </c>
      <c r="X325" s="9">
        <v>2028</v>
      </c>
      <c r="Y325" s="9">
        <v>5191</v>
      </c>
      <c r="Z325" s="9">
        <v>8</v>
      </c>
      <c r="AA325" s="9">
        <v>5191</v>
      </c>
      <c r="AB325" s="9" t="s">
        <v>73</v>
      </c>
      <c r="AC325" s="9">
        <v>2028</v>
      </c>
      <c r="AD325" s="9" t="s">
        <v>1970</v>
      </c>
      <c r="AE325" s="9"/>
      <c r="AF325" s="9" t="s">
        <v>1929</v>
      </c>
      <c r="AG325" s="9"/>
      <c r="AH325" s="9" t="s">
        <v>67</v>
      </c>
      <c r="AI325" s="9">
        <v>0</v>
      </c>
      <c r="AJ325" s="9"/>
      <c r="AK325" s="9">
        <v>0</v>
      </c>
      <c r="AL325" s="9" t="s">
        <v>1930</v>
      </c>
      <c r="AM325" s="9">
        <v>1</v>
      </c>
      <c r="AN325" s="9">
        <v>46212</v>
      </c>
      <c r="AO325" s="9" t="s">
        <v>1931</v>
      </c>
      <c r="AP325" s="9" t="s">
        <v>69</v>
      </c>
      <c r="AQ325" s="9" t="s">
        <v>1932</v>
      </c>
      <c r="AR325" s="9">
        <v>46212</v>
      </c>
      <c r="AS325" s="9" t="s">
        <v>84</v>
      </c>
      <c r="AT325" s="9" t="s">
        <v>1935</v>
      </c>
      <c r="AU325" s="9" t="s">
        <v>1970</v>
      </c>
      <c r="AV325" s="9">
        <v>0</v>
      </c>
      <c r="AW325" s="9" t="s">
        <v>92</v>
      </c>
      <c r="AX325" s="9" t="s">
        <v>202</v>
      </c>
      <c r="AY325" s="9">
        <v>0</v>
      </c>
      <c r="AZ325" s="9"/>
      <c r="BA325" s="9"/>
      <c r="BB325" s="9">
        <v>0</v>
      </c>
      <c r="BC325" s="9">
        <v>42</v>
      </c>
      <c r="BD325" s="9">
        <v>0</v>
      </c>
      <c r="BE325" s="9" t="s">
        <v>197</v>
      </c>
      <c r="BF325" s="9" t="s">
        <v>71</v>
      </c>
      <c r="BG325" s="9"/>
      <c r="BH325" s="9">
        <v>0</v>
      </c>
      <c r="BI325" s="9"/>
      <c r="BJ325" s="9"/>
      <c r="BK325" s="9" t="s">
        <v>92</v>
      </c>
      <c r="BL325" s="9" t="s">
        <v>92</v>
      </c>
      <c r="BM325" s="9" t="s">
        <v>72</v>
      </c>
      <c r="BN325" s="9"/>
      <c r="BO325" s="9">
        <v>1</v>
      </c>
      <c r="BP325" s="9" t="s">
        <v>1030</v>
      </c>
      <c r="BQ325" s="9">
        <v>0</v>
      </c>
      <c r="BR325" s="9">
        <v>45589.952337962961</v>
      </c>
      <c r="BS325" s="9" t="s">
        <v>109</v>
      </c>
      <c r="BT325" s="9" t="s">
        <v>65</v>
      </c>
      <c r="BU325" s="9"/>
      <c r="BV325" s="9"/>
      <c r="BW325" s="9">
        <v>0</v>
      </c>
      <c r="BX325" s="9">
        <v>46209.41914351852</v>
      </c>
      <c r="BY325" s="9">
        <v>46209.41914351852</v>
      </c>
      <c r="BZ325" s="9"/>
      <c r="CA325" s="9"/>
      <c r="CB325" s="9"/>
      <c r="CC325" s="9"/>
      <c r="CD325" s="9"/>
      <c r="CE325" s="9"/>
      <c r="CF325" s="9"/>
      <c r="CG325" s="9"/>
      <c r="CH325" s="9">
        <v>1</v>
      </c>
      <c r="CI325" s="9">
        <v>0</v>
      </c>
      <c r="CJ325" s="9"/>
      <c r="CK325" s="9"/>
      <c r="CL325" s="9" t="s">
        <v>1977</v>
      </c>
      <c r="CM325" s="9"/>
      <c r="CN325" s="9">
        <v>0</v>
      </c>
      <c r="CO325" s="9" t="s">
        <v>1925</v>
      </c>
      <c r="CP325" s="9"/>
      <c r="CQ325" s="9">
        <v>0</v>
      </c>
    </row>
    <row r="326" spans="1:95" x14ac:dyDescent="0.35">
      <c r="A326" s="9" t="b">
        <f>ISNUMBER(MATCH(Claude[[#This Row],[Id]],ChargentOrders[Id],0))</f>
        <v>1</v>
      </c>
      <c r="B326" t="b">
        <f>INDEX(ChargentOrders[VALIDO],MATCH(Claude[[#This Row],[Id]],ChargentOrders[Id],0))</f>
        <v>1</v>
      </c>
      <c r="C326">
        <f>INDEX(Contract[CB_Subscription__c],MATCH(Claude[[#This Row],[Contract__c]],Contract[Id],0))</f>
        <v>0</v>
      </c>
      <c r="D326" s="9" t="s">
        <v>1031</v>
      </c>
      <c r="E326" s="9" t="s">
        <v>79</v>
      </c>
      <c r="F326" s="9">
        <v>0</v>
      </c>
      <c r="G326" s="9" t="s">
        <v>1032</v>
      </c>
      <c r="H326" s="9">
        <v>46111.418645833335</v>
      </c>
      <c r="I326" s="9" t="s">
        <v>65</v>
      </c>
      <c r="J326" s="9">
        <v>46113.063796296294</v>
      </c>
      <c r="K326" s="9" t="s">
        <v>101</v>
      </c>
      <c r="L326" s="9">
        <v>46113.063796296294</v>
      </c>
      <c r="M326" s="9"/>
      <c r="N326" s="9" t="s">
        <v>1591</v>
      </c>
      <c r="O326" s="9" t="s">
        <v>1989</v>
      </c>
      <c r="P326" s="9" t="s">
        <v>1990</v>
      </c>
      <c r="Q326" s="9" t="s">
        <v>1925</v>
      </c>
      <c r="R326" s="9" t="s">
        <v>1589</v>
      </c>
      <c r="S326" s="9" t="s">
        <v>1991</v>
      </c>
      <c r="T326" s="9" t="s">
        <v>1992</v>
      </c>
      <c r="U326" s="9" t="s">
        <v>1928</v>
      </c>
      <c r="V326" s="9">
        <v>915</v>
      </c>
      <c r="W326" s="9">
        <v>2</v>
      </c>
      <c r="X326" s="9">
        <v>2030</v>
      </c>
      <c r="Y326" s="9">
        <v>1962</v>
      </c>
      <c r="Z326" s="9">
        <v>2</v>
      </c>
      <c r="AA326" s="9">
        <v>1962</v>
      </c>
      <c r="AB326" s="9" t="s">
        <v>73</v>
      </c>
      <c r="AC326" s="9">
        <v>2030</v>
      </c>
      <c r="AD326" s="9" t="s">
        <v>2087</v>
      </c>
      <c r="AE326" s="9"/>
      <c r="AF326" s="9" t="s">
        <v>1929</v>
      </c>
      <c r="AG326" s="9"/>
      <c r="AH326" s="9" t="s">
        <v>67</v>
      </c>
      <c r="AI326" s="9">
        <v>0</v>
      </c>
      <c r="AJ326" s="9"/>
      <c r="AK326" s="9">
        <v>0</v>
      </c>
      <c r="AL326" s="9" t="s">
        <v>1930</v>
      </c>
      <c r="AM326" s="9">
        <v>1</v>
      </c>
      <c r="AN326" s="9">
        <v>46114</v>
      </c>
      <c r="AO326" s="9" t="s">
        <v>1931</v>
      </c>
      <c r="AP326" s="9" t="s">
        <v>69</v>
      </c>
      <c r="AQ326" s="9" t="s">
        <v>1932</v>
      </c>
      <c r="AR326" s="9">
        <v>46114</v>
      </c>
      <c r="AS326" s="9" t="s">
        <v>74</v>
      </c>
      <c r="AT326" s="9" t="s">
        <v>1935</v>
      </c>
      <c r="AU326" s="9" t="s">
        <v>1952</v>
      </c>
      <c r="AV326" s="9">
        <v>0</v>
      </c>
      <c r="AW326" s="9" t="s">
        <v>93</v>
      </c>
      <c r="AX326" s="9" t="s">
        <v>240</v>
      </c>
      <c r="AY326" s="9">
        <v>0</v>
      </c>
      <c r="AZ326" s="9">
        <v>46113.063750000001</v>
      </c>
      <c r="BA326" s="9">
        <v>46113.063750000001</v>
      </c>
      <c r="BB326" s="9">
        <v>1</v>
      </c>
      <c r="BC326" s="9">
        <v>1</v>
      </c>
      <c r="BD326" s="9" t="s">
        <v>2087</v>
      </c>
      <c r="BE326" s="9" t="s">
        <v>235</v>
      </c>
      <c r="BF326" s="9" t="s">
        <v>71</v>
      </c>
      <c r="BG326" s="9"/>
      <c r="BH326" s="9">
        <v>0</v>
      </c>
      <c r="BI326" s="9"/>
      <c r="BJ326" s="9">
        <v>0</v>
      </c>
      <c r="BK326" s="9" t="s">
        <v>92</v>
      </c>
      <c r="BL326" s="9" t="s">
        <v>92</v>
      </c>
      <c r="BM326" s="9" t="s">
        <v>72</v>
      </c>
      <c r="BN326" s="9"/>
      <c r="BO326" s="9">
        <v>1</v>
      </c>
      <c r="BP326" s="9" t="s">
        <v>1033</v>
      </c>
      <c r="BQ326" s="9">
        <v>0</v>
      </c>
      <c r="BR326" s="9">
        <v>45702.827997685185</v>
      </c>
      <c r="BS326" s="9" t="s">
        <v>109</v>
      </c>
      <c r="BT326" s="9" t="s">
        <v>65</v>
      </c>
      <c r="BU326" s="9"/>
      <c r="BV326" s="9"/>
      <c r="BW326" s="9">
        <v>0</v>
      </c>
      <c r="BX326" s="9"/>
      <c r="BY326" s="9">
        <v>46113.063750000001</v>
      </c>
      <c r="BZ326" s="9"/>
      <c r="CA326" s="9"/>
      <c r="CB326" s="9"/>
      <c r="CC326" s="9"/>
      <c r="CD326" s="9"/>
      <c r="CE326" s="9"/>
      <c r="CF326" s="9"/>
      <c r="CG326" s="9"/>
      <c r="CH326" s="9">
        <v>1</v>
      </c>
      <c r="CI326" s="9">
        <v>0</v>
      </c>
      <c r="CJ326" s="9"/>
      <c r="CK326" s="9"/>
      <c r="CL326" s="9" t="s">
        <v>1993</v>
      </c>
      <c r="CM326" s="9"/>
      <c r="CN326" s="9">
        <v>0</v>
      </c>
      <c r="CO326" s="9" t="s">
        <v>1925</v>
      </c>
      <c r="CP326" s="9"/>
      <c r="CQ326" s="9"/>
    </row>
    <row r="327" spans="1:95" x14ac:dyDescent="0.35">
      <c r="A327" s="9" t="b">
        <f>ISNUMBER(MATCH(Claude[[#This Row],[Id]],ChargentOrders[Id],0))</f>
        <v>1</v>
      </c>
      <c r="B327" t="b">
        <f>INDEX(ChargentOrders[VALIDO],MATCH(Claude[[#This Row],[Id]],ChargentOrders[Id],0))</f>
        <v>1</v>
      </c>
      <c r="C327">
        <f>INDEX(Contract[CB_Subscription__c],MATCH(Claude[[#This Row],[Contract__c]],Contract[Id],0))</f>
        <v>0</v>
      </c>
      <c r="D327" s="9" t="s">
        <v>1034</v>
      </c>
      <c r="E327" s="9" t="s">
        <v>79</v>
      </c>
      <c r="F327" s="9">
        <v>0</v>
      </c>
      <c r="G327" s="9" t="s">
        <v>1035</v>
      </c>
      <c r="H327" s="9">
        <v>46111.418807870374</v>
      </c>
      <c r="I327" s="9" t="s">
        <v>65</v>
      </c>
      <c r="J327" s="9">
        <v>46217.738564814812</v>
      </c>
      <c r="K327" s="9" t="s">
        <v>78</v>
      </c>
      <c r="L327" s="9">
        <v>46217.738564814812</v>
      </c>
      <c r="M327" s="9"/>
      <c r="N327" s="9" t="s">
        <v>1988</v>
      </c>
      <c r="O327" s="9" t="s">
        <v>1982</v>
      </c>
      <c r="P327" s="9" t="s">
        <v>1983</v>
      </c>
      <c r="Q327" s="9" t="s">
        <v>1925</v>
      </c>
      <c r="R327" s="9" t="s">
        <v>1984</v>
      </c>
      <c r="S327" s="9" t="s">
        <v>1985</v>
      </c>
      <c r="T327" s="9" t="s">
        <v>1986</v>
      </c>
      <c r="U327" s="9" t="s">
        <v>1928</v>
      </c>
      <c r="V327" s="9">
        <v>771</v>
      </c>
      <c r="W327" s="9">
        <v>7</v>
      </c>
      <c r="X327" s="9">
        <v>2029</v>
      </c>
      <c r="Y327" s="9">
        <v>4040</v>
      </c>
      <c r="Z327" s="9">
        <v>7</v>
      </c>
      <c r="AA327" s="9">
        <v>4040</v>
      </c>
      <c r="AB327" s="9" t="s">
        <v>66</v>
      </c>
      <c r="AC327" s="9">
        <v>2029</v>
      </c>
      <c r="AD327" s="9" t="s">
        <v>1952</v>
      </c>
      <c r="AE327" s="9"/>
      <c r="AF327" s="9" t="s">
        <v>1929</v>
      </c>
      <c r="AG327" s="9"/>
      <c r="AH327" s="9" t="s">
        <v>67</v>
      </c>
      <c r="AI327" s="9">
        <v>0</v>
      </c>
      <c r="AJ327" s="9"/>
      <c r="AK327" s="9">
        <v>0</v>
      </c>
      <c r="AL327" s="9" t="s">
        <v>1930</v>
      </c>
      <c r="AM327" s="9">
        <v>1</v>
      </c>
      <c r="AN327" s="9">
        <v>46212</v>
      </c>
      <c r="AO327" s="9" t="s">
        <v>1931</v>
      </c>
      <c r="AP327" s="9" t="s">
        <v>69</v>
      </c>
      <c r="AQ327" s="9" t="s">
        <v>1932</v>
      </c>
      <c r="AR327" s="9">
        <v>46212</v>
      </c>
      <c r="AS327" s="9" t="s">
        <v>84</v>
      </c>
      <c r="AT327" s="9" t="s">
        <v>1935</v>
      </c>
      <c r="AU327" s="9" t="s">
        <v>1952</v>
      </c>
      <c r="AV327" s="9">
        <v>0</v>
      </c>
      <c r="AW327" s="9" t="s">
        <v>92</v>
      </c>
      <c r="AX327" s="9" t="s">
        <v>219</v>
      </c>
      <c r="AY327" s="9">
        <v>0</v>
      </c>
      <c r="AZ327" s="9"/>
      <c r="BA327" s="9"/>
      <c r="BB327" s="9">
        <v>0</v>
      </c>
      <c r="BC327" s="9">
        <v>43</v>
      </c>
      <c r="BD327" s="9">
        <v>0</v>
      </c>
      <c r="BE327" s="9" t="s">
        <v>220</v>
      </c>
      <c r="BF327" s="9" t="s">
        <v>71</v>
      </c>
      <c r="BG327" s="9"/>
      <c r="BH327" s="9">
        <v>0</v>
      </c>
      <c r="BI327" s="9"/>
      <c r="BJ327" s="9"/>
      <c r="BK327" s="9" t="s">
        <v>92</v>
      </c>
      <c r="BL327" s="9" t="s">
        <v>92</v>
      </c>
      <c r="BM327" s="9" t="s">
        <v>72</v>
      </c>
      <c r="BN327" s="9"/>
      <c r="BO327" s="9">
        <v>1</v>
      </c>
      <c r="BP327" s="9" t="s">
        <v>1036</v>
      </c>
      <c r="BQ327" s="9">
        <v>0</v>
      </c>
      <c r="BR327" s="9">
        <v>45716.429675925923</v>
      </c>
      <c r="BS327" s="9" t="s">
        <v>109</v>
      </c>
      <c r="BT327" s="9" t="s">
        <v>65</v>
      </c>
      <c r="BU327" s="9"/>
      <c r="BV327" s="9"/>
      <c r="BW327" s="9">
        <v>0</v>
      </c>
      <c r="BX327" s="9">
        <v>46209.419166666667</v>
      </c>
      <c r="BY327" s="9">
        <v>46209.419166666667</v>
      </c>
      <c r="BZ327" s="9"/>
      <c r="CA327" s="9"/>
      <c r="CB327" s="9"/>
      <c r="CC327" s="9"/>
      <c r="CD327" s="9"/>
      <c r="CE327" s="9"/>
      <c r="CF327" s="9"/>
      <c r="CG327" s="9"/>
      <c r="CH327" s="9">
        <v>1</v>
      </c>
      <c r="CI327" s="9">
        <v>0</v>
      </c>
      <c r="CJ327" s="9"/>
      <c r="CK327" s="9"/>
      <c r="CL327" s="9" t="s">
        <v>1987</v>
      </c>
      <c r="CM327" s="9"/>
      <c r="CN327" s="9">
        <v>0</v>
      </c>
      <c r="CO327" s="9" t="s">
        <v>1925</v>
      </c>
      <c r="CP327" s="9"/>
      <c r="CQ327" s="9">
        <v>0</v>
      </c>
    </row>
    <row r="328" spans="1:95" x14ac:dyDescent="0.35">
      <c r="A328" s="9" t="b">
        <f>ISNUMBER(MATCH(Claude[[#This Row],[Id]],ChargentOrders[Id],0))</f>
        <v>1</v>
      </c>
      <c r="B328" t="b">
        <f>INDEX(ChargentOrders[VALIDO],MATCH(Claude[[#This Row],[Id]],ChargentOrders[Id],0))</f>
        <v>1</v>
      </c>
      <c r="C328">
        <f>INDEX(Contract[CB_Subscription__c],MATCH(Claude[[#This Row],[Contract__c]],Contract[Id],0))</f>
        <v>0</v>
      </c>
      <c r="D328" s="9" t="s">
        <v>1037</v>
      </c>
      <c r="E328" s="9" t="s">
        <v>79</v>
      </c>
      <c r="F328" s="9">
        <v>0</v>
      </c>
      <c r="G328" s="9" t="s">
        <v>1038</v>
      </c>
      <c r="H328" s="9">
        <v>46111.418807870374</v>
      </c>
      <c r="I328" s="9" t="s">
        <v>65</v>
      </c>
      <c r="J328" s="9">
        <v>46217.738564814812</v>
      </c>
      <c r="K328" s="9" t="s">
        <v>78</v>
      </c>
      <c r="L328" s="9">
        <v>46217.738564814812</v>
      </c>
      <c r="M328" s="9"/>
      <c r="N328" s="9" t="s">
        <v>1596</v>
      </c>
      <c r="O328" s="9" t="s">
        <v>1997</v>
      </c>
      <c r="P328" s="9" t="s">
        <v>1990</v>
      </c>
      <c r="Q328" s="9" t="s">
        <v>1925</v>
      </c>
      <c r="R328" s="9" t="s">
        <v>1594</v>
      </c>
      <c r="S328" s="9" t="s">
        <v>1998</v>
      </c>
      <c r="T328" s="9" t="s">
        <v>1999</v>
      </c>
      <c r="U328" s="9" t="s">
        <v>1928</v>
      </c>
      <c r="V328" s="9">
        <v>901</v>
      </c>
      <c r="W328" s="9">
        <v>2</v>
      </c>
      <c r="X328" s="9">
        <v>2026</v>
      </c>
      <c r="Y328" s="9">
        <v>7405</v>
      </c>
      <c r="Z328" s="9">
        <v>2</v>
      </c>
      <c r="AA328" s="9">
        <v>7405</v>
      </c>
      <c r="AB328" s="9" t="s">
        <v>73</v>
      </c>
      <c r="AC328" s="9">
        <v>2026</v>
      </c>
      <c r="AD328" s="9" t="s">
        <v>1952</v>
      </c>
      <c r="AE328" s="9"/>
      <c r="AF328" s="9" t="s">
        <v>1929</v>
      </c>
      <c r="AG328" s="9"/>
      <c r="AH328" s="9" t="s">
        <v>67</v>
      </c>
      <c r="AI328" s="9">
        <v>0</v>
      </c>
      <c r="AJ328" s="9"/>
      <c r="AK328" s="9">
        <v>0</v>
      </c>
      <c r="AL328" s="9" t="s">
        <v>1930</v>
      </c>
      <c r="AM328" s="9">
        <v>1</v>
      </c>
      <c r="AN328" s="9">
        <v>46212</v>
      </c>
      <c r="AO328" s="9" t="s">
        <v>1931</v>
      </c>
      <c r="AP328" s="9" t="s">
        <v>69</v>
      </c>
      <c r="AQ328" s="9" t="s">
        <v>1932</v>
      </c>
      <c r="AR328" s="9">
        <v>46212</v>
      </c>
      <c r="AS328" s="9" t="s">
        <v>84</v>
      </c>
      <c r="AT328" s="9" t="s">
        <v>1935</v>
      </c>
      <c r="AU328" s="9" t="s">
        <v>1952</v>
      </c>
      <c r="AV328" s="9">
        <v>0</v>
      </c>
      <c r="AW328" s="9" t="s">
        <v>92</v>
      </c>
      <c r="AX328" s="9" t="s">
        <v>252</v>
      </c>
      <c r="AY328" s="9">
        <v>0</v>
      </c>
      <c r="AZ328" s="9"/>
      <c r="BA328" s="9"/>
      <c r="BB328" s="9">
        <v>0</v>
      </c>
      <c r="BC328" s="9">
        <v>44</v>
      </c>
      <c r="BD328" s="9">
        <v>0</v>
      </c>
      <c r="BE328" s="9" t="s">
        <v>253</v>
      </c>
      <c r="BF328" s="9" t="s">
        <v>71</v>
      </c>
      <c r="BG328" s="9"/>
      <c r="BH328" s="9">
        <v>0</v>
      </c>
      <c r="BI328" s="9"/>
      <c r="BJ328" s="9"/>
      <c r="BK328" s="9" t="s">
        <v>92</v>
      </c>
      <c r="BL328" s="9" t="s">
        <v>92</v>
      </c>
      <c r="BM328" s="9" t="s">
        <v>72</v>
      </c>
      <c r="BN328" s="9"/>
      <c r="BO328" s="9">
        <v>1</v>
      </c>
      <c r="BP328" s="9" t="s">
        <v>1039</v>
      </c>
      <c r="BQ328" s="9">
        <v>0</v>
      </c>
      <c r="BR328" s="9">
        <v>45723.426469907405</v>
      </c>
      <c r="BS328" s="9" t="s">
        <v>109</v>
      </c>
      <c r="BT328" s="9" t="s">
        <v>65</v>
      </c>
      <c r="BU328" s="9"/>
      <c r="BV328" s="9"/>
      <c r="BW328" s="9">
        <v>0</v>
      </c>
      <c r="BX328" s="9">
        <v>46209.419236111113</v>
      </c>
      <c r="BY328" s="9">
        <v>46209.419236111113</v>
      </c>
      <c r="BZ328" s="9"/>
      <c r="CA328" s="9"/>
      <c r="CB328" s="9"/>
      <c r="CC328" s="9"/>
      <c r="CD328" s="9"/>
      <c r="CE328" s="9"/>
      <c r="CF328" s="9"/>
      <c r="CG328" s="9"/>
      <c r="CH328" s="9">
        <v>1</v>
      </c>
      <c r="CI328" s="9">
        <v>0</v>
      </c>
      <c r="CJ328" s="9"/>
      <c r="CK328" s="9"/>
      <c r="CL328" s="9" t="s">
        <v>2000</v>
      </c>
      <c r="CM328" s="9"/>
      <c r="CN328" s="9">
        <v>0</v>
      </c>
      <c r="CO328" s="9" t="s">
        <v>1925</v>
      </c>
      <c r="CP328" s="9"/>
      <c r="CQ328" s="9">
        <v>0</v>
      </c>
    </row>
    <row r="329" spans="1:95" x14ac:dyDescent="0.35">
      <c r="A329" s="9" t="b">
        <f>ISNUMBER(MATCH(Claude[[#This Row],[Id]],ChargentOrders[Id],0))</f>
        <v>1</v>
      </c>
      <c r="B329" t="b">
        <f>INDEX(ChargentOrders[VALIDO],MATCH(Claude[[#This Row],[Id]],ChargentOrders[Id],0))</f>
        <v>1</v>
      </c>
      <c r="C329">
        <f>INDEX(Contract[CB_Subscription__c],MATCH(Claude[[#This Row],[Contract__c]],Contract[Id],0))</f>
        <v>0</v>
      </c>
      <c r="D329" s="9" t="s">
        <v>1040</v>
      </c>
      <c r="E329" s="9" t="s">
        <v>81</v>
      </c>
      <c r="F329" s="9">
        <v>0</v>
      </c>
      <c r="G329" s="9" t="s">
        <v>1041</v>
      </c>
      <c r="H329" s="9">
        <v>46111.419062499997</v>
      </c>
      <c r="I329" s="9" t="s">
        <v>65</v>
      </c>
      <c r="J329" s="9">
        <v>46217.008414351854</v>
      </c>
      <c r="K329" s="9" t="s">
        <v>101</v>
      </c>
      <c r="L329" s="9">
        <v>46217.008414351854</v>
      </c>
      <c r="M329" s="9"/>
      <c r="N329" s="9" t="s">
        <v>1601</v>
      </c>
      <c r="O329" s="9" t="s">
        <v>2005</v>
      </c>
      <c r="P329" s="9" t="s">
        <v>2006</v>
      </c>
      <c r="Q329" s="9" t="s">
        <v>1925</v>
      </c>
      <c r="R329" s="9" t="s">
        <v>1599</v>
      </c>
      <c r="S329" s="9" t="s">
        <v>2007</v>
      </c>
      <c r="T329" s="9" t="s">
        <v>2008</v>
      </c>
      <c r="U329" s="9" t="s">
        <v>1928</v>
      </c>
      <c r="V329" s="9">
        <v>985</v>
      </c>
      <c r="W329" s="9">
        <v>11</v>
      </c>
      <c r="X329" s="9">
        <v>2029</v>
      </c>
      <c r="Y329" s="9">
        <v>6484</v>
      </c>
      <c r="Z329" s="9">
        <v>11</v>
      </c>
      <c r="AA329" s="9">
        <v>6484</v>
      </c>
      <c r="AB329" s="9" t="s">
        <v>73</v>
      </c>
      <c r="AC329" s="9">
        <v>2029</v>
      </c>
      <c r="AD329" s="9" t="s">
        <v>2087</v>
      </c>
      <c r="AE329" s="9"/>
      <c r="AF329" s="9" t="s">
        <v>1929</v>
      </c>
      <c r="AG329" s="9"/>
      <c r="AH329" s="9" t="s">
        <v>67</v>
      </c>
      <c r="AI329" s="9">
        <v>0</v>
      </c>
      <c r="AJ329" s="9"/>
      <c r="AK329" s="9">
        <v>0</v>
      </c>
      <c r="AL329" s="9" t="s">
        <v>1930</v>
      </c>
      <c r="AM329" s="9" t="s">
        <v>1958</v>
      </c>
      <c r="AN329" s="9">
        <v>46212</v>
      </c>
      <c r="AO329" s="9" t="s">
        <v>1931</v>
      </c>
      <c r="AP329" s="9" t="s">
        <v>69</v>
      </c>
      <c r="AQ329" s="9" t="s">
        <v>1932</v>
      </c>
      <c r="AR329" s="9">
        <v>46212</v>
      </c>
      <c r="AS329" s="9" t="s">
        <v>90</v>
      </c>
      <c r="AT329" s="9" t="s">
        <v>1935</v>
      </c>
      <c r="AU329" s="9" t="s">
        <v>1952</v>
      </c>
      <c r="AV329" s="9">
        <v>0</v>
      </c>
      <c r="AW329" s="9" t="s">
        <v>93</v>
      </c>
      <c r="AX329" s="9" t="s">
        <v>264</v>
      </c>
      <c r="AY329" s="9">
        <v>0</v>
      </c>
      <c r="AZ329" s="9"/>
      <c r="BA329" s="9"/>
      <c r="BB329" s="9">
        <v>0</v>
      </c>
      <c r="BC329" s="9">
        <v>52</v>
      </c>
      <c r="BD329" s="9">
        <v>0</v>
      </c>
      <c r="BE329" s="9" t="s">
        <v>265</v>
      </c>
      <c r="BF329" s="9" t="s">
        <v>71</v>
      </c>
      <c r="BG329" s="9"/>
      <c r="BH329" s="9">
        <v>0</v>
      </c>
      <c r="BI329" s="9"/>
      <c r="BJ329" s="9"/>
      <c r="BK329" s="9" t="s">
        <v>92</v>
      </c>
      <c r="BL329" s="9" t="s">
        <v>92</v>
      </c>
      <c r="BM329" s="9" t="s">
        <v>72</v>
      </c>
      <c r="BN329" s="9"/>
      <c r="BO329" s="9">
        <v>1</v>
      </c>
      <c r="BP329" s="9" t="s">
        <v>1042</v>
      </c>
      <c r="BQ329" s="9">
        <v>0</v>
      </c>
      <c r="BR329" s="9">
        <v>45744.431817129633</v>
      </c>
      <c r="BS329" s="9" t="s">
        <v>109</v>
      </c>
      <c r="BT329" s="9" t="s">
        <v>65</v>
      </c>
      <c r="BU329" s="9"/>
      <c r="BV329" s="9"/>
      <c r="BW329" s="9">
        <v>0</v>
      </c>
      <c r="BX329" s="9">
        <v>46217.008402777778</v>
      </c>
      <c r="BY329" s="9">
        <v>46217.008402777778</v>
      </c>
      <c r="BZ329" s="9"/>
      <c r="CA329" s="9"/>
      <c r="CB329" s="9"/>
      <c r="CC329" s="9"/>
      <c r="CD329" s="9"/>
      <c r="CE329" s="9"/>
      <c r="CF329" s="9"/>
      <c r="CG329" s="9"/>
      <c r="CH329" s="9">
        <v>1</v>
      </c>
      <c r="CI329" s="9">
        <v>0</v>
      </c>
      <c r="CJ329" s="9"/>
      <c r="CK329" s="9"/>
      <c r="CL329" s="9" t="s">
        <v>2009</v>
      </c>
      <c r="CM329" s="9"/>
      <c r="CN329" s="9">
        <v>0</v>
      </c>
      <c r="CO329" s="9" t="s">
        <v>1925</v>
      </c>
      <c r="CP329" s="9"/>
      <c r="CQ329" s="9">
        <v>0</v>
      </c>
    </row>
    <row r="330" spans="1:95" x14ac:dyDescent="0.35">
      <c r="A330" s="9" t="b">
        <f>ISNUMBER(MATCH(Claude[[#This Row],[Id]],ChargentOrders[Id],0))</f>
        <v>1</v>
      </c>
      <c r="B330" t="b">
        <f>INDEX(ChargentOrders[VALIDO],MATCH(Claude[[#This Row],[Id]],ChargentOrders[Id],0))</f>
        <v>1</v>
      </c>
      <c r="C330">
        <f>INDEX(Contract[CB_Subscription__c],MATCH(Claude[[#This Row],[Contract__c]],Contract[Id],0))</f>
        <v>0</v>
      </c>
      <c r="D330" s="9" t="s">
        <v>1043</v>
      </c>
      <c r="E330" s="9" t="s">
        <v>79</v>
      </c>
      <c r="F330" s="9">
        <v>0</v>
      </c>
      <c r="G330" s="9" t="s">
        <v>1044</v>
      </c>
      <c r="H330" s="9">
        <v>46111.419594907406</v>
      </c>
      <c r="I330" s="9" t="s">
        <v>65</v>
      </c>
      <c r="J330" s="9">
        <v>46170.421597222223</v>
      </c>
      <c r="K330" s="9" t="s">
        <v>65</v>
      </c>
      <c r="L330" s="9">
        <v>46170.421597222223</v>
      </c>
      <c r="M330" s="9"/>
      <c r="N330" s="9" t="s">
        <v>1629</v>
      </c>
      <c r="O330" s="9" t="s">
        <v>2032</v>
      </c>
      <c r="P330" s="9" t="s">
        <v>2033</v>
      </c>
      <c r="Q330" s="9" t="s">
        <v>1925</v>
      </c>
      <c r="R330" s="9" t="s">
        <v>1627</v>
      </c>
      <c r="S330" s="9" t="s">
        <v>1949</v>
      </c>
      <c r="T330" s="9" t="s">
        <v>2034</v>
      </c>
      <c r="U330" s="9" t="s">
        <v>1928</v>
      </c>
      <c r="V330" s="9">
        <v>754</v>
      </c>
      <c r="W330" s="9">
        <v>7</v>
      </c>
      <c r="X330" s="9">
        <v>2028</v>
      </c>
      <c r="Y330" s="9">
        <v>6818</v>
      </c>
      <c r="Z330" s="9">
        <v>7</v>
      </c>
      <c r="AA330" s="9">
        <v>4870388115256810</v>
      </c>
      <c r="AB330" s="9" t="s">
        <v>73</v>
      </c>
      <c r="AC330" s="9">
        <v>2028</v>
      </c>
      <c r="AD330" s="9" t="s">
        <v>1952</v>
      </c>
      <c r="AE330" s="9"/>
      <c r="AF330" s="9" t="s">
        <v>1929</v>
      </c>
      <c r="AG330" s="9"/>
      <c r="AH330" s="9" t="s">
        <v>67</v>
      </c>
      <c r="AI330" s="9">
        <v>0</v>
      </c>
      <c r="AJ330" s="9"/>
      <c r="AK330" s="9">
        <v>0</v>
      </c>
      <c r="AL330" s="9" t="s">
        <v>1930</v>
      </c>
      <c r="AM330" s="9">
        <v>1</v>
      </c>
      <c r="AN330" s="9">
        <v>46170</v>
      </c>
      <c r="AO330" s="9" t="s">
        <v>1931</v>
      </c>
      <c r="AP330" s="9" t="s">
        <v>69</v>
      </c>
      <c r="AQ330" s="9" t="s">
        <v>1932</v>
      </c>
      <c r="AR330" s="9">
        <v>46170</v>
      </c>
      <c r="AS330" s="9" t="s">
        <v>74</v>
      </c>
      <c r="AT330" s="9" t="s">
        <v>1935</v>
      </c>
      <c r="AU330" s="9" t="s">
        <v>1952</v>
      </c>
      <c r="AV330" s="9">
        <v>0</v>
      </c>
      <c r="AW330" s="9" t="s">
        <v>92</v>
      </c>
      <c r="AX330" s="9" t="s">
        <v>355</v>
      </c>
      <c r="AY330" s="9">
        <v>0</v>
      </c>
      <c r="AZ330" s="9">
        <v>46170.421550925923</v>
      </c>
      <c r="BA330" s="9">
        <v>46170.421550925923</v>
      </c>
      <c r="BB330" s="9">
        <v>1</v>
      </c>
      <c r="BC330" s="9">
        <v>27</v>
      </c>
      <c r="BD330" s="9" t="s">
        <v>2087</v>
      </c>
      <c r="BE330" s="9" t="s">
        <v>356</v>
      </c>
      <c r="BF330" s="9" t="s">
        <v>71</v>
      </c>
      <c r="BG330" s="9"/>
      <c r="BH330" s="9">
        <v>0</v>
      </c>
      <c r="BI330" s="9"/>
      <c r="BJ330" s="9">
        <v>0</v>
      </c>
      <c r="BK330" s="9" t="s">
        <v>92</v>
      </c>
      <c r="BL330" s="9" t="s">
        <v>92</v>
      </c>
      <c r="BM330" s="9" t="s">
        <v>72</v>
      </c>
      <c r="BN330" s="9"/>
      <c r="BO330" s="9">
        <v>1</v>
      </c>
      <c r="BP330" s="9" t="s">
        <v>1045</v>
      </c>
      <c r="BQ330" s="9">
        <v>0</v>
      </c>
      <c r="BR330" s="9">
        <v>45812.729178240741</v>
      </c>
      <c r="BS330" s="9" t="s">
        <v>109</v>
      </c>
      <c r="BT330" s="9" t="s">
        <v>65</v>
      </c>
      <c r="BU330" s="9"/>
      <c r="BV330" s="9"/>
      <c r="BW330" s="9">
        <v>0</v>
      </c>
      <c r="BX330" s="9">
        <v>46167.422511574077</v>
      </c>
      <c r="BY330" s="9">
        <v>46170.421550925923</v>
      </c>
      <c r="BZ330" s="9"/>
      <c r="CA330" s="9"/>
      <c r="CB330" s="9"/>
      <c r="CC330" s="9"/>
      <c r="CD330" s="9"/>
      <c r="CE330" s="9"/>
      <c r="CF330" s="9"/>
      <c r="CG330" s="9"/>
      <c r="CH330" s="9">
        <v>1</v>
      </c>
      <c r="CI330" s="9">
        <v>0</v>
      </c>
      <c r="CJ330" s="9"/>
      <c r="CK330" s="9"/>
      <c r="CL330" s="9" t="s">
        <v>2035</v>
      </c>
      <c r="CM330" s="9"/>
      <c r="CN330" s="9">
        <v>0</v>
      </c>
      <c r="CO330" s="9" t="s">
        <v>1925</v>
      </c>
      <c r="CP330" s="9"/>
      <c r="CQ330" s="9">
        <v>0</v>
      </c>
    </row>
    <row r="331" spans="1:95" x14ac:dyDescent="0.35">
      <c r="A331" s="9" t="b">
        <f>ISNUMBER(MATCH(Claude[[#This Row],[Id]],ChargentOrders[Id],0))</f>
        <v>1</v>
      </c>
      <c r="B331" t="b">
        <f>INDEX(ChargentOrders[VALIDO],MATCH(Claude[[#This Row],[Id]],ChargentOrders[Id],0))</f>
        <v>1</v>
      </c>
      <c r="C331">
        <f>INDEX(Contract[CB_Subscription__c],MATCH(Claude[[#This Row],[Contract__c]],Contract[Id],0))</f>
        <v>0</v>
      </c>
      <c r="D331" s="9" t="s">
        <v>1046</v>
      </c>
      <c r="E331" s="9" t="s">
        <v>79</v>
      </c>
      <c r="F331" s="9">
        <v>0</v>
      </c>
      <c r="G331" s="9" t="s">
        <v>1047</v>
      </c>
      <c r="H331" s="9">
        <v>46111.420057870368</v>
      </c>
      <c r="I331" s="9" t="s">
        <v>65</v>
      </c>
      <c r="J331" s="9">
        <v>46217.007534722223</v>
      </c>
      <c r="K331" s="9" t="s">
        <v>101</v>
      </c>
      <c r="L331" s="9">
        <v>46217.007534722223</v>
      </c>
      <c r="M331" s="9"/>
      <c r="N331" s="9" t="s">
        <v>1644</v>
      </c>
      <c r="O331" s="9" t="s">
        <v>2052</v>
      </c>
      <c r="P331" s="9" t="s">
        <v>2053</v>
      </c>
      <c r="Q331" s="9" t="s">
        <v>1925</v>
      </c>
      <c r="R331" s="9" t="s">
        <v>1642</v>
      </c>
      <c r="S331" s="9" t="s">
        <v>2054</v>
      </c>
      <c r="T331" s="9" t="s">
        <v>2055</v>
      </c>
      <c r="U331" s="9" t="s">
        <v>1928</v>
      </c>
      <c r="V331" s="9">
        <v>738</v>
      </c>
      <c r="W331" s="9">
        <v>1</v>
      </c>
      <c r="X331" s="9">
        <v>2027</v>
      </c>
      <c r="Y331" s="9">
        <v>2506</v>
      </c>
      <c r="Z331" s="9">
        <v>1</v>
      </c>
      <c r="AA331" s="9">
        <v>2506</v>
      </c>
      <c r="AB331" s="9" t="s">
        <v>73</v>
      </c>
      <c r="AC331" s="9">
        <v>2027</v>
      </c>
      <c r="AD331" s="9" t="s">
        <v>2087</v>
      </c>
      <c r="AE331" s="9"/>
      <c r="AF331" s="9" t="s">
        <v>1929</v>
      </c>
      <c r="AG331" s="9"/>
      <c r="AH331" s="9" t="s">
        <v>67</v>
      </c>
      <c r="AI331" s="9">
        <v>0</v>
      </c>
      <c r="AJ331" s="9"/>
      <c r="AK331" s="9">
        <v>0</v>
      </c>
      <c r="AL331" s="9" t="s">
        <v>1930</v>
      </c>
      <c r="AM331" s="9" t="s">
        <v>1958</v>
      </c>
      <c r="AN331" s="9">
        <v>46212</v>
      </c>
      <c r="AO331" s="9" t="s">
        <v>1931</v>
      </c>
      <c r="AP331" s="9" t="s">
        <v>69</v>
      </c>
      <c r="AQ331" s="9" t="s">
        <v>1932</v>
      </c>
      <c r="AR331" s="9">
        <v>46212</v>
      </c>
      <c r="AS331" s="9" t="s">
        <v>90</v>
      </c>
      <c r="AT331" s="9" t="s">
        <v>1935</v>
      </c>
      <c r="AU331" s="9" t="s">
        <v>1952</v>
      </c>
      <c r="AV331" s="9">
        <v>0</v>
      </c>
      <c r="AW331" s="9" t="s">
        <v>93</v>
      </c>
      <c r="AX331" s="9" t="s">
        <v>406</v>
      </c>
      <c r="AY331" s="9">
        <v>0</v>
      </c>
      <c r="AZ331" s="9"/>
      <c r="BA331" s="9"/>
      <c r="BB331" s="9">
        <v>0</v>
      </c>
      <c r="BC331" s="9">
        <v>43</v>
      </c>
      <c r="BD331" s="9">
        <v>0</v>
      </c>
      <c r="BE331" s="9" t="s">
        <v>407</v>
      </c>
      <c r="BF331" s="9" t="s">
        <v>71</v>
      </c>
      <c r="BG331" s="9"/>
      <c r="BH331" s="9">
        <v>0</v>
      </c>
      <c r="BI331" s="9"/>
      <c r="BJ331" s="9"/>
      <c r="BK331" s="9" t="s">
        <v>92</v>
      </c>
      <c r="BL331" s="9" t="s">
        <v>92</v>
      </c>
      <c r="BM331" s="9" t="s">
        <v>72</v>
      </c>
      <c r="BN331" s="9"/>
      <c r="BO331" s="9">
        <v>1</v>
      </c>
      <c r="BP331" s="9" t="s">
        <v>1048</v>
      </c>
      <c r="BQ331" s="9">
        <v>0</v>
      </c>
      <c r="BR331" s="9">
        <v>45874.6794212963</v>
      </c>
      <c r="BS331" s="9" t="s">
        <v>109</v>
      </c>
      <c r="BT331" s="9" t="s">
        <v>65</v>
      </c>
      <c r="BU331" s="9"/>
      <c r="BV331" s="9"/>
      <c r="BW331" s="9">
        <v>0</v>
      </c>
      <c r="BX331" s="9">
        <v>46217.007523148146</v>
      </c>
      <c r="BY331" s="9">
        <v>46217.007523148146</v>
      </c>
      <c r="BZ331" s="9"/>
      <c r="CA331" s="9"/>
      <c r="CB331" s="9"/>
      <c r="CC331" s="9"/>
      <c r="CD331" s="9"/>
      <c r="CE331" s="9"/>
      <c r="CF331" s="9"/>
      <c r="CG331" s="9"/>
      <c r="CH331" s="9">
        <v>1</v>
      </c>
      <c r="CI331" s="9">
        <v>0</v>
      </c>
      <c r="CJ331" s="9"/>
      <c r="CK331" s="9"/>
      <c r="CL331" s="9" t="s">
        <v>2056</v>
      </c>
      <c r="CM331" s="9"/>
      <c r="CN331" s="9">
        <v>0</v>
      </c>
      <c r="CO331" s="9" t="s">
        <v>1925</v>
      </c>
      <c r="CP331" s="9"/>
      <c r="CQ331" s="9">
        <v>0</v>
      </c>
    </row>
    <row r="332" spans="1:95" x14ac:dyDescent="0.35">
      <c r="A332" s="9" t="b">
        <f>ISNUMBER(MATCH(Claude[[#This Row],[Id]],ChargentOrders[Id],0))</f>
        <v>1</v>
      </c>
      <c r="B332" t="b">
        <f>INDEX(ChargentOrders[VALIDO],MATCH(Claude[[#This Row],[Id]],ChargentOrders[Id],0))</f>
        <v>1</v>
      </c>
      <c r="C332">
        <f>INDEX(Contract[CB_Subscription__c],MATCH(Claude[[#This Row],[Contract__c]],Contract[Id],0))</f>
        <v>0</v>
      </c>
      <c r="D332" s="9" t="s">
        <v>1049</v>
      </c>
      <c r="E332" s="9" t="s">
        <v>79</v>
      </c>
      <c r="F332" s="9">
        <v>0</v>
      </c>
      <c r="G332" s="9" t="s">
        <v>1050</v>
      </c>
      <c r="H332" s="9">
        <v>46111.420949074076</v>
      </c>
      <c r="I332" s="9" t="s">
        <v>65</v>
      </c>
      <c r="J332" s="9">
        <v>46217.00644675926</v>
      </c>
      <c r="K332" s="9" t="s">
        <v>101</v>
      </c>
      <c r="L332" s="9">
        <v>46217.00644675926</v>
      </c>
      <c r="M332" s="9"/>
      <c r="N332" s="9" t="s">
        <v>1659</v>
      </c>
      <c r="O332" s="9" t="s">
        <v>2074</v>
      </c>
      <c r="P332" s="9" t="s">
        <v>2066</v>
      </c>
      <c r="Q332" s="9" t="s">
        <v>1925</v>
      </c>
      <c r="R332" s="9" t="s">
        <v>1657</v>
      </c>
      <c r="S332" s="9" t="s">
        <v>2075</v>
      </c>
      <c r="T332" s="9" t="s">
        <v>2076</v>
      </c>
      <c r="U332" s="9" t="s">
        <v>1928</v>
      </c>
      <c r="V332" s="9">
        <v>956</v>
      </c>
      <c r="W332" s="9">
        <v>9</v>
      </c>
      <c r="X332" s="9">
        <v>2030</v>
      </c>
      <c r="Y332" s="9">
        <v>4428</v>
      </c>
      <c r="Z332" s="9">
        <v>9</v>
      </c>
      <c r="AA332" s="9">
        <v>4428</v>
      </c>
      <c r="AB332" s="9" t="s">
        <v>73</v>
      </c>
      <c r="AC332" s="9">
        <v>2030</v>
      </c>
      <c r="AD332" s="9" t="s">
        <v>95</v>
      </c>
      <c r="AE332" s="9"/>
      <c r="AF332" s="9" t="s">
        <v>1929</v>
      </c>
      <c r="AG332" s="9"/>
      <c r="AH332" s="9" t="s">
        <v>67</v>
      </c>
      <c r="AI332" s="9">
        <v>0</v>
      </c>
      <c r="AJ332" s="9"/>
      <c r="AK332" s="9">
        <v>0</v>
      </c>
      <c r="AL332" s="9" t="s">
        <v>1930</v>
      </c>
      <c r="AM332" s="9" t="s">
        <v>1958</v>
      </c>
      <c r="AN332" s="9">
        <v>46212</v>
      </c>
      <c r="AO332" s="9" t="s">
        <v>1931</v>
      </c>
      <c r="AP332" s="9" t="s">
        <v>69</v>
      </c>
      <c r="AQ332" s="9" t="s">
        <v>1932</v>
      </c>
      <c r="AR332" s="9">
        <v>46212</v>
      </c>
      <c r="AS332" s="9" t="s">
        <v>90</v>
      </c>
      <c r="AT332" s="9" t="s">
        <v>1935</v>
      </c>
      <c r="AU332" s="9" t="s">
        <v>2101</v>
      </c>
      <c r="AV332" s="9">
        <v>0</v>
      </c>
      <c r="AW332" s="9" t="s">
        <v>93</v>
      </c>
      <c r="AX332" s="9" t="s">
        <v>479</v>
      </c>
      <c r="AY332" s="9">
        <v>0</v>
      </c>
      <c r="AZ332" s="9"/>
      <c r="BA332" s="9"/>
      <c r="BB332" s="9">
        <v>0</v>
      </c>
      <c r="BC332" s="9">
        <v>48</v>
      </c>
      <c r="BD332" s="9">
        <v>0</v>
      </c>
      <c r="BE332" s="9" t="s">
        <v>480</v>
      </c>
      <c r="BF332" s="9" t="s">
        <v>71</v>
      </c>
      <c r="BG332" s="9"/>
      <c r="BH332" s="9">
        <v>0</v>
      </c>
      <c r="BI332" s="9"/>
      <c r="BJ332" s="9"/>
      <c r="BK332" s="9" t="s">
        <v>92</v>
      </c>
      <c r="BL332" s="9" t="s">
        <v>92</v>
      </c>
      <c r="BM332" s="9" t="s">
        <v>72</v>
      </c>
      <c r="BN332" s="9"/>
      <c r="BO332" s="9">
        <v>1</v>
      </c>
      <c r="BP332" s="9" t="s">
        <v>1051</v>
      </c>
      <c r="BQ332" s="9">
        <v>0</v>
      </c>
      <c r="BR332" s="9">
        <v>45944.639537037037</v>
      </c>
      <c r="BS332" s="9" t="s">
        <v>109</v>
      </c>
      <c r="BT332" s="9" t="s">
        <v>65</v>
      </c>
      <c r="BU332" s="9"/>
      <c r="BV332" s="9"/>
      <c r="BW332" s="9">
        <v>0</v>
      </c>
      <c r="BX332" s="9">
        <v>46217.006435185183</v>
      </c>
      <c r="BY332" s="9">
        <v>46217.006435185183</v>
      </c>
      <c r="BZ332" s="9"/>
      <c r="CA332" s="9"/>
      <c r="CB332" s="9"/>
      <c r="CC332" s="9"/>
      <c r="CD332" s="9"/>
      <c r="CE332" s="9"/>
      <c r="CF332" s="9"/>
      <c r="CG332" s="9"/>
      <c r="CH332" s="9">
        <v>1</v>
      </c>
      <c r="CI332" s="9">
        <v>0</v>
      </c>
      <c r="CJ332" s="9"/>
      <c r="CK332" s="9"/>
      <c r="CL332" s="9" t="s">
        <v>2077</v>
      </c>
      <c r="CM332" s="9"/>
      <c r="CN332" s="9">
        <v>0</v>
      </c>
      <c r="CO332" s="9" t="s">
        <v>1925</v>
      </c>
      <c r="CP332" s="9"/>
      <c r="CQ332" s="9">
        <v>0</v>
      </c>
    </row>
    <row r="333" spans="1:95" x14ac:dyDescent="0.35">
      <c r="A333" s="9" t="b">
        <f>ISNUMBER(MATCH(Claude[[#This Row],[Id]],ChargentOrders[Id],0))</f>
        <v>1</v>
      </c>
      <c r="B333" t="b">
        <f>INDEX(ChargentOrders[VALIDO],MATCH(Claude[[#This Row],[Id]],ChargentOrders[Id],0))</f>
        <v>1</v>
      </c>
      <c r="C333">
        <f>INDEX(Contract[CB_Subscription__c],MATCH(Claude[[#This Row],[Contract__c]],Contract[Id],0))</f>
        <v>0</v>
      </c>
      <c r="D333" s="9" t="s">
        <v>1052</v>
      </c>
      <c r="E333" s="9" t="s">
        <v>155</v>
      </c>
      <c r="F333" s="9">
        <v>0</v>
      </c>
      <c r="G333" s="9" t="s">
        <v>1053</v>
      </c>
      <c r="H333" s="9">
        <v>46111.421631944446</v>
      </c>
      <c r="I333" s="9" t="s">
        <v>65</v>
      </c>
      <c r="J333" s="9">
        <v>46217.738564814812</v>
      </c>
      <c r="K333" s="9" t="s">
        <v>78</v>
      </c>
      <c r="L333" s="9">
        <v>46217.738564814812</v>
      </c>
      <c r="M333" s="9"/>
      <c r="N333" s="9" t="s">
        <v>1664</v>
      </c>
      <c r="O333" s="9" t="s">
        <v>2081</v>
      </c>
      <c r="P333" s="9" t="s">
        <v>2082</v>
      </c>
      <c r="Q333" s="9" t="s">
        <v>2015</v>
      </c>
      <c r="R333" s="9" t="s">
        <v>1662</v>
      </c>
      <c r="S333" s="9" t="s">
        <v>2083</v>
      </c>
      <c r="T333" s="9" t="s">
        <v>2084</v>
      </c>
      <c r="U333" s="9" t="s">
        <v>2085</v>
      </c>
      <c r="V333" s="9">
        <v>17042</v>
      </c>
      <c r="W333" s="9">
        <v>10</v>
      </c>
      <c r="X333" s="9">
        <v>2030</v>
      </c>
      <c r="Y333" s="9">
        <v>3323</v>
      </c>
      <c r="Z333" s="9">
        <v>10</v>
      </c>
      <c r="AA333" s="9"/>
      <c r="AB333" s="9" t="s">
        <v>73</v>
      </c>
      <c r="AC333" s="9">
        <v>2030</v>
      </c>
      <c r="AD333" s="9" t="s">
        <v>2101</v>
      </c>
      <c r="AE333" s="9"/>
      <c r="AF333" s="9" t="s">
        <v>1929</v>
      </c>
      <c r="AG333" s="9"/>
      <c r="AH333" s="9" t="s">
        <v>107</v>
      </c>
      <c r="AI333" s="9">
        <v>0</v>
      </c>
      <c r="AJ333" s="9"/>
      <c r="AK333" s="9">
        <v>0</v>
      </c>
      <c r="AL333" s="9" t="s">
        <v>1930</v>
      </c>
      <c r="AM333" s="9">
        <v>1</v>
      </c>
      <c r="AN333" s="9">
        <v>46212</v>
      </c>
      <c r="AO333" s="9" t="s">
        <v>1931</v>
      </c>
      <c r="AP333" s="9" t="s">
        <v>69</v>
      </c>
      <c r="AQ333" s="9" t="s">
        <v>1932</v>
      </c>
      <c r="AR333" s="9">
        <v>46212</v>
      </c>
      <c r="AS333" s="9" t="s">
        <v>84</v>
      </c>
      <c r="AT333" s="9" t="s">
        <v>1935</v>
      </c>
      <c r="AU333" s="9" t="s">
        <v>2101</v>
      </c>
      <c r="AV333" s="9">
        <v>0</v>
      </c>
      <c r="AW333" s="9" t="s">
        <v>92</v>
      </c>
      <c r="AX333" s="9" t="s">
        <v>489</v>
      </c>
      <c r="AY333" s="9">
        <v>0</v>
      </c>
      <c r="AZ333" s="9"/>
      <c r="BA333" s="9"/>
      <c r="BB333" s="9">
        <v>0</v>
      </c>
      <c r="BC333" s="9">
        <v>42</v>
      </c>
      <c r="BD333" s="9">
        <v>0</v>
      </c>
      <c r="BE333" s="9" t="s">
        <v>490</v>
      </c>
      <c r="BF333" s="9" t="s">
        <v>71</v>
      </c>
      <c r="BG333" s="9"/>
      <c r="BH333" s="9">
        <v>0</v>
      </c>
      <c r="BI333" s="9"/>
      <c r="BJ333" s="9"/>
      <c r="BK333" s="9" t="s">
        <v>92</v>
      </c>
      <c r="BL333" s="9" t="s">
        <v>92</v>
      </c>
      <c r="BM333" s="9" t="s">
        <v>72</v>
      </c>
      <c r="BN333" s="9"/>
      <c r="BO333" s="9">
        <v>1</v>
      </c>
      <c r="BP333" s="9" t="s">
        <v>1054</v>
      </c>
      <c r="BQ333" s="9">
        <v>0</v>
      </c>
      <c r="BR333" s="9">
        <v>45961.424942129626</v>
      </c>
      <c r="BS333" s="9" t="s">
        <v>109</v>
      </c>
      <c r="BT333" s="9" t="s">
        <v>65</v>
      </c>
      <c r="BU333" s="9"/>
      <c r="BV333" s="9"/>
      <c r="BW333" s="9">
        <v>0</v>
      </c>
      <c r="BX333" s="9">
        <v>46209.419363425928</v>
      </c>
      <c r="BY333" s="9">
        <v>46209.419363425928</v>
      </c>
      <c r="BZ333" s="9"/>
      <c r="CA333" s="9"/>
      <c r="CB333" s="9"/>
      <c r="CC333" s="9"/>
      <c r="CD333" s="9"/>
      <c r="CE333" s="9"/>
      <c r="CF333" s="9"/>
      <c r="CG333" s="9"/>
      <c r="CH333" s="9">
        <v>1</v>
      </c>
      <c r="CI333" s="9">
        <v>0</v>
      </c>
      <c r="CJ333" s="9"/>
      <c r="CK333" s="9"/>
      <c r="CL333" s="9" t="s">
        <v>2086</v>
      </c>
      <c r="CM333" s="9"/>
      <c r="CN333" s="9">
        <v>0</v>
      </c>
      <c r="CO333" s="9" t="s">
        <v>1925</v>
      </c>
      <c r="CP333" s="9"/>
      <c r="CQ333" s="9">
        <v>0</v>
      </c>
    </row>
    <row r="334" spans="1:95" x14ac:dyDescent="0.35">
      <c r="A334" s="9" t="b">
        <f>ISNUMBER(MATCH(Claude[[#This Row],[Id]],ChargentOrders[Id],0))</f>
        <v>1</v>
      </c>
      <c r="B334" t="b">
        <f>INDEX(ChargentOrders[VALIDO],MATCH(Claude[[#This Row],[Id]],ChargentOrders[Id],0))</f>
        <v>1</v>
      </c>
      <c r="C334">
        <f>INDEX(Contract[CB_Subscription__c],MATCH(Claude[[#This Row],[Contract__c]],Contract[Id],0))</f>
        <v>0</v>
      </c>
      <c r="D334" s="9" t="s">
        <v>1055</v>
      </c>
      <c r="E334" s="9" t="s">
        <v>81</v>
      </c>
      <c r="F334" s="9">
        <v>0</v>
      </c>
      <c r="G334" s="9" t="s">
        <v>1056</v>
      </c>
      <c r="H334" s="9">
        <v>46111.4221412037</v>
      </c>
      <c r="I334" s="9" t="s">
        <v>65</v>
      </c>
      <c r="J334" s="9">
        <v>46217.738564814812</v>
      </c>
      <c r="K334" s="9" t="s">
        <v>78</v>
      </c>
      <c r="L334" s="9">
        <v>46217.738564814812</v>
      </c>
      <c r="M334" s="9"/>
      <c r="N334" s="9" t="s">
        <v>1669</v>
      </c>
      <c r="O334" s="9" t="s">
        <v>2090</v>
      </c>
      <c r="P334" s="9" t="s">
        <v>2027</v>
      </c>
      <c r="Q334" s="9" t="s">
        <v>1925</v>
      </c>
      <c r="R334" s="9" t="s">
        <v>1667</v>
      </c>
      <c r="S334" s="9" t="s">
        <v>2091</v>
      </c>
      <c r="T334" s="9" t="s">
        <v>2092</v>
      </c>
      <c r="U334" s="9" t="s">
        <v>1928</v>
      </c>
      <c r="V334" s="9">
        <v>603</v>
      </c>
      <c r="W334" s="9">
        <v>10</v>
      </c>
      <c r="X334" s="9">
        <v>2029</v>
      </c>
      <c r="Y334" s="9">
        <v>1120</v>
      </c>
      <c r="Z334" s="9">
        <v>10</v>
      </c>
      <c r="AA334" s="9">
        <v>4549518508501120</v>
      </c>
      <c r="AB334" s="9" t="s">
        <v>73</v>
      </c>
      <c r="AC334" s="9">
        <v>2029</v>
      </c>
      <c r="AD334" s="9" t="s">
        <v>2101</v>
      </c>
      <c r="AE334" s="9"/>
      <c r="AF334" s="9" t="s">
        <v>1929</v>
      </c>
      <c r="AG334" s="9"/>
      <c r="AH334" s="9" t="s">
        <v>67</v>
      </c>
      <c r="AI334" s="9">
        <v>0</v>
      </c>
      <c r="AJ334" s="9"/>
      <c r="AK334" s="9">
        <v>0</v>
      </c>
      <c r="AL334" s="9" t="s">
        <v>1930</v>
      </c>
      <c r="AM334" s="9">
        <v>1</v>
      </c>
      <c r="AN334" s="9">
        <v>46212</v>
      </c>
      <c r="AO334" s="9" t="s">
        <v>1931</v>
      </c>
      <c r="AP334" s="9" t="s">
        <v>69</v>
      </c>
      <c r="AQ334" s="9" t="s">
        <v>1932</v>
      </c>
      <c r="AR334" s="9">
        <v>46212</v>
      </c>
      <c r="AS334" s="9" t="s">
        <v>84</v>
      </c>
      <c r="AT334" s="9" t="s">
        <v>1935</v>
      </c>
      <c r="AU334" s="9" t="s">
        <v>2101</v>
      </c>
      <c r="AV334" s="9">
        <v>0</v>
      </c>
      <c r="AW334" s="9" t="s">
        <v>92</v>
      </c>
      <c r="AX334" s="9" t="s">
        <v>515</v>
      </c>
      <c r="AY334" s="9">
        <v>0</v>
      </c>
      <c r="AZ334" s="9"/>
      <c r="BA334" s="9"/>
      <c r="BB334" s="9">
        <v>0</v>
      </c>
      <c r="BC334" s="9">
        <v>42</v>
      </c>
      <c r="BD334" s="9">
        <v>0</v>
      </c>
      <c r="BE334" s="9" t="s">
        <v>516</v>
      </c>
      <c r="BF334" s="9" t="s">
        <v>71</v>
      </c>
      <c r="BG334" s="9"/>
      <c r="BH334" s="9">
        <v>0</v>
      </c>
      <c r="BI334" s="9"/>
      <c r="BJ334" s="9"/>
      <c r="BK334" s="9" t="s">
        <v>92</v>
      </c>
      <c r="BL334" s="9" t="s">
        <v>92</v>
      </c>
      <c r="BM334" s="9" t="s">
        <v>72</v>
      </c>
      <c r="BN334" s="9"/>
      <c r="BO334" s="9">
        <v>1</v>
      </c>
      <c r="BP334" s="9" t="s">
        <v>1057</v>
      </c>
      <c r="BQ334" s="9">
        <v>0</v>
      </c>
      <c r="BR334" s="9">
        <v>45982.878946759258</v>
      </c>
      <c r="BS334" s="9" t="s">
        <v>109</v>
      </c>
      <c r="BT334" s="9" t="s">
        <v>65</v>
      </c>
      <c r="BU334" s="9"/>
      <c r="BV334" s="9"/>
      <c r="BW334" s="9">
        <v>0</v>
      </c>
      <c r="BX334" s="9">
        <v>46209.419386574074</v>
      </c>
      <c r="BY334" s="9">
        <v>46209.419386574074</v>
      </c>
      <c r="BZ334" s="9"/>
      <c r="CA334" s="9"/>
      <c r="CB334" s="9"/>
      <c r="CC334" s="9"/>
      <c r="CD334" s="9"/>
      <c r="CE334" s="9"/>
      <c r="CF334" s="9"/>
      <c r="CG334" s="9"/>
      <c r="CH334" s="9">
        <v>1</v>
      </c>
      <c r="CI334" s="9">
        <v>0</v>
      </c>
      <c r="CJ334" s="9"/>
      <c r="CK334" s="9"/>
      <c r="CL334" s="9" t="s">
        <v>2093</v>
      </c>
      <c r="CM334" s="9"/>
      <c r="CN334" s="9">
        <v>0</v>
      </c>
      <c r="CO334" s="9" t="s">
        <v>1925</v>
      </c>
      <c r="CP334" s="9"/>
      <c r="CQ334" s="9">
        <v>0</v>
      </c>
    </row>
    <row r="335" spans="1:95" x14ac:dyDescent="0.35">
      <c r="A335" s="9" t="b">
        <f>ISNUMBER(MATCH(Claude[[#This Row],[Id]],ChargentOrders[Id],0))</f>
        <v>1</v>
      </c>
      <c r="B335" t="b">
        <f>INDEX(ChargentOrders[VALIDO],MATCH(Claude[[#This Row],[Id]],ChargentOrders[Id],0))</f>
        <v>1</v>
      </c>
      <c r="C335">
        <f>INDEX(Contract[CB_Subscription__c],MATCH(Claude[[#This Row],[Contract__c]],Contract[Id],0))</f>
        <v>0</v>
      </c>
      <c r="D335" s="9" t="s">
        <v>1058</v>
      </c>
      <c r="E335" s="9" t="s">
        <v>81</v>
      </c>
      <c r="F335" s="9">
        <v>0</v>
      </c>
      <c r="G335" s="9" t="s">
        <v>1059</v>
      </c>
      <c r="H335" s="9">
        <v>46111.42491898148</v>
      </c>
      <c r="I335" s="9" t="s">
        <v>65</v>
      </c>
      <c r="J335" s="9">
        <v>46150.995451388888</v>
      </c>
      <c r="K335" s="9" t="s">
        <v>101</v>
      </c>
      <c r="L335" s="9">
        <v>46150.995451388888</v>
      </c>
      <c r="M335" s="9"/>
      <c r="N335" s="9" t="s">
        <v>1718</v>
      </c>
      <c r="O335" s="9" t="s">
        <v>2142</v>
      </c>
      <c r="P335" s="9" t="s">
        <v>2143</v>
      </c>
      <c r="Q335" s="9" t="s">
        <v>1925</v>
      </c>
      <c r="R335" s="9" t="s">
        <v>1716</v>
      </c>
      <c r="S335" s="9" t="s">
        <v>2144</v>
      </c>
      <c r="T335" s="9" t="s">
        <v>2145</v>
      </c>
      <c r="U335" s="9" t="s">
        <v>1928</v>
      </c>
      <c r="V335" s="9">
        <v>641</v>
      </c>
      <c r="W335" s="9">
        <v>8</v>
      </c>
      <c r="X335" s="9">
        <v>2030</v>
      </c>
      <c r="Y335" s="9">
        <v>9728</v>
      </c>
      <c r="Z335" s="9">
        <v>8</v>
      </c>
      <c r="AA335" s="9">
        <v>4549525023689720</v>
      </c>
      <c r="AB335" s="9" t="s">
        <v>73</v>
      </c>
      <c r="AC335" s="9">
        <v>2030</v>
      </c>
      <c r="AD335" s="9" t="s">
        <v>2146</v>
      </c>
      <c r="AE335" s="9"/>
      <c r="AF335" s="9" t="s">
        <v>1929</v>
      </c>
      <c r="AG335" s="9"/>
      <c r="AH335" s="9" t="s">
        <v>98</v>
      </c>
      <c r="AI335" s="9">
        <v>0</v>
      </c>
      <c r="AJ335" s="9"/>
      <c r="AK335" s="9">
        <v>0</v>
      </c>
      <c r="AL335" s="9" t="s">
        <v>1930</v>
      </c>
      <c r="AM335" s="9">
        <v>1</v>
      </c>
      <c r="AN335" s="9">
        <v>46150</v>
      </c>
      <c r="AO335" s="9" t="s">
        <v>1931</v>
      </c>
      <c r="AP335" s="9" t="s">
        <v>69</v>
      </c>
      <c r="AQ335" s="9" t="s">
        <v>1932</v>
      </c>
      <c r="AR335" s="9">
        <v>46153</v>
      </c>
      <c r="AS335" s="9" t="s">
        <v>74</v>
      </c>
      <c r="AT335" s="9" t="s">
        <v>1935</v>
      </c>
      <c r="AU335" s="9" t="s">
        <v>1979</v>
      </c>
      <c r="AV335" s="9">
        <v>0</v>
      </c>
      <c r="AW335" s="9" t="s">
        <v>93</v>
      </c>
      <c r="AX335" s="9">
        <v>7.6599600037667296E+21</v>
      </c>
      <c r="AY335" s="9">
        <v>0</v>
      </c>
      <c r="AZ335" s="9">
        <v>46150.995416666665</v>
      </c>
      <c r="BA335" s="9">
        <v>46150.995416666665</v>
      </c>
      <c r="BB335" s="9">
        <v>1</v>
      </c>
      <c r="BC335" s="9">
        <v>19</v>
      </c>
      <c r="BD335" s="9" t="s">
        <v>2146</v>
      </c>
      <c r="BE335" s="9" t="s">
        <v>631</v>
      </c>
      <c r="BF335" s="9" t="s">
        <v>71</v>
      </c>
      <c r="BG335" s="9"/>
      <c r="BH335" s="9">
        <v>0</v>
      </c>
      <c r="BI335" s="9"/>
      <c r="BJ335" s="9">
        <v>0</v>
      </c>
      <c r="BK335" s="9" t="s">
        <v>92</v>
      </c>
      <c r="BL335" s="9" t="s">
        <v>92</v>
      </c>
      <c r="BM335" s="9" t="s">
        <v>72</v>
      </c>
      <c r="BN335" s="9"/>
      <c r="BO335" s="9">
        <v>0</v>
      </c>
      <c r="BP335" s="9" t="s">
        <v>1060</v>
      </c>
      <c r="BQ335" s="9">
        <v>0</v>
      </c>
      <c r="BR335" s="9">
        <v>46143.957442129627</v>
      </c>
      <c r="BS335" s="9" t="s">
        <v>92</v>
      </c>
      <c r="BT335" s="9" t="s">
        <v>65</v>
      </c>
      <c r="BU335" s="9"/>
      <c r="BV335" s="9"/>
      <c r="BW335" s="9">
        <v>0</v>
      </c>
      <c r="BX335" s="9">
        <v>46150.007233796299</v>
      </c>
      <c r="BY335" s="9">
        <v>46150.995416666665</v>
      </c>
      <c r="BZ335" s="9"/>
      <c r="CA335" s="9"/>
      <c r="CB335" s="9"/>
      <c r="CC335" s="9"/>
      <c r="CD335" s="9"/>
      <c r="CE335" s="9"/>
      <c r="CF335" s="9"/>
      <c r="CG335" s="9"/>
      <c r="CH335" s="9">
        <v>1</v>
      </c>
      <c r="CI335" s="9">
        <v>0</v>
      </c>
      <c r="CJ335" s="9"/>
      <c r="CK335" s="9"/>
      <c r="CL335" s="9" t="s">
        <v>2147</v>
      </c>
      <c r="CM335" s="9"/>
      <c r="CN335" s="9">
        <v>0</v>
      </c>
      <c r="CO335" s="9" t="s">
        <v>1925</v>
      </c>
      <c r="CP335" s="9"/>
      <c r="CQ335" s="9"/>
    </row>
    <row r="336" spans="1:95" x14ac:dyDescent="0.35">
      <c r="A336" s="9" t="b">
        <f>ISNUMBER(MATCH(Claude[[#This Row],[Id]],ChargentOrders[Id],0))</f>
        <v>1</v>
      </c>
      <c r="B336" t="b">
        <f>INDEX(ChargentOrders[VALIDO],MATCH(Claude[[#This Row],[Id]],ChargentOrders[Id],0))</f>
        <v>1</v>
      </c>
      <c r="C336">
        <f>INDEX(Contract[CB_Subscription__c],MATCH(Claude[[#This Row],[Contract__c]],Contract[Id],0))</f>
        <v>0</v>
      </c>
      <c r="D336" s="9" t="s">
        <v>1061</v>
      </c>
      <c r="E336" s="9" t="s">
        <v>81</v>
      </c>
      <c r="F336" s="9">
        <v>0</v>
      </c>
      <c r="G336" s="9" t="s">
        <v>1062</v>
      </c>
      <c r="H336" s="9">
        <v>46111.426817129628</v>
      </c>
      <c r="I336" s="9" t="s">
        <v>65</v>
      </c>
      <c r="J336" s="9">
        <v>46114.428067129629</v>
      </c>
      <c r="K336" s="9" t="s">
        <v>65</v>
      </c>
      <c r="L336" s="9">
        <v>46114.428067129629</v>
      </c>
      <c r="M336" s="9"/>
      <c r="N336" s="9" t="s">
        <v>1778</v>
      </c>
      <c r="O336" s="9" t="s">
        <v>2213</v>
      </c>
      <c r="P336" s="9" t="s">
        <v>2214</v>
      </c>
      <c r="Q336" s="9" t="s">
        <v>1925</v>
      </c>
      <c r="R336" s="9" t="s">
        <v>1776</v>
      </c>
      <c r="S336" s="9" t="s">
        <v>2215</v>
      </c>
      <c r="T336" s="9" t="s">
        <v>2216</v>
      </c>
      <c r="U336" s="9" t="s">
        <v>1928</v>
      </c>
      <c r="V336" s="9">
        <v>791</v>
      </c>
      <c r="W336" s="9">
        <v>11</v>
      </c>
      <c r="X336" s="9">
        <v>2029</v>
      </c>
      <c r="Y336" s="9">
        <v>4457</v>
      </c>
      <c r="Z336" s="9">
        <v>11</v>
      </c>
      <c r="AA336" s="9">
        <v>4457</v>
      </c>
      <c r="AB336" s="9" t="s">
        <v>73</v>
      </c>
      <c r="AC336" s="9">
        <v>2029</v>
      </c>
      <c r="AD336" s="9" t="s">
        <v>449</v>
      </c>
      <c r="AE336" s="9"/>
      <c r="AF336" s="9" t="s">
        <v>1929</v>
      </c>
      <c r="AG336" s="9"/>
      <c r="AH336" s="9" t="s">
        <v>67</v>
      </c>
      <c r="AI336" s="9">
        <v>0</v>
      </c>
      <c r="AJ336" s="9"/>
      <c r="AK336" s="9">
        <v>0</v>
      </c>
      <c r="AL336" s="9" t="s">
        <v>1930</v>
      </c>
      <c r="AM336" s="9">
        <v>1</v>
      </c>
      <c r="AN336" s="9">
        <v>46114</v>
      </c>
      <c r="AO336" s="9" t="s">
        <v>1931</v>
      </c>
      <c r="AP336" s="9" t="s">
        <v>69</v>
      </c>
      <c r="AQ336" s="9" t="s">
        <v>1932</v>
      </c>
      <c r="AR336" s="9">
        <v>46114</v>
      </c>
      <c r="AS336" s="9" t="s">
        <v>74</v>
      </c>
      <c r="AT336" s="9" t="s">
        <v>1935</v>
      </c>
      <c r="AU336" s="9" t="s">
        <v>449</v>
      </c>
      <c r="AV336" s="9">
        <v>0</v>
      </c>
      <c r="AW336" s="9" t="s">
        <v>92</v>
      </c>
      <c r="AX336" s="9" t="s">
        <v>778</v>
      </c>
      <c r="AY336" s="9">
        <v>0</v>
      </c>
      <c r="AZ336" s="9">
        <v>46114.42796296296</v>
      </c>
      <c r="BA336" s="9">
        <v>46114.428020833337</v>
      </c>
      <c r="BB336" s="9">
        <v>1</v>
      </c>
      <c r="BC336" s="9">
        <v>1</v>
      </c>
      <c r="BD336" s="9" t="s">
        <v>2220</v>
      </c>
      <c r="BE336" s="9" t="s">
        <v>779</v>
      </c>
      <c r="BF336" s="9" t="s">
        <v>71</v>
      </c>
      <c r="BG336" s="9"/>
      <c r="BH336" s="9">
        <v>0</v>
      </c>
      <c r="BI336" s="9"/>
      <c r="BJ336" s="9">
        <v>0</v>
      </c>
      <c r="BK336" s="9" t="s">
        <v>92</v>
      </c>
      <c r="BL336" s="9" t="s">
        <v>92</v>
      </c>
      <c r="BM336" s="9" t="s">
        <v>72</v>
      </c>
      <c r="BN336" s="9"/>
      <c r="BO336" s="9">
        <v>1</v>
      </c>
      <c r="BP336" s="9" t="s">
        <v>1063</v>
      </c>
      <c r="BQ336" s="9">
        <v>0</v>
      </c>
      <c r="BR336" s="9">
        <v>46051.427615740744</v>
      </c>
      <c r="BS336" s="9" t="s">
        <v>109</v>
      </c>
      <c r="BT336" s="9" t="s">
        <v>65</v>
      </c>
      <c r="BU336" s="9"/>
      <c r="BV336" s="9"/>
      <c r="BW336" s="9">
        <v>0</v>
      </c>
      <c r="BX336" s="9"/>
      <c r="BY336" s="9">
        <v>46114.42796296296</v>
      </c>
      <c r="BZ336" s="9"/>
      <c r="CA336" s="9"/>
      <c r="CB336" s="9"/>
      <c r="CC336" s="9"/>
      <c r="CD336" s="9"/>
      <c r="CE336" s="9"/>
      <c r="CF336" s="9"/>
      <c r="CG336" s="9"/>
      <c r="CH336" s="9">
        <v>1</v>
      </c>
      <c r="CI336" s="9">
        <v>0</v>
      </c>
      <c r="CJ336" s="9"/>
      <c r="CK336" s="9"/>
      <c r="CL336" s="9" t="s">
        <v>2217</v>
      </c>
      <c r="CM336" s="9"/>
      <c r="CN336" s="9">
        <v>0</v>
      </c>
      <c r="CO336" s="9" t="s">
        <v>1925</v>
      </c>
      <c r="CP336" s="9"/>
      <c r="CQ336" s="9"/>
    </row>
    <row r="337" spans="1:95" x14ac:dyDescent="0.35">
      <c r="A337" s="9" t="b">
        <f>ISNUMBER(MATCH(Claude[[#This Row],[Id]],ChargentOrders[Id],0))</f>
        <v>1</v>
      </c>
      <c r="B337" t="b">
        <f>INDEX(ChargentOrders[VALIDO],MATCH(Claude[[#This Row],[Id]],ChargentOrders[Id],0))</f>
        <v>1</v>
      </c>
      <c r="C337">
        <f>INDEX(Contract[CB_Subscription__c],MATCH(Claude[[#This Row],[Contract__c]],Contract[Id],0))</f>
        <v>0</v>
      </c>
      <c r="D337" s="9" t="s">
        <v>1064</v>
      </c>
      <c r="E337" s="9" t="s">
        <v>81</v>
      </c>
      <c r="F337" s="9">
        <v>0</v>
      </c>
      <c r="G337" s="9" t="s">
        <v>1065</v>
      </c>
      <c r="H337" s="9">
        <v>46111.429027777776</v>
      </c>
      <c r="I337" s="9" t="s">
        <v>65</v>
      </c>
      <c r="J337" s="9">
        <v>46114.428159722222</v>
      </c>
      <c r="K337" s="9" t="s">
        <v>65</v>
      </c>
      <c r="L337" s="9">
        <v>46114.428159722222</v>
      </c>
      <c r="M337" s="9"/>
      <c r="N337" s="9" t="s">
        <v>1773</v>
      </c>
      <c r="O337" s="9" t="s">
        <v>2207</v>
      </c>
      <c r="P337" s="9" t="s">
        <v>2208</v>
      </c>
      <c r="Q337" s="9" t="s">
        <v>1925</v>
      </c>
      <c r="R337" s="9" t="s">
        <v>1771</v>
      </c>
      <c r="S337" s="9" t="s">
        <v>2209</v>
      </c>
      <c r="T337" s="9" t="s">
        <v>2210</v>
      </c>
      <c r="U337" s="9" t="s">
        <v>1928</v>
      </c>
      <c r="V337" s="9">
        <v>617</v>
      </c>
      <c r="W337" s="9">
        <v>1</v>
      </c>
      <c r="X337" s="9">
        <v>2031</v>
      </c>
      <c r="Y337" s="9">
        <v>7352</v>
      </c>
      <c r="Z337" s="9">
        <v>1</v>
      </c>
      <c r="AA337" s="9">
        <v>5189207019437350</v>
      </c>
      <c r="AB337" s="9" t="s">
        <v>66</v>
      </c>
      <c r="AC337" s="9">
        <v>2031</v>
      </c>
      <c r="AD337" s="9" t="s">
        <v>449</v>
      </c>
      <c r="AE337" s="9"/>
      <c r="AF337" s="9" t="s">
        <v>1929</v>
      </c>
      <c r="AG337" s="9"/>
      <c r="AH337" s="9" t="s">
        <v>67</v>
      </c>
      <c r="AI337" s="9">
        <v>0</v>
      </c>
      <c r="AJ337" s="9"/>
      <c r="AK337" s="9">
        <v>0</v>
      </c>
      <c r="AL337" s="9" t="s">
        <v>1930</v>
      </c>
      <c r="AM337" s="9">
        <v>1</v>
      </c>
      <c r="AN337" s="9">
        <v>46114</v>
      </c>
      <c r="AO337" s="9" t="s">
        <v>1931</v>
      </c>
      <c r="AP337" s="9" t="s">
        <v>69</v>
      </c>
      <c r="AQ337" s="9" t="s">
        <v>1932</v>
      </c>
      <c r="AR337" s="9">
        <v>46114</v>
      </c>
      <c r="AS337" s="9" t="s">
        <v>74</v>
      </c>
      <c r="AT337" s="9" t="s">
        <v>1935</v>
      </c>
      <c r="AU337" s="9" t="s">
        <v>449</v>
      </c>
      <c r="AV337" s="9">
        <v>0</v>
      </c>
      <c r="AW337" s="9" t="s">
        <v>92</v>
      </c>
      <c r="AX337" s="9" t="s">
        <v>768</v>
      </c>
      <c r="AY337" s="9">
        <v>0</v>
      </c>
      <c r="AZ337" s="9">
        <v>46114.428101851852</v>
      </c>
      <c r="BA337" s="9">
        <v>46114.428124999999</v>
      </c>
      <c r="BB337" s="9">
        <v>1</v>
      </c>
      <c r="BC337" s="9">
        <v>1</v>
      </c>
      <c r="BD337" s="9" t="s">
        <v>2220</v>
      </c>
      <c r="BE337" s="9" t="s">
        <v>769</v>
      </c>
      <c r="BF337" s="9" t="s">
        <v>71</v>
      </c>
      <c r="BG337" s="9"/>
      <c r="BH337" s="9">
        <v>0</v>
      </c>
      <c r="BI337" s="9"/>
      <c r="BJ337" s="9">
        <v>0</v>
      </c>
      <c r="BK337" s="9" t="s">
        <v>92</v>
      </c>
      <c r="BL337" s="9" t="s">
        <v>92</v>
      </c>
      <c r="BM337" s="9" t="s">
        <v>72</v>
      </c>
      <c r="BN337" s="9"/>
      <c r="BO337" s="9">
        <v>1</v>
      </c>
      <c r="BP337" s="9" t="s">
        <v>1066</v>
      </c>
      <c r="BQ337" s="9">
        <v>0</v>
      </c>
      <c r="BR337" s="9">
        <v>46066.426041666666</v>
      </c>
      <c r="BS337" s="9" t="s">
        <v>109</v>
      </c>
      <c r="BT337" s="9" t="s">
        <v>65</v>
      </c>
      <c r="BU337" s="9"/>
      <c r="BV337" s="9"/>
      <c r="BW337" s="9">
        <v>0</v>
      </c>
      <c r="BX337" s="9"/>
      <c r="BY337" s="9">
        <v>46114.428101851852</v>
      </c>
      <c r="BZ337" s="9"/>
      <c r="CA337" s="9"/>
      <c r="CB337" s="9"/>
      <c r="CC337" s="9"/>
      <c r="CD337" s="9"/>
      <c r="CE337" s="9"/>
      <c r="CF337" s="9"/>
      <c r="CG337" s="9"/>
      <c r="CH337" s="9">
        <v>1</v>
      </c>
      <c r="CI337" s="9">
        <v>0</v>
      </c>
      <c r="CJ337" s="9"/>
      <c r="CK337" s="9"/>
      <c r="CL337" s="9" t="s">
        <v>2211</v>
      </c>
      <c r="CM337" s="9"/>
      <c r="CN337" s="9">
        <v>0</v>
      </c>
      <c r="CO337" s="9" t="s">
        <v>1925</v>
      </c>
      <c r="CP337" s="9"/>
      <c r="CQ337" s="9"/>
    </row>
    <row r="338" spans="1:95" x14ac:dyDescent="0.35">
      <c r="A338" s="9" t="b">
        <f>ISNUMBER(MATCH(Claude[[#This Row],[Id]],ChargentOrders[Id],0))</f>
        <v>1</v>
      </c>
      <c r="B338" t="b">
        <f>INDEX(ChargentOrders[VALIDO],MATCH(Claude[[#This Row],[Id]],ChargentOrders[Id],0))</f>
        <v>1</v>
      </c>
      <c r="C338">
        <f>INDEX(Contract[CB_Subscription__c],MATCH(Claude[[#This Row],[Contract__c]],Contract[Id],0))</f>
        <v>0</v>
      </c>
      <c r="D338" s="9" t="s">
        <v>1068</v>
      </c>
      <c r="E338" s="9" t="s">
        <v>155</v>
      </c>
      <c r="F338" s="9">
        <v>0</v>
      </c>
      <c r="G338" s="9" t="s">
        <v>1069</v>
      </c>
      <c r="H338" s="9">
        <v>46113.990254629629</v>
      </c>
      <c r="I338" s="9" t="s">
        <v>101</v>
      </c>
      <c r="J338" s="9">
        <v>46217.000787037039</v>
      </c>
      <c r="K338" s="9" t="s">
        <v>101</v>
      </c>
      <c r="L338" s="9">
        <v>46217.000787037039</v>
      </c>
      <c r="M338" s="9"/>
      <c r="N338" s="9" t="s">
        <v>1624</v>
      </c>
      <c r="O338" s="9" t="s">
        <v>2026</v>
      </c>
      <c r="P338" s="9" t="s">
        <v>2027</v>
      </c>
      <c r="Q338" s="9" t="s">
        <v>1925</v>
      </c>
      <c r="R338" s="9" t="s">
        <v>1622</v>
      </c>
      <c r="S338" s="9" t="s">
        <v>2028</v>
      </c>
      <c r="T338" s="9" t="s">
        <v>2029</v>
      </c>
      <c r="U338" s="9" t="s">
        <v>1928</v>
      </c>
      <c r="V338" s="9">
        <v>603</v>
      </c>
      <c r="W338" s="9">
        <v>3</v>
      </c>
      <c r="X338" s="9">
        <v>2026</v>
      </c>
      <c r="Y338" s="9">
        <v>5696</v>
      </c>
      <c r="Z338" s="9">
        <v>3</v>
      </c>
      <c r="AA338" s="9"/>
      <c r="AB338" s="9" t="s">
        <v>73</v>
      </c>
      <c r="AC338" s="9">
        <v>2026</v>
      </c>
      <c r="AD338" s="9" t="s">
        <v>2220</v>
      </c>
      <c r="AE338" s="9"/>
      <c r="AF338" s="9" t="s">
        <v>1929</v>
      </c>
      <c r="AG338" s="9"/>
      <c r="AH338" s="9" t="s">
        <v>107</v>
      </c>
      <c r="AI338" s="9">
        <v>0</v>
      </c>
      <c r="AJ338" s="9"/>
      <c r="AK338" s="9">
        <v>0</v>
      </c>
      <c r="AL338" s="9" t="s">
        <v>1930</v>
      </c>
      <c r="AM338" s="9" t="s">
        <v>1958</v>
      </c>
      <c r="AN338" s="9">
        <v>46212</v>
      </c>
      <c r="AO338" s="9" t="s">
        <v>1931</v>
      </c>
      <c r="AP338" s="9" t="s">
        <v>69</v>
      </c>
      <c r="AQ338" s="9" t="s">
        <v>1932</v>
      </c>
      <c r="AR338" s="9">
        <v>46212</v>
      </c>
      <c r="AS338" s="9" t="s">
        <v>90</v>
      </c>
      <c r="AT338" s="9" t="s">
        <v>1935</v>
      </c>
      <c r="AU338" s="9" t="s">
        <v>449</v>
      </c>
      <c r="AV338" s="9">
        <v>0</v>
      </c>
      <c r="AW338" s="9" t="s">
        <v>93</v>
      </c>
      <c r="AX338" s="9" t="s">
        <v>331</v>
      </c>
      <c r="AY338" s="9">
        <v>0</v>
      </c>
      <c r="AZ338" s="9"/>
      <c r="BA338" s="9"/>
      <c r="BB338" s="9">
        <v>0</v>
      </c>
      <c r="BC338" s="9">
        <v>43</v>
      </c>
      <c r="BD338" s="9">
        <v>0</v>
      </c>
      <c r="BE338" s="9" t="s">
        <v>332</v>
      </c>
      <c r="BF338" s="9" t="s">
        <v>71</v>
      </c>
      <c r="BG338" s="9"/>
      <c r="BH338" s="9">
        <v>0</v>
      </c>
      <c r="BI338" s="9"/>
      <c r="BJ338" s="9">
        <v>10</v>
      </c>
      <c r="BK338" s="9" t="s">
        <v>92</v>
      </c>
      <c r="BL338" s="9" t="s">
        <v>92</v>
      </c>
      <c r="BM338" s="9" t="s">
        <v>72</v>
      </c>
      <c r="BN338" s="9"/>
      <c r="BO338" s="9">
        <v>1</v>
      </c>
      <c r="BP338" s="9" t="s">
        <v>1070</v>
      </c>
      <c r="BQ338" s="9">
        <v>0</v>
      </c>
      <c r="BR338" s="9">
        <v>45792.891712962963</v>
      </c>
      <c r="BS338" s="9" t="s">
        <v>109</v>
      </c>
      <c r="BT338" s="9" t="s">
        <v>101</v>
      </c>
      <c r="BU338" s="9"/>
      <c r="BV338" s="9"/>
      <c r="BW338" s="9">
        <v>0</v>
      </c>
      <c r="BX338" s="9">
        <v>46217.000775462962</v>
      </c>
      <c r="BY338" s="9">
        <v>46217.000775462962</v>
      </c>
      <c r="BZ338" s="9"/>
      <c r="CA338" s="9"/>
      <c r="CB338" s="9"/>
      <c r="CC338" s="9"/>
      <c r="CD338" s="9"/>
      <c r="CE338" s="9"/>
      <c r="CF338" s="9"/>
      <c r="CG338" s="9"/>
      <c r="CH338" s="9">
        <v>1</v>
      </c>
      <c r="CI338" s="9">
        <v>0</v>
      </c>
      <c r="CJ338" s="9"/>
      <c r="CK338" s="9"/>
      <c r="CL338" s="9" t="s">
        <v>2030</v>
      </c>
      <c r="CM338" s="9"/>
      <c r="CN338" s="9">
        <v>0</v>
      </c>
      <c r="CO338" s="9" t="s">
        <v>1925</v>
      </c>
      <c r="CP338" s="9"/>
      <c r="CQ338" s="9">
        <v>0</v>
      </c>
    </row>
    <row r="339" spans="1:95" x14ac:dyDescent="0.35">
      <c r="A339" s="9" t="b">
        <f>ISNUMBER(MATCH(Claude[[#This Row],[Id]],ChargentOrders[Id],0))</f>
        <v>1</v>
      </c>
      <c r="B339" t="b">
        <f>INDEX(ChargentOrders[VALIDO],MATCH(Claude[[#This Row],[Id]],ChargentOrders[Id],0))</f>
        <v>1</v>
      </c>
      <c r="C339">
        <f>INDEX(Contract[CB_Subscription__c],MATCH(Claude[[#This Row],[Contract__c]],Contract[Id],0))</f>
        <v>0</v>
      </c>
      <c r="D339" s="9" t="s">
        <v>1071</v>
      </c>
      <c r="E339" s="9" t="s">
        <v>531</v>
      </c>
      <c r="F339" s="9">
        <v>0</v>
      </c>
      <c r="G339" s="9" t="s">
        <v>1072</v>
      </c>
      <c r="H339" s="9">
        <v>46114.420428240737</v>
      </c>
      <c r="I339" s="9" t="s">
        <v>65</v>
      </c>
      <c r="J339" s="9">
        <v>46129.427743055552</v>
      </c>
      <c r="K339" s="9" t="s">
        <v>65</v>
      </c>
      <c r="L339" s="9">
        <v>46129.427743055552</v>
      </c>
      <c r="M339" s="9"/>
      <c r="N339" s="9" t="s">
        <v>1703</v>
      </c>
      <c r="O339" s="9" t="s">
        <v>2126</v>
      </c>
      <c r="P339" s="9" t="s">
        <v>2127</v>
      </c>
      <c r="Q339" s="9"/>
      <c r="R339" s="9" t="s">
        <v>1701</v>
      </c>
      <c r="S339" s="9" t="s">
        <v>2128</v>
      </c>
      <c r="T339" s="9" t="s">
        <v>2129</v>
      </c>
      <c r="U339" s="9" t="s">
        <v>1928</v>
      </c>
      <c r="V339" s="9">
        <v>718</v>
      </c>
      <c r="W339" s="9">
        <v>9</v>
      </c>
      <c r="X339" s="9">
        <v>2029</v>
      </c>
      <c r="Y339" s="9">
        <v>1669</v>
      </c>
      <c r="Z339" s="9">
        <v>9</v>
      </c>
      <c r="AA339" s="9">
        <v>4549518614741660</v>
      </c>
      <c r="AB339" s="9" t="s">
        <v>73</v>
      </c>
      <c r="AC339" s="9">
        <v>2029</v>
      </c>
      <c r="AD339" s="9" t="s">
        <v>1952</v>
      </c>
      <c r="AE339" s="9"/>
      <c r="AF339" s="9" t="s">
        <v>1929</v>
      </c>
      <c r="AG339" s="9"/>
      <c r="AH339" s="9" t="s">
        <v>67</v>
      </c>
      <c r="AI339" s="9">
        <v>0</v>
      </c>
      <c r="AJ339" s="9"/>
      <c r="AK339" s="9">
        <v>0</v>
      </c>
      <c r="AL339" s="9" t="s">
        <v>1930</v>
      </c>
      <c r="AM339" s="9">
        <v>1</v>
      </c>
      <c r="AN339" s="9">
        <v>46129</v>
      </c>
      <c r="AO339" s="9" t="s">
        <v>1931</v>
      </c>
      <c r="AP339" s="9" t="s">
        <v>69</v>
      </c>
      <c r="AQ339" s="9" t="s">
        <v>1932</v>
      </c>
      <c r="AR339" s="9">
        <v>46129</v>
      </c>
      <c r="AS339" s="9" t="s">
        <v>74</v>
      </c>
      <c r="AT339" s="9" t="s">
        <v>1935</v>
      </c>
      <c r="AU339" s="9" t="s">
        <v>1952</v>
      </c>
      <c r="AV339" s="9">
        <v>0</v>
      </c>
      <c r="AW339" s="9" t="s">
        <v>92</v>
      </c>
      <c r="AX339" s="9" t="s">
        <v>604</v>
      </c>
      <c r="AY339" s="9">
        <v>0</v>
      </c>
      <c r="AZ339" s="9">
        <v>46129.427615740744</v>
      </c>
      <c r="BA339" s="9">
        <v>46129.427685185183</v>
      </c>
      <c r="BB339" s="9">
        <v>1</v>
      </c>
      <c r="BC339" s="9">
        <v>7</v>
      </c>
      <c r="BD339" s="9" t="s">
        <v>2087</v>
      </c>
      <c r="BE339" s="9" t="s">
        <v>605</v>
      </c>
      <c r="BF339" s="9" t="s">
        <v>71</v>
      </c>
      <c r="BG339" s="9"/>
      <c r="BH339" s="9">
        <v>0</v>
      </c>
      <c r="BI339" s="9"/>
      <c r="BJ339" s="9">
        <v>0</v>
      </c>
      <c r="BK339" s="9" t="s">
        <v>92</v>
      </c>
      <c r="BL339" s="9" t="s">
        <v>92</v>
      </c>
      <c r="BM339" s="9" t="s">
        <v>72</v>
      </c>
      <c r="BN339" s="9"/>
      <c r="BO339" s="9">
        <v>1</v>
      </c>
      <c r="BP339" s="9" t="s">
        <v>1073</v>
      </c>
      <c r="BQ339" s="9">
        <v>0</v>
      </c>
      <c r="BR339" s="9">
        <v>46055.422685185185</v>
      </c>
      <c r="BS339" s="9" t="s">
        <v>109</v>
      </c>
      <c r="BT339" s="9" t="s">
        <v>65</v>
      </c>
      <c r="BU339" s="9"/>
      <c r="BV339" s="9"/>
      <c r="BW339" s="9">
        <v>0</v>
      </c>
      <c r="BX339" s="9">
        <v>46128.427037037036</v>
      </c>
      <c r="BY339" s="9">
        <v>46129.427615740744</v>
      </c>
      <c r="BZ339" s="9"/>
      <c r="CA339" s="9"/>
      <c r="CB339" s="9"/>
      <c r="CC339" s="9"/>
      <c r="CD339" s="9"/>
      <c r="CE339" s="9"/>
      <c r="CF339" s="9"/>
      <c r="CG339" s="9"/>
      <c r="CH339" s="9">
        <v>1</v>
      </c>
      <c r="CI339" s="9">
        <v>0</v>
      </c>
      <c r="CJ339" s="9"/>
      <c r="CK339" s="9"/>
      <c r="CL339" s="9" t="s">
        <v>2130</v>
      </c>
      <c r="CM339" s="9"/>
      <c r="CN339" s="9">
        <v>0</v>
      </c>
      <c r="CO339" s="9" t="s">
        <v>1925</v>
      </c>
      <c r="CP339" s="9"/>
      <c r="CQ339" s="9"/>
    </row>
    <row r="340" spans="1:95" x14ac:dyDescent="0.35">
      <c r="A340" s="9" t="b">
        <f>ISNUMBER(MATCH(Claude[[#This Row],[Id]],ChargentOrders[Id],0))</f>
        <v>1</v>
      </c>
      <c r="B340" t="b">
        <f>INDEX(ChargentOrders[VALIDO],MATCH(Claude[[#This Row],[Id]],ChargentOrders[Id],0))</f>
        <v>1</v>
      </c>
      <c r="C340">
        <f>INDEX(Contract[CB_Subscription__c],MATCH(Claude[[#This Row],[Contract__c]],Contract[Id],0))</f>
        <v>0</v>
      </c>
      <c r="D340" s="9" t="s">
        <v>1074</v>
      </c>
      <c r="E340" s="9" t="s">
        <v>78</v>
      </c>
      <c r="F340" s="9">
        <v>0</v>
      </c>
      <c r="G340" s="9" t="s">
        <v>1075</v>
      </c>
      <c r="H340" s="9">
        <v>46114.560057870367</v>
      </c>
      <c r="I340" s="9" t="s">
        <v>78</v>
      </c>
      <c r="J340" s="9">
        <v>46217.738564814812</v>
      </c>
      <c r="K340" s="9" t="s">
        <v>78</v>
      </c>
      <c r="L340" s="9">
        <v>46217.738564814812</v>
      </c>
      <c r="M340" s="9"/>
      <c r="N340" s="9" t="s">
        <v>1708</v>
      </c>
      <c r="O340" s="9" t="s">
        <v>2132</v>
      </c>
      <c r="P340" s="9" t="s">
        <v>2066</v>
      </c>
      <c r="Q340" s="9" t="s">
        <v>1925</v>
      </c>
      <c r="R340" s="9" t="s">
        <v>1706</v>
      </c>
      <c r="S340" s="9" t="s">
        <v>2133</v>
      </c>
      <c r="T340" s="9" t="s">
        <v>2134</v>
      </c>
      <c r="U340" s="9" t="s">
        <v>1925</v>
      </c>
      <c r="V340" s="9">
        <v>956</v>
      </c>
      <c r="W340" s="9">
        <v>10</v>
      </c>
      <c r="X340" s="9">
        <v>2030</v>
      </c>
      <c r="Y340" s="9">
        <v>2772</v>
      </c>
      <c r="Z340" s="9">
        <v>10</v>
      </c>
      <c r="AA340" s="9" t="s">
        <v>1518</v>
      </c>
      <c r="AB340" s="9" t="s">
        <v>73</v>
      </c>
      <c r="AC340" s="9">
        <v>2030</v>
      </c>
      <c r="AD340" s="9" t="s">
        <v>1952</v>
      </c>
      <c r="AE340" s="9"/>
      <c r="AF340" s="9"/>
      <c r="AG340" s="9"/>
      <c r="AH340" s="9" t="s">
        <v>67</v>
      </c>
      <c r="AI340" s="9">
        <v>0</v>
      </c>
      <c r="AJ340" s="9"/>
      <c r="AK340" s="9">
        <v>0</v>
      </c>
      <c r="AL340" s="9" t="s">
        <v>1930</v>
      </c>
      <c r="AM340" s="9">
        <v>1</v>
      </c>
      <c r="AN340" s="9">
        <v>46212</v>
      </c>
      <c r="AO340" s="9" t="s">
        <v>1931</v>
      </c>
      <c r="AP340" s="9" t="s">
        <v>69</v>
      </c>
      <c r="AQ340" s="9"/>
      <c r="AR340" s="9">
        <v>46212</v>
      </c>
      <c r="AS340" s="9" t="s">
        <v>84</v>
      </c>
      <c r="AT340" s="9" t="s">
        <v>1935</v>
      </c>
      <c r="AU340" s="9" t="s">
        <v>1952</v>
      </c>
      <c r="AV340" s="9">
        <v>0</v>
      </c>
      <c r="AW340" s="9" t="s">
        <v>92</v>
      </c>
      <c r="AX340" s="9" t="s">
        <v>616</v>
      </c>
      <c r="AY340" s="9">
        <v>0</v>
      </c>
      <c r="AZ340" s="9"/>
      <c r="BA340" s="9"/>
      <c r="BB340" s="9">
        <v>0</v>
      </c>
      <c r="BC340" s="9">
        <v>43</v>
      </c>
      <c r="BD340" s="9">
        <v>0</v>
      </c>
      <c r="BE340" s="9" t="s">
        <v>617</v>
      </c>
      <c r="BF340" s="9" t="s">
        <v>71</v>
      </c>
      <c r="BG340" s="9" t="s">
        <v>1067</v>
      </c>
      <c r="BH340" s="9">
        <v>0</v>
      </c>
      <c r="BI340" s="9"/>
      <c r="BJ340" s="9">
        <v>1</v>
      </c>
      <c r="BK340" s="9">
        <v>0</v>
      </c>
      <c r="BL340" s="9">
        <v>0</v>
      </c>
      <c r="BM340" s="9" t="s">
        <v>75</v>
      </c>
      <c r="BN340" s="9"/>
      <c r="BO340" s="9">
        <v>1</v>
      </c>
      <c r="BP340" s="9"/>
      <c r="BQ340" s="9">
        <v>0</v>
      </c>
      <c r="BR340" s="9">
        <v>46140.875104166669</v>
      </c>
      <c r="BS340" s="9" t="s">
        <v>109</v>
      </c>
      <c r="BT340" s="9"/>
      <c r="BU340" s="9"/>
      <c r="BV340" s="9"/>
      <c r="BW340" s="9">
        <v>0</v>
      </c>
      <c r="BX340" s="9">
        <v>46209.419490740744</v>
      </c>
      <c r="BY340" s="9">
        <v>46209.419490740744</v>
      </c>
      <c r="BZ340" s="9"/>
      <c r="CA340" s="9"/>
      <c r="CB340" s="9"/>
      <c r="CC340" s="9"/>
      <c r="CD340" s="9"/>
      <c r="CE340" s="9"/>
      <c r="CF340" s="9"/>
      <c r="CG340" s="9"/>
      <c r="CH340" s="9">
        <v>1</v>
      </c>
      <c r="CI340" s="9">
        <v>0</v>
      </c>
      <c r="CJ340" s="9"/>
      <c r="CK340" s="9"/>
      <c r="CL340" s="9"/>
      <c r="CM340" s="9" t="s">
        <v>249</v>
      </c>
      <c r="CN340" s="9">
        <v>0</v>
      </c>
      <c r="CO340" s="9" t="s">
        <v>1925</v>
      </c>
      <c r="CP340" s="9"/>
      <c r="CQ340" s="9">
        <v>0</v>
      </c>
    </row>
    <row r="341" spans="1:95" x14ac:dyDescent="0.35">
      <c r="A341" s="9" t="b">
        <f>ISNUMBER(MATCH(Claude[[#This Row],[Id]],ChargentOrders[Id],0))</f>
        <v>1</v>
      </c>
      <c r="B341" t="b">
        <f>INDEX(ChargentOrders[VALIDO],MATCH(Claude[[#This Row],[Id]],ChargentOrders[Id],0))</f>
        <v>1</v>
      </c>
      <c r="C341">
        <f>INDEX(Contract[CB_Subscription__c],MATCH(Claude[[#This Row],[Contract__c]],Contract[Id],0))</f>
        <v>0</v>
      </c>
      <c r="D341" s="9" t="s">
        <v>1076</v>
      </c>
      <c r="E341" s="9" t="s">
        <v>531</v>
      </c>
      <c r="F341" s="9">
        <v>0</v>
      </c>
      <c r="G341" s="9" t="s">
        <v>1077</v>
      </c>
      <c r="H341" s="9">
        <v>46122.418310185189</v>
      </c>
      <c r="I341" s="9" t="s">
        <v>65</v>
      </c>
      <c r="J341" s="9">
        <v>46125.967037037037</v>
      </c>
      <c r="K341" s="9" t="s">
        <v>101</v>
      </c>
      <c r="L341" s="9">
        <v>46125.967037037037</v>
      </c>
      <c r="M341" s="9"/>
      <c r="N341" s="9" t="s">
        <v>1678</v>
      </c>
      <c r="O341" s="9" t="s">
        <v>2102</v>
      </c>
      <c r="P341" s="9" t="s">
        <v>2103</v>
      </c>
      <c r="Q341" s="9"/>
      <c r="R341" s="9" t="s">
        <v>1676</v>
      </c>
      <c r="S341" s="9" t="s">
        <v>2104</v>
      </c>
      <c r="T341" s="9" t="s">
        <v>2105</v>
      </c>
      <c r="U341" s="9" t="s">
        <v>1928</v>
      </c>
      <c r="V341" s="9">
        <v>723</v>
      </c>
      <c r="W341" s="9">
        <v>10</v>
      </c>
      <c r="X341" s="9">
        <v>2028</v>
      </c>
      <c r="Y341" s="9">
        <v>5142</v>
      </c>
      <c r="Z341" s="9">
        <v>10</v>
      </c>
      <c r="AA341" s="9">
        <v>5142</v>
      </c>
      <c r="AB341" s="9" t="s">
        <v>66</v>
      </c>
      <c r="AC341" s="9">
        <v>2028</v>
      </c>
      <c r="AD341" s="9" t="s">
        <v>95</v>
      </c>
      <c r="AE341" s="9"/>
      <c r="AF341" s="9" t="s">
        <v>1929</v>
      </c>
      <c r="AG341" s="9"/>
      <c r="AH341" s="9" t="s">
        <v>67</v>
      </c>
      <c r="AI341" s="9">
        <v>0</v>
      </c>
      <c r="AJ341" s="9"/>
      <c r="AK341" s="9">
        <v>0</v>
      </c>
      <c r="AL341" s="9" t="s">
        <v>1930</v>
      </c>
      <c r="AM341" s="9">
        <v>1</v>
      </c>
      <c r="AN341" s="9">
        <v>46128</v>
      </c>
      <c r="AO341" s="9" t="s">
        <v>1931</v>
      </c>
      <c r="AP341" s="9" t="s">
        <v>69</v>
      </c>
      <c r="AQ341" s="9" t="s">
        <v>1932</v>
      </c>
      <c r="AR341" s="9">
        <v>46128</v>
      </c>
      <c r="AS341" s="9" t="s">
        <v>74</v>
      </c>
      <c r="AT341" s="9" t="s">
        <v>1935</v>
      </c>
      <c r="AU341" s="9" t="s">
        <v>2101</v>
      </c>
      <c r="AV341" s="9">
        <v>0</v>
      </c>
      <c r="AW341" s="9" t="s">
        <v>93</v>
      </c>
      <c r="AX341" s="9" t="s">
        <v>562</v>
      </c>
      <c r="AY341" s="9">
        <v>0</v>
      </c>
      <c r="AZ341" s="9">
        <v>46125.967002314814</v>
      </c>
      <c r="BA341" s="9">
        <v>46125.967002314814</v>
      </c>
      <c r="BB341" s="9">
        <v>1</v>
      </c>
      <c r="BC341" s="9">
        <v>3</v>
      </c>
      <c r="BD341" s="9" t="s">
        <v>95</v>
      </c>
      <c r="BE341" s="9" t="s">
        <v>563</v>
      </c>
      <c r="BF341" s="9" t="s">
        <v>71</v>
      </c>
      <c r="BG341" s="9"/>
      <c r="BH341" s="9">
        <v>0</v>
      </c>
      <c r="BI341" s="9"/>
      <c r="BJ341" s="9">
        <v>0</v>
      </c>
      <c r="BK341" s="9" t="s">
        <v>92</v>
      </c>
      <c r="BL341" s="9" t="s">
        <v>92</v>
      </c>
      <c r="BM341" s="9" t="s">
        <v>72</v>
      </c>
      <c r="BN341" s="9"/>
      <c r="BO341" s="9">
        <v>1</v>
      </c>
      <c r="BP341" s="9" t="s">
        <v>1078</v>
      </c>
      <c r="BQ341" s="9">
        <v>0</v>
      </c>
      <c r="BR341" s="9">
        <v>45990.689004629632</v>
      </c>
      <c r="BS341" s="9" t="s">
        <v>109</v>
      </c>
      <c r="BT341" s="9" t="s">
        <v>65</v>
      </c>
      <c r="BU341" s="9"/>
      <c r="BV341" s="9"/>
      <c r="BW341" s="9">
        <v>0</v>
      </c>
      <c r="BX341" s="9">
        <v>46125.427835648145</v>
      </c>
      <c r="BY341" s="9">
        <v>46125.967002314814</v>
      </c>
      <c r="BZ341" s="9"/>
      <c r="CA341" s="9"/>
      <c r="CB341" s="9"/>
      <c r="CC341" s="9"/>
      <c r="CD341" s="9"/>
      <c r="CE341" s="9"/>
      <c r="CF341" s="9"/>
      <c r="CG341" s="9"/>
      <c r="CH341" s="9">
        <v>1</v>
      </c>
      <c r="CI341" s="9">
        <v>0</v>
      </c>
      <c r="CJ341" s="9"/>
      <c r="CK341" s="9"/>
      <c r="CL341" s="9" t="s">
        <v>2106</v>
      </c>
      <c r="CM341" s="9"/>
      <c r="CN341" s="9">
        <v>0</v>
      </c>
      <c r="CO341" s="9" t="s">
        <v>1925</v>
      </c>
      <c r="CP341" s="9"/>
      <c r="CQ341" s="9"/>
    </row>
    <row r="342" spans="1:95" x14ac:dyDescent="0.35">
      <c r="A342" s="9" t="b">
        <f>ISNUMBER(MATCH(Claude[[#This Row],[Id]],ChargentOrders[Id],0))</f>
        <v>1</v>
      </c>
      <c r="B342" t="b">
        <f>INDEX(ChargentOrders[VALIDO],MATCH(Claude[[#This Row],[Id]],ChargentOrders[Id],0))</f>
        <v>1</v>
      </c>
      <c r="C342">
        <f>INDEX(Contract[CB_Subscription__c],MATCH(Claude[[#This Row],[Contract__c]],Contract[Id],0))</f>
        <v>0</v>
      </c>
      <c r="D342" s="9" t="s">
        <v>1079</v>
      </c>
      <c r="E342" s="9" t="s">
        <v>101</v>
      </c>
      <c r="F342" s="9">
        <v>0</v>
      </c>
      <c r="G342" s="9" t="s">
        <v>1080</v>
      </c>
      <c r="H342" s="9">
        <v>46125.750868055555</v>
      </c>
      <c r="I342" s="9" t="s">
        <v>101</v>
      </c>
      <c r="J342" s="9">
        <v>46125.750960648147</v>
      </c>
      <c r="K342" s="9" t="s">
        <v>101</v>
      </c>
      <c r="L342" s="9">
        <v>46125.750960648147</v>
      </c>
      <c r="M342" s="9"/>
      <c r="N342" s="9"/>
      <c r="O342" s="9" t="s">
        <v>2178</v>
      </c>
      <c r="P342" s="9" t="s">
        <v>2179</v>
      </c>
      <c r="Q342" s="9" t="s">
        <v>1925</v>
      </c>
      <c r="R342" s="9" t="s">
        <v>1746</v>
      </c>
      <c r="S342" s="9" t="s">
        <v>2045</v>
      </c>
      <c r="T342" s="9" t="s">
        <v>2193</v>
      </c>
      <c r="U342" s="9" t="s">
        <v>2182</v>
      </c>
      <c r="V342" s="9">
        <v>32822</v>
      </c>
      <c r="W342" s="9">
        <v>11</v>
      </c>
      <c r="X342" s="9">
        <v>2030</v>
      </c>
      <c r="Y342" s="9">
        <v>9468</v>
      </c>
      <c r="Z342" s="9">
        <v>11</v>
      </c>
      <c r="AA342" s="9"/>
      <c r="AB342" s="9" t="s">
        <v>66</v>
      </c>
      <c r="AC342" s="9">
        <v>2030</v>
      </c>
      <c r="AD342" s="9" t="s">
        <v>93</v>
      </c>
      <c r="AE342" s="9"/>
      <c r="AF342" s="9" t="s">
        <v>1929</v>
      </c>
      <c r="AG342" s="9"/>
      <c r="AH342" s="9" t="s">
        <v>107</v>
      </c>
      <c r="AI342" s="9">
        <v>0</v>
      </c>
      <c r="AJ342" s="9"/>
      <c r="AK342" s="9">
        <v>0</v>
      </c>
      <c r="AL342" s="9" t="s">
        <v>1930</v>
      </c>
      <c r="AM342" s="9"/>
      <c r="AN342" s="9"/>
      <c r="AO342" s="9" t="s">
        <v>1931</v>
      </c>
      <c r="AP342" s="9" t="s">
        <v>69</v>
      </c>
      <c r="AQ342" s="9" t="s">
        <v>1932</v>
      </c>
      <c r="AR342" s="9"/>
      <c r="AS342" s="9"/>
      <c r="AT342" s="9"/>
      <c r="AU342" s="9" t="s">
        <v>92</v>
      </c>
      <c r="AV342" s="9">
        <v>0</v>
      </c>
      <c r="AW342" s="9"/>
      <c r="AX342" s="9" t="s">
        <v>1081</v>
      </c>
      <c r="AY342" s="9">
        <v>0</v>
      </c>
      <c r="AZ342" s="9"/>
      <c r="BA342" s="9">
        <v>46125.750925925924</v>
      </c>
      <c r="BB342" s="9">
        <v>0</v>
      </c>
      <c r="BC342" s="9">
        <v>1</v>
      </c>
      <c r="BD342" s="9">
        <v>0</v>
      </c>
      <c r="BE342" s="9" t="s">
        <v>717</v>
      </c>
      <c r="BF342" s="9"/>
      <c r="BG342" s="9"/>
      <c r="BH342" s="9">
        <v>0</v>
      </c>
      <c r="BI342" s="9"/>
      <c r="BJ342" s="9">
        <v>1</v>
      </c>
      <c r="BK342" s="9"/>
      <c r="BL342" s="9"/>
      <c r="BM342" s="9" t="s">
        <v>75</v>
      </c>
      <c r="BN342" s="9"/>
      <c r="BO342" s="9">
        <v>0</v>
      </c>
      <c r="BP342" s="9"/>
      <c r="BQ342" s="9">
        <v>1</v>
      </c>
      <c r="BR342" s="9"/>
      <c r="BS342" s="9"/>
      <c r="BT342" s="9"/>
      <c r="BU342" s="9"/>
      <c r="BV342" s="9"/>
      <c r="BW342" s="9">
        <v>0</v>
      </c>
      <c r="BX342" s="9"/>
      <c r="BY342" s="9">
        <v>46125.750925925924</v>
      </c>
      <c r="BZ342" s="9"/>
      <c r="CA342" s="9"/>
      <c r="CB342" s="9"/>
      <c r="CC342" s="9"/>
      <c r="CD342" s="9"/>
      <c r="CE342" s="9"/>
      <c r="CF342" s="9"/>
      <c r="CG342" s="9"/>
      <c r="CH342" s="9">
        <v>1</v>
      </c>
      <c r="CI342" s="9">
        <v>0</v>
      </c>
      <c r="CJ342" s="9"/>
      <c r="CK342" s="9"/>
      <c r="CL342" s="9" t="s">
        <v>2183</v>
      </c>
      <c r="CM342" s="9"/>
      <c r="CN342" s="9">
        <v>0</v>
      </c>
      <c r="CO342" s="9" t="s">
        <v>1925</v>
      </c>
      <c r="CP342" s="9"/>
      <c r="CQ342" s="9"/>
    </row>
    <row r="343" spans="1:95" x14ac:dyDescent="0.35">
      <c r="A343" s="9" t="b">
        <f>ISNUMBER(MATCH(Claude[[#This Row],[Id]],ChargentOrders[Id],0))</f>
        <v>1</v>
      </c>
      <c r="B343" t="b">
        <f>INDEX(ChargentOrders[VALIDO],MATCH(Claude[[#This Row],[Id]],ChargentOrders[Id],0))</f>
        <v>1</v>
      </c>
      <c r="C343">
        <f>INDEX(Contract[CB_Subscription__c],MATCH(Claude[[#This Row],[Contract__c]],Contract[Id],0))</f>
        <v>0</v>
      </c>
      <c r="D343" s="9" t="s">
        <v>1082</v>
      </c>
      <c r="E343" s="9" t="s">
        <v>155</v>
      </c>
      <c r="F343" s="9">
        <v>0</v>
      </c>
      <c r="G343" s="9" t="s">
        <v>1083</v>
      </c>
      <c r="H343" s="9">
        <v>46126.417488425926</v>
      </c>
      <c r="I343" s="9" t="s">
        <v>65</v>
      </c>
      <c r="J343" s="9">
        <v>46127.937800925924</v>
      </c>
      <c r="K343" s="9" t="s">
        <v>101</v>
      </c>
      <c r="L343" s="9">
        <v>46127.937800925924</v>
      </c>
      <c r="M343" s="9"/>
      <c r="N343" s="9" t="s">
        <v>1748</v>
      </c>
      <c r="O343" s="9" t="s">
        <v>2178</v>
      </c>
      <c r="P343" s="9" t="s">
        <v>2179</v>
      </c>
      <c r="Q343" s="9" t="s">
        <v>2180</v>
      </c>
      <c r="R343" s="9" t="s">
        <v>1746</v>
      </c>
      <c r="S343" s="9" t="s">
        <v>2045</v>
      </c>
      <c r="T343" s="9" t="s">
        <v>2181</v>
      </c>
      <c r="U343" s="9" t="s">
        <v>2182</v>
      </c>
      <c r="V343" s="9">
        <v>32822</v>
      </c>
      <c r="W343" s="9">
        <v>1</v>
      </c>
      <c r="X343" s="9">
        <v>2031</v>
      </c>
      <c r="Y343" s="9">
        <v>7090</v>
      </c>
      <c r="Z343" s="9">
        <v>1</v>
      </c>
      <c r="AA343" s="9"/>
      <c r="AB343" s="9" t="s">
        <v>73</v>
      </c>
      <c r="AC343" s="9">
        <v>2031</v>
      </c>
      <c r="AD343" s="9" t="s">
        <v>167</v>
      </c>
      <c r="AE343" s="9"/>
      <c r="AF343" s="9" t="s">
        <v>1929</v>
      </c>
      <c r="AG343" s="9"/>
      <c r="AH343" s="9" t="s">
        <v>107</v>
      </c>
      <c r="AI343" s="9">
        <v>0</v>
      </c>
      <c r="AJ343" s="9"/>
      <c r="AK343" s="9">
        <v>0</v>
      </c>
      <c r="AL343" s="9" t="s">
        <v>1930</v>
      </c>
      <c r="AM343" s="9">
        <v>1</v>
      </c>
      <c r="AN343" s="9">
        <v>46129</v>
      </c>
      <c r="AO343" s="9" t="s">
        <v>1931</v>
      </c>
      <c r="AP343" s="9" t="s">
        <v>69</v>
      </c>
      <c r="AQ343" s="9" t="s">
        <v>1932</v>
      </c>
      <c r="AR343" s="9">
        <v>46129</v>
      </c>
      <c r="AS343" s="9" t="s">
        <v>74</v>
      </c>
      <c r="AT343" s="9" t="s">
        <v>1935</v>
      </c>
      <c r="AU343" s="9" t="s">
        <v>374</v>
      </c>
      <c r="AV343" s="9">
        <v>0</v>
      </c>
      <c r="AW343" s="9" t="s">
        <v>93</v>
      </c>
      <c r="AX343" s="9" t="s">
        <v>741</v>
      </c>
      <c r="AY343" s="9">
        <v>0</v>
      </c>
      <c r="AZ343" s="9">
        <v>46127.9377662037</v>
      </c>
      <c r="BA343" s="9">
        <v>46127.9377662037</v>
      </c>
      <c r="BB343" s="9">
        <v>1</v>
      </c>
      <c r="BC343" s="9">
        <v>2</v>
      </c>
      <c r="BD343" s="9" t="s">
        <v>167</v>
      </c>
      <c r="BE343" s="9" t="s">
        <v>717</v>
      </c>
      <c r="BF343" s="9" t="s">
        <v>71</v>
      </c>
      <c r="BG343" s="9"/>
      <c r="BH343" s="9">
        <v>0</v>
      </c>
      <c r="BI343" s="9"/>
      <c r="BJ343" s="9">
        <v>0</v>
      </c>
      <c r="BK343" s="9" t="s">
        <v>92</v>
      </c>
      <c r="BL343" s="9" t="s">
        <v>92</v>
      </c>
      <c r="BM343" s="9" t="s">
        <v>72</v>
      </c>
      <c r="BN343" s="9"/>
      <c r="BO343" s="9">
        <v>0</v>
      </c>
      <c r="BP343" s="9" t="s">
        <v>1084</v>
      </c>
      <c r="BQ343" s="9">
        <v>0</v>
      </c>
      <c r="BR343" s="9">
        <v>46127.715960648151</v>
      </c>
      <c r="BS343" s="9" t="s">
        <v>92</v>
      </c>
      <c r="BT343" s="9" t="s">
        <v>65</v>
      </c>
      <c r="BU343" s="9"/>
      <c r="BV343" s="9"/>
      <c r="BW343" s="9">
        <v>0</v>
      </c>
      <c r="BX343" s="9"/>
      <c r="BY343" s="9">
        <v>46127.9377662037</v>
      </c>
      <c r="BZ343" s="9"/>
      <c r="CA343" s="9"/>
      <c r="CB343" s="9"/>
      <c r="CC343" s="9"/>
      <c r="CD343" s="9"/>
      <c r="CE343" s="9"/>
      <c r="CF343" s="9"/>
      <c r="CG343" s="9"/>
      <c r="CH343" s="9">
        <v>1</v>
      </c>
      <c r="CI343" s="9">
        <v>0</v>
      </c>
      <c r="CJ343" s="9"/>
      <c r="CK343" s="9"/>
      <c r="CL343" s="9" t="s">
        <v>2183</v>
      </c>
      <c r="CM343" s="9"/>
      <c r="CN343" s="9">
        <v>0</v>
      </c>
      <c r="CO343" s="9" t="s">
        <v>1925</v>
      </c>
      <c r="CP343" s="9"/>
      <c r="CQ343" s="9"/>
    </row>
    <row r="344" spans="1:95" x14ac:dyDescent="0.35">
      <c r="A344" s="9" t="b">
        <f>ISNUMBER(MATCH(Claude[[#This Row],[Id]],ChargentOrders[Id],0))</f>
        <v>1</v>
      </c>
      <c r="B344" t="b">
        <f>INDEX(ChargentOrders[VALIDO],MATCH(Claude[[#This Row],[Id]],ChargentOrders[Id],0))</f>
        <v>1</v>
      </c>
      <c r="C344">
        <f>INDEX(Contract[CB_Subscription__c],MATCH(Claude[[#This Row],[Contract__c]],Contract[Id],0))</f>
        <v>0</v>
      </c>
      <c r="D344" s="9" t="s">
        <v>1085</v>
      </c>
      <c r="E344" s="9" t="s">
        <v>101</v>
      </c>
      <c r="F344" s="9">
        <v>0</v>
      </c>
      <c r="G344" s="9" t="s">
        <v>1086</v>
      </c>
      <c r="H344" s="9">
        <v>46127.936956018515</v>
      </c>
      <c r="I344" s="9" t="s">
        <v>101</v>
      </c>
      <c r="J344" s="9">
        <v>46127.937025462961</v>
      </c>
      <c r="K344" s="9" t="s">
        <v>101</v>
      </c>
      <c r="L344" s="9">
        <v>46127.937025462961</v>
      </c>
      <c r="M344" s="9"/>
      <c r="N344" s="9"/>
      <c r="O344" s="9" t="s">
        <v>2178</v>
      </c>
      <c r="P344" s="9" t="s">
        <v>2179</v>
      </c>
      <c r="Q344" s="9" t="s">
        <v>1925</v>
      </c>
      <c r="R344" s="9" t="s">
        <v>1746</v>
      </c>
      <c r="S344" s="9" t="s">
        <v>2045</v>
      </c>
      <c r="T344" s="9" t="s">
        <v>2193</v>
      </c>
      <c r="U344" s="9" t="s">
        <v>2182</v>
      </c>
      <c r="V344" s="9">
        <v>32822</v>
      </c>
      <c r="W344" s="9">
        <v>1</v>
      </c>
      <c r="X344" s="9">
        <v>2031</v>
      </c>
      <c r="Y344" s="9">
        <v>7090</v>
      </c>
      <c r="Z344" s="9">
        <v>1</v>
      </c>
      <c r="AA344" s="9"/>
      <c r="AB344" s="9" t="s">
        <v>73</v>
      </c>
      <c r="AC344" s="9">
        <v>2031</v>
      </c>
      <c r="AD344" s="9" t="s">
        <v>93</v>
      </c>
      <c r="AE344" s="9"/>
      <c r="AF344" s="9" t="s">
        <v>1929</v>
      </c>
      <c r="AG344" s="9"/>
      <c r="AH344" s="9" t="s">
        <v>107</v>
      </c>
      <c r="AI344" s="9">
        <v>0</v>
      </c>
      <c r="AJ344" s="9"/>
      <c r="AK344" s="9">
        <v>0</v>
      </c>
      <c r="AL344" s="9" t="s">
        <v>1930</v>
      </c>
      <c r="AM344" s="9"/>
      <c r="AN344" s="9"/>
      <c r="AO344" s="9" t="s">
        <v>1931</v>
      </c>
      <c r="AP344" s="9" t="s">
        <v>69</v>
      </c>
      <c r="AQ344" s="9" t="s">
        <v>1932</v>
      </c>
      <c r="AR344" s="9"/>
      <c r="AS344" s="9"/>
      <c r="AT344" s="9"/>
      <c r="AU344" s="9" t="s">
        <v>92</v>
      </c>
      <c r="AV344" s="9">
        <v>0</v>
      </c>
      <c r="AW344" s="9"/>
      <c r="AX344" s="9" t="s">
        <v>741</v>
      </c>
      <c r="AY344" s="9">
        <v>0</v>
      </c>
      <c r="AZ344" s="9"/>
      <c r="BA344" s="9">
        <v>46127.936990740738</v>
      </c>
      <c r="BB344" s="9">
        <v>0</v>
      </c>
      <c r="BC344" s="9">
        <v>1</v>
      </c>
      <c r="BD344" s="9">
        <v>0</v>
      </c>
      <c r="BE344" s="9" t="s">
        <v>717</v>
      </c>
      <c r="BF344" s="9"/>
      <c r="BG344" s="9"/>
      <c r="BH344" s="9">
        <v>0</v>
      </c>
      <c r="BI344" s="9"/>
      <c r="BJ344" s="9">
        <v>1</v>
      </c>
      <c r="BK344" s="9"/>
      <c r="BL344" s="9"/>
      <c r="BM344" s="9" t="s">
        <v>75</v>
      </c>
      <c r="BN344" s="9"/>
      <c r="BO344" s="9">
        <v>0</v>
      </c>
      <c r="BP344" s="9"/>
      <c r="BQ344" s="9">
        <v>1</v>
      </c>
      <c r="BR344" s="9"/>
      <c r="BS344" s="9"/>
      <c r="BT344" s="9"/>
      <c r="BU344" s="9"/>
      <c r="BV344" s="9"/>
      <c r="BW344" s="9">
        <v>0</v>
      </c>
      <c r="BX344" s="9"/>
      <c r="BY344" s="9">
        <v>46127.936990740738</v>
      </c>
      <c r="BZ344" s="9"/>
      <c r="CA344" s="9"/>
      <c r="CB344" s="9"/>
      <c r="CC344" s="9"/>
      <c r="CD344" s="9"/>
      <c r="CE344" s="9"/>
      <c r="CF344" s="9"/>
      <c r="CG344" s="9"/>
      <c r="CH344" s="9">
        <v>1</v>
      </c>
      <c r="CI344" s="9">
        <v>0</v>
      </c>
      <c r="CJ344" s="9"/>
      <c r="CK344" s="9"/>
      <c r="CL344" s="9" t="s">
        <v>2183</v>
      </c>
      <c r="CM344" s="9"/>
      <c r="CN344" s="9">
        <v>0</v>
      </c>
      <c r="CO344" s="9" t="s">
        <v>1925</v>
      </c>
      <c r="CP344" s="9"/>
      <c r="CQ344" s="9"/>
    </row>
    <row r="345" spans="1:95" x14ac:dyDescent="0.35">
      <c r="A345" s="9" t="b">
        <f>ISNUMBER(MATCH(Claude[[#This Row],[Id]],ChargentOrders[Id],0))</f>
        <v>0</v>
      </c>
      <c r="B345" t="e">
        <f>INDEX(ChargentOrders[VALIDO],MATCH(Claude[[#This Row],[Id]],ChargentOrders[Id],0))</f>
        <v>#N/A</v>
      </c>
      <c r="C345" t="e">
        <f>INDEX(Contract[CB_Subscription__c],MATCH(Claude[[#This Row],[Contract__c]],Contract[Id],0))</f>
        <v>#N/A</v>
      </c>
      <c r="D345" s="9" t="s">
        <v>1087</v>
      </c>
      <c r="E345" s="9" t="s">
        <v>79</v>
      </c>
      <c r="F345" s="9">
        <v>0</v>
      </c>
      <c r="G345" s="9" t="s">
        <v>1088</v>
      </c>
      <c r="H345" s="9">
        <v>46132.643078703702</v>
      </c>
      <c r="I345" s="9" t="s">
        <v>78</v>
      </c>
      <c r="J345" s="9">
        <v>46132.643703703703</v>
      </c>
      <c r="K345" s="9" t="s">
        <v>78</v>
      </c>
      <c r="L345" s="9">
        <v>46132.643703703703</v>
      </c>
      <c r="M345" s="9"/>
      <c r="N345" s="9" t="s">
        <v>1603</v>
      </c>
      <c r="O345" s="9" t="s">
        <v>2013</v>
      </c>
      <c r="P345" s="9" t="s">
        <v>2014</v>
      </c>
      <c r="Q345" s="9" t="s">
        <v>2015</v>
      </c>
      <c r="R345" s="9" t="s">
        <v>1602</v>
      </c>
      <c r="S345" s="9" t="s">
        <v>2016</v>
      </c>
      <c r="T345" s="9" t="s">
        <v>2017</v>
      </c>
      <c r="U345" s="9" t="s">
        <v>1928</v>
      </c>
      <c r="V345" s="9">
        <v>777</v>
      </c>
      <c r="W345" s="9">
        <v>7</v>
      </c>
      <c r="X345" s="9">
        <v>2028</v>
      </c>
      <c r="Y345" s="9">
        <v>5408</v>
      </c>
      <c r="Z345" s="9">
        <v>7</v>
      </c>
      <c r="AA345" s="9">
        <v>5159480010155400</v>
      </c>
      <c r="AB345" s="9" t="s">
        <v>66</v>
      </c>
      <c r="AC345" s="9">
        <v>2028</v>
      </c>
      <c r="AD345" s="9">
        <v>79000</v>
      </c>
      <c r="AE345" s="9">
        <v>30</v>
      </c>
      <c r="AF345" s="9" t="s">
        <v>1929</v>
      </c>
      <c r="AG345" s="9"/>
      <c r="AH345" s="9" t="s">
        <v>67</v>
      </c>
      <c r="AI345" s="9">
        <v>0</v>
      </c>
      <c r="AJ345" s="9"/>
      <c r="AK345" s="9">
        <v>0</v>
      </c>
      <c r="AL345" s="9" t="s">
        <v>1930</v>
      </c>
      <c r="AM345" s="9"/>
      <c r="AN345" s="9"/>
      <c r="AO345" s="9" t="s">
        <v>1943</v>
      </c>
      <c r="AP345" s="9" t="s">
        <v>69</v>
      </c>
      <c r="AQ345" s="9" t="s">
        <v>1932</v>
      </c>
      <c r="AR345" s="9">
        <v>45777</v>
      </c>
      <c r="AS345" s="9" t="s">
        <v>74</v>
      </c>
      <c r="AT345" s="9" t="s">
        <v>1944</v>
      </c>
      <c r="AU345" s="9" t="s">
        <v>473</v>
      </c>
      <c r="AV345" s="9">
        <v>0</v>
      </c>
      <c r="AW345" s="9" t="s">
        <v>2192</v>
      </c>
      <c r="AX345" s="9" t="s">
        <v>282</v>
      </c>
      <c r="AY345" s="9">
        <v>0</v>
      </c>
      <c r="AZ345" s="9"/>
      <c r="BA345" s="9"/>
      <c r="BB345" s="9">
        <v>0</v>
      </c>
      <c r="BC345" s="9">
        <v>0</v>
      </c>
      <c r="BD345" s="9">
        <v>0</v>
      </c>
      <c r="BE345" s="9" t="s">
        <v>283</v>
      </c>
      <c r="BF345" s="9" t="s">
        <v>76</v>
      </c>
      <c r="BG345" s="9"/>
      <c r="BH345" s="9">
        <v>0</v>
      </c>
      <c r="BI345" s="9"/>
      <c r="BJ345" s="9">
        <v>1</v>
      </c>
      <c r="BK345" s="9" t="s">
        <v>92</v>
      </c>
      <c r="BL345" s="9" t="s">
        <v>92</v>
      </c>
      <c r="BM345" s="9" t="s">
        <v>75</v>
      </c>
      <c r="BN345" s="9"/>
      <c r="BO345" s="9">
        <v>0</v>
      </c>
      <c r="BP345" s="9"/>
      <c r="BQ345" s="9">
        <v>0</v>
      </c>
      <c r="BR345" s="9"/>
      <c r="BS345" s="9"/>
      <c r="BT345" s="9"/>
      <c r="BU345" s="9"/>
      <c r="BV345" s="9"/>
      <c r="BW345" s="9">
        <v>0</v>
      </c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>
        <v>1</v>
      </c>
      <c r="CI345" s="9">
        <v>0</v>
      </c>
      <c r="CJ345" s="9"/>
      <c r="CK345" s="9"/>
      <c r="CL345" s="9" t="s">
        <v>2018</v>
      </c>
      <c r="CM345" s="9"/>
      <c r="CN345" s="9">
        <v>0</v>
      </c>
      <c r="CO345" s="9" t="s">
        <v>1925</v>
      </c>
      <c r="CP345" s="9"/>
      <c r="CQ345" s="9"/>
    </row>
    <row r="346" spans="1:95" x14ac:dyDescent="0.35">
      <c r="A346" s="9" t="b">
        <f>ISNUMBER(MATCH(Claude[[#This Row],[Id]],ChargentOrders[Id],0))</f>
        <v>1</v>
      </c>
      <c r="B346" t="b">
        <f>INDEX(ChargentOrders[VALIDO],MATCH(Claude[[#This Row],[Id]],ChargentOrders[Id],0))</f>
        <v>1</v>
      </c>
      <c r="C346">
        <f>INDEX(Contract[CB_Subscription__c],MATCH(Claude[[#This Row],[Contract__c]],Contract[Id],0))</f>
        <v>0</v>
      </c>
      <c r="D346" s="9" t="s">
        <v>1089</v>
      </c>
      <c r="E346" s="9" t="s">
        <v>531</v>
      </c>
      <c r="F346" s="9">
        <v>0</v>
      </c>
      <c r="G346" s="9" t="s">
        <v>1090</v>
      </c>
      <c r="H346" s="9">
        <v>46136.421238425923</v>
      </c>
      <c r="I346" s="9" t="s">
        <v>65</v>
      </c>
      <c r="J346" s="9">
        <v>46217.739004629628</v>
      </c>
      <c r="K346" s="9" t="s">
        <v>78</v>
      </c>
      <c r="L346" s="9">
        <v>46217.739004629628</v>
      </c>
      <c r="M346" s="9"/>
      <c r="N346" s="9" t="s">
        <v>1783</v>
      </c>
      <c r="O346" s="9" t="s">
        <v>2221</v>
      </c>
      <c r="P346" s="9" t="s">
        <v>2222</v>
      </c>
      <c r="Q346" s="9"/>
      <c r="R346" s="9" t="s">
        <v>1781</v>
      </c>
      <c r="S346" s="9" t="s">
        <v>2223</v>
      </c>
      <c r="T346" s="9" t="s">
        <v>2224</v>
      </c>
      <c r="U346" s="9" t="s">
        <v>1928</v>
      </c>
      <c r="V346" s="9">
        <v>719</v>
      </c>
      <c r="W346" s="9">
        <v>6</v>
      </c>
      <c r="X346" s="9">
        <v>2030</v>
      </c>
      <c r="Y346" s="9">
        <v>4242</v>
      </c>
      <c r="Z346" s="9">
        <v>6</v>
      </c>
      <c r="AA346" s="9">
        <v>4549519054534240</v>
      </c>
      <c r="AB346" s="9" t="s">
        <v>73</v>
      </c>
      <c r="AC346" s="9">
        <v>2030</v>
      </c>
      <c r="AD346" s="9" t="s">
        <v>2271</v>
      </c>
      <c r="AE346" s="9"/>
      <c r="AF346" s="9" t="s">
        <v>1929</v>
      </c>
      <c r="AG346" s="9"/>
      <c r="AH346" s="9" t="s">
        <v>98</v>
      </c>
      <c r="AI346" s="9">
        <v>0</v>
      </c>
      <c r="AJ346" s="9"/>
      <c r="AK346" s="9">
        <v>0</v>
      </c>
      <c r="AL346" s="9" t="s">
        <v>1930</v>
      </c>
      <c r="AM346" s="9">
        <v>1</v>
      </c>
      <c r="AN346" s="9">
        <v>46163</v>
      </c>
      <c r="AO346" s="9" t="s">
        <v>1931</v>
      </c>
      <c r="AP346" s="9" t="s">
        <v>69</v>
      </c>
      <c r="AQ346" s="9" t="s">
        <v>1932</v>
      </c>
      <c r="AR346" s="9">
        <v>46163</v>
      </c>
      <c r="AS346" s="9" t="s">
        <v>84</v>
      </c>
      <c r="AT346" s="9" t="s">
        <v>1935</v>
      </c>
      <c r="AU346" s="9" t="s">
        <v>2271</v>
      </c>
      <c r="AV346" s="9">
        <v>0</v>
      </c>
      <c r="AW346" s="9" t="s">
        <v>92</v>
      </c>
      <c r="AX346" s="9">
        <v>7.69017172656605E+21</v>
      </c>
      <c r="AY346" s="9">
        <v>0</v>
      </c>
      <c r="AZ346" s="9"/>
      <c r="BA346" s="9"/>
      <c r="BB346" s="9">
        <v>0</v>
      </c>
      <c r="BC346" s="9">
        <v>10</v>
      </c>
      <c r="BD346" s="9">
        <v>0</v>
      </c>
      <c r="BE346" s="9" t="s">
        <v>803</v>
      </c>
      <c r="BF346" s="9" t="s">
        <v>71</v>
      </c>
      <c r="BG346" s="9"/>
      <c r="BH346" s="9">
        <v>0</v>
      </c>
      <c r="BI346" s="9"/>
      <c r="BJ346" s="9"/>
      <c r="BK346" s="9" t="s">
        <v>92</v>
      </c>
      <c r="BL346" s="9" t="s">
        <v>92</v>
      </c>
      <c r="BM346" s="9" t="s">
        <v>72</v>
      </c>
      <c r="BN346" s="9"/>
      <c r="BO346" s="9">
        <v>1</v>
      </c>
      <c r="BP346" s="9" t="s">
        <v>1091</v>
      </c>
      <c r="BQ346" s="9">
        <v>0</v>
      </c>
      <c r="BR346" s="9">
        <v>46050.417627314811</v>
      </c>
      <c r="BS346" s="9" t="s">
        <v>109</v>
      </c>
      <c r="BT346" s="9" t="s">
        <v>65</v>
      </c>
      <c r="BU346" s="9"/>
      <c r="BV346" s="9"/>
      <c r="BW346" s="9">
        <v>0</v>
      </c>
      <c r="BX346" s="9">
        <v>46160.426689814813</v>
      </c>
      <c r="BY346" s="9">
        <v>46160.426689814813</v>
      </c>
      <c r="BZ346" s="9"/>
      <c r="CA346" s="9"/>
      <c r="CB346" s="9"/>
      <c r="CC346" s="9"/>
      <c r="CD346" s="9"/>
      <c r="CE346" s="9"/>
      <c r="CF346" s="9"/>
      <c r="CG346" s="9"/>
      <c r="CH346" s="9">
        <v>1</v>
      </c>
      <c r="CI346" s="9">
        <v>0</v>
      </c>
      <c r="CJ346" s="9"/>
      <c r="CK346" s="9"/>
      <c r="CL346" s="9" t="s">
        <v>2225</v>
      </c>
      <c r="CM346" s="9"/>
      <c r="CN346" s="9">
        <v>0</v>
      </c>
      <c r="CO346" s="9" t="s">
        <v>1925</v>
      </c>
      <c r="CP346" s="9"/>
      <c r="CQ346" s="9">
        <v>0</v>
      </c>
    </row>
    <row r="347" spans="1:95" x14ac:dyDescent="0.35">
      <c r="A347" s="9" t="b">
        <f>ISNUMBER(MATCH(Claude[[#This Row],[Id]],ChargentOrders[Id],0))</f>
        <v>1</v>
      </c>
      <c r="B347" t="b">
        <f>INDEX(ChargentOrders[VALIDO],MATCH(Claude[[#This Row],[Id]],ChargentOrders[Id],0))</f>
        <v>1</v>
      </c>
      <c r="C347">
        <f>INDEX(Contract[CB_Subscription__c],MATCH(Claude[[#This Row],[Contract__c]],Contract[Id],0))</f>
        <v>0</v>
      </c>
      <c r="D347" s="9" t="s">
        <v>1092</v>
      </c>
      <c r="E347" s="9" t="s">
        <v>155</v>
      </c>
      <c r="F347" s="9">
        <v>0</v>
      </c>
      <c r="G347" s="9" t="s">
        <v>1093</v>
      </c>
      <c r="H347" s="9">
        <v>46136.423506944448</v>
      </c>
      <c r="I347" s="9" t="s">
        <v>65</v>
      </c>
      <c r="J347" s="9">
        <v>46217.003622685188</v>
      </c>
      <c r="K347" s="9" t="s">
        <v>101</v>
      </c>
      <c r="L347" s="9">
        <v>46217.003622685188</v>
      </c>
      <c r="M347" s="9"/>
      <c r="N347" s="9" t="s">
        <v>1763</v>
      </c>
      <c r="O347" s="9" t="s">
        <v>2198</v>
      </c>
      <c r="P347" s="9" t="s">
        <v>2199</v>
      </c>
      <c r="Q347" s="9" t="s">
        <v>1925</v>
      </c>
      <c r="R347" s="9" t="s">
        <v>1761</v>
      </c>
      <c r="S347" s="9" t="s">
        <v>2200</v>
      </c>
      <c r="T347" s="9" t="s">
        <v>2201</v>
      </c>
      <c r="U347" s="9" t="s">
        <v>1928</v>
      </c>
      <c r="V347" s="9">
        <v>784</v>
      </c>
      <c r="W347" s="9">
        <v>7</v>
      </c>
      <c r="X347" s="9">
        <v>2030</v>
      </c>
      <c r="Y347" s="9">
        <v>1311</v>
      </c>
      <c r="Z347" s="9">
        <v>7</v>
      </c>
      <c r="AA347" s="9">
        <v>4549519302711310</v>
      </c>
      <c r="AB347" s="9" t="s">
        <v>73</v>
      </c>
      <c r="AC347" s="9">
        <v>2030</v>
      </c>
      <c r="AD347" s="9" t="s">
        <v>2220</v>
      </c>
      <c r="AE347" s="9"/>
      <c r="AF347" s="9" t="s">
        <v>1929</v>
      </c>
      <c r="AG347" s="9"/>
      <c r="AH347" s="9" t="s">
        <v>67</v>
      </c>
      <c r="AI347" s="9">
        <v>0</v>
      </c>
      <c r="AJ347" s="9"/>
      <c r="AK347" s="9">
        <v>0</v>
      </c>
      <c r="AL347" s="9" t="s">
        <v>1930</v>
      </c>
      <c r="AM347" s="9" t="s">
        <v>1958</v>
      </c>
      <c r="AN347" s="9">
        <v>46212</v>
      </c>
      <c r="AO347" s="9" t="s">
        <v>1931</v>
      </c>
      <c r="AP347" s="9" t="s">
        <v>69</v>
      </c>
      <c r="AQ347" s="9" t="s">
        <v>1932</v>
      </c>
      <c r="AR347" s="9">
        <v>46212</v>
      </c>
      <c r="AS347" s="9" t="s">
        <v>90</v>
      </c>
      <c r="AT347" s="9" t="s">
        <v>1935</v>
      </c>
      <c r="AU347" s="9" t="s">
        <v>449</v>
      </c>
      <c r="AV347" s="9">
        <v>0</v>
      </c>
      <c r="AW347" s="9" t="s">
        <v>93</v>
      </c>
      <c r="AX347" s="9" t="s">
        <v>755</v>
      </c>
      <c r="AY347" s="9">
        <v>0</v>
      </c>
      <c r="AZ347" s="9"/>
      <c r="BA347" s="9"/>
      <c r="BB347" s="9">
        <v>0</v>
      </c>
      <c r="BC347" s="9">
        <v>40</v>
      </c>
      <c r="BD347" s="9">
        <v>0</v>
      </c>
      <c r="BE347" s="9" t="s">
        <v>752</v>
      </c>
      <c r="BF347" s="9" t="s">
        <v>71</v>
      </c>
      <c r="BG347" s="9"/>
      <c r="BH347" s="9">
        <v>0</v>
      </c>
      <c r="BI347" s="9"/>
      <c r="BJ347" s="9"/>
      <c r="BK347" s="9" t="s">
        <v>92</v>
      </c>
      <c r="BL347" s="9" t="s">
        <v>92</v>
      </c>
      <c r="BM347" s="9" t="s">
        <v>72</v>
      </c>
      <c r="BN347" s="9"/>
      <c r="BO347" s="9">
        <v>1</v>
      </c>
      <c r="BP347" s="9" t="s">
        <v>1094</v>
      </c>
      <c r="BQ347" s="9">
        <v>0</v>
      </c>
      <c r="BR347" s="9">
        <v>46079.422094907408</v>
      </c>
      <c r="BS347" s="9" t="s">
        <v>109</v>
      </c>
      <c r="BT347" s="9" t="s">
        <v>65</v>
      </c>
      <c r="BU347" s="9"/>
      <c r="BV347" s="9"/>
      <c r="BW347" s="9">
        <v>0</v>
      </c>
      <c r="BX347" s="9">
        <v>46217.003611111111</v>
      </c>
      <c r="BY347" s="9">
        <v>46217.003611111111</v>
      </c>
      <c r="BZ347" s="9"/>
      <c r="CA347" s="9"/>
      <c r="CB347" s="9"/>
      <c r="CC347" s="9"/>
      <c r="CD347" s="9"/>
      <c r="CE347" s="9"/>
      <c r="CF347" s="9"/>
      <c r="CG347" s="9"/>
      <c r="CH347" s="9">
        <v>1</v>
      </c>
      <c r="CI347" s="9">
        <v>0</v>
      </c>
      <c r="CJ347" s="9"/>
      <c r="CK347" s="9"/>
      <c r="CL347" s="9" t="s">
        <v>2202</v>
      </c>
      <c r="CM347" s="9"/>
      <c r="CN347" s="9">
        <v>0</v>
      </c>
      <c r="CO347" s="9" t="s">
        <v>1925</v>
      </c>
      <c r="CP347" s="9"/>
      <c r="CQ347" s="9">
        <v>0</v>
      </c>
    </row>
    <row r="348" spans="1:95" x14ac:dyDescent="0.35">
      <c r="A348" s="9" t="b">
        <f>ISNUMBER(MATCH(Claude[[#This Row],[Id]],ChargentOrders[Id],0))</f>
        <v>1</v>
      </c>
      <c r="B348" t="b">
        <f>INDEX(ChargentOrders[VALIDO],MATCH(Claude[[#This Row],[Id]],ChargentOrders[Id],0))</f>
        <v>1</v>
      </c>
      <c r="C348">
        <f>INDEX(Contract[CB_Subscription__c],MATCH(Claude[[#This Row],[Contract__c]],Contract[Id],0))</f>
        <v>0</v>
      </c>
      <c r="D348" s="9" t="s">
        <v>1095</v>
      </c>
      <c r="E348" s="9" t="s">
        <v>79</v>
      </c>
      <c r="F348" s="9">
        <v>0</v>
      </c>
      <c r="G348" s="9" t="s">
        <v>1096</v>
      </c>
      <c r="H348" s="9">
        <v>46139.419293981482</v>
      </c>
      <c r="I348" s="9" t="s">
        <v>65</v>
      </c>
      <c r="J348" s="9">
        <v>46217.739004629628</v>
      </c>
      <c r="K348" s="9" t="s">
        <v>78</v>
      </c>
      <c r="L348" s="9">
        <v>46217.739004629628</v>
      </c>
      <c r="M348" s="9"/>
      <c r="N348" s="9" t="s">
        <v>1753</v>
      </c>
      <c r="O348" s="9" t="s">
        <v>2185</v>
      </c>
      <c r="P348" s="9" t="s">
        <v>2186</v>
      </c>
      <c r="Q348" s="9" t="s">
        <v>1925</v>
      </c>
      <c r="R348" s="9" t="s">
        <v>1751</v>
      </c>
      <c r="S348" s="9" t="s">
        <v>2187</v>
      </c>
      <c r="T348" s="9" t="s">
        <v>2029</v>
      </c>
      <c r="U348" s="9" t="s">
        <v>1928</v>
      </c>
      <c r="V348" s="9">
        <v>692</v>
      </c>
      <c r="W348" s="9">
        <v>9</v>
      </c>
      <c r="X348" s="9">
        <v>2028</v>
      </c>
      <c r="Y348" s="9">
        <v>799</v>
      </c>
      <c r="Z348" s="9">
        <v>9</v>
      </c>
      <c r="AA348" s="9">
        <v>799</v>
      </c>
      <c r="AB348" s="9" t="s">
        <v>73</v>
      </c>
      <c r="AC348" s="9">
        <v>2028</v>
      </c>
      <c r="AD348" s="9" t="s">
        <v>993</v>
      </c>
      <c r="AE348" s="9"/>
      <c r="AF348" s="9" t="s">
        <v>1929</v>
      </c>
      <c r="AG348" s="9"/>
      <c r="AH348" s="9" t="s">
        <v>67</v>
      </c>
      <c r="AI348" s="9">
        <v>0</v>
      </c>
      <c r="AJ348" s="9"/>
      <c r="AK348" s="9">
        <v>0</v>
      </c>
      <c r="AL348" s="9" t="s">
        <v>1930</v>
      </c>
      <c r="AM348" s="9">
        <v>1</v>
      </c>
      <c r="AN348" s="9">
        <v>46205</v>
      </c>
      <c r="AO348" s="9" t="s">
        <v>1931</v>
      </c>
      <c r="AP348" s="9" t="s">
        <v>69</v>
      </c>
      <c r="AQ348" s="9" t="s">
        <v>1932</v>
      </c>
      <c r="AR348" s="9">
        <v>46205</v>
      </c>
      <c r="AS348" s="9" t="s">
        <v>84</v>
      </c>
      <c r="AT348" s="9" t="s">
        <v>1935</v>
      </c>
      <c r="AU348" s="9" t="s">
        <v>993</v>
      </c>
      <c r="AV348" s="9">
        <v>0</v>
      </c>
      <c r="AW348" s="9" t="s">
        <v>92</v>
      </c>
      <c r="AX348" s="9" t="s">
        <v>731</v>
      </c>
      <c r="AY348" s="9">
        <v>0</v>
      </c>
      <c r="AZ348" s="9"/>
      <c r="BA348" s="9"/>
      <c r="BB348" s="9">
        <v>0</v>
      </c>
      <c r="BC348" s="9">
        <v>27</v>
      </c>
      <c r="BD348" s="9">
        <v>0</v>
      </c>
      <c r="BE348" s="9" t="s">
        <v>732</v>
      </c>
      <c r="BF348" s="9" t="s">
        <v>71</v>
      </c>
      <c r="BG348" s="9"/>
      <c r="BH348" s="9">
        <v>0</v>
      </c>
      <c r="BI348" s="9"/>
      <c r="BJ348" s="9"/>
      <c r="BK348" s="9" t="s">
        <v>92</v>
      </c>
      <c r="BL348" s="9" t="s">
        <v>92</v>
      </c>
      <c r="BM348" s="9" t="s">
        <v>72</v>
      </c>
      <c r="BN348" s="9"/>
      <c r="BO348" s="9">
        <v>1</v>
      </c>
      <c r="BP348" s="9" t="s">
        <v>1097</v>
      </c>
      <c r="BQ348" s="9">
        <v>0</v>
      </c>
      <c r="BR348" s="9">
        <v>46039.416909722226</v>
      </c>
      <c r="BS348" s="9" t="s">
        <v>109</v>
      </c>
      <c r="BT348" s="9" t="s">
        <v>65</v>
      </c>
      <c r="BU348" s="9"/>
      <c r="BV348" s="9"/>
      <c r="BW348" s="9">
        <v>0</v>
      </c>
      <c r="BX348" s="9">
        <v>46202.420497685183</v>
      </c>
      <c r="BY348" s="9">
        <v>46202.420497685183</v>
      </c>
      <c r="BZ348" s="9"/>
      <c r="CA348" s="9"/>
      <c r="CB348" s="9"/>
      <c r="CC348" s="9"/>
      <c r="CD348" s="9"/>
      <c r="CE348" s="9"/>
      <c r="CF348" s="9"/>
      <c r="CG348" s="9"/>
      <c r="CH348" s="9">
        <v>1</v>
      </c>
      <c r="CI348" s="9">
        <v>0</v>
      </c>
      <c r="CJ348" s="9"/>
      <c r="CK348" s="9"/>
      <c r="CL348" s="9" t="s">
        <v>2188</v>
      </c>
      <c r="CM348" s="9"/>
      <c r="CN348" s="9">
        <v>0</v>
      </c>
      <c r="CO348" s="9" t="s">
        <v>1925</v>
      </c>
      <c r="CP348" s="9"/>
      <c r="CQ348" s="9">
        <v>0</v>
      </c>
    </row>
    <row r="349" spans="1:95" x14ac:dyDescent="0.35">
      <c r="A349" s="9" t="b">
        <f>ISNUMBER(MATCH(Claude[[#This Row],[Id]],ChargentOrders[Id],0))</f>
        <v>1</v>
      </c>
      <c r="B349" t="b">
        <f>INDEX(ChargentOrders[VALIDO],MATCH(Claude[[#This Row],[Id]],ChargentOrders[Id],0))</f>
        <v>1</v>
      </c>
      <c r="C349">
        <f>INDEX(Contract[CB_Subscription__c],MATCH(Claude[[#This Row],[Contract__c]],Contract[Id],0))</f>
        <v>0</v>
      </c>
      <c r="D349" s="9" t="s">
        <v>1098</v>
      </c>
      <c r="E349" s="9" t="s">
        <v>531</v>
      </c>
      <c r="F349" s="9">
        <v>0</v>
      </c>
      <c r="G349" s="9" t="s">
        <v>1099</v>
      </c>
      <c r="H349" s="9">
        <v>46139.41983796296</v>
      </c>
      <c r="I349" s="9" t="s">
        <v>65</v>
      </c>
      <c r="J349" s="9">
        <v>46150.429849537039</v>
      </c>
      <c r="K349" s="9" t="s">
        <v>65</v>
      </c>
      <c r="L349" s="9">
        <v>46150.429849537039</v>
      </c>
      <c r="M349" s="9"/>
      <c r="N349" s="9" t="s">
        <v>1788</v>
      </c>
      <c r="O349" s="9" t="s">
        <v>2227</v>
      </c>
      <c r="P349" s="9" t="s">
        <v>2228</v>
      </c>
      <c r="Q349" s="9"/>
      <c r="R349" s="9" t="s">
        <v>2229</v>
      </c>
      <c r="S349" s="9" t="s">
        <v>2230</v>
      </c>
      <c r="T349" s="9" t="s">
        <v>2231</v>
      </c>
      <c r="U349" s="9" t="s">
        <v>1928</v>
      </c>
      <c r="V349" s="9">
        <v>698</v>
      </c>
      <c r="W349" s="9">
        <v>4</v>
      </c>
      <c r="X349" s="9">
        <v>2029</v>
      </c>
      <c r="Y349" s="9">
        <v>4500</v>
      </c>
      <c r="Z349" s="9">
        <v>4</v>
      </c>
      <c r="AA349" s="9">
        <v>4500</v>
      </c>
      <c r="AB349" s="9" t="s">
        <v>73</v>
      </c>
      <c r="AC349" s="9">
        <v>2029</v>
      </c>
      <c r="AD349" s="9" t="s">
        <v>449</v>
      </c>
      <c r="AE349" s="9"/>
      <c r="AF349" s="9" t="s">
        <v>1929</v>
      </c>
      <c r="AG349" s="9"/>
      <c r="AH349" s="9" t="s">
        <v>67</v>
      </c>
      <c r="AI349" s="9">
        <v>0</v>
      </c>
      <c r="AJ349" s="9"/>
      <c r="AK349" s="9">
        <v>0</v>
      </c>
      <c r="AL349" s="9" t="s">
        <v>1930</v>
      </c>
      <c r="AM349" s="9">
        <v>1</v>
      </c>
      <c r="AN349" s="9">
        <v>46150</v>
      </c>
      <c r="AO349" s="9" t="s">
        <v>1931</v>
      </c>
      <c r="AP349" s="9" t="s">
        <v>69</v>
      </c>
      <c r="AQ349" s="9" t="s">
        <v>1932</v>
      </c>
      <c r="AR349" s="9">
        <v>46150</v>
      </c>
      <c r="AS349" s="9" t="s">
        <v>74</v>
      </c>
      <c r="AT349" s="9" t="s">
        <v>1935</v>
      </c>
      <c r="AU349" s="9" t="s">
        <v>449</v>
      </c>
      <c r="AV349" s="9">
        <v>0</v>
      </c>
      <c r="AW349" s="9" t="s">
        <v>92</v>
      </c>
      <c r="AX349" s="9" t="s">
        <v>811</v>
      </c>
      <c r="AY349" s="9">
        <v>0</v>
      </c>
      <c r="AZ349" s="9">
        <v>46150.429756944446</v>
      </c>
      <c r="BA349" s="9">
        <v>46150.429803240739</v>
      </c>
      <c r="BB349" s="9">
        <v>1</v>
      </c>
      <c r="BC349" s="9">
        <v>5</v>
      </c>
      <c r="BD349" s="9" t="s">
        <v>2220</v>
      </c>
      <c r="BE349" s="9" t="s">
        <v>812</v>
      </c>
      <c r="BF349" s="9" t="s">
        <v>71</v>
      </c>
      <c r="BG349" s="9"/>
      <c r="BH349" s="9">
        <v>0</v>
      </c>
      <c r="BI349" s="9"/>
      <c r="BJ349" s="9">
        <v>0</v>
      </c>
      <c r="BK349" s="9" t="s">
        <v>92</v>
      </c>
      <c r="BL349" s="9" t="s">
        <v>92</v>
      </c>
      <c r="BM349" s="9" t="s">
        <v>72</v>
      </c>
      <c r="BN349" s="9"/>
      <c r="BO349" s="9">
        <v>1</v>
      </c>
      <c r="BP349" s="9" t="s">
        <v>1100</v>
      </c>
      <c r="BQ349" s="9">
        <v>0</v>
      </c>
      <c r="BR349" s="9">
        <v>46049.417384259257</v>
      </c>
      <c r="BS349" s="9" t="s">
        <v>109</v>
      </c>
      <c r="BT349" s="9" t="s">
        <v>65</v>
      </c>
      <c r="BU349" s="9"/>
      <c r="BV349" s="9"/>
      <c r="BW349" s="9">
        <v>0</v>
      </c>
      <c r="BX349" s="9">
        <v>46149.428587962961</v>
      </c>
      <c r="BY349" s="9">
        <v>46150.429756944446</v>
      </c>
      <c r="BZ349" s="9"/>
      <c r="CA349" s="9"/>
      <c r="CB349" s="9"/>
      <c r="CC349" s="9"/>
      <c r="CD349" s="9"/>
      <c r="CE349" s="9"/>
      <c r="CF349" s="9"/>
      <c r="CG349" s="9"/>
      <c r="CH349" s="9">
        <v>1</v>
      </c>
      <c r="CI349" s="9">
        <v>0</v>
      </c>
      <c r="CJ349" s="9"/>
      <c r="CK349" s="9"/>
      <c r="CL349" s="9" t="s">
        <v>2232</v>
      </c>
      <c r="CM349" s="9"/>
      <c r="CN349" s="9">
        <v>0</v>
      </c>
      <c r="CO349" s="9" t="s">
        <v>1925</v>
      </c>
      <c r="CP349" s="9"/>
      <c r="CQ349" s="9"/>
    </row>
    <row r="350" spans="1:95" x14ac:dyDescent="0.35">
      <c r="A350" s="9" t="b">
        <f>ISNUMBER(MATCH(Claude[[#This Row],[Id]],ChargentOrders[Id],0))</f>
        <v>1</v>
      </c>
      <c r="B350" t="b">
        <f>INDEX(ChargentOrders[VALIDO],MATCH(Claude[[#This Row],[Id]],ChargentOrders[Id],0))</f>
        <v>1</v>
      </c>
      <c r="C350">
        <f>INDEX(Contract[CB_Subscription__c],MATCH(Claude[[#This Row],[Contract__c]],Contract[Id],0))</f>
        <v>0</v>
      </c>
      <c r="D350" s="9" t="s">
        <v>1101</v>
      </c>
      <c r="E350" s="9" t="s">
        <v>155</v>
      </c>
      <c r="F350" s="9">
        <v>0</v>
      </c>
      <c r="G350" s="9" t="s">
        <v>1102</v>
      </c>
      <c r="H350" s="9">
        <v>46142.421261574076</v>
      </c>
      <c r="I350" s="9" t="s">
        <v>65</v>
      </c>
      <c r="J350" s="9">
        <v>46217.738564814812</v>
      </c>
      <c r="K350" s="9" t="s">
        <v>78</v>
      </c>
      <c r="L350" s="9">
        <v>46217.738564814812</v>
      </c>
      <c r="M350" s="9"/>
      <c r="N350" s="9" t="s">
        <v>1664</v>
      </c>
      <c r="O350" s="9" t="s">
        <v>2081</v>
      </c>
      <c r="P350" s="9" t="s">
        <v>2082</v>
      </c>
      <c r="Q350" s="9" t="s">
        <v>2015</v>
      </c>
      <c r="R350" s="9" t="s">
        <v>1662</v>
      </c>
      <c r="S350" s="9" t="s">
        <v>2083</v>
      </c>
      <c r="T350" s="9" t="s">
        <v>2084</v>
      </c>
      <c r="U350" s="9" t="s">
        <v>2085</v>
      </c>
      <c r="V350" s="9">
        <v>17042</v>
      </c>
      <c r="W350" s="9">
        <v>10</v>
      </c>
      <c r="X350" s="9">
        <v>2030</v>
      </c>
      <c r="Y350" s="9">
        <v>3323</v>
      </c>
      <c r="Z350" s="9">
        <v>10</v>
      </c>
      <c r="AA350" s="9"/>
      <c r="AB350" s="9" t="s">
        <v>73</v>
      </c>
      <c r="AC350" s="9">
        <v>2030</v>
      </c>
      <c r="AD350" s="9" t="s">
        <v>2101</v>
      </c>
      <c r="AE350" s="9"/>
      <c r="AF350" s="9" t="s">
        <v>1929</v>
      </c>
      <c r="AG350" s="9"/>
      <c r="AH350" s="9" t="s">
        <v>107</v>
      </c>
      <c r="AI350" s="9">
        <v>0</v>
      </c>
      <c r="AJ350" s="9"/>
      <c r="AK350" s="9">
        <v>0</v>
      </c>
      <c r="AL350" s="9" t="s">
        <v>1930</v>
      </c>
      <c r="AM350" s="9">
        <v>1</v>
      </c>
      <c r="AN350" s="9">
        <v>46212</v>
      </c>
      <c r="AO350" s="9" t="s">
        <v>1931</v>
      </c>
      <c r="AP350" s="9" t="s">
        <v>69</v>
      </c>
      <c r="AQ350" s="9" t="s">
        <v>1932</v>
      </c>
      <c r="AR350" s="9">
        <v>46212</v>
      </c>
      <c r="AS350" s="9" t="s">
        <v>84</v>
      </c>
      <c r="AT350" s="9" t="s">
        <v>1935</v>
      </c>
      <c r="AU350" s="9" t="s">
        <v>2101</v>
      </c>
      <c r="AV350" s="9">
        <v>0</v>
      </c>
      <c r="AW350" s="9" t="s">
        <v>92</v>
      </c>
      <c r="AX350" s="9" t="s">
        <v>489</v>
      </c>
      <c r="AY350" s="9">
        <v>0</v>
      </c>
      <c r="AZ350" s="9"/>
      <c r="BA350" s="9"/>
      <c r="BB350" s="9">
        <v>0</v>
      </c>
      <c r="BC350" s="9">
        <v>29</v>
      </c>
      <c r="BD350" s="9">
        <v>0</v>
      </c>
      <c r="BE350" s="9" t="s">
        <v>490</v>
      </c>
      <c r="BF350" s="9" t="s">
        <v>71</v>
      </c>
      <c r="BG350" s="9"/>
      <c r="BH350" s="9">
        <v>0</v>
      </c>
      <c r="BI350" s="9"/>
      <c r="BJ350" s="9"/>
      <c r="BK350" s="9" t="s">
        <v>92</v>
      </c>
      <c r="BL350" s="9" t="s">
        <v>92</v>
      </c>
      <c r="BM350" s="9" t="s">
        <v>72</v>
      </c>
      <c r="BN350" s="9"/>
      <c r="BO350" s="9">
        <v>1</v>
      </c>
      <c r="BP350" s="9" t="s">
        <v>1103</v>
      </c>
      <c r="BQ350" s="9">
        <v>0</v>
      </c>
      <c r="BR350" s="9">
        <v>45961.424942129626</v>
      </c>
      <c r="BS350" s="9" t="s">
        <v>109</v>
      </c>
      <c r="BT350" s="9" t="s">
        <v>65</v>
      </c>
      <c r="BU350" s="9"/>
      <c r="BV350" s="9"/>
      <c r="BW350" s="9">
        <v>0</v>
      </c>
      <c r="BX350" s="9">
        <v>46181.422731481478</v>
      </c>
      <c r="BY350" s="9">
        <v>46209.42015046296</v>
      </c>
      <c r="BZ350" s="9"/>
      <c r="CA350" s="9"/>
      <c r="CB350" s="9"/>
      <c r="CC350" s="9"/>
      <c r="CD350" s="9"/>
      <c r="CE350" s="9"/>
      <c r="CF350" s="9"/>
      <c r="CG350" s="9"/>
      <c r="CH350" s="9">
        <v>1</v>
      </c>
      <c r="CI350" s="9">
        <v>0</v>
      </c>
      <c r="CJ350" s="9"/>
      <c r="CK350" s="9"/>
      <c r="CL350" s="9" t="s">
        <v>2086</v>
      </c>
      <c r="CM350" s="9"/>
      <c r="CN350" s="9">
        <v>0</v>
      </c>
      <c r="CO350" s="9" t="s">
        <v>1925</v>
      </c>
      <c r="CP350" s="9"/>
      <c r="CQ350" s="9">
        <v>0</v>
      </c>
    </row>
    <row r="351" spans="1:95" x14ac:dyDescent="0.35">
      <c r="A351" s="9" t="b">
        <f>ISNUMBER(MATCH(Claude[[#This Row],[Id]],ChargentOrders[Id],0))</f>
        <v>1</v>
      </c>
      <c r="B351" t="b">
        <f>INDEX(ChargentOrders[VALIDO],MATCH(Claude[[#This Row],[Id]],ChargentOrders[Id],0))</f>
        <v>1</v>
      </c>
      <c r="C351">
        <f>INDEX(Contract[CB_Subscription__c],MATCH(Claude[[#This Row],[Contract__c]],Contract[Id],0))</f>
        <v>0</v>
      </c>
      <c r="D351" s="9" t="s">
        <v>1104</v>
      </c>
      <c r="E351" s="9" t="s">
        <v>102</v>
      </c>
      <c r="F351" s="9">
        <v>0</v>
      </c>
      <c r="G351" s="9" t="s">
        <v>1105</v>
      </c>
      <c r="H351" s="9">
        <v>46142.417233796295</v>
      </c>
      <c r="I351" s="9" t="s">
        <v>65</v>
      </c>
      <c r="J351" s="9">
        <v>46198.420532407406</v>
      </c>
      <c r="K351" s="9" t="s">
        <v>65</v>
      </c>
      <c r="L351" s="9">
        <v>46198.420532407406</v>
      </c>
      <c r="M351" s="9"/>
      <c r="N351" s="9" t="s">
        <v>1570</v>
      </c>
      <c r="O351" s="9" t="s">
        <v>1923</v>
      </c>
      <c r="P351" s="9" t="s">
        <v>1924</v>
      </c>
      <c r="Q351" s="9" t="s">
        <v>1925</v>
      </c>
      <c r="R351" s="9" t="s">
        <v>1568</v>
      </c>
      <c r="S351" s="9" t="s">
        <v>1926</v>
      </c>
      <c r="T351" s="9" t="s">
        <v>1927</v>
      </c>
      <c r="U351" s="9" t="s">
        <v>1928</v>
      </c>
      <c r="V351" s="9">
        <v>949</v>
      </c>
      <c r="W351" s="9">
        <v>6</v>
      </c>
      <c r="X351" s="9">
        <v>2030</v>
      </c>
      <c r="Y351" s="9">
        <v>2774</v>
      </c>
      <c r="Z351" s="9">
        <v>6</v>
      </c>
      <c r="AA351" s="9">
        <v>2774</v>
      </c>
      <c r="AB351" s="9" t="s">
        <v>73</v>
      </c>
      <c r="AC351" s="9">
        <v>2030</v>
      </c>
      <c r="AD351" s="9" t="s">
        <v>1970</v>
      </c>
      <c r="AE351" s="9"/>
      <c r="AF351" s="9" t="s">
        <v>1929</v>
      </c>
      <c r="AG351" s="9"/>
      <c r="AH351" s="9" t="s">
        <v>67</v>
      </c>
      <c r="AI351" s="9">
        <v>0</v>
      </c>
      <c r="AJ351" s="9"/>
      <c r="AK351" s="9">
        <v>0</v>
      </c>
      <c r="AL351" s="9" t="s">
        <v>1930</v>
      </c>
      <c r="AM351" s="9">
        <v>1</v>
      </c>
      <c r="AN351" s="9">
        <v>46150</v>
      </c>
      <c r="AO351" s="9" t="s">
        <v>1931</v>
      </c>
      <c r="AP351" s="9" t="s">
        <v>69</v>
      </c>
      <c r="AQ351" s="9" t="s">
        <v>1932</v>
      </c>
      <c r="AR351" s="9">
        <v>46198</v>
      </c>
      <c r="AS351" s="9" t="s">
        <v>74</v>
      </c>
      <c r="AT351" s="9" t="s">
        <v>1935</v>
      </c>
      <c r="AU351" s="9" t="s">
        <v>1970</v>
      </c>
      <c r="AV351" s="9">
        <v>0</v>
      </c>
      <c r="AW351" s="9" t="s">
        <v>92</v>
      </c>
      <c r="AX351" s="9" t="s">
        <v>147</v>
      </c>
      <c r="AY351" s="9">
        <v>0</v>
      </c>
      <c r="AZ351" s="9">
        <v>46198.42046296296</v>
      </c>
      <c r="BA351" s="9">
        <v>46198.420486111114</v>
      </c>
      <c r="BB351" s="9">
        <v>1</v>
      </c>
      <c r="BC351" s="9">
        <v>6</v>
      </c>
      <c r="BD351" s="9" t="s">
        <v>94</v>
      </c>
      <c r="BE351" s="9" t="s">
        <v>112</v>
      </c>
      <c r="BF351" s="9" t="s">
        <v>71</v>
      </c>
      <c r="BG351" s="9"/>
      <c r="BH351" s="9">
        <v>0</v>
      </c>
      <c r="BI351" s="9"/>
      <c r="BJ351" s="9">
        <v>0</v>
      </c>
      <c r="BK351" s="9" t="s">
        <v>92</v>
      </c>
      <c r="BL351" s="9" t="s">
        <v>92</v>
      </c>
      <c r="BM351" s="9" t="s">
        <v>72</v>
      </c>
      <c r="BN351" s="9"/>
      <c r="BO351" s="9">
        <v>1</v>
      </c>
      <c r="BP351" s="9" t="s">
        <v>1106</v>
      </c>
      <c r="BQ351" s="9">
        <v>0</v>
      </c>
      <c r="BR351" s="9">
        <v>45170.864606481482</v>
      </c>
      <c r="BS351" s="9" t="s">
        <v>109</v>
      </c>
      <c r="BT351" s="9" t="s">
        <v>65</v>
      </c>
      <c r="BU351" s="9"/>
      <c r="BV351" s="9"/>
      <c r="BW351" s="9">
        <v>0</v>
      </c>
      <c r="BX351" s="9">
        <v>46149.92087962963</v>
      </c>
      <c r="BY351" s="9">
        <v>46198.42046296296</v>
      </c>
      <c r="BZ351" s="9"/>
      <c r="CA351" s="9"/>
      <c r="CB351" s="9"/>
      <c r="CC351" s="9"/>
      <c r="CD351" s="9"/>
      <c r="CE351" s="9"/>
      <c r="CF351" s="9"/>
      <c r="CG351" s="9"/>
      <c r="CH351" s="9">
        <v>1</v>
      </c>
      <c r="CI351" s="9">
        <v>0</v>
      </c>
      <c r="CJ351" s="9"/>
      <c r="CK351" s="9"/>
      <c r="CL351" s="9"/>
      <c r="CM351" s="9"/>
      <c r="CN351" s="9">
        <v>0</v>
      </c>
      <c r="CO351" s="9" t="s">
        <v>1925</v>
      </c>
      <c r="CP351" s="9"/>
      <c r="CQ351" s="9">
        <v>0</v>
      </c>
    </row>
    <row r="352" spans="1:95" x14ac:dyDescent="0.35">
      <c r="A352" s="9" t="b">
        <f>ISNUMBER(MATCH(Claude[[#This Row],[Id]],ChargentOrders[Id],0))</f>
        <v>1</v>
      </c>
      <c r="B352" t="b">
        <f>INDEX(ChargentOrders[VALIDO],MATCH(Claude[[#This Row],[Id]],ChargentOrders[Id],0))</f>
        <v>1</v>
      </c>
      <c r="C352">
        <f>INDEX(Contract[CB_Subscription__c],MATCH(Claude[[#This Row],[Contract__c]],Contract[Id],0))</f>
        <v>0</v>
      </c>
      <c r="D352" s="9" t="s">
        <v>1107</v>
      </c>
      <c r="E352" s="9" t="s">
        <v>610</v>
      </c>
      <c r="F352" s="9">
        <v>0</v>
      </c>
      <c r="G352" s="9" t="s">
        <v>1108</v>
      </c>
      <c r="H352" s="9">
        <v>46142.427766203706</v>
      </c>
      <c r="I352" s="9" t="s">
        <v>65</v>
      </c>
      <c r="J352" s="9">
        <v>46170.423460648148</v>
      </c>
      <c r="K352" s="9" t="s">
        <v>65</v>
      </c>
      <c r="L352" s="9">
        <v>46170.423460648148</v>
      </c>
      <c r="M352" s="9"/>
      <c r="N352" s="9" t="s">
        <v>1803</v>
      </c>
      <c r="O352" s="9" t="s">
        <v>2243</v>
      </c>
      <c r="P352" s="9" t="s">
        <v>2053</v>
      </c>
      <c r="Q352" s="9" t="s">
        <v>1925</v>
      </c>
      <c r="R352" s="9" t="s">
        <v>1801</v>
      </c>
      <c r="S352" s="9" t="s">
        <v>2244</v>
      </c>
      <c r="T352" s="9" t="s">
        <v>2245</v>
      </c>
      <c r="U352" s="9" t="s">
        <v>1928</v>
      </c>
      <c r="V352" s="9">
        <v>738</v>
      </c>
      <c r="W352" s="9">
        <v>9</v>
      </c>
      <c r="X352" s="9">
        <v>2029</v>
      </c>
      <c r="Y352" s="9">
        <v>6088</v>
      </c>
      <c r="Z352" s="9">
        <v>9</v>
      </c>
      <c r="AA352" s="9">
        <v>6088</v>
      </c>
      <c r="AB352" s="9" t="s">
        <v>66</v>
      </c>
      <c r="AC352" s="9">
        <v>2029</v>
      </c>
      <c r="AD352" s="9" t="s">
        <v>449</v>
      </c>
      <c r="AE352" s="9"/>
      <c r="AF352" s="9" t="s">
        <v>1929</v>
      </c>
      <c r="AG352" s="9"/>
      <c r="AH352" s="9" t="s">
        <v>67</v>
      </c>
      <c r="AI352" s="9">
        <v>0</v>
      </c>
      <c r="AJ352" s="9"/>
      <c r="AK352" s="9">
        <v>0</v>
      </c>
      <c r="AL352" s="9" t="s">
        <v>1930</v>
      </c>
      <c r="AM352" s="9">
        <v>1</v>
      </c>
      <c r="AN352" s="9">
        <v>46170</v>
      </c>
      <c r="AO352" s="9" t="s">
        <v>1931</v>
      </c>
      <c r="AP352" s="9" t="s">
        <v>69</v>
      </c>
      <c r="AQ352" s="9" t="s">
        <v>1932</v>
      </c>
      <c r="AR352" s="9">
        <v>46170</v>
      </c>
      <c r="AS352" s="9" t="s">
        <v>74</v>
      </c>
      <c r="AT352" s="9" t="s">
        <v>1935</v>
      </c>
      <c r="AU352" s="9" t="s">
        <v>449</v>
      </c>
      <c r="AV352" s="9">
        <v>0</v>
      </c>
      <c r="AW352" s="9" t="s">
        <v>92</v>
      </c>
      <c r="AX352" s="9" t="s">
        <v>849</v>
      </c>
      <c r="AY352" s="9">
        <v>0</v>
      </c>
      <c r="AZ352" s="9">
        <v>46170.423356481479</v>
      </c>
      <c r="BA352" s="9">
        <v>46170.423414351855</v>
      </c>
      <c r="BB352" s="9">
        <v>1</v>
      </c>
      <c r="BC352" s="9">
        <v>12</v>
      </c>
      <c r="BD352" s="9" t="s">
        <v>2220</v>
      </c>
      <c r="BE352" s="9" t="s">
        <v>846</v>
      </c>
      <c r="BF352" s="9" t="s">
        <v>71</v>
      </c>
      <c r="BG352" s="9"/>
      <c r="BH352" s="9">
        <v>0</v>
      </c>
      <c r="BI352" s="9"/>
      <c r="BJ352" s="9">
        <v>0</v>
      </c>
      <c r="BK352" s="9" t="s">
        <v>92</v>
      </c>
      <c r="BL352" s="9" t="s">
        <v>92</v>
      </c>
      <c r="BM352" s="9" t="s">
        <v>72</v>
      </c>
      <c r="BN352" s="9"/>
      <c r="BO352" s="9">
        <v>1</v>
      </c>
      <c r="BP352" s="9" t="s">
        <v>1109</v>
      </c>
      <c r="BQ352" s="9">
        <v>0</v>
      </c>
      <c r="BR352" s="9">
        <v>46069.42460648148</v>
      </c>
      <c r="BS352" s="9" t="s">
        <v>109</v>
      </c>
      <c r="BT352" s="9" t="s">
        <v>65</v>
      </c>
      <c r="BU352" s="9"/>
      <c r="BV352" s="9"/>
      <c r="BW352" s="9">
        <v>0</v>
      </c>
      <c r="BX352" s="9">
        <v>46167.425578703704</v>
      </c>
      <c r="BY352" s="9">
        <v>46170.423356481479</v>
      </c>
      <c r="BZ352" s="9"/>
      <c r="CA352" s="9"/>
      <c r="CB352" s="9"/>
      <c r="CC352" s="9"/>
      <c r="CD352" s="9"/>
      <c r="CE352" s="9"/>
      <c r="CF352" s="9"/>
      <c r="CG352" s="9"/>
      <c r="CH352" s="9">
        <v>1</v>
      </c>
      <c r="CI352" s="9">
        <v>0</v>
      </c>
      <c r="CJ352" s="9"/>
      <c r="CK352" s="9"/>
      <c r="CL352" s="9" t="s">
        <v>2246</v>
      </c>
      <c r="CM352" s="9"/>
      <c r="CN352" s="9">
        <v>0</v>
      </c>
      <c r="CO352" s="9" t="s">
        <v>1925</v>
      </c>
      <c r="CP352" s="9"/>
      <c r="CQ352" s="9">
        <v>0</v>
      </c>
    </row>
    <row r="353" spans="1:95" x14ac:dyDescent="0.35">
      <c r="A353" s="9" t="b">
        <f>ISNUMBER(MATCH(Claude[[#This Row],[Id]],ChargentOrders[Id],0))</f>
        <v>1</v>
      </c>
      <c r="B353" t="b">
        <f>INDEX(ChargentOrders[VALIDO],MATCH(Claude[[#This Row],[Id]],ChargentOrders[Id],0))</f>
        <v>1</v>
      </c>
      <c r="C353">
        <f>INDEX(Contract[CB_Subscription__c],MATCH(Claude[[#This Row],[Contract__c]],Contract[Id],0))</f>
        <v>0</v>
      </c>
      <c r="D353" s="9" t="s">
        <v>1110</v>
      </c>
      <c r="E353" s="9" t="s">
        <v>79</v>
      </c>
      <c r="F353" s="9">
        <v>0</v>
      </c>
      <c r="G353" s="9" t="s">
        <v>1111</v>
      </c>
      <c r="H353" s="9">
        <v>46142.41783564815</v>
      </c>
      <c r="I353" s="9" t="s">
        <v>65</v>
      </c>
      <c r="J353" s="9">
        <v>46172.548958333333</v>
      </c>
      <c r="K353" s="9" t="s">
        <v>101</v>
      </c>
      <c r="L353" s="9">
        <v>46172.548958333333</v>
      </c>
      <c r="M353" s="9"/>
      <c r="N353" s="9" t="s">
        <v>1576</v>
      </c>
      <c r="O353" s="9" t="s">
        <v>1947</v>
      </c>
      <c r="P353" s="9" t="s">
        <v>1948</v>
      </c>
      <c r="Q353" s="9" t="s">
        <v>1925</v>
      </c>
      <c r="R353" s="9" t="s">
        <v>1574</v>
      </c>
      <c r="S353" s="9" t="s">
        <v>1949</v>
      </c>
      <c r="T353" s="9" t="s">
        <v>1950</v>
      </c>
      <c r="U353" s="9" t="s">
        <v>1928</v>
      </c>
      <c r="V353" s="9">
        <v>769</v>
      </c>
      <c r="W353" s="9">
        <v>7</v>
      </c>
      <c r="X353" s="9">
        <v>2028</v>
      </c>
      <c r="Y353" s="9">
        <v>1524</v>
      </c>
      <c r="Z353" s="9">
        <v>7</v>
      </c>
      <c r="AA353" s="9">
        <v>4549516625621520</v>
      </c>
      <c r="AB353" s="9" t="s">
        <v>73</v>
      </c>
      <c r="AC353" s="9">
        <v>2028</v>
      </c>
      <c r="AD353" s="9" t="s">
        <v>2087</v>
      </c>
      <c r="AE353" s="9"/>
      <c r="AF353" s="9" t="s">
        <v>1929</v>
      </c>
      <c r="AG353" s="9"/>
      <c r="AH353" s="9" t="s">
        <v>67</v>
      </c>
      <c r="AI353" s="9">
        <v>0</v>
      </c>
      <c r="AJ353" s="9"/>
      <c r="AK353" s="9">
        <v>0</v>
      </c>
      <c r="AL353" s="9" t="s">
        <v>1930</v>
      </c>
      <c r="AM353" s="9">
        <v>1</v>
      </c>
      <c r="AN353" s="9">
        <v>46174</v>
      </c>
      <c r="AO353" s="9" t="s">
        <v>1931</v>
      </c>
      <c r="AP353" s="9" t="s">
        <v>69</v>
      </c>
      <c r="AQ353" s="9" t="s">
        <v>1932</v>
      </c>
      <c r="AR353" s="9">
        <v>46174</v>
      </c>
      <c r="AS353" s="9" t="s">
        <v>74</v>
      </c>
      <c r="AT353" s="9" t="s">
        <v>1935</v>
      </c>
      <c r="AU353" s="9" t="s">
        <v>1952</v>
      </c>
      <c r="AV353" s="9">
        <v>0</v>
      </c>
      <c r="AW353" s="9" t="s">
        <v>93</v>
      </c>
      <c r="AX353" s="9" t="s">
        <v>158</v>
      </c>
      <c r="AY353" s="9">
        <v>0</v>
      </c>
      <c r="AZ353" s="9">
        <v>46172.548935185187</v>
      </c>
      <c r="BA353" s="9">
        <v>46172.548935185187</v>
      </c>
      <c r="BB353" s="9">
        <v>1</v>
      </c>
      <c r="BC353" s="9">
        <v>8</v>
      </c>
      <c r="BD353" s="9" t="s">
        <v>2087</v>
      </c>
      <c r="BE353" s="9" t="s">
        <v>159</v>
      </c>
      <c r="BF353" s="9" t="s">
        <v>71</v>
      </c>
      <c r="BG353" s="9"/>
      <c r="BH353" s="9">
        <v>0</v>
      </c>
      <c r="BI353" s="9"/>
      <c r="BJ353" s="9">
        <v>0</v>
      </c>
      <c r="BK353" s="9" t="s">
        <v>92</v>
      </c>
      <c r="BL353" s="9" t="s">
        <v>92</v>
      </c>
      <c r="BM353" s="9" t="s">
        <v>72</v>
      </c>
      <c r="BN353" s="9"/>
      <c r="BO353" s="9">
        <v>1</v>
      </c>
      <c r="BP353" s="9" t="s">
        <v>1112</v>
      </c>
      <c r="BQ353" s="9">
        <v>0</v>
      </c>
      <c r="BR353" s="9">
        <v>45392.867974537039</v>
      </c>
      <c r="BS353" s="9" t="s">
        <v>109</v>
      </c>
      <c r="BT353" s="9" t="s">
        <v>65</v>
      </c>
      <c r="BU353" s="9"/>
      <c r="BV353" s="9"/>
      <c r="BW353" s="9">
        <v>0</v>
      </c>
      <c r="BX353" s="9">
        <v>46171.423738425925</v>
      </c>
      <c r="BY353" s="9">
        <v>46172.548935185187</v>
      </c>
      <c r="BZ353" s="9"/>
      <c r="CA353" s="9"/>
      <c r="CB353" s="9"/>
      <c r="CC353" s="9"/>
      <c r="CD353" s="9"/>
      <c r="CE353" s="9"/>
      <c r="CF353" s="9"/>
      <c r="CG353" s="9"/>
      <c r="CH353" s="9">
        <v>1</v>
      </c>
      <c r="CI353" s="9">
        <v>0</v>
      </c>
      <c r="CJ353" s="9"/>
      <c r="CK353" s="9"/>
      <c r="CL353" s="9"/>
      <c r="CM353" s="9"/>
      <c r="CN353" s="9">
        <v>0</v>
      </c>
      <c r="CO353" s="9" t="s">
        <v>1925</v>
      </c>
      <c r="CP353" s="9"/>
      <c r="CQ353" s="9">
        <v>0</v>
      </c>
    </row>
    <row r="354" spans="1:95" x14ac:dyDescent="0.35">
      <c r="A354" s="9" t="b">
        <f>ISNUMBER(MATCH(Claude[[#This Row],[Id]],ChargentOrders[Id],0))</f>
        <v>1</v>
      </c>
      <c r="B354" t="b">
        <f>INDEX(ChargentOrders[VALIDO],MATCH(Claude[[#This Row],[Id]],ChargentOrders[Id],0))</f>
        <v>1</v>
      </c>
      <c r="C354">
        <f>INDEX(Contract[CB_Subscription__c],MATCH(Claude[[#This Row],[Contract__c]],Contract[Id],0))</f>
        <v>0</v>
      </c>
      <c r="D354" s="9" t="s">
        <v>1113</v>
      </c>
      <c r="E354" s="9" t="s">
        <v>79</v>
      </c>
      <c r="F354" s="9">
        <v>0</v>
      </c>
      <c r="G354" s="9" t="s">
        <v>1114</v>
      </c>
      <c r="H354" s="9">
        <v>46142.418715277781</v>
      </c>
      <c r="I354" s="9" t="s">
        <v>65</v>
      </c>
      <c r="J354" s="9">
        <v>46217.738564814812</v>
      </c>
      <c r="K354" s="9" t="s">
        <v>78</v>
      </c>
      <c r="L354" s="9">
        <v>46217.738564814812</v>
      </c>
      <c r="M354" s="9"/>
      <c r="N354" s="9" t="s">
        <v>1591</v>
      </c>
      <c r="O354" s="9" t="s">
        <v>1989</v>
      </c>
      <c r="P354" s="9" t="s">
        <v>1990</v>
      </c>
      <c r="Q354" s="9" t="s">
        <v>1925</v>
      </c>
      <c r="R354" s="9" t="s">
        <v>1589</v>
      </c>
      <c r="S354" s="9" t="s">
        <v>1991</v>
      </c>
      <c r="T354" s="9" t="s">
        <v>1992</v>
      </c>
      <c r="U354" s="9" t="s">
        <v>1928</v>
      </c>
      <c r="V354" s="9">
        <v>915</v>
      </c>
      <c r="W354" s="9">
        <v>2</v>
      </c>
      <c r="X354" s="9">
        <v>2030</v>
      </c>
      <c r="Y354" s="9">
        <v>1962</v>
      </c>
      <c r="Z354" s="9">
        <v>2</v>
      </c>
      <c r="AA354" s="9">
        <v>1962</v>
      </c>
      <c r="AB354" s="9" t="s">
        <v>73</v>
      </c>
      <c r="AC354" s="9">
        <v>2030</v>
      </c>
      <c r="AD354" s="9" t="s">
        <v>1952</v>
      </c>
      <c r="AE354" s="9"/>
      <c r="AF354" s="9" t="s">
        <v>1929</v>
      </c>
      <c r="AG354" s="9"/>
      <c r="AH354" s="9" t="s">
        <v>67</v>
      </c>
      <c r="AI354" s="9">
        <v>0</v>
      </c>
      <c r="AJ354" s="9"/>
      <c r="AK354" s="9">
        <v>0</v>
      </c>
      <c r="AL354" s="9" t="s">
        <v>1930</v>
      </c>
      <c r="AM354" s="9">
        <v>1</v>
      </c>
      <c r="AN354" s="9">
        <v>46212</v>
      </c>
      <c r="AO354" s="9" t="s">
        <v>1931</v>
      </c>
      <c r="AP354" s="9" t="s">
        <v>69</v>
      </c>
      <c r="AQ354" s="9" t="s">
        <v>1932</v>
      </c>
      <c r="AR354" s="9">
        <v>46212</v>
      </c>
      <c r="AS354" s="9" t="s">
        <v>84</v>
      </c>
      <c r="AT354" s="9" t="s">
        <v>1935</v>
      </c>
      <c r="AU354" s="9" t="s">
        <v>1952</v>
      </c>
      <c r="AV354" s="9">
        <v>0</v>
      </c>
      <c r="AW354" s="9" t="s">
        <v>92</v>
      </c>
      <c r="AX354" s="9" t="s">
        <v>240</v>
      </c>
      <c r="AY354" s="9">
        <v>0</v>
      </c>
      <c r="AZ354" s="9"/>
      <c r="BA354" s="9"/>
      <c r="BB354" s="9">
        <v>0</v>
      </c>
      <c r="BC354" s="9">
        <v>29</v>
      </c>
      <c r="BD354" s="9">
        <v>0</v>
      </c>
      <c r="BE354" s="9" t="s">
        <v>235</v>
      </c>
      <c r="BF354" s="9" t="s">
        <v>71</v>
      </c>
      <c r="BG354" s="9"/>
      <c r="BH354" s="9">
        <v>0</v>
      </c>
      <c r="BI354" s="9"/>
      <c r="BJ354" s="9"/>
      <c r="BK354" s="9" t="s">
        <v>92</v>
      </c>
      <c r="BL354" s="9" t="s">
        <v>92</v>
      </c>
      <c r="BM354" s="9" t="s">
        <v>72</v>
      </c>
      <c r="BN354" s="9"/>
      <c r="BO354" s="9">
        <v>1</v>
      </c>
      <c r="BP354" s="9" t="s">
        <v>1115</v>
      </c>
      <c r="BQ354" s="9">
        <v>0</v>
      </c>
      <c r="BR354" s="9">
        <v>45702.827997685185</v>
      </c>
      <c r="BS354" s="9" t="s">
        <v>109</v>
      </c>
      <c r="BT354" s="9" t="s">
        <v>65</v>
      </c>
      <c r="BU354" s="9"/>
      <c r="BV354" s="9"/>
      <c r="BW354" s="9">
        <v>0</v>
      </c>
      <c r="BX354" s="9">
        <v>46209.420185185183</v>
      </c>
      <c r="BY354" s="9">
        <v>46209.420185185183</v>
      </c>
      <c r="BZ354" s="9"/>
      <c r="CA354" s="9"/>
      <c r="CB354" s="9"/>
      <c r="CC354" s="9"/>
      <c r="CD354" s="9"/>
      <c r="CE354" s="9"/>
      <c r="CF354" s="9"/>
      <c r="CG354" s="9"/>
      <c r="CH354" s="9">
        <v>1</v>
      </c>
      <c r="CI354" s="9">
        <v>0</v>
      </c>
      <c r="CJ354" s="9"/>
      <c r="CK354" s="9"/>
      <c r="CL354" s="9" t="s">
        <v>1993</v>
      </c>
      <c r="CM354" s="9"/>
      <c r="CN354" s="9">
        <v>0</v>
      </c>
      <c r="CO354" s="9" t="s">
        <v>1925</v>
      </c>
      <c r="CP354" s="9"/>
      <c r="CQ354" s="9">
        <v>0</v>
      </c>
    </row>
    <row r="355" spans="1:95" x14ac:dyDescent="0.35">
      <c r="A355" s="9" t="b">
        <f>ISNUMBER(MATCH(Claude[[#This Row],[Id]],ChargentOrders[Id],0))</f>
        <v>1</v>
      </c>
      <c r="B355" t="b">
        <f>INDEX(ChargentOrders[VALIDO],MATCH(Claude[[#This Row],[Id]],ChargentOrders[Id],0))</f>
        <v>1</v>
      </c>
      <c r="C355">
        <f>INDEX(Contract[CB_Subscription__c],MATCH(Claude[[#This Row],[Contract__c]],Contract[Id],0))</f>
        <v>0</v>
      </c>
      <c r="D355" s="9" t="s">
        <v>1116</v>
      </c>
      <c r="E355" s="9" t="s">
        <v>79</v>
      </c>
      <c r="F355" s="9">
        <v>0</v>
      </c>
      <c r="G355" s="9" t="s">
        <v>1117</v>
      </c>
      <c r="H355" s="9">
        <v>46142.418171296296</v>
      </c>
      <c r="I355" s="9" t="s">
        <v>65</v>
      </c>
      <c r="J355" s="9">
        <v>46217.738564814812</v>
      </c>
      <c r="K355" s="9" t="s">
        <v>78</v>
      </c>
      <c r="L355" s="9">
        <v>46217.738564814812</v>
      </c>
      <c r="M355" s="9"/>
      <c r="N355" s="9" t="s">
        <v>1581</v>
      </c>
      <c r="O355" s="9" t="s">
        <v>1960</v>
      </c>
      <c r="P355" s="9" t="s">
        <v>1961</v>
      </c>
      <c r="Q355" s="9" t="s">
        <v>1925</v>
      </c>
      <c r="R355" s="9" t="s">
        <v>1579</v>
      </c>
      <c r="S355" s="9" t="s">
        <v>1962</v>
      </c>
      <c r="T355" s="9" t="s">
        <v>1963</v>
      </c>
      <c r="U355" s="9" t="s">
        <v>1928</v>
      </c>
      <c r="V355" s="9">
        <v>778</v>
      </c>
      <c r="W355" s="9">
        <v>3</v>
      </c>
      <c r="X355" s="9">
        <v>2027</v>
      </c>
      <c r="Y355" s="9">
        <v>4327</v>
      </c>
      <c r="Z355" s="9">
        <v>3</v>
      </c>
      <c r="AA355" s="9">
        <v>4327</v>
      </c>
      <c r="AB355" s="9" t="s">
        <v>73</v>
      </c>
      <c r="AC355" s="9">
        <v>2027</v>
      </c>
      <c r="AD355" s="9" t="s">
        <v>1952</v>
      </c>
      <c r="AE355" s="9"/>
      <c r="AF355" s="9" t="s">
        <v>1929</v>
      </c>
      <c r="AG355" s="9"/>
      <c r="AH355" s="9" t="s">
        <v>67</v>
      </c>
      <c r="AI355" s="9">
        <v>0</v>
      </c>
      <c r="AJ355" s="9"/>
      <c r="AK355" s="9">
        <v>0</v>
      </c>
      <c r="AL355" s="9" t="s">
        <v>1930</v>
      </c>
      <c r="AM355" s="9">
        <v>1</v>
      </c>
      <c r="AN355" s="9">
        <v>46212</v>
      </c>
      <c r="AO355" s="9" t="s">
        <v>1931</v>
      </c>
      <c r="AP355" s="9" t="s">
        <v>69</v>
      </c>
      <c r="AQ355" s="9" t="s">
        <v>1932</v>
      </c>
      <c r="AR355" s="9">
        <v>46212</v>
      </c>
      <c r="AS355" s="9" t="s">
        <v>84</v>
      </c>
      <c r="AT355" s="9" t="s">
        <v>1935</v>
      </c>
      <c r="AU355" s="9" t="s">
        <v>1952</v>
      </c>
      <c r="AV355" s="9">
        <v>0</v>
      </c>
      <c r="AW355" s="9" t="s">
        <v>92</v>
      </c>
      <c r="AX355" s="9" t="s">
        <v>165</v>
      </c>
      <c r="AY355" s="9">
        <v>0</v>
      </c>
      <c r="AZ355" s="9"/>
      <c r="BA355" s="9"/>
      <c r="BB355" s="9">
        <v>0</v>
      </c>
      <c r="BC355" s="9">
        <v>29</v>
      </c>
      <c r="BD355" s="9">
        <v>0</v>
      </c>
      <c r="BE355" s="9" t="s">
        <v>179</v>
      </c>
      <c r="BF355" s="9" t="s">
        <v>71</v>
      </c>
      <c r="BG355" s="9"/>
      <c r="BH355" s="9">
        <v>0</v>
      </c>
      <c r="BI355" s="9"/>
      <c r="BJ355" s="9"/>
      <c r="BK355" s="9" t="s">
        <v>92</v>
      </c>
      <c r="BL355" s="9" t="s">
        <v>92</v>
      </c>
      <c r="BM355" s="9" t="s">
        <v>72</v>
      </c>
      <c r="BN355" s="9"/>
      <c r="BO355" s="9">
        <v>1</v>
      </c>
      <c r="BP355" s="9" t="s">
        <v>1118</v>
      </c>
      <c r="BQ355" s="9">
        <v>0</v>
      </c>
      <c r="BR355" s="9">
        <v>45546.777881944443</v>
      </c>
      <c r="BS355" s="9" t="s">
        <v>109</v>
      </c>
      <c r="BT355" s="9" t="s">
        <v>65</v>
      </c>
      <c r="BU355" s="9"/>
      <c r="BV355" s="9"/>
      <c r="BW355" s="9">
        <v>0</v>
      </c>
      <c r="BX355" s="9">
        <v>46209.420243055552</v>
      </c>
      <c r="BY355" s="9">
        <v>46209.420243055552</v>
      </c>
      <c r="BZ355" s="9"/>
      <c r="CA355" s="9"/>
      <c r="CB355" s="9"/>
      <c r="CC355" s="9"/>
      <c r="CD355" s="9"/>
      <c r="CE355" s="9"/>
      <c r="CF355" s="9"/>
      <c r="CG355" s="9"/>
      <c r="CH355" s="9">
        <v>1</v>
      </c>
      <c r="CI355" s="9">
        <v>0</v>
      </c>
      <c r="CJ355" s="9"/>
      <c r="CK355" s="9"/>
      <c r="CL355" s="9" t="s">
        <v>1964</v>
      </c>
      <c r="CM355" s="9"/>
      <c r="CN355" s="9">
        <v>0</v>
      </c>
      <c r="CO355" s="9" t="s">
        <v>1925</v>
      </c>
      <c r="CP355" s="9"/>
      <c r="CQ355" s="9">
        <v>0</v>
      </c>
    </row>
    <row r="356" spans="1:95" x14ac:dyDescent="0.35">
      <c r="A356" s="9" t="b">
        <f>ISNUMBER(MATCH(Claude[[#This Row],[Id]],ChargentOrders[Id],0))</f>
        <v>1</v>
      </c>
      <c r="B356" t="b">
        <f>INDEX(ChargentOrders[VALIDO],MATCH(Claude[[#This Row],[Id]],ChargentOrders[Id],0))</f>
        <v>1</v>
      </c>
      <c r="C356">
        <f>INDEX(Contract[CB_Subscription__c],MATCH(Claude[[#This Row],[Contract__c]],Contract[Id],0))</f>
        <v>0</v>
      </c>
      <c r="D356" s="9" t="s">
        <v>1119</v>
      </c>
      <c r="E356" s="9" t="s">
        <v>79</v>
      </c>
      <c r="F356" s="9">
        <v>0</v>
      </c>
      <c r="G356" s="9" t="s">
        <v>1120</v>
      </c>
      <c r="H356" s="9">
        <v>46142.418287037035</v>
      </c>
      <c r="I356" s="9" t="s">
        <v>65</v>
      </c>
      <c r="J356" s="9">
        <v>46217.738564814812</v>
      </c>
      <c r="K356" s="9" t="s">
        <v>78</v>
      </c>
      <c r="L356" s="9">
        <v>46217.738564814812</v>
      </c>
      <c r="M356" s="9"/>
      <c r="N356" s="9" t="s">
        <v>1586</v>
      </c>
      <c r="O356" s="9" t="s">
        <v>1973</v>
      </c>
      <c r="P356" s="9" t="s">
        <v>1974</v>
      </c>
      <c r="Q356" s="9" t="s">
        <v>1925</v>
      </c>
      <c r="R356" s="9" t="s">
        <v>1584</v>
      </c>
      <c r="S356" s="9" t="s">
        <v>1975</v>
      </c>
      <c r="T356" s="9" t="s">
        <v>1976</v>
      </c>
      <c r="U356" s="9" t="s">
        <v>1928</v>
      </c>
      <c r="V356" s="9">
        <v>969</v>
      </c>
      <c r="W356" s="9">
        <v>8</v>
      </c>
      <c r="X356" s="9">
        <v>2028</v>
      </c>
      <c r="Y356" s="9">
        <v>5191</v>
      </c>
      <c r="Z356" s="9">
        <v>8</v>
      </c>
      <c r="AA356" s="9">
        <v>5191</v>
      </c>
      <c r="AB356" s="9" t="s">
        <v>73</v>
      </c>
      <c r="AC356" s="9">
        <v>2028</v>
      </c>
      <c r="AD356" s="9" t="s">
        <v>1970</v>
      </c>
      <c r="AE356" s="9"/>
      <c r="AF356" s="9" t="s">
        <v>1929</v>
      </c>
      <c r="AG356" s="9"/>
      <c r="AH356" s="9" t="s">
        <v>67</v>
      </c>
      <c r="AI356" s="9">
        <v>0</v>
      </c>
      <c r="AJ356" s="9"/>
      <c r="AK356" s="9">
        <v>0</v>
      </c>
      <c r="AL356" s="9" t="s">
        <v>1930</v>
      </c>
      <c r="AM356" s="9">
        <v>1</v>
      </c>
      <c r="AN356" s="9">
        <v>46212</v>
      </c>
      <c r="AO356" s="9" t="s">
        <v>1931</v>
      </c>
      <c r="AP356" s="9" t="s">
        <v>69</v>
      </c>
      <c r="AQ356" s="9" t="s">
        <v>1932</v>
      </c>
      <c r="AR356" s="9">
        <v>46212</v>
      </c>
      <c r="AS356" s="9" t="s">
        <v>84</v>
      </c>
      <c r="AT356" s="9" t="s">
        <v>1935</v>
      </c>
      <c r="AU356" s="9" t="s">
        <v>1970</v>
      </c>
      <c r="AV356" s="9">
        <v>0</v>
      </c>
      <c r="AW356" s="9" t="s">
        <v>92</v>
      </c>
      <c r="AX356" s="9" t="s">
        <v>202</v>
      </c>
      <c r="AY356" s="9">
        <v>0</v>
      </c>
      <c r="AZ356" s="9"/>
      <c r="BA356" s="9"/>
      <c r="BB356" s="9">
        <v>0</v>
      </c>
      <c r="BC356" s="9">
        <v>29</v>
      </c>
      <c r="BD356" s="9">
        <v>0</v>
      </c>
      <c r="BE356" s="9" t="s">
        <v>197</v>
      </c>
      <c r="BF356" s="9" t="s">
        <v>71</v>
      </c>
      <c r="BG356" s="9"/>
      <c r="BH356" s="9">
        <v>0</v>
      </c>
      <c r="BI356" s="9"/>
      <c r="BJ356" s="9"/>
      <c r="BK356" s="9" t="s">
        <v>92</v>
      </c>
      <c r="BL356" s="9" t="s">
        <v>92</v>
      </c>
      <c r="BM356" s="9" t="s">
        <v>72</v>
      </c>
      <c r="BN356" s="9"/>
      <c r="BO356" s="9">
        <v>1</v>
      </c>
      <c r="BP356" s="9" t="s">
        <v>1121</v>
      </c>
      <c r="BQ356" s="9">
        <v>0</v>
      </c>
      <c r="BR356" s="9">
        <v>45589.952337962961</v>
      </c>
      <c r="BS356" s="9" t="s">
        <v>109</v>
      </c>
      <c r="BT356" s="9" t="s">
        <v>65</v>
      </c>
      <c r="BU356" s="9"/>
      <c r="BV356" s="9"/>
      <c r="BW356" s="9">
        <v>0</v>
      </c>
      <c r="BX356" s="9">
        <v>46209.420243055552</v>
      </c>
      <c r="BY356" s="9">
        <v>46209.420243055552</v>
      </c>
      <c r="BZ356" s="9"/>
      <c r="CA356" s="9"/>
      <c r="CB356" s="9"/>
      <c r="CC356" s="9"/>
      <c r="CD356" s="9"/>
      <c r="CE356" s="9"/>
      <c r="CF356" s="9"/>
      <c r="CG356" s="9"/>
      <c r="CH356" s="9">
        <v>1</v>
      </c>
      <c r="CI356" s="9">
        <v>0</v>
      </c>
      <c r="CJ356" s="9"/>
      <c r="CK356" s="9"/>
      <c r="CL356" s="9" t="s">
        <v>1977</v>
      </c>
      <c r="CM356" s="9"/>
      <c r="CN356" s="9">
        <v>0</v>
      </c>
      <c r="CO356" s="9" t="s">
        <v>1925</v>
      </c>
      <c r="CP356" s="9"/>
      <c r="CQ356" s="9">
        <v>0</v>
      </c>
    </row>
    <row r="357" spans="1:95" x14ac:dyDescent="0.35">
      <c r="A357" s="9" t="b">
        <f>ISNUMBER(MATCH(Claude[[#This Row],[Id]],ChargentOrders[Id],0))</f>
        <v>1</v>
      </c>
      <c r="B357" t="b">
        <f>INDEX(ChargentOrders[VALIDO],MATCH(Claude[[#This Row],[Id]],ChargentOrders[Id],0))</f>
        <v>1</v>
      </c>
      <c r="C357">
        <f>INDEX(Contract[CB_Subscription__c],MATCH(Claude[[#This Row],[Contract__c]],Contract[Id],0))</f>
        <v>0</v>
      </c>
      <c r="D357" s="9" t="s">
        <v>1122</v>
      </c>
      <c r="E357" s="9" t="s">
        <v>79</v>
      </c>
      <c r="F357" s="9">
        <v>0</v>
      </c>
      <c r="G357" s="9" t="s">
        <v>1123</v>
      </c>
      <c r="H357" s="9">
        <v>46142.418854166666</v>
      </c>
      <c r="I357" s="9" t="s">
        <v>65</v>
      </c>
      <c r="J357" s="9">
        <v>46217.738564814812</v>
      </c>
      <c r="K357" s="9" t="s">
        <v>78</v>
      </c>
      <c r="L357" s="9">
        <v>46217.738564814812</v>
      </c>
      <c r="M357" s="9"/>
      <c r="N357" s="9" t="s">
        <v>1988</v>
      </c>
      <c r="O357" s="9" t="s">
        <v>1982</v>
      </c>
      <c r="P357" s="9" t="s">
        <v>1983</v>
      </c>
      <c r="Q357" s="9" t="s">
        <v>1925</v>
      </c>
      <c r="R357" s="9" t="s">
        <v>1984</v>
      </c>
      <c r="S357" s="9" t="s">
        <v>1985</v>
      </c>
      <c r="T357" s="9" t="s">
        <v>1986</v>
      </c>
      <c r="U357" s="9" t="s">
        <v>1928</v>
      </c>
      <c r="V357" s="9">
        <v>771</v>
      </c>
      <c r="W357" s="9">
        <v>7</v>
      </c>
      <c r="X357" s="9">
        <v>2029</v>
      </c>
      <c r="Y357" s="9">
        <v>4040</v>
      </c>
      <c r="Z357" s="9">
        <v>7</v>
      </c>
      <c r="AA357" s="9">
        <v>4040</v>
      </c>
      <c r="AB357" s="9" t="s">
        <v>66</v>
      </c>
      <c r="AC357" s="9">
        <v>2029</v>
      </c>
      <c r="AD357" s="9" t="s">
        <v>1952</v>
      </c>
      <c r="AE357" s="9"/>
      <c r="AF357" s="9" t="s">
        <v>1929</v>
      </c>
      <c r="AG357" s="9"/>
      <c r="AH357" s="9" t="s">
        <v>67</v>
      </c>
      <c r="AI357" s="9">
        <v>0</v>
      </c>
      <c r="AJ357" s="9"/>
      <c r="AK357" s="9">
        <v>0</v>
      </c>
      <c r="AL357" s="9" t="s">
        <v>1930</v>
      </c>
      <c r="AM357" s="9">
        <v>1</v>
      </c>
      <c r="AN357" s="9">
        <v>46212</v>
      </c>
      <c r="AO357" s="9" t="s">
        <v>1931</v>
      </c>
      <c r="AP357" s="9" t="s">
        <v>69</v>
      </c>
      <c r="AQ357" s="9" t="s">
        <v>1932</v>
      </c>
      <c r="AR357" s="9">
        <v>46212</v>
      </c>
      <c r="AS357" s="9" t="s">
        <v>84</v>
      </c>
      <c r="AT357" s="9" t="s">
        <v>1935</v>
      </c>
      <c r="AU357" s="9" t="s">
        <v>1952</v>
      </c>
      <c r="AV357" s="9">
        <v>0</v>
      </c>
      <c r="AW357" s="9" t="s">
        <v>92</v>
      </c>
      <c r="AX357" s="9" t="s">
        <v>219</v>
      </c>
      <c r="AY357" s="9">
        <v>0</v>
      </c>
      <c r="AZ357" s="9"/>
      <c r="BA357" s="9"/>
      <c r="BB357" s="9">
        <v>0</v>
      </c>
      <c r="BC357" s="9">
        <v>30</v>
      </c>
      <c r="BD357" s="9">
        <v>0</v>
      </c>
      <c r="BE357" s="9" t="s">
        <v>220</v>
      </c>
      <c r="BF357" s="9" t="s">
        <v>71</v>
      </c>
      <c r="BG357" s="9"/>
      <c r="BH357" s="9">
        <v>0</v>
      </c>
      <c r="BI357" s="9"/>
      <c r="BJ357" s="9"/>
      <c r="BK357" s="9" t="s">
        <v>92</v>
      </c>
      <c r="BL357" s="9" t="s">
        <v>92</v>
      </c>
      <c r="BM357" s="9" t="s">
        <v>72</v>
      </c>
      <c r="BN357" s="9"/>
      <c r="BO357" s="9">
        <v>1</v>
      </c>
      <c r="BP357" s="9" t="s">
        <v>1124</v>
      </c>
      <c r="BQ357" s="9">
        <v>0</v>
      </c>
      <c r="BR357" s="9">
        <v>45716.429675925923</v>
      </c>
      <c r="BS357" s="9" t="s">
        <v>109</v>
      </c>
      <c r="BT357" s="9" t="s">
        <v>65</v>
      </c>
      <c r="BU357" s="9"/>
      <c r="BV357" s="9"/>
      <c r="BW357" s="9">
        <v>0</v>
      </c>
      <c r="BX357" s="9">
        <v>46209.420266203706</v>
      </c>
      <c r="BY357" s="9">
        <v>46209.420266203706</v>
      </c>
      <c r="BZ357" s="9"/>
      <c r="CA357" s="9"/>
      <c r="CB357" s="9"/>
      <c r="CC357" s="9"/>
      <c r="CD357" s="9"/>
      <c r="CE357" s="9"/>
      <c r="CF357" s="9"/>
      <c r="CG357" s="9"/>
      <c r="CH357" s="9">
        <v>1</v>
      </c>
      <c r="CI357" s="9">
        <v>0</v>
      </c>
      <c r="CJ357" s="9"/>
      <c r="CK357" s="9"/>
      <c r="CL357" s="9" t="s">
        <v>1987</v>
      </c>
      <c r="CM357" s="9"/>
      <c r="CN357" s="9">
        <v>0</v>
      </c>
      <c r="CO357" s="9" t="s">
        <v>1925</v>
      </c>
      <c r="CP357" s="9"/>
      <c r="CQ357" s="9">
        <v>0</v>
      </c>
    </row>
    <row r="358" spans="1:95" x14ac:dyDescent="0.35">
      <c r="A358" s="9" t="b">
        <f>ISNUMBER(MATCH(Claude[[#This Row],[Id]],ChargentOrders[Id],0))</f>
        <v>1</v>
      </c>
      <c r="B358" t="b">
        <f>INDEX(ChargentOrders[VALIDO],MATCH(Claude[[#This Row],[Id]],ChargentOrders[Id],0))</f>
        <v>1</v>
      </c>
      <c r="C358">
        <f>INDEX(Contract[CB_Subscription__c],MATCH(Claude[[#This Row],[Contract__c]],Contract[Id],0))</f>
        <v>0</v>
      </c>
      <c r="D358" s="9" t="s">
        <v>1125</v>
      </c>
      <c r="E358" s="9" t="s">
        <v>79</v>
      </c>
      <c r="F358" s="9">
        <v>0</v>
      </c>
      <c r="G358" s="9" t="s">
        <v>1126</v>
      </c>
      <c r="H358" s="9">
        <v>46142.418854166666</v>
      </c>
      <c r="I358" s="9" t="s">
        <v>65</v>
      </c>
      <c r="J358" s="9">
        <v>46217.738564814812</v>
      </c>
      <c r="K358" s="9" t="s">
        <v>78</v>
      </c>
      <c r="L358" s="9">
        <v>46217.738564814812</v>
      </c>
      <c r="M358" s="9"/>
      <c r="N358" s="9" t="s">
        <v>1596</v>
      </c>
      <c r="O358" s="9" t="s">
        <v>1997</v>
      </c>
      <c r="P358" s="9" t="s">
        <v>1990</v>
      </c>
      <c r="Q358" s="9" t="s">
        <v>1925</v>
      </c>
      <c r="R358" s="9" t="s">
        <v>1594</v>
      </c>
      <c r="S358" s="9" t="s">
        <v>1998</v>
      </c>
      <c r="T358" s="9" t="s">
        <v>1999</v>
      </c>
      <c r="U358" s="9" t="s">
        <v>1928</v>
      </c>
      <c r="V358" s="9">
        <v>901</v>
      </c>
      <c r="W358" s="9">
        <v>2</v>
      </c>
      <c r="X358" s="9">
        <v>2026</v>
      </c>
      <c r="Y358" s="9">
        <v>7405</v>
      </c>
      <c r="Z358" s="9">
        <v>2</v>
      </c>
      <c r="AA358" s="9">
        <v>7405</v>
      </c>
      <c r="AB358" s="9" t="s">
        <v>73</v>
      </c>
      <c r="AC358" s="9">
        <v>2026</v>
      </c>
      <c r="AD358" s="9" t="s">
        <v>1952</v>
      </c>
      <c r="AE358" s="9"/>
      <c r="AF358" s="9" t="s">
        <v>1929</v>
      </c>
      <c r="AG358" s="9"/>
      <c r="AH358" s="9" t="s">
        <v>67</v>
      </c>
      <c r="AI358" s="9">
        <v>0</v>
      </c>
      <c r="AJ358" s="9"/>
      <c r="AK358" s="9">
        <v>0</v>
      </c>
      <c r="AL358" s="9" t="s">
        <v>1930</v>
      </c>
      <c r="AM358" s="9">
        <v>1</v>
      </c>
      <c r="AN358" s="9">
        <v>46212</v>
      </c>
      <c r="AO358" s="9" t="s">
        <v>1931</v>
      </c>
      <c r="AP358" s="9" t="s">
        <v>69</v>
      </c>
      <c r="AQ358" s="9" t="s">
        <v>1932</v>
      </c>
      <c r="AR358" s="9">
        <v>46212</v>
      </c>
      <c r="AS358" s="9" t="s">
        <v>84</v>
      </c>
      <c r="AT358" s="9" t="s">
        <v>1935</v>
      </c>
      <c r="AU358" s="9" t="s">
        <v>1952</v>
      </c>
      <c r="AV358" s="9">
        <v>0</v>
      </c>
      <c r="AW358" s="9" t="s">
        <v>92</v>
      </c>
      <c r="AX358" s="9" t="s">
        <v>252</v>
      </c>
      <c r="AY358" s="9">
        <v>0</v>
      </c>
      <c r="AZ358" s="9"/>
      <c r="BA358" s="9"/>
      <c r="BB358" s="9">
        <v>0</v>
      </c>
      <c r="BC358" s="9">
        <v>29</v>
      </c>
      <c r="BD358" s="9">
        <v>0</v>
      </c>
      <c r="BE358" s="9" t="s">
        <v>253</v>
      </c>
      <c r="BF358" s="9" t="s">
        <v>71</v>
      </c>
      <c r="BG358" s="9"/>
      <c r="BH358" s="9">
        <v>0</v>
      </c>
      <c r="BI358" s="9"/>
      <c r="BJ358" s="9"/>
      <c r="BK358" s="9" t="s">
        <v>92</v>
      </c>
      <c r="BL358" s="9" t="s">
        <v>92</v>
      </c>
      <c r="BM358" s="9" t="s">
        <v>72</v>
      </c>
      <c r="BN358" s="9"/>
      <c r="BO358" s="9">
        <v>1</v>
      </c>
      <c r="BP358" s="9" t="s">
        <v>1127</v>
      </c>
      <c r="BQ358" s="9">
        <v>0</v>
      </c>
      <c r="BR358" s="9">
        <v>45723.426469907405</v>
      </c>
      <c r="BS358" s="9" t="s">
        <v>109</v>
      </c>
      <c r="BT358" s="9" t="s">
        <v>65</v>
      </c>
      <c r="BU358" s="9"/>
      <c r="BV358" s="9"/>
      <c r="BW358" s="9">
        <v>0</v>
      </c>
      <c r="BX358" s="9">
        <v>46209.420277777775</v>
      </c>
      <c r="BY358" s="9">
        <v>46209.420277777775</v>
      </c>
      <c r="BZ358" s="9"/>
      <c r="CA358" s="9"/>
      <c r="CB358" s="9"/>
      <c r="CC358" s="9"/>
      <c r="CD358" s="9"/>
      <c r="CE358" s="9"/>
      <c r="CF358" s="9"/>
      <c r="CG358" s="9"/>
      <c r="CH358" s="9">
        <v>1</v>
      </c>
      <c r="CI358" s="9">
        <v>0</v>
      </c>
      <c r="CJ358" s="9"/>
      <c r="CK358" s="9"/>
      <c r="CL358" s="9" t="s">
        <v>2000</v>
      </c>
      <c r="CM358" s="9"/>
      <c r="CN358" s="9">
        <v>0</v>
      </c>
      <c r="CO358" s="9" t="s">
        <v>1925</v>
      </c>
      <c r="CP358" s="9"/>
      <c r="CQ358" s="9">
        <v>0</v>
      </c>
    </row>
    <row r="359" spans="1:95" x14ac:dyDescent="0.35">
      <c r="A359" s="9" t="b">
        <f>ISNUMBER(MATCH(Claude[[#This Row],[Id]],ChargentOrders[Id],0))</f>
        <v>1</v>
      </c>
      <c r="B359" t="b">
        <f>INDEX(ChargentOrders[VALIDO],MATCH(Claude[[#This Row],[Id]],ChargentOrders[Id],0))</f>
        <v>1</v>
      </c>
      <c r="C359">
        <f>INDEX(Contract[CB_Subscription__c],MATCH(Claude[[#This Row],[Contract__c]],Contract[Id],0))</f>
        <v>0</v>
      </c>
      <c r="D359" s="9" t="s">
        <v>1128</v>
      </c>
      <c r="E359" s="9" t="s">
        <v>81</v>
      </c>
      <c r="F359" s="9">
        <v>0</v>
      </c>
      <c r="G359" s="9" t="s">
        <v>1129</v>
      </c>
      <c r="H359" s="9">
        <v>46142.419189814813</v>
      </c>
      <c r="I359" s="9" t="s">
        <v>65</v>
      </c>
      <c r="J359" s="9">
        <v>46217.738564814812</v>
      </c>
      <c r="K359" s="9" t="s">
        <v>78</v>
      </c>
      <c r="L359" s="9">
        <v>46217.738564814812</v>
      </c>
      <c r="M359" s="9"/>
      <c r="N359" s="9" t="s">
        <v>1601</v>
      </c>
      <c r="O359" s="9" t="s">
        <v>2005</v>
      </c>
      <c r="P359" s="9" t="s">
        <v>2006</v>
      </c>
      <c r="Q359" s="9" t="s">
        <v>1925</v>
      </c>
      <c r="R359" s="9" t="s">
        <v>1599</v>
      </c>
      <c r="S359" s="9" t="s">
        <v>2007</v>
      </c>
      <c r="T359" s="9" t="s">
        <v>2008</v>
      </c>
      <c r="U359" s="9" t="s">
        <v>1928</v>
      </c>
      <c r="V359" s="9">
        <v>985</v>
      </c>
      <c r="W359" s="9">
        <v>11</v>
      </c>
      <c r="X359" s="9">
        <v>2029</v>
      </c>
      <c r="Y359" s="9">
        <v>6484</v>
      </c>
      <c r="Z359" s="9">
        <v>11</v>
      </c>
      <c r="AA359" s="9">
        <v>6484</v>
      </c>
      <c r="AB359" s="9" t="s">
        <v>73</v>
      </c>
      <c r="AC359" s="9">
        <v>2029</v>
      </c>
      <c r="AD359" s="9" t="s">
        <v>1952</v>
      </c>
      <c r="AE359" s="9"/>
      <c r="AF359" s="9" t="s">
        <v>1929</v>
      </c>
      <c r="AG359" s="9"/>
      <c r="AH359" s="9" t="s">
        <v>67</v>
      </c>
      <c r="AI359" s="9">
        <v>0</v>
      </c>
      <c r="AJ359" s="9"/>
      <c r="AK359" s="9">
        <v>0</v>
      </c>
      <c r="AL359" s="9" t="s">
        <v>1930</v>
      </c>
      <c r="AM359" s="9">
        <v>1</v>
      </c>
      <c r="AN359" s="9">
        <v>46212</v>
      </c>
      <c r="AO359" s="9" t="s">
        <v>1931</v>
      </c>
      <c r="AP359" s="9" t="s">
        <v>69</v>
      </c>
      <c r="AQ359" s="9" t="s">
        <v>1932</v>
      </c>
      <c r="AR359" s="9">
        <v>46212</v>
      </c>
      <c r="AS359" s="9" t="s">
        <v>84</v>
      </c>
      <c r="AT359" s="9" t="s">
        <v>1935</v>
      </c>
      <c r="AU359" s="9" t="s">
        <v>1952</v>
      </c>
      <c r="AV359" s="9">
        <v>0</v>
      </c>
      <c r="AW359" s="9" t="s">
        <v>92</v>
      </c>
      <c r="AX359" s="9" t="s">
        <v>264</v>
      </c>
      <c r="AY359" s="9">
        <v>0</v>
      </c>
      <c r="AZ359" s="9"/>
      <c r="BA359" s="9"/>
      <c r="BB359" s="9">
        <v>0</v>
      </c>
      <c r="BC359" s="9">
        <v>33</v>
      </c>
      <c r="BD359" s="9">
        <v>0</v>
      </c>
      <c r="BE359" s="9" t="s">
        <v>265</v>
      </c>
      <c r="BF359" s="9" t="s">
        <v>71</v>
      </c>
      <c r="BG359" s="9"/>
      <c r="BH359" s="9">
        <v>0</v>
      </c>
      <c r="BI359" s="9"/>
      <c r="BJ359" s="9"/>
      <c r="BK359" s="9" t="s">
        <v>92</v>
      </c>
      <c r="BL359" s="9" t="s">
        <v>92</v>
      </c>
      <c r="BM359" s="9" t="s">
        <v>72</v>
      </c>
      <c r="BN359" s="9"/>
      <c r="BO359" s="9">
        <v>1</v>
      </c>
      <c r="BP359" s="9" t="s">
        <v>1130</v>
      </c>
      <c r="BQ359" s="9">
        <v>0</v>
      </c>
      <c r="BR359" s="9">
        <v>45744.431817129633</v>
      </c>
      <c r="BS359" s="9" t="s">
        <v>109</v>
      </c>
      <c r="BT359" s="9" t="s">
        <v>65</v>
      </c>
      <c r="BU359" s="9"/>
      <c r="BV359" s="9"/>
      <c r="BW359" s="9">
        <v>0</v>
      </c>
      <c r="BX359" s="9">
        <v>46209.420277777775</v>
      </c>
      <c r="BY359" s="9">
        <v>46209.420277777775</v>
      </c>
      <c r="BZ359" s="9"/>
      <c r="CA359" s="9"/>
      <c r="CB359" s="9"/>
      <c r="CC359" s="9"/>
      <c r="CD359" s="9"/>
      <c r="CE359" s="9"/>
      <c r="CF359" s="9"/>
      <c r="CG359" s="9"/>
      <c r="CH359" s="9">
        <v>1</v>
      </c>
      <c r="CI359" s="9">
        <v>0</v>
      </c>
      <c r="CJ359" s="9"/>
      <c r="CK359" s="9"/>
      <c r="CL359" s="9" t="s">
        <v>2009</v>
      </c>
      <c r="CM359" s="9"/>
      <c r="CN359" s="9">
        <v>0</v>
      </c>
      <c r="CO359" s="9" t="s">
        <v>1925</v>
      </c>
      <c r="CP359" s="9"/>
      <c r="CQ359" s="9">
        <v>0</v>
      </c>
    </row>
    <row r="360" spans="1:95" x14ac:dyDescent="0.35">
      <c r="A360" s="9" t="b">
        <f>ISNUMBER(MATCH(Claude[[#This Row],[Id]],ChargentOrders[Id],0))</f>
        <v>1</v>
      </c>
      <c r="B360" t="b">
        <f>INDEX(ChargentOrders[VALIDO],MATCH(Claude[[#This Row],[Id]],ChargentOrders[Id],0))</f>
        <v>1</v>
      </c>
      <c r="C360">
        <f>INDEX(Contract[CB_Subscription__c],MATCH(Claude[[#This Row],[Contract__c]],Contract[Id],0))</f>
        <v>0</v>
      </c>
      <c r="D360" s="9" t="s">
        <v>1131</v>
      </c>
      <c r="E360" s="9" t="s">
        <v>155</v>
      </c>
      <c r="F360" s="9">
        <v>0</v>
      </c>
      <c r="G360" s="9" t="s">
        <v>1132</v>
      </c>
      <c r="H360" s="9">
        <v>46142.420243055552</v>
      </c>
      <c r="I360" s="9" t="s">
        <v>65</v>
      </c>
      <c r="J360" s="9">
        <v>46217.007037037038</v>
      </c>
      <c r="K360" s="9" t="s">
        <v>101</v>
      </c>
      <c r="L360" s="9">
        <v>46217.007037037038</v>
      </c>
      <c r="M360" s="9"/>
      <c r="N360" s="9" t="s">
        <v>1649</v>
      </c>
      <c r="O360" s="9" t="s">
        <v>2059</v>
      </c>
      <c r="P360" s="9" t="s">
        <v>1990</v>
      </c>
      <c r="Q360" s="9" t="s">
        <v>1925</v>
      </c>
      <c r="R360" s="9" t="s">
        <v>1647</v>
      </c>
      <c r="S360" s="9" t="s">
        <v>2060</v>
      </c>
      <c r="T360" s="9" t="s">
        <v>2061</v>
      </c>
      <c r="U360" s="9" t="s">
        <v>1928</v>
      </c>
      <c r="V360" s="9">
        <v>915</v>
      </c>
      <c r="W360" s="9">
        <v>10</v>
      </c>
      <c r="X360" s="9">
        <v>2028</v>
      </c>
      <c r="Y360" s="9">
        <v>2362</v>
      </c>
      <c r="Z360" s="9">
        <v>10</v>
      </c>
      <c r="AA360" s="9">
        <v>4549516362132360</v>
      </c>
      <c r="AB360" s="9" t="s">
        <v>73</v>
      </c>
      <c r="AC360" s="9">
        <v>2028</v>
      </c>
      <c r="AD360" s="9" t="s">
        <v>2220</v>
      </c>
      <c r="AE360" s="9"/>
      <c r="AF360" s="9" t="s">
        <v>1929</v>
      </c>
      <c r="AG360" s="9"/>
      <c r="AH360" s="9" t="s">
        <v>67</v>
      </c>
      <c r="AI360" s="9">
        <v>0</v>
      </c>
      <c r="AJ360" s="9"/>
      <c r="AK360" s="9">
        <v>0</v>
      </c>
      <c r="AL360" s="9" t="s">
        <v>1930</v>
      </c>
      <c r="AM360" s="9" t="s">
        <v>1958</v>
      </c>
      <c r="AN360" s="9">
        <v>46212</v>
      </c>
      <c r="AO360" s="9" t="s">
        <v>1931</v>
      </c>
      <c r="AP360" s="9" t="s">
        <v>69</v>
      </c>
      <c r="AQ360" s="9" t="s">
        <v>1932</v>
      </c>
      <c r="AR360" s="9">
        <v>46212</v>
      </c>
      <c r="AS360" s="9" t="s">
        <v>90</v>
      </c>
      <c r="AT360" s="9" t="s">
        <v>1935</v>
      </c>
      <c r="AU360" s="9" t="s">
        <v>449</v>
      </c>
      <c r="AV360" s="9">
        <v>0</v>
      </c>
      <c r="AW360" s="9" t="s">
        <v>93</v>
      </c>
      <c r="AX360" s="9" t="s">
        <v>414</v>
      </c>
      <c r="AY360" s="9">
        <v>0</v>
      </c>
      <c r="AZ360" s="9"/>
      <c r="BA360" s="9"/>
      <c r="BB360" s="9">
        <v>0</v>
      </c>
      <c r="BC360" s="9">
        <v>31</v>
      </c>
      <c r="BD360" s="9">
        <v>0</v>
      </c>
      <c r="BE360" s="9" t="s">
        <v>415</v>
      </c>
      <c r="BF360" s="9" t="s">
        <v>71</v>
      </c>
      <c r="BG360" s="9"/>
      <c r="BH360" s="9">
        <v>0</v>
      </c>
      <c r="BI360" s="9"/>
      <c r="BJ360" s="9"/>
      <c r="BK360" s="9" t="s">
        <v>92</v>
      </c>
      <c r="BL360" s="9" t="s">
        <v>92</v>
      </c>
      <c r="BM360" s="9" t="s">
        <v>72</v>
      </c>
      <c r="BN360" s="9"/>
      <c r="BO360" s="9">
        <v>1</v>
      </c>
      <c r="BP360" s="9" t="s">
        <v>1133</v>
      </c>
      <c r="BQ360" s="9">
        <v>0</v>
      </c>
      <c r="BR360" s="9">
        <v>45901.428703703707</v>
      </c>
      <c r="BS360" s="9" t="s">
        <v>109</v>
      </c>
      <c r="BT360" s="9" t="s">
        <v>65</v>
      </c>
      <c r="BU360" s="9"/>
      <c r="BV360" s="9"/>
      <c r="BW360" s="9">
        <v>0</v>
      </c>
      <c r="BX360" s="9">
        <v>46217.007025462961</v>
      </c>
      <c r="BY360" s="9">
        <v>46217.007025462961</v>
      </c>
      <c r="BZ360" s="9"/>
      <c r="CA360" s="9"/>
      <c r="CB360" s="9"/>
      <c r="CC360" s="9"/>
      <c r="CD360" s="9"/>
      <c r="CE360" s="9"/>
      <c r="CF360" s="9"/>
      <c r="CG360" s="9"/>
      <c r="CH360" s="9">
        <v>1</v>
      </c>
      <c r="CI360" s="9">
        <v>0</v>
      </c>
      <c r="CJ360" s="9"/>
      <c r="CK360" s="9"/>
      <c r="CL360" s="9" t="s">
        <v>2062</v>
      </c>
      <c r="CM360" s="9"/>
      <c r="CN360" s="9">
        <v>0</v>
      </c>
      <c r="CO360" s="9" t="s">
        <v>1925</v>
      </c>
      <c r="CP360" s="9"/>
      <c r="CQ360" s="9">
        <v>0</v>
      </c>
    </row>
    <row r="361" spans="1:95" x14ac:dyDescent="0.35">
      <c r="A361" s="9" t="b">
        <f>ISNUMBER(MATCH(Claude[[#This Row],[Id]],ChargentOrders[Id],0))</f>
        <v>1</v>
      </c>
      <c r="B361" t="b">
        <f>INDEX(ChargentOrders[VALIDO],MATCH(Claude[[#This Row],[Id]],ChargentOrders[Id],0))</f>
        <v>1</v>
      </c>
      <c r="C361">
        <f>INDEX(Contract[CB_Subscription__c],MATCH(Claude[[#This Row],[Contract__c]],Contract[Id],0))</f>
        <v>0</v>
      </c>
      <c r="D361" s="9" t="s">
        <v>1134</v>
      </c>
      <c r="E361" s="9" t="s">
        <v>79</v>
      </c>
      <c r="F361" s="9">
        <v>0</v>
      </c>
      <c r="G361" s="9" t="s">
        <v>1135</v>
      </c>
      <c r="H361" s="9">
        <v>46142.419606481482</v>
      </c>
      <c r="I361" s="9" t="s">
        <v>65</v>
      </c>
      <c r="J361" s="9">
        <v>46170.423750000002</v>
      </c>
      <c r="K361" s="9" t="s">
        <v>65</v>
      </c>
      <c r="L361" s="9">
        <v>46170.423750000002</v>
      </c>
      <c r="M361" s="9"/>
      <c r="N361" s="9" t="s">
        <v>1629</v>
      </c>
      <c r="O361" s="9" t="s">
        <v>2032</v>
      </c>
      <c r="P361" s="9" t="s">
        <v>2033</v>
      </c>
      <c r="Q361" s="9" t="s">
        <v>1925</v>
      </c>
      <c r="R361" s="9" t="s">
        <v>1627</v>
      </c>
      <c r="S361" s="9" t="s">
        <v>1949</v>
      </c>
      <c r="T361" s="9" t="s">
        <v>2034</v>
      </c>
      <c r="U361" s="9" t="s">
        <v>1928</v>
      </c>
      <c r="V361" s="9">
        <v>754</v>
      </c>
      <c r="W361" s="9">
        <v>7</v>
      </c>
      <c r="X361" s="9">
        <v>2028</v>
      </c>
      <c r="Y361" s="9">
        <v>6818</v>
      </c>
      <c r="Z361" s="9">
        <v>7</v>
      </c>
      <c r="AA361" s="9">
        <v>4870388115256810</v>
      </c>
      <c r="AB361" s="9" t="s">
        <v>73</v>
      </c>
      <c r="AC361" s="9">
        <v>2028</v>
      </c>
      <c r="AD361" s="9" t="s">
        <v>1952</v>
      </c>
      <c r="AE361" s="9"/>
      <c r="AF361" s="9" t="s">
        <v>1929</v>
      </c>
      <c r="AG361" s="9"/>
      <c r="AH361" s="9" t="s">
        <v>67</v>
      </c>
      <c r="AI361" s="9">
        <v>0</v>
      </c>
      <c r="AJ361" s="9"/>
      <c r="AK361" s="9">
        <v>0</v>
      </c>
      <c r="AL361" s="9" t="s">
        <v>1930</v>
      </c>
      <c r="AM361" s="9">
        <v>1</v>
      </c>
      <c r="AN361" s="9">
        <v>46170</v>
      </c>
      <c r="AO361" s="9" t="s">
        <v>1931</v>
      </c>
      <c r="AP361" s="9" t="s">
        <v>69</v>
      </c>
      <c r="AQ361" s="9" t="s">
        <v>1932</v>
      </c>
      <c r="AR361" s="9">
        <v>46170</v>
      </c>
      <c r="AS361" s="9" t="s">
        <v>74</v>
      </c>
      <c r="AT361" s="9" t="s">
        <v>1935</v>
      </c>
      <c r="AU361" s="9" t="s">
        <v>1952</v>
      </c>
      <c r="AV361" s="9">
        <v>0</v>
      </c>
      <c r="AW361" s="9" t="s">
        <v>92</v>
      </c>
      <c r="AX361" s="9" t="s">
        <v>355</v>
      </c>
      <c r="AY361" s="9">
        <v>0</v>
      </c>
      <c r="AZ361" s="9">
        <v>46170.423645833333</v>
      </c>
      <c r="BA361" s="9">
        <v>46170.423715277779</v>
      </c>
      <c r="BB361" s="9">
        <v>1</v>
      </c>
      <c r="BC361" s="9">
        <v>14</v>
      </c>
      <c r="BD361" s="9" t="s">
        <v>2087</v>
      </c>
      <c r="BE361" s="9" t="s">
        <v>356</v>
      </c>
      <c r="BF361" s="9" t="s">
        <v>71</v>
      </c>
      <c r="BG361" s="9"/>
      <c r="BH361" s="9">
        <v>0</v>
      </c>
      <c r="BI361" s="9"/>
      <c r="BJ361" s="9">
        <v>0</v>
      </c>
      <c r="BK361" s="9" t="s">
        <v>92</v>
      </c>
      <c r="BL361" s="9" t="s">
        <v>92</v>
      </c>
      <c r="BM361" s="9" t="s">
        <v>72</v>
      </c>
      <c r="BN361" s="9"/>
      <c r="BO361" s="9">
        <v>1</v>
      </c>
      <c r="BP361" s="9" t="s">
        <v>1136</v>
      </c>
      <c r="BQ361" s="9">
        <v>0</v>
      </c>
      <c r="BR361" s="9">
        <v>45812.729178240741</v>
      </c>
      <c r="BS361" s="9" t="s">
        <v>109</v>
      </c>
      <c r="BT361" s="9" t="s">
        <v>65</v>
      </c>
      <c r="BU361" s="9"/>
      <c r="BV361" s="9"/>
      <c r="BW361" s="9">
        <v>0</v>
      </c>
      <c r="BX361" s="9">
        <v>46167.426076388889</v>
      </c>
      <c r="BY361" s="9">
        <v>46170.423645833333</v>
      </c>
      <c r="BZ361" s="9"/>
      <c r="CA361" s="9"/>
      <c r="CB361" s="9"/>
      <c r="CC361" s="9"/>
      <c r="CD361" s="9"/>
      <c r="CE361" s="9"/>
      <c r="CF361" s="9"/>
      <c r="CG361" s="9"/>
      <c r="CH361" s="9">
        <v>1</v>
      </c>
      <c r="CI361" s="9">
        <v>0</v>
      </c>
      <c r="CJ361" s="9"/>
      <c r="CK361" s="9"/>
      <c r="CL361" s="9" t="s">
        <v>2035</v>
      </c>
      <c r="CM361" s="9"/>
      <c r="CN361" s="9">
        <v>0</v>
      </c>
      <c r="CO361" s="9" t="s">
        <v>1925</v>
      </c>
      <c r="CP361" s="9"/>
      <c r="CQ361" s="9">
        <v>0</v>
      </c>
    </row>
    <row r="362" spans="1:95" x14ac:dyDescent="0.35">
      <c r="A362" s="9" t="b">
        <f>ISNUMBER(MATCH(Claude[[#This Row],[Id]],ChargentOrders[Id],0))</f>
        <v>1</v>
      </c>
      <c r="B362" t="b">
        <f>INDEX(ChargentOrders[VALIDO],MATCH(Claude[[#This Row],[Id]],ChargentOrders[Id],0))</f>
        <v>1</v>
      </c>
      <c r="C362">
        <f>INDEX(Contract[CB_Subscription__c],MATCH(Claude[[#This Row],[Contract__c]],Contract[Id],0))</f>
        <v>0</v>
      </c>
      <c r="D362" s="9" t="s">
        <v>1137</v>
      </c>
      <c r="E362" s="9" t="s">
        <v>79</v>
      </c>
      <c r="F362" s="9">
        <v>0</v>
      </c>
      <c r="G362" s="9" t="s">
        <v>1138</v>
      </c>
      <c r="H362" s="9">
        <v>46142.419872685183</v>
      </c>
      <c r="I362" s="9" t="s">
        <v>65</v>
      </c>
      <c r="J362" s="9">
        <v>46217.738564814812</v>
      </c>
      <c r="K362" s="9" t="s">
        <v>78</v>
      </c>
      <c r="L362" s="9">
        <v>46217.738564814812</v>
      </c>
      <c r="M362" s="9"/>
      <c r="N362" s="9" t="s">
        <v>1634</v>
      </c>
      <c r="O362" s="9" t="s">
        <v>2037</v>
      </c>
      <c r="P362" s="9" t="s">
        <v>1983</v>
      </c>
      <c r="Q362" s="9" t="s">
        <v>1925</v>
      </c>
      <c r="R362" s="9" t="s">
        <v>1632</v>
      </c>
      <c r="S362" s="9" t="s">
        <v>2038</v>
      </c>
      <c r="T362" s="9" t="s">
        <v>2039</v>
      </c>
      <c r="U362" s="9" t="s">
        <v>1928</v>
      </c>
      <c r="V362" s="9">
        <v>771</v>
      </c>
      <c r="W362" s="9">
        <v>7</v>
      </c>
      <c r="X362" s="9">
        <v>2027</v>
      </c>
      <c r="Y362" s="9">
        <v>233</v>
      </c>
      <c r="Z362" s="9">
        <v>7</v>
      </c>
      <c r="AA362" s="9"/>
      <c r="AB362" s="9" t="s">
        <v>66</v>
      </c>
      <c r="AC362" s="9">
        <v>2027</v>
      </c>
      <c r="AD362" s="9" t="s">
        <v>1952</v>
      </c>
      <c r="AE362" s="9"/>
      <c r="AF362" s="9" t="s">
        <v>1929</v>
      </c>
      <c r="AG362" s="9"/>
      <c r="AH362" s="9" t="s">
        <v>107</v>
      </c>
      <c r="AI362" s="9">
        <v>0</v>
      </c>
      <c r="AJ362" s="9"/>
      <c r="AK362" s="9">
        <v>0</v>
      </c>
      <c r="AL362" s="9" t="s">
        <v>1930</v>
      </c>
      <c r="AM362" s="9">
        <v>1</v>
      </c>
      <c r="AN362" s="9">
        <v>46212</v>
      </c>
      <c r="AO362" s="9" t="s">
        <v>1931</v>
      </c>
      <c r="AP362" s="9" t="s">
        <v>69</v>
      </c>
      <c r="AQ362" s="9" t="s">
        <v>1932</v>
      </c>
      <c r="AR362" s="9">
        <v>46212</v>
      </c>
      <c r="AS362" s="9" t="s">
        <v>84</v>
      </c>
      <c r="AT362" s="9" t="s">
        <v>1935</v>
      </c>
      <c r="AU362" s="9" t="s">
        <v>1952</v>
      </c>
      <c r="AV362" s="9">
        <v>0</v>
      </c>
      <c r="AW362" s="9" t="s">
        <v>92</v>
      </c>
      <c r="AX362" s="9" t="s">
        <v>368</v>
      </c>
      <c r="AY362" s="9">
        <v>0</v>
      </c>
      <c r="AZ362" s="9"/>
      <c r="BA362" s="9"/>
      <c r="BB362" s="9">
        <v>0</v>
      </c>
      <c r="BC362" s="9">
        <v>32</v>
      </c>
      <c r="BD362" s="9">
        <v>0</v>
      </c>
      <c r="BE362" s="9" t="s">
        <v>369</v>
      </c>
      <c r="BF362" s="9" t="s">
        <v>71</v>
      </c>
      <c r="BG362" s="9"/>
      <c r="BH362" s="9">
        <v>0</v>
      </c>
      <c r="BI362" s="9"/>
      <c r="BJ362" s="9"/>
      <c r="BK362" s="9" t="s">
        <v>92</v>
      </c>
      <c r="BL362" s="9" t="s">
        <v>92</v>
      </c>
      <c r="BM362" s="9" t="s">
        <v>72</v>
      </c>
      <c r="BN362" s="9"/>
      <c r="BO362" s="9">
        <v>1</v>
      </c>
      <c r="BP362" s="9" t="s">
        <v>1139</v>
      </c>
      <c r="BQ362" s="9">
        <v>0</v>
      </c>
      <c r="BR362" s="9">
        <v>45849.623969907407</v>
      </c>
      <c r="BS362" s="9" t="s">
        <v>109</v>
      </c>
      <c r="BT362" s="9" t="s">
        <v>65</v>
      </c>
      <c r="BU362" s="9"/>
      <c r="BV362" s="9"/>
      <c r="BW362" s="9">
        <v>0</v>
      </c>
      <c r="BX362" s="9"/>
      <c r="BY362" s="9">
        <v>46209.420358796298</v>
      </c>
      <c r="BZ362" s="9"/>
      <c r="CA362" s="9"/>
      <c r="CB362" s="9"/>
      <c r="CC362" s="9"/>
      <c r="CD362" s="9"/>
      <c r="CE362" s="9"/>
      <c r="CF362" s="9"/>
      <c r="CG362" s="9"/>
      <c r="CH362" s="9">
        <v>1</v>
      </c>
      <c r="CI362" s="9">
        <v>0</v>
      </c>
      <c r="CJ362" s="9"/>
      <c r="CK362" s="9"/>
      <c r="CL362" s="9" t="s">
        <v>2040</v>
      </c>
      <c r="CM362" s="9"/>
      <c r="CN362" s="9">
        <v>0</v>
      </c>
      <c r="CO362" s="9" t="s">
        <v>1925</v>
      </c>
      <c r="CP362" s="9"/>
      <c r="CQ362" s="9">
        <v>0</v>
      </c>
    </row>
    <row r="363" spans="1:95" x14ac:dyDescent="0.35">
      <c r="A363" s="9" t="b">
        <f>ISNUMBER(MATCH(Claude[[#This Row],[Id]],ChargentOrders[Id],0))</f>
        <v>1</v>
      </c>
      <c r="B363" t="b">
        <f>INDEX(ChargentOrders[VALIDO],MATCH(Claude[[#This Row],[Id]],ChargentOrders[Id],0))</f>
        <v>1</v>
      </c>
      <c r="C363">
        <f>INDEX(Contract[CB_Subscription__c],MATCH(Claude[[#This Row],[Contract__c]],Contract[Id],0))</f>
        <v>0</v>
      </c>
      <c r="D363" s="9" t="s">
        <v>1140</v>
      </c>
      <c r="E363" s="9" t="s">
        <v>81</v>
      </c>
      <c r="F363" s="9">
        <v>0</v>
      </c>
      <c r="G363" s="9" t="s">
        <v>1141</v>
      </c>
      <c r="H363" s="9">
        <v>46142.420011574075</v>
      </c>
      <c r="I363" s="9" t="s">
        <v>65</v>
      </c>
      <c r="J363" s="9">
        <v>46217.738564814812</v>
      </c>
      <c r="K363" s="9" t="s">
        <v>78</v>
      </c>
      <c r="L363" s="9">
        <v>46217.738564814812</v>
      </c>
      <c r="M363" s="9"/>
      <c r="N363" s="9" t="s">
        <v>1639</v>
      </c>
      <c r="O363" s="9" t="s">
        <v>2043</v>
      </c>
      <c r="P363" s="9" t="s">
        <v>2044</v>
      </c>
      <c r="Q363" s="9" t="s">
        <v>1925</v>
      </c>
      <c r="R363" s="9" t="s">
        <v>1637</v>
      </c>
      <c r="S363" s="9" t="s">
        <v>2045</v>
      </c>
      <c r="T363" s="9" t="s">
        <v>2046</v>
      </c>
      <c r="U363" s="9" t="s">
        <v>1928</v>
      </c>
      <c r="V363" s="9">
        <v>725</v>
      </c>
      <c r="W363" s="9">
        <v>6</v>
      </c>
      <c r="X363" s="9">
        <v>2029</v>
      </c>
      <c r="Y363" s="9">
        <v>3025</v>
      </c>
      <c r="Z363" s="9">
        <v>6</v>
      </c>
      <c r="AA363" s="9">
        <v>3025</v>
      </c>
      <c r="AB363" s="9" t="s">
        <v>66</v>
      </c>
      <c r="AC363" s="9">
        <v>2029</v>
      </c>
      <c r="AD363" s="9" t="s">
        <v>1952</v>
      </c>
      <c r="AE363" s="9"/>
      <c r="AF363" s="9" t="s">
        <v>1929</v>
      </c>
      <c r="AG363" s="9"/>
      <c r="AH363" s="9" t="s">
        <v>67</v>
      </c>
      <c r="AI363" s="9">
        <v>0</v>
      </c>
      <c r="AJ363" s="9"/>
      <c r="AK363" s="9">
        <v>0</v>
      </c>
      <c r="AL363" s="9" t="s">
        <v>1930</v>
      </c>
      <c r="AM363" s="9">
        <v>1</v>
      </c>
      <c r="AN363" s="9">
        <v>46212</v>
      </c>
      <c r="AO363" s="9" t="s">
        <v>1931</v>
      </c>
      <c r="AP363" s="9" t="s">
        <v>69</v>
      </c>
      <c r="AQ363" s="9" t="s">
        <v>1932</v>
      </c>
      <c r="AR363" s="9">
        <v>46212</v>
      </c>
      <c r="AS363" s="9" t="s">
        <v>84</v>
      </c>
      <c r="AT363" s="9" t="s">
        <v>1935</v>
      </c>
      <c r="AU363" s="9" t="s">
        <v>1952</v>
      </c>
      <c r="AV363" s="9">
        <v>0</v>
      </c>
      <c r="AW363" s="9" t="s">
        <v>92</v>
      </c>
      <c r="AX363" s="9" t="s">
        <v>377</v>
      </c>
      <c r="AY363" s="9">
        <v>0</v>
      </c>
      <c r="AZ363" s="9"/>
      <c r="BA363" s="9"/>
      <c r="BB363" s="9">
        <v>0</v>
      </c>
      <c r="BC363" s="9">
        <v>30</v>
      </c>
      <c r="BD363" s="9">
        <v>0</v>
      </c>
      <c r="BE363" s="9" t="s">
        <v>378</v>
      </c>
      <c r="BF363" s="9" t="s">
        <v>71</v>
      </c>
      <c r="BG363" s="9"/>
      <c r="BH363" s="9">
        <v>0</v>
      </c>
      <c r="BI363" s="9"/>
      <c r="BJ363" s="9"/>
      <c r="BK363" s="9" t="s">
        <v>92</v>
      </c>
      <c r="BL363" s="9" t="s">
        <v>92</v>
      </c>
      <c r="BM363" s="9" t="s">
        <v>72</v>
      </c>
      <c r="BN363" s="9"/>
      <c r="BO363" s="9">
        <v>1</v>
      </c>
      <c r="BP363" s="9" t="s">
        <v>1142</v>
      </c>
      <c r="BQ363" s="9">
        <v>0</v>
      </c>
      <c r="BR363" s="9">
        <v>45864.41710648148</v>
      </c>
      <c r="BS363" s="9" t="s">
        <v>109</v>
      </c>
      <c r="BT363" s="9" t="s">
        <v>65</v>
      </c>
      <c r="BU363" s="9"/>
      <c r="BV363" s="9"/>
      <c r="BW363" s="9">
        <v>0</v>
      </c>
      <c r="BX363" s="9">
        <v>46209.420370370368</v>
      </c>
      <c r="BY363" s="9">
        <v>46209.420370370368</v>
      </c>
      <c r="BZ363" s="9"/>
      <c r="CA363" s="9"/>
      <c r="CB363" s="9"/>
      <c r="CC363" s="9"/>
      <c r="CD363" s="9"/>
      <c r="CE363" s="9"/>
      <c r="CF363" s="9"/>
      <c r="CG363" s="9"/>
      <c r="CH363" s="9">
        <v>1</v>
      </c>
      <c r="CI363" s="9">
        <v>0</v>
      </c>
      <c r="CJ363" s="9"/>
      <c r="CK363" s="9"/>
      <c r="CL363" s="9" t="s">
        <v>2047</v>
      </c>
      <c r="CM363" s="9"/>
      <c r="CN363" s="9">
        <v>0</v>
      </c>
      <c r="CO363" s="9" t="s">
        <v>1925</v>
      </c>
      <c r="CP363" s="9"/>
      <c r="CQ363" s="9">
        <v>0</v>
      </c>
    </row>
    <row r="364" spans="1:95" x14ac:dyDescent="0.35">
      <c r="A364" s="9" t="b">
        <f>ISNUMBER(MATCH(Claude[[#This Row],[Id]],ChargentOrders[Id],0))</f>
        <v>1</v>
      </c>
      <c r="B364" t="b">
        <f>INDEX(ChargentOrders[VALIDO],MATCH(Claude[[#This Row],[Id]],ChargentOrders[Id],0))</f>
        <v>1</v>
      </c>
      <c r="C364">
        <f>INDEX(Contract[CB_Subscription__c],MATCH(Claude[[#This Row],[Contract__c]],Contract[Id],0))</f>
        <v>0</v>
      </c>
      <c r="D364" s="9" t="s">
        <v>1143</v>
      </c>
      <c r="E364" s="9" t="s">
        <v>79</v>
      </c>
      <c r="F364" s="9">
        <v>0</v>
      </c>
      <c r="G364" s="9" t="s">
        <v>1144</v>
      </c>
      <c r="H364" s="9">
        <v>46142.420011574075</v>
      </c>
      <c r="I364" s="9" t="s">
        <v>65</v>
      </c>
      <c r="J364" s="9">
        <v>46217.738564814812</v>
      </c>
      <c r="K364" s="9" t="s">
        <v>78</v>
      </c>
      <c r="L364" s="9">
        <v>46217.738564814812</v>
      </c>
      <c r="M364" s="9"/>
      <c r="N364" s="9" t="s">
        <v>1644</v>
      </c>
      <c r="O364" s="9" t="s">
        <v>2052</v>
      </c>
      <c r="P364" s="9" t="s">
        <v>2053</v>
      </c>
      <c r="Q364" s="9" t="s">
        <v>1925</v>
      </c>
      <c r="R364" s="9" t="s">
        <v>1642</v>
      </c>
      <c r="S364" s="9" t="s">
        <v>2054</v>
      </c>
      <c r="T364" s="9" t="s">
        <v>2055</v>
      </c>
      <c r="U364" s="9" t="s">
        <v>1928</v>
      </c>
      <c r="V364" s="9">
        <v>738</v>
      </c>
      <c r="W364" s="9">
        <v>1</v>
      </c>
      <c r="X364" s="9">
        <v>2027</v>
      </c>
      <c r="Y364" s="9">
        <v>2506</v>
      </c>
      <c r="Z364" s="9">
        <v>1</v>
      </c>
      <c r="AA364" s="9">
        <v>2506</v>
      </c>
      <c r="AB364" s="9" t="s">
        <v>73</v>
      </c>
      <c r="AC364" s="9">
        <v>2027</v>
      </c>
      <c r="AD364" s="9" t="s">
        <v>1952</v>
      </c>
      <c r="AE364" s="9"/>
      <c r="AF364" s="9" t="s">
        <v>1929</v>
      </c>
      <c r="AG364" s="9"/>
      <c r="AH364" s="9" t="s">
        <v>67</v>
      </c>
      <c r="AI364" s="9">
        <v>0</v>
      </c>
      <c r="AJ364" s="9"/>
      <c r="AK364" s="9">
        <v>0</v>
      </c>
      <c r="AL364" s="9" t="s">
        <v>1930</v>
      </c>
      <c r="AM364" s="9">
        <v>1</v>
      </c>
      <c r="AN364" s="9">
        <v>46212</v>
      </c>
      <c r="AO364" s="9" t="s">
        <v>1931</v>
      </c>
      <c r="AP364" s="9" t="s">
        <v>69</v>
      </c>
      <c r="AQ364" s="9" t="s">
        <v>1932</v>
      </c>
      <c r="AR364" s="9">
        <v>46212</v>
      </c>
      <c r="AS364" s="9" t="s">
        <v>84</v>
      </c>
      <c r="AT364" s="9" t="s">
        <v>1935</v>
      </c>
      <c r="AU364" s="9" t="s">
        <v>1952</v>
      </c>
      <c r="AV364" s="9">
        <v>0</v>
      </c>
      <c r="AW364" s="9" t="s">
        <v>92</v>
      </c>
      <c r="AX364" s="9" t="s">
        <v>406</v>
      </c>
      <c r="AY364" s="9">
        <v>0</v>
      </c>
      <c r="AZ364" s="9"/>
      <c r="BA364" s="9"/>
      <c r="BB364" s="9">
        <v>0</v>
      </c>
      <c r="BC364" s="9">
        <v>29</v>
      </c>
      <c r="BD364" s="9">
        <v>0</v>
      </c>
      <c r="BE364" s="9" t="s">
        <v>407</v>
      </c>
      <c r="BF364" s="9" t="s">
        <v>71</v>
      </c>
      <c r="BG364" s="9"/>
      <c r="BH364" s="9">
        <v>0</v>
      </c>
      <c r="BI364" s="9"/>
      <c r="BJ364" s="9"/>
      <c r="BK364" s="9" t="s">
        <v>92</v>
      </c>
      <c r="BL364" s="9" t="s">
        <v>92</v>
      </c>
      <c r="BM364" s="9" t="s">
        <v>72</v>
      </c>
      <c r="BN364" s="9"/>
      <c r="BO364" s="9">
        <v>1</v>
      </c>
      <c r="BP364" s="9" t="s">
        <v>1145</v>
      </c>
      <c r="BQ364" s="9">
        <v>0</v>
      </c>
      <c r="BR364" s="9">
        <v>45874.6794212963</v>
      </c>
      <c r="BS364" s="9" t="s">
        <v>109</v>
      </c>
      <c r="BT364" s="9" t="s">
        <v>65</v>
      </c>
      <c r="BU364" s="9"/>
      <c r="BV364" s="9"/>
      <c r="BW364" s="9">
        <v>0</v>
      </c>
      <c r="BX364" s="9">
        <v>46209.420381944445</v>
      </c>
      <c r="BY364" s="9">
        <v>46209.420381944445</v>
      </c>
      <c r="BZ364" s="9"/>
      <c r="CA364" s="9"/>
      <c r="CB364" s="9"/>
      <c r="CC364" s="9"/>
      <c r="CD364" s="9"/>
      <c r="CE364" s="9"/>
      <c r="CF364" s="9"/>
      <c r="CG364" s="9"/>
      <c r="CH364" s="9">
        <v>1</v>
      </c>
      <c r="CI364" s="9">
        <v>0</v>
      </c>
      <c r="CJ364" s="9"/>
      <c r="CK364" s="9"/>
      <c r="CL364" s="9" t="s">
        <v>2056</v>
      </c>
      <c r="CM364" s="9"/>
      <c r="CN364" s="9">
        <v>0</v>
      </c>
      <c r="CO364" s="9" t="s">
        <v>1925</v>
      </c>
      <c r="CP364" s="9"/>
      <c r="CQ364" s="9">
        <v>0</v>
      </c>
    </row>
    <row r="365" spans="1:95" x14ac:dyDescent="0.35">
      <c r="A365" s="9" t="b">
        <f>ISNUMBER(MATCH(Claude[[#This Row],[Id]],ChargentOrders[Id],0))</f>
        <v>1</v>
      </c>
      <c r="B365" t="b">
        <f>INDEX(ChargentOrders[VALIDO],MATCH(Claude[[#This Row],[Id]],ChargentOrders[Id],0))</f>
        <v>1</v>
      </c>
      <c r="C365">
        <f>INDEX(Contract[CB_Subscription__c],MATCH(Claude[[#This Row],[Contract__c]],Contract[Id],0))</f>
        <v>0</v>
      </c>
      <c r="D365" s="9" t="s">
        <v>1146</v>
      </c>
      <c r="E365" s="9" t="s">
        <v>79</v>
      </c>
      <c r="F365" s="9">
        <v>0</v>
      </c>
      <c r="G365" s="9" t="s">
        <v>1147</v>
      </c>
      <c r="H365" s="9">
        <v>46142.420810185184</v>
      </c>
      <c r="I365" s="9" t="s">
        <v>65</v>
      </c>
      <c r="J365" s="9">
        <v>46217.738564814812</v>
      </c>
      <c r="K365" s="9" t="s">
        <v>78</v>
      </c>
      <c r="L365" s="9">
        <v>46217.738564814812</v>
      </c>
      <c r="M365" s="9"/>
      <c r="N365" s="9" t="s">
        <v>1659</v>
      </c>
      <c r="O365" s="9" t="s">
        <v>2074</v>
      </c>
      <c r="P365" s="9" t="s">
        <v>2066</v>
      </c>
      <c r="Q365" s="9" t="s">
        <v>1925</v>
      </c>
      <c r="R365" s="9" t="s">
        <v>1657</v>
      </c>
      <c r="S365" s="9" t="s">
        <v>2075</v>
      </c>
      <c r="T365" s="9" t="s">
        <v>2076</v>
      </c>
      <c r="U365" s="9" t="s">
        <v>1928</v>
      </c>
      <c r="V365" s="9">
        <v>956</v>
      </c>
      <c r="W365" s="9">
        <v>9</v>
      </c>
      <c r="X365" s="9">
        <v>2030</v>
      </c>
      <c r="Y365" s="9">
        <v>4428</v>
      </c>
      <c r="Z365" s="9">
        <v>9</v>
      </c>
      <c r="AA365" s="9">
        <v>4428</v>
      </c>
      <c r="AB365" s="9" t="s">
        <v>73</v>
      </c>
      <c r="AC365" s="9">
        <v>2030</v>
      </c>
      <c r="AD365" s="9" t="s">
        <v>2101</v>
      </c>
      <c r="AE365" s="9"/>
      <c r="AF365" s="9" t="s">
        <v>1929</v>
      </c>
      <c r="AG365" s="9"/>
      <c r="AH365" s="9" t="s">
        <v>67</v>
      </c>
      <c r="AI365" s="9">
        <v>0</v>
      </c>
      <c r="AJ365" s="9"/>
      <c r="AK365" s="9">
        <v>0</v>
      </c>
      <c r="AL365" s="9" t="s">
        <v>1930</v>
      </c>
      <c r="AM365" s="9">
        <v>1</v>
      </c>
      <c r="AN365" s="9">
        <v>46212</v>
      </c>
      <c r="AO365" s="9" t="s">
        <v>1931</v>
      </c>
      <c r="AP365" s="9" t="s">
        <v>69</v>
      </c>
      <c r="AQ365" s="9" t="s">
        <v>1932</v>
      </c>
      <c r="AR365" s="9">
        <v>46212</v>
      </c>
      <c r="AS365" s="9" t="s">
        <v>84</v>
      </c>
      <c r="AT365" s="9" t="s">
        <v>1935</v>
      </c>
      <c r="AU365" s="9" t="s">
        <v>2101</v>
      </c>
      <c r="AV365" s="9">
        <v>0</v>
      </c>
      <c r="AW365" s="9" t="s">
        <v>92</v>
      </c>
      <c r="AX365" s="9" t="s">
        <v>479</v>
      </c>
      <c r="AY365" s="9">
        <v>0</v>
      </c>
      <c r="AZ365" s="9"/>
      <c r="BA365" s="9"/>
      <c r="BB365" s="9">
        <v>0</v>
      </c>
      <c r="BC365" s="9">
        <v>35</v>
      </c>
      <c r="BD365" s="9">
        <v>0</v>
      </c>
      <c r="BE365" s="9" t="s">
        <v>480</v>
      </c>
      <c r="BF365" s="9" t="s">
        <v>71</v>
      </c>
      <c r="BG365" s="9"/>
      <c r="BH365" s="9">
        <v>0</v>
      </c>
      <c r="BI365" s="9"/>
      <c r="BJ365" s="9"/>
      <c r="BK365" s="9" t="s">
        <v>92</v>
      </c>
      <c r="BL365" s="9" t="s">
        <v>92</v>
      </c>
      <c r="BM365" s="9" t="s">
        <v>72</v>
      </c>
      <c r="BN365" s="9"/>
      <c r="BO365" s="9">
        <v>1</v>
      </c>
      <c r="BP365" s="9" t="s">
        <v>1148</v>
      </c>
      <c r="BQ365" s="9">
        <v>0</v>
      </c>
      <c r="BR365" s="9">
        <v>45944.639537037037</v>
      </c>
      <c r="BS365" s="9" t="s">
        <v>109</v>
      </c>
      <c r="BT365" s="9" t="s">
        <v>65</v>
      </c>
      <c r="BU365" s="9"/>
      <c r="BV365" s="9"/>
      <c r="BW365" s="9">
        <v>0</v>
      </c>
      <c r="BX365" s="9">
        <v>46209.420393518521</v>
      </c>
      <c r="BY365" s="9">
        <v>46209.420393518521</v>
      </c>
      <c r="BZ365" s="9"/>
      <c r="CA365" s="9"/>
      <c r="CB365" s="9"/>
      <c r="CC365" s="9"/>
      <c r="CD365" s="9"/>
      <c r="CE365" s="9"/>
      <c r="CF365" s="9"/>
      <c r="CG365" s="9"/>
      <c r="CH365" s="9">
        <v>1</v>
      </c>
      <c r="CI365" s="9">
        <v>0</v>
      </c>
      <c r="CJ365" s="9"/>
      <c r="CK365" s="9"/>
      <c r="CL365" s="9" t="s">
        <v>2077</v>
      </c>
      <c r="CM365" s="9"/>
      <c r="CN365" s="9">
        <v>0</v>
      </c>
      <c r="CO365" s="9" t="s">
        <v>1925</v>
      </c>
      <c r="CP365" s="9"/>
      <c r="CQ365" s="9">
        <v>0</v>
      </c>
    </row>
    <row r="366" spans="1:95" x14ac:dyDescent="0.35">
      <c r="A366" s="9" t="b">
        <f>ISNUMBER(MATCH(Claude[[#This Row],[Id]],ChargentOrders[Id],0))</f>
        <v>1</v>
      </c>
      <c r="B366" t="b">
        <f>INDEX(ChargentOrders[VALIDO],MATCH(Claude[[#This Row],[Id]],ChargentOrders[Id],0))</f>
        <v>1</v>
      </c>
      <c r="C366">
        <f>INDEX(Contract[CB_Subscription__c],MATCH(Claude[[#This Row],[Contract__c]],Contract[Id],0))</f>
        <v>0</v>
      </c>
      <c r="D366" s="9" t="s">
        <v>1149</v>
      </c>
      <c r="E366" s="9" t="s">
        <v>81</v>
      </c>
      <c r="F366" s="9">
        <v>0</v>
      </c>
      <c r="G366" s="9" t="s">
        <v>1150</v>
      </c>
      <c r="H366" s="9">
        <v>46142.421886574077</v>
      </c>
      <c r="I366" s="9" t="s">
        <v>65</v>
      </c>
      <c r="J366" s="9">
        <v>46217.004467592589</v>
      </c>
      <c r="K366" s="9" t="s">
        <v>101</v>
      </c>
      <c r="L366" s="9">
        <v>46217.004467592589</v>
      </c>
      <c r="M366" s="9"/>
      <c r="N366" s="9" t="s">
        <v>1669</v>
      </c>
      <c r="O366" s="9" t="s">
        <v>2090</v>
      </c>
      <c r="P366" s="9" t="s">
        <v>2027</v>
      </c>
      <c r="Q366" s="9" t="s">
        <v>1925</v>
      </c>
      <c r="R366" s="9" t="s">
        <v>1667</v>
      </c>
      <c r="S366" s="9" t="s">
        <v>2091</v>
      </c>
      <c r="T366" s="9" t="s">
        <v>2092</v>
      </c>
      <c r="U366" s="9" t="s">
        <v>1928</v>
      </c>
      <c r="V366" s="9">
        <v>603</v>
      </c>
      <c r="W366" s="9">
        <v>10</v>
      </c>
      <c r="X366" s="9">
        <v>2029</v>
      </c>
      <c r="Y366" s="9">
        <v>1120</v>
      </c>
      <c r="Z366" s="9">
        <v>10</v>
      </c>
      <c r="AA366" s="9">
        <v>4549518508501120</v>
      </c>
      <c r="AB366" s="9" t="s">
        <v>73</v>
      </c>
      <c r="AC366" s="9">
        <v>2029</v>
      </c>
      <c r="AD366" s="9" t="s">
        <v>95</v>
      </c>
      <c r="AE366" s="9"/>
      <c r="AF366" s="9" t="s">
        <v>1929</v>
      </c>
      <c r="AG366" s="9"/>
      <c r="AH366" s="9" t="s">
        <v>67</v>
      </c>
      <c r="AI366" s="9">
        <v>0</v>
      </c>
      <c r="AJ366" s="9"/>
      <c r="AK366" s="9">
        <v>0</v>
      </c>
      <c r="AL366" s="9" t="s">
        <v>1930</v>
      </c>
      <c r="AM366" s="9" t="s">
        <v>1958</v>
      </c>
      <c r="AN366" s="9">
        <v>46212</v>
      </c>
      <c r="AO366" s="9" t="s">
        <v>1931</v>
      </c>
      <c r="AP366" s="9" t="s">
        <v>69</v>
      </c>
      <c r="AQ366" s="9" t="s">
        <v>1932</v>
      </c>
      <c r="AR366" s="9">
        <v>46212</v>
      </c>
      <c r="AS366" s="9" t="s">
        <v>90</v>
      </c>
      <c r="AT366" s="9" t="s">
        <v>1935</v>
      </c>
      <c r="AU366" s="9" t="s">
        <v>2101</v>
      </c>
      <c r="AV366" s="9">
        <v>0</v>
      </c>
      <c r="AW366" s="9" t="s">
        <v>93</v>
      </c>
      <c r="AX366" s="9" t="s">
        <v>515</v>
      </c>
      <c r="AY366" s="9">
        <v>0</v>
      </c>
      <c r="AZ366" s="9"/>
      <c r="BA366" s="9"/>
      <c r="BB366" s="9">
        <v>0</v>
      </c>
      <c r="BC366" s="9">
        <v>30</v>
      </c>
      <c r="BD366" s="9">
        <v>0</v>
      </c>
      <c r="BE366" s="9" t="s">
        <v>516</v>
      </c>
      <c r="BF366" s="9" t="s">
        <v>71</v>
      </c>
      <c r="BG366" s="9"/>
      <c r="BH366" s="9">
        <v>0</v>
      </c>
      <c r="BI366" s="9"/>
      <c r="BJ366" s="9"/>
      <c r="BK366" s="9" t="s">
        <v>92</v>
      </c>
      <c r="BL366" s="9" t="s">
        <v>92</v>
      </c>
      <c r="BM366" s="9" t="s">
        <v>72</v>
      </c>
      <c r="BN366" s="9"/>
      <c r="BO366" s="9">
        <v>1</v>
      </c>
      <c r="BP366" s="9" t="s">
        <v>1151</v>
      </c>
      <c r="BQ366" s="9">
        <v>0</v>
      </c>
      <c r="BR366" s="9">
        <v>45982.878946759258</v>
      </c>
      <c r="BS366" s="9" t="s">
        <v>109</v>
      </c>
      <c r="BT366" s="9" t="s">
        <v>65</v>
      </c>
      <c r="BU366" s="9"/>
      <c r="BV366" s="9"/>
      <c r="BW366" s="9">
        <v>0</v>
      </c>
      <c r="BX366" s="9">
        <v>46217.00445601852</v>
      </c>
      <c r="BY366" s="9">
        <v>46217.00445601852</v>
      </c>
      <c r="BZ366" s="9"/>
      <c r="CA366" s="9"/>
      <c r="CB366" s="9"/>
      <c r="CC366" s="9"/>
      <c r="CD366" s="9"/>
      <c r="CE366" s="9"/>
      <c r="CF366" s="9"/>
      <c r="CG366" s="9"/>
      <c r="CH366" s="9">
        <v>1</v>
      </c>
      <c r="CI366" s="9">
        <v>0</v>
      </c>
      <c r="CJ366" s="9"/>
      <c r="CK366" s="9"/>
      <c r="CL366" s="9" t="s">
        <v>2093</v>
      </c>
      <c r="CM366" s="9"/>
      <c r="CN366" s="9">
        <v>0</v>
      </c>
      <c r="CO366" s="9" t="s">
        <v>1925</v>
      </c>
      <c r="CP366" s="9"/>
      <c r="CQ366" s="9">
        <v>0</v>
      </c>
    </row>
    <row r="367" spans="1:95" x14ac:dyDescent="0.35">
      <c r="A367" s="9" t="b">
        <f>ISNUMBER(MATCH(Claude[[#This Row],[Id]],ChargentOrders[Id],0))</f>
        <v>1</v>
      </c>
      <c r="B367" t="b">
        <f>INDEX(ChargentOrders[VALIDO],MATCH(Claude[[#This Row],[Id]],ChargentOrders[Id],0))</f>
        <v>1</v>
      </c>
      <c r="C367">
        <f>INDEX(Contract[CB_Subscription__c],MATCH(Claude[[#This Row],[Contract__c]],Contract[Id],0))</f>
        <v>0</v>
      </c>
      <c r="D367" s="9" t="s">
        <v>1152</v>
      </c>
      <c r="E367" s="9" t="s">
        <v>81</v>
      </c>
      <c r="F367" s="9">
        <v>0</v>
      </c>
      <c r="G367" s="9" t="s">
        <v>1153</v>
      </c>
      <c r="H367" s="9">
        <v>46142.424259259256</v>
      </c>
      <c r="I367" s="9" t="s">
        <v>65</v>
      </c>
      <c r="J367" s="9">
        <v>46143.956203703703</v>
      </c>
      <c r="K367" s="9" t="s">
        <v>101</v>
      </c>
      <c r="L367" s="9">
        <v>46143.956203703703</v>
      </c>
      <c r="M367" s="9"/>
      <c r="N367" s="9" t="s">
        <v>1718</v>
      </c>
      <c r="O367" s="9" t="s">
        <v>2142</v>
      </c>
      <c r="P367" s="9" t="s">
        <v>2143</v>
      </c>
      <c r="Q367" s="9" t="s">
        <v>1925</v>
      </c>
      <c r="R367" s="9" t="s">
        <v>1716</v>
      </c>
      <c r="S367" s="9" t="s">
        <v>2144</v>
      </c>
      <c r="T367" s="9" t="s">
        <v>2145</v>
      </c>
      <c r="U367" s="9" t="s">
        <v>1928</v>
      </c>
      <c r="V367" s="9">
        <v>641</v>
      </c>
      <c r="W367" s="9">
        <v>8</v>
      </c>
      <c r="X367" s="9">
        <v>2030</v>
      </c>
      <c r="Y367" s="9">
        <v>9728</v>
      </c>
      <c r="Z367" s="9">
        <v>8</v>
      </c>
      <c r="AA367" s="9">
        <v>4549525023689720</v>
      </c>
      <c r="AB367" s="9" t="s">
        <v>73</v>
      </c>
      <c r="AC367" s="9">
        <v>2030</v>
      </c>
      <c r="AD367" s="9" t="s">
        <v>2254</v>
      </c>
      <c r="AE367" s="9"/>
      <c r="AF367" s="9" t="s">
        <v>1929</v>
      </c>
      <c r="AG367" s="9"/>
      <c r="AH367" s="9" t="s">
        <v>98</v>
      </c>
      <c r="AI367" s="9">
        <v>0</v>
      </c>
      <c r="AJ367" s="9"/>
      <c r="AK367" s="9">
        <v>0</v>
      </c>
      <c r="AL367" s="9" t="s">
        <v>1930</v>
      </c>
      <c r="AM367" s="9">
        <v>1</v>
      </c>
      <c r="AN367" s="9">
        <v>46143</v>
      </c>
      <c r="AO367" s="9" t="s">
        <v>1931</v>
      </c>
      <c r="AP367" s="9" t="s">
        <v>69</v>
      </c>
      <c r="AQ367" s="9" t="s">
        <v>1932</v>
      </c>
      <c r="AR367" s="9">
        <v>46146</v>
      </c>
      <c r="AS367" s="9" t="s">
        <v>74</v>
      </c>
      <c r="AT367" s="9" t="s">
        <v>1935</v>
      </c>
      <c r="AU367" s="9" t="s">
        <v>2253</v>
      </c>
      <c r="AV367" s="9">
        <v>0</v>
      </c>
      <c r="AW367" s="9" t="s">
        <v>93</v>
      </c>
      <c r="AX367" s="9">
        <v>7.6599600037667296E+21</v>
      </c>
      <c r="AY367" s="9">
        <v>0</v>
      </c>
      <c r="AZ367" s="9">
        <v>46143.956180555557</v>
      </c>
      <c r="BA367" s="9">
        <v>46143.956180555557</v>
      </c>
      <c r="BB367" s="9">
        <v>1</v>
      </c>
      <c r="BC367" s="9">
        <v>2</v>
      </c>
      <c r="BD367" s="9" t="s">
        <v>2254</v>
      </c>
      <c r="BE367" s="9" t="s">
        <v>631</v>
      </c>
      <c r="BF367" s="9" t="s">
        <v>71</v>
      </c>
      <c r="BG367" s="9"/>
      <c r="BH367" s="9">
        <v>0</v>
      </c>
      <c r="BI367" s="9"/>
      <c r="BJ367" s="9">
        <v>0</v>
      </c>
      <c r="BK367" s="9" t="s">
        <v>92</v>
      </c>
      <c r="BL367" s="9" t="s">
        <v>92</v>
      </c>
      <c r="BM367" s="9" t="s">
        <v>72</v>
      </c>
      <c r="BN367" s="9"/>
      <c r="BO367" s="9">
        <v>1</v>
      </c>
      <c r="BP367" s="9" t="s">
        <v>1154</v>
      </c>
      <c r="BQ367" s="9">
        <v>0</v>
      </c>
      <c r="BR367" s="9">
        <v>46017.42900462963</v>
      </c>
      <c r="BS367" s="9" t="s">
        <v>109</v>
      </c>
      <c r="BT367" s="9" t="s">
        <v>65</v>
      </c>
      <c r="BU367" s="9"/>
      <c r="BV367" s="9"/>
      <c r="BW367" s="9">
        <v>0</v>
      </c>
      <c r="BX367" s="9">
        <v>46142.971493055556</v>
      </c>
      <c r="BY367" s="9">
        <v>46143.956180555557</v>
      </c>
      <c r="BZ367" s="9"/>
      <c r="CA367" s="9"/>
      <c r="CB367" s="9"/>
      <c r="CC367" s="9"/>
      <c r="CD367" s="9"/>
      <c r="CE367" s="9"/>
      <c r="CF367" s="9"/>
      <c r="CG367" s="9"/>
      <c r="CH367" s="9">
        <v>1</v>
      </c>
      <c r="CI367" s="9">
        <v>0</v>
      </c>
      <c r="CJ367" s="9"/>
      <c r="CK367" s="9"/>
      <c r="CL367" s="9" t="s">
        <v>2147</v>
      </c>
      <c r="CM367" s="9"/>
      <c r="CN367" s="9">
        <v>0</v>
      </c>
      <c r="CO367" s="9" t="s">
        <v>1925</v>
      </c>
      <c r="CP367" s="9"/>
      <c r="CQ367" s="9"/>
    </row>
    <row r="368" spans="1:95" x14ac:dyDescent="0.35">
      <c r="A368" s="9" t="b">
        <f>ISNUMBER(MATCH(Claude[[#This Row],[Id]],ChargentOrders[Id],0))</f>
        <v>1</v>
      </c>
      <c r="B368" t="b">
        <f>INDEX(ChargentOrders[VALIDO],MATCH(Claude[[#This Row],[Id]],ChargentOrders[Id],0))</f>
        <v>1</v>
      </c>
      <c r="C368">
        <f>INDEX(Contract[CB_Subscription__c],MATCH(Claude[[#This Row],[Contract__c]],Contract[Id],0))</f>
        <v>0</v>
      </c>
      <c r="D368" s="9" t="s">
        <v>1155</v>
      </c>
      <c r="E368" s="9" t="s">
        <v>79</v>
      </c>
      <c r="F368" s="9">
        <v>0</v>
      </c>
      <c r="G368" s="9" t="s">
        <v>1156</v>
      </c>
      <c r="H368" s="9">
        <v>46142.424745370372</v>
      </c>
      <c r="I368" s="9" t="s">
        <v>65</v>
      </c>
      <c r="J368" s="9">
        <v>46217.738564814812</v>
      </c>
      <c r="K368" s="9" t="s">
        <v>78</v>
      </c>
      <c r="L368" s="9">
        <v>46217.738564814812</v>
      </c>
      <c r="M368" s="9"/>
      <c r="N368" s="9" t="s">
        <v>1708</v>
      </c>
      <c r="O368" s="9" t="s">
        <v>2132</v>
      </c>
      <c r="P368" s="9" t="s">
        <v>2066</v>
      </c>
      <c r="Q368" s="9" t="s">
        <v>1925</v>
      </c>
      <c r="R368" s="9" t="s">
        <v>1706</v>
      </c>
      <c r="S368" s="9" t="s">
        <v>2133</v>
      </c>
      <c r="T368" s="9" t="s">
        <v>2134</v>
      </c>
      <c r="U368" s="9" t="s">
        <v>1928</v>
      </c>
      <c r="V368" s="9">
        <v>956</v>
      </c>
      <c r="W368" s="9">
        <v>10</v>
      </c>
      <c r="X368" s="9">
        <v>2030</v>
      </c>
      <c r="Y368" s="9">
        <v>2772</v>
      </c>
      <c r="Z368" s="9">
        <v>10</v>
      </c>
      <c r="AA368" s="9">
        <v>4549519496022770</v>
      </c>
      <c r="AB368" s="9" t="s">
        <v>73</v>
      </c>
      <c r="AC368" s="9">
        <v>2030</v>
      </c>
      <c r="AD368" s="9" t="s">
        <v>1952</v>
      </c>
      <c r="AE368" s="9"/>
      <c r="AF368" s="9" t="s">
        <v>1929</v>
      </c>
      <c r="AG368" s="9"/>
      <c r="AH368" s="9" t="s">
        <v>67</v>
      </c>
      <c r="AI368" s="9">
        <v>0</v>
      </c>
      <c r="AJ368" s="9"/>
      <c r="AK368" s="9">
        <v>0</v>
      </c>
      <c r="AL368" s="9" t="s">
        <v>1930</v>
      </c>
      <c r="AM368" s="9">
        <v>1</v>
      </c>
      <c r="AN368" s="9">
        <v>46212</v>
      </c>
      <c r="AO368" s="9" t="s">
        <v>1931</v>
      </c>
      <c r="AP368" s="9" t="s">
        <v>69</v>
      </c>
      <c r="AQ368" s="9" t="s">
        <v>1932</v>
      </c>
      <c r="AR368" s="9">
        <v>46212</v>
      </c>
      <c r="AS368" s="9" t="s">
        <v>84</v>
      </c>
      <c r="AT368" s="9" t="s">
        <v>1935</v>
      </c>
      <c r="AU368" s="9" t="s">
        <v>1952</v>
      </c>
      <c r="AV368" s="9">
        <v>0</v>
      </c>
      <c r="AW368" s="9" t="s">
        <v>92</v>
      </c>
      <c r="AX368" s="9" t="s">
        <v>616</v>
      </c>
      <c r="AY368" s="9">
        <v>0</v>
      </c>
      <c r="AZ368" s="9"/>
      <c r="BA368" s="9"/>
      <c r="BB368" s="9">
        <v>0</v>
      </c>
      <c r="BC368" s="9">
        <v>29</v>
      </c>
      <c r="BD368" s="9">
        <v>0</v>
      </c>
      <c r="BE368" s="9" t="s">
        <v>617</v>
      </c>
      <c r="BF368" s="9" t="s">
        <v>71</v>
      </c>
      <c r="BG368" s="9"/>
      <c r="BH368" s="9">
        <v>0</v>
      </c>
      <c r="BI368" s="9"/>
      <c r="BJ368" s="9"/>
      <c r="BK368" s="9" t="s">
        <v>92</v>
      </c>
      <c r="BL368" s="9" t="s">
        <v>92</v>
      </c>
      <c r="BM368" s="9" t="s">
        <v>72</v>
      </c>
      <c r="BN368" s="9"/>
      <c r="BO368" s="9">
        <v>1</v>
      </c>
      <c r="BP368" s="9" t="s">
        <v>1157</v>
      </c>
      <c r="BQ368" s="9">
        <v>0</v>
      </c>
      <c r="BR368" s="9">
        <v>46031.426122685189</v>
      </c>
      <c r="BS368" s="9" t="s">
        <v>109</v>
      </c>
      <c r="BT368" s="9" t="s">
        <v>65</v>
      </c>
      <c r="BU368" s="9"/>
      <c r="BV368" s="9"/>
      <c r="BW368" s="9">
        <v>0</v>
      </c>
      <c r="BX368" s="9">
        <v>46209.42050925926</v>
      </c>
      <c r="BY368" s="9">
        <v>46209.42050925926</v>
      </c>
      <c r="BZ368" s="9"/>
      <c r="CA368" s="9"/>
      <c r="CB368" s="9"/>
      <c r="CC368" s="9"/>
      <c r="CD368" s="9"/>
      <c r="CE368" s="9"/>
      <c r="CF368" s="9"/>
      <c r="CG368" s="9"/>
      <c r="CH368" s="9">
        <v>1</v>
      </c>
      <c r="CI368" s="9">
        <v>0</v>
      </c>
      <c r="CJ368" s="9"/>
      <c r="CK368" s="9"/>
      <c r="CL368" s="9" t="s">
        <v>2135</v>
      </c>
      <c r="CM368" s="9"/>
      <c r="CN368" s="9">
        <v>0</v>
      </c>
      <c r="CO368" s="9" t="s">
        <v>1925</v>
      </c>
      <c r="CP368" s="9"/>
      <c r="CQ368" s="9">
        <v>0</v>
      </c>
    </row>
    <row r="369" spans="1:95" x14ac:dyDescent="0.35">
      <c r="A369" s="9" t="b">
        <f>ISNUMBER(MATCH(Claude[[#This Row],[Id]],ChargentOrders[Id],0))</f>
        <v>1</v>
      </c>
      <c r="B369" t="b">
        <f>INDEX(ChargentOrders[VALIDO],MATCH(Claude[[#This Row],[Id]],ChargentOrders[Id],0))</f>
        <v>1</v>
      </c>
      <c r="C369">
        <f>INDEX(Contract[CB_Subscription__c],MATCH(Claude[[#This Row],[Contract__c]],Contract[Id],0))</f>
        <v>0</v>
      </c>
      <c r="D369" s="9" t="s">
        <v>1158</v>
      </c>
      <c r="E369" s="9" t="s">
        <v>81</v>
      </c>
      <c r="F369" s="9">
        <v>0</v>
      </c>
      <c r="G369" s="9" t="s">
        <v>1159</v>
      </c>
      <c r="H369" s="9">
        <v>46142.42559027778</v>
      </c>
      <c r="I369" s="9" t="s">
        <v>65</v>
      </c>
      <c r="J369" s="9">
        <v>46150.431921296295</v>
      </c>
      <c r="K369" s="9" t="s">
        <v>65</v>
      </c>
      <c r="L369" s="9">
        <v>46150.431921296295</v>
      </c>
      <c r="M369" s="9"/>
      <c r="N369" s="9" t="s">
        <v>1758</v>
      </c>
      <c r="O369" s="9" t="s">
        <v>2194</v>
      </c>
      <c r="P369" s="9" t="s">
        <v>2066</v>
      </c>
      <c r="Q369" s="9" t="s">
        <v>1925</v>
      </c>
      <c r="R369" s="9" t="s">
        <v>1756</v>
      </c>
      <c r="S369" s="9" t="s">
        <v>2195</v>
      </c>
      <c r="T369" s="9" t="s">
        <v>2196</v>
      </c>
      <c r="U369" s="9" t="s">
        <v>1928</v>
      </c>
      <c r="V369" s="9">
        <v>956</v>
      </c>
      <c r="W369" s="9">
        <v>12</v>
      </c>
      <c r="X369" s="9">
        <v>2030</v>
      </c>
      <c r="Y369" s="9">
        <v>7054</v>
      </c>
      <c r="Z369" s="9">
        <v>12</v>
      </c>
      <c r="AA369" s="9">
        <v>4549519221367050</v>
      </c>
      <c r="AB369" s="9" t="s">
        <v>73</v>
      </c>
      <c r="AC369" s="9">
        <v>2030</v>
      </c>
      <c r="AD369" s="9" t="s">
        <v>449</v>
      </c>
      <c r="AE369" s="9"/>
      <c r="AF369" s="9" t="s">
        <v>1929</v>
      </c>
      <c r="AG369" s="9"/>
      <c r="AH369" s="9" t="s">
        <v>67</v>
      </c>
      <c r="AI369" s="9">
        <v>0</v>
      </c>
      <c r="AJ369" s="9"/>
      <c r="AK369" s="9">
        <v>0</v>
      </c>
      <c r="AL369" s="9" t="s">
        <v>1930</v>
      </c>
      <c r="AM369" s="9">
        <v>1</v>
      </c>
      <c r="AN369" s="9">
        <v>46150</v>
      </c>
      <c r="AO369" s="9" t="s">
        <v>1931</v>
      </c>
      <c r="AP369" s="9" t="s">
        <v>69</v>
      </c>
      <c r="AQ369" s="9" t="s">
        <v>1932</v>
      </c>
      <c r="AR369" s="9">
        <v>46150</v>
      </c>
      <c r="AS369" s="9" t="s">
        <v>74</v>
      </c>
      <c r="AT369" s="9" t="s">
        <v>1935</v>
      </c>
      <c r="AU369" s="9" t="s">
        <v>449</v>
      </c>
      <c r="AV369" s="9">
        <v>0</v>
      </c>
      <c r="AW369" s="9" t="s">
        <v>92</v>
      </c>
      <c r="AX369" s="9" t="s">
        <v>744</v>
      </c>
      <c r="AY369" s="9">
        <v>0</v>
      </c>
      <c r="AZ369" s="9">
        <v>46150.431828703702</v>
      </c>
      <c r="BA369" s="9">
        <v>46150.431863425925</v>
      </c>
      <c r="BB369" s="9">
        <v>1</v>
      </c>
      <c r="BC369" s="9">
        <v>4</v>
      </c>
      <c r="BD369" s="9" t="s">
        <v>2220</v>
      </c>
      <c r="BE369" s="9" t="s">
        <v>745</v>
      </c>
      <c r="BF369" s="9" t="s">
        <v>71</v>
      </c>
      <c r="BG369" s="9"/>
      <c r="BH369" s="9">
        <v>0</v>
      </c>
      <c r="BI369" s="9"/>
      <c r="BJ369" s="9">
        <v>0</v>
      </c>
      <c r="BK369" s="9" t="s">
        <v>92</v>
      </c>
      <c r="BL369" s="9" t="s">
        <v>92</v>
      </c>
      <c r="BM369" s="9" t="s">
        <v>72</v>
      </c>
      <c r="BN369" s="9"/>
      <c r="BO369" s="9">
        <v>1</v>
      </c>
      <c r="BP369" s="9" t="s">
        <v>1160</v>
      </c>
      <c r="BQ369" s="9">
        <v>0</v>
      </c>
      <c r="BR369" s="9">
        <v>46045.429502314815</v>
      </c>
      <c r="BS369" s="9" t="s">
        <v>109</v>
      </c>
      <c r="BT369" s="9" t="s">
        <v>65</v>
      </c>
      <c r="BU369" s="9"/>
      <c r="BV369" s="9"/>
      <c r="BW369" s="9">
        <v>0</v>
      </c>
      <c r="BX369" s="9">
        <v>46149.430555555555</v>
      </c>
      <c r="BY369" s="9">
        <v>46150.431828703702</v>
      </c>
      <c r="BZ369" s="9"/>
      <c r="CA369" s="9"/>
      <c r="CB369" s="9"/>
      <c r="CC369" s="9"/>
      <c r="CD369" s="9"/>
      <c r="CE369" s="9"/>
      <c r="CF369" s="9"/>
      <c r="CG369" s="9"/>
      <c r="CH369" s="9">
        <v>1</v>
      </c>
      <c r="CI369" s="9">
        <v>0</v>
      </c>
      <c r="CJ369" s="9"/>
      <c r="CK369" s="9"/>
      <c r="CL369" s="9" t="s">
        <v>2197</v>
      </c>
      <c r="CM369" s="9"/>
      <c r="CN369" s="9">
        <v>0</v>
      </c>
      <c r="CO369" s="9" t="s">
        <v>1925</v>
      </c>
      <c r="CP369" s="9"/>
      <c r="CQ369" s="9"/>
    </row>
    <row r="370" spans="1:95" x14ac:dyDescent="0.35">
      <c r="A370" s="9" t="b">
        <f>ISNUMBER(MATCH(Claude[[#This Row],[Id]],ChargentOrders[Id],0))</f>
        <v>1</v>
      </c>
      <c r="B370" t="b">
        <f>INDEX(ChargentOrders[VALIDO],MATCH(Claude[[#This Row],[Id]],ChargentOrders[Id],0))</f>
        <v>1</v>
      </c>
      <c r="C370">
        <f>INDEX(Contract[CB_Subscription__c],MATCH(Claude[[#This Row],[Contract__c]],Contract[Id],0))</f>
        <v>0</v>
      </c>
      <c r="D370" s="9" t="s">
        <v>1161</v>
      </c>
      <c r="E370" s="9" t="s">
        <v>81</v>
      </c>
      <c r="F370" s="9">
        <v>0</v>
      </c>
      <c r="G370" s="9" t="s">
        <v>1162</v>
      </c>
      <c r="H370" s="9">
        <v>46142.42597222222</v>
      </c>
      <c r="I370" s="9" t="s">
        <v>65</v>
      </c>
      <c r="J370" s="9">
        <v>46143.43377314815</v>
      </c>
      <c r="K370" s="9" t="s">
        <v>65</v>
      </c>
      <c r="L370" s="9">
        <v>46143.43377314815</v>
      </c>
      <c r="M370" s="9"/>
      <c r="N370" s="9" t="s">
        <v>1778</v>
      </c>
      <c r="O370" s="9" t="s">
        <v>2213</v>
      </c>
      <c r="P370" s="9" t="s">
        <v>2214</v>
      </c>
      <c r="Q370" s="9" t="s">
        <v>1925</v>
      </c>
      <c r="R370" s="9" t="s">
        <v>1776</v>
      </c>
      <c r="S370" s="9" t="s">
        <v>2215</v>
      </c>
      <c r="T370" s="9" t="s">
        <v>2216</v>
      </c>
      <c r="U370" s="9" t="s">
        <v>1928</v>
      </c>
      <c r="V370" s="9">
        <v>791</v>
      </c>
      <c r="W370" s="9">
        <v>11</v>
      </c>
      <c r="X370" s="9">
        <v>2029</v>
      </c>
      <c r="Y370" s="9">
        <v>4457</v>
      </c>
      <c r="Z370" s="9">
        <v>11</v>
      </c>
      <c r="AA370" s="9">
        <v>4457</v>
      </c>
      <c r="AB370" s="9" t="s">
        <v>73</v>
      </c>
      <c r="AC370" s="9">
        <v>2029</v>
      </c>
      <c r="AD370" s="9" t="s">
        <v>449</v>
      </c>
      <c r="AE370" s="9"/>
      <c r="AF370" s="9" t="s">
        <v>1929</v>
      </c>
      <c r="AG370" s="9"/>
      <c r="AH370" s="9" t="s">
        <v>67</v>
      </c>
      <c r="AI370" s="9">
        <v>0</v>
      </c>
      <c r="AJ370" s="9"/>
      <c r="AK370" s="9">
        <v>0</v>
      </c>
      <c r="AL370" s="9" t="s">
        <v>1930</v>
      </c>
      <c r="AM370" s="9">
        <v>1</v>
      </c>
      <c r="AN370" s="9">
        <v>46143</v>
      </c>
      <c r="AO370" s="9" t="s">
        <v>1931</v>
      </c>
      <c r="AP370" s="9" t="s">
        <v>69</v>
      </c>
      <c r="AQ370" s="9" t="s">
        <v>1932</v>
      </c>
      <c r="AR370" s="9">
        <v>46143</v>
      </c>
      <c r="AS370" s="9" t="s">
        <v>74</v>
      </c>
      <c r="AT370" s="9" t="s">
        <v>1935</v>
      </c>
      <c r="AU370" s="9" t="s">
        <v>449</v>
      </c>
      <c r="AV370" s="9">
        <v>0</v>
      </c>
      <c r="AW370" s="9" t="s">
        <v>92</v>
      </c>
      <c r="AX370" s="9" t="s">
        <v>778</v>
      </c>
      <c r="AY370" s="9">
        <v>0</v>
      </c>
      <c r="AZ370" s="9">
        <v>46143.433703703704</v>
      </c>
      <c r="BA370" s="9">
        <v>46143.43372685185</v>
      </c>
      <c r="BB370" s="9">
        <v>1</v>
      </c>
      <c r="BC370" s="9">
        <v>1</v>
      </c>
      <c r="BD370" s="9" t="s">
        <v>2220</v>
      </c>
      <c r="BE370" s="9" t="s">
        <v>779</v>
      </c>
      <c r="BF370" s="9" t="s">
        <v>71</v>
      </c>
      <c r="BG370" s="9"/>
      <c r="BH370" s="9">
        <v>0</v>
      </c>
      <c r="BI370" s="9"/>
      <c r="BJ370" s="9">
        <v>0</v>
      </c>
      <c r="BK370" s="9" t="s">
        <v>92</v>
      </c>
      <c r="BL370" s="9" t="s">
        <v>92</v>
      </c>
      <c r="BM370" s="9" t="s">
        <v>72</v>
      </c>
      <c r="BN370" s="9"/>
      <c r="BO370" s="9">
        <v>1</v>
      </c>
      <c r="BP370" s="9" t="s">
        <v>1163</v>
      </c>
      <c r="BQ370" s="9">
        <v>0</v>
      </c>
      <c r="BR370" s="9">
        <v>46051.427615740744</v>
      </c>
      <c r="BS370" s="9" t="s">
        <v>109</v>
      </c>
      <c r="BT370" s="9" t="s">
        <v>65</v>
      </c>
      <c r="BU370" s="9"/>
      <c r="BV370" s="9"/>
      <c r="BW370" s="9">
        <v>0</v>
      </c>
      <c r="BX370" s="9"/>
      <c r="BY370" s="9">
        <v>46143.433703703704</v>
      </c>
      <c r="BZ370" s="9"/>
      <c r="CA370" s="9"/>
      <c r="CB370" s="9"/>
      <c r="CC370" s="9"/>
      <c r="CD370" s="9"/>
      <c r="CE370" s="9"/>
      <c r="CF370" s="9"/>
      <c r="CG370" s="9"/>
      <c r="CH370" s="9">
        <v>1</v>
      </c>
      <c r="CI370" s="9">
        <v>0</v>
      </c>
      <c r="CJ370" s="9"/>
      <c r="CK370" s="9"/>
      <c r="CL370" s="9" t="s">
        <v>2217</v>
      </c>
      <c r="CM370" s="9"/>
      <c r="CN370" s="9">
        <v>0</v>
      </c>
      <c r="CO370" s="9" t="s">
        <v>1925</v>
      </c>
      <c r="CP370" s="9"/>
      <c r="CQ370" s="9"/>
    </row>
    <row r="371" spans="1:95" x14ac:dyDescent="0.35">
      <c r="A371" s="9" t="b">
        <f>ISNUMBER(MATCH(Claude[[#This Row],[Id]],ChargentOrders[Id],0))</f>
        <v>1</v>
      </c>
      <c r="B371" t="b">
        <f>INDEX(ChargentOrders[VALIDO],MATCH(Claude[[#This Row],[Id]],ChargentOrders[Id],0))</f>
        <v>1</v>
      </c>
      <c r="C371">
        <f>INDEX(Contract[CB_Subscription__c],MATCH(Claude[[#This Row],[Contract__c]],Contract[Id],0))</f>
        <v>0</v>
      </c>
      <c r="D371" s="9" t="s">
        <v>1164</v>
      </c>
      <c r="E371" s="9" t="s">
        <v>531</v>
      </c>
      <c r="F371" s="9">
        <v>0</v>
      </c>
      <c r="G371" s="9" t="s">
        <v>1165</v>
      </c>
      <c r="H371" s="9">
        <v>46143.421354166669</v>
      </c>
      <c r="I371" s="9" t="s">
        <v>65</v>
      </c>
      <c r="J371" s="9">
        <v>46217.739004629628</v>
      </c>
      <c r="K371" s="9" t="s">
        <v>78</v>
      </c>
      <c r="L371" s="9">
        <v>46217.739004629628</v>
      </c>
      <c r="M371" s="9"/>
      <c r="N371" s="9" t="s">
        <v>1703</v>
      </c>
      <c r="O371" s="9" t="s">
        <v>2126</v>
      </c>
      <c r="P371" s="9" t="s">
        <v>2127</v>
      </c>
      <c r="Q371" s="9"/>
      <c r="R371" s="9" t="s">
        <v>1701</v>
      </c>
      <c r="S371" s="9" t="s">
        <v>2128</v>
      </c>
      <c r="T371" s="9" t="s">
        <v>2129</v>
      </c>
      <c r="U371" s="9" t="s">
        <v>1928</v>
      </c>
      <c r="V371" s="9">
        <v>718</v>
      </c>
      <c r="W371" s="9">
        <v>9</v>
      </c>
      <c r="X371" s="9">
        <v>2029</v>
      </c>
      <c r="Y371" s="9">
        <v>1669</v>
      </c>
      <c r="Z371" s="9">
        <v>9</v>
      </c>
      <c r="AA371" s="9">
        <v>4549518614741660</v>
      </c>
      <c r="AB371" s="9" t="s">
        <v>73</v>
      </c>
      <c r="AC371" s="9">
        <v>2029</v>
      </c>
      <c r="AD371" s="9" t="s">
        <v>1952</v>
      </c>
      <c r="AE371" s="9"/>
      <c r="AF371" s="9" t="s">
        <v>1929</v>
      </c>
      <c r="AG371" s="9"/>
      <c r="AH371" s="9" t="s">
        <v>67</v>
      </c>
      <c r="AI371" s="9">
        <v>0</v>
      </c>
      <c r="AJ371" s="9"/>
      <c r="AK371" s="9">
        <v>0</v>
      </c>
      <c r="AL371" s="9" t="s">
        <v>1930</v>
      </c>
      <c r="AM371" s="9">
        <v>1</v>
      </c>
      <c r="AN371" s="9">
        <v>46163</v>
      </c>
      <c r="AO371" s="9" t="s">
        <v>1931</v>
      </c>
      <c r="AP371" s="9" t="s">
        <v>69</v>
      </c>
      <c r="AQ371" s="9" t="s">
        <v>1932</v>
      </c>
      <c r="AR371" s="9">
        <v>46163</v>
      </c>
      <c r="AS371" s="9" t="s">
        <v>84</v>
      </c>
      <c r="AT371" s="9" t="s">
        <v>1935</v>
      </c>
      <c r="AU371" s="9" t="s">
        <v>1952</v>
      </c>
      <c r="AV371" s="9">
        <v>0</v>
      </c>
      <c r="AW371" s="9" t="s">
        <v>92</v>
      </c>
      <c r="AX371" s="9" t="s">
        <v>604</v>
      </c>
      <c r="AY371" s="9">
        <v>0</v>
      </c>
      <c r="AZ371" s="9"/>
      <c r="BA371" s="9"/>
      <c r="BB371" s="9">
        <v>0</v>
      </c>
      <c r="BC371" s="9">
        <v>7</v>
      </c>
      <c r="BD371" s="9">
        <v>0</v>
      </c>
      <c r="BE371" s="9" t="s">
        <v>605</v>
      </c>
      <c r="BF371" s="9" t="s">
        <v>71</v>
      </c>
      <c r="BG371" s="9"/>
      <c r="BH371" s="9">
        <v>0</v>
      </c>
      <c r="BI371" s="9"/>
      <c r="BJ371" s="9"/>
      <c r="BK371" s="9" t="s">
        <v>92</v>
      </c>
      <c r="BL371" s="9" t="s">
        <v>92</v>
      </c>
      <c r="BM371" s="9" t="s">
        <v>72</v>
      </c>
      <c r="BN371" s="9"/>
      <c r="BO371" s="9">
        <v>1</v>
      </c>
      <c r="BP371" s="9" t="s">
        <v>1166</v>
      </c>
      <c r="BQ371" s="9">
        <v>0</v>
      </c>
      <c r="BR371" s="9">
        <v>46055.422685185185</v>
      </c>
      <c r="BS371" s="9" t="s">
        <v>109</v>
      </c>
      <c r="BT371" s="9" t="s">
        <v>65</v>
      </c>
      <c r="BU371" s="9"/>
      <c r="BV371" s="9"/>
      <c r="BW371" s="9">
        <v>0</v>
      </c>
      <c r="BX371" s="9">
        <v>46160.429155092592</v>
      </c>
      <c r="BY371" s="9">
        <v>46160.429155092592</v>
      </c>
      <c r="BZ371" s="9"/>
      <c r="CA371" s="9"/>
      <c r="CB371" s="9"/>
      <c r="CC371" s="9"/>
      <c r="CD371" s="9"/>
      <c r="CE371" s="9"/>
      <c r="CF371" s="9"/>
      <c r="CG371" s="9"/>
      <c r="CH371" s="9">
        <v>1</v>
      </c>
      <c r="CI371" s="9">
        <v>0</v>
      </c>
      <c r="CJ371" s="9"/>
      <c r="CK371" s="9"/>
      <c r="CL371" s="9" t="s">
        <v>2130</v>
      </c>
      <c r="CM371" s="9"/>
      <c r="CN371" s="9">
        <v>0</v>
      </c>
      <c r="CO371" s="9" t="s">
        <v>1925</v>
      </c>
      <c r="CP371" s="9"/>
      <c r="CQ371" s="9">
        <v>0</v>
      </c>
    </row>
    <row r="372" spans="1:95" x14ac:dyDescent="0.35">
      <c r="A372" s="9" t="b">
        <f>ISNUMBER(MATCH(Claude[[#This Row],[Id]],ChargentOrders[Id],0))</f>
        <v>1</v>
      </c>
      <c r="B372" t="b">
        <f>INDEX(ChargentOrders[VALIDO],MATCH(Claude[[#This Row],[Id]],ChargentOrders[Id],0))</f>
        <v>1</v>
      </c>
      <c r="C372">
        <f>INDEX(Contract[CB_Subscription__c],MATCH(Claude[[#This Row],[Contract__c]],Contract[Id],0))</f>
        <v>0</v>
      </c>
      <c r="D372" s="9" t="s">
        <v>1168</v>
      </c>
      <c r="E372" s="9" t="s">
        <v>155</v>
      </c>
      <c r="F372" s="9">
        <v>0</v>
      </c>
      <c r="G372" s="9" t="s">
        <v>1169</v>
      </c>
      <c r="H372" s="9">
        <v>46150.422511574077</v>
      </c>
      <c r="I372" s="9" t="s">
        <v>65</v>
      </c>
      <c r="J372" s="9">
        <v>46153.43141203704</v>
      </c>
      <c r="K372" s="9" t="s">
        <v>65</v>
      </c>
      <c r="L372" s="9">
        <v>46153.43141203704</v>
      </c>
      <c r="M372" s="9"/>
      <c r="N372" s="9" t="s">
        <v>1818</v>
      </c>
      <c r="O372" s="9" t="s">
        <v>2264</v>
      </c>
      <c r="P372" s="9" t="s">
        <v>2066</v>
      </c>
      <c r="Q372" s="9" t="s">
        <v>1925</v>
      </c>
      <c r="R372" s="9" t="s">
        <v>1816</v>
      </c>
      <c r="S372" s="9" t="s">
        <v>2265</v>
      </c>
      <c r="T372" s="9" t="s">
        <v>2266</v>
      </c>
      <c r="U372" s="9" t="s">
        <v>1928</v>
      </c>
      <c r="V372" s="9">
        <v>956</v>
      </c>
      <c r="W372" s="9">
        <v>11</v>
      </c>
      <c r="X372" s="9">
        <v>2030</v>
      </c>
      <c r="Y372" s="9">
        <v>8794</v>
      </c>
      <c r="Z372" s="9">
        <v>11</v>
      </c>
      <c r="AA372" s="9">
        <v>8794</v>
      </c>
      <c r="AB372" s="9" t="s">
        <v>73</v>
      </c>
      <c r="AC372" s="9">
        <v>2030</v>
      </c>
      <c r="AD372" s="9" t="s">
        <v>1952</v>
      </c>
      <c r="AE372" s="9"/>
      <c r="AF372" s="9" t="s">
        <v>1929</v>
      </c>
      <c r="AG372" s="9"/>
      <c r="AH372" s="9" t="s">
        <v>67</v>
      </c>
      <c r="AI372" s="9">
        <v>0</v>
      </c>
      <c r="AJ372" s="9"/>
      <c r="AK372" s="9">
        <v>0</v>
      </c>
      <c r="AL372" s="9" t="s">
        <v>1930</v>
      </c>
      <c r="AM372" s="9">
        <v>1</v>
      </c>
      <c r="AN372" s="9">
        <v>46153</v>
      </c>
      <c r="AO372" s="9" t="s">
        <v>1931</v>
      </c>
      <c r="AP372" s="9" t="s">
        <v>69</v>
      </c>
      <c r="AQ372" s="9" t="s">
        <v>1932</v>
      </c>
      <c r="AR372" s="9">
        <v>46153</v>
      </c>
      <c r="AS372" s="9" t="s">
        <v>74</v>
      </c>
      <c r="AT372" s="9" t="s">
        <v>1935</v>
      </c>
      <c r="AU372" s="9" t="s">
        <v>1952</v>
      </c>
      <c r="AV372" s="9">
        <v>0</v>
      </c>
      <c r="AW372" s="9" t="s">
        <v>92</v>
      </c>
      <c r="AX372" s="9" t="s">
        <v>950</v>
      </c>
      <c r="AY372" s="9">
        <v>0</v>
      </c>
      <c r="AZ372" s="9">
        <v>46153.431354166663</v>
      </c>
      <c r="BA372" s="9">
        <v>46153.431377314817</v>
      </c>
      <c r="BB372" s="9">
        <v>1</v>
      </c>
      <c r="BC372" s="9">
        <v>1</v>
      </c>
      <c r="BD372" s="9" t="s">
        <v>2087</v>
      </c>
      <c r="BE372" s="9" t="s">
        <v>951</v>
      </c>
      <c r="BF372" s="9" t="s">
        <v>71</v>
      </c>
      <c r="BG372" s="9"/>
      <c r="BH372" s="9">
        <v>0</v>
      </c>
      <c r="BI372" s="9"/>
      <c r="BJ372" s="9">
        <v>0</v>
      </c>
      <c r="BK372" s="9" t="s">
        <v>92</v>
      </c>
      <c r="BL372" s="9" t="s">
        <v>92</v>
      </c>
      <c r="BM372" s="9" t="s">
        <v>72</v>
      </c>
      <c r="BN372" s="9"/>
      <c r="BO372" s="9">
        <v>1</v>
      </c>
      <c r="BP372" s="9" t="s">
        <v>1170</v>
      </c>
      <c r="BQ372" s="9">
        <v>0</v>
      </c>
      <c r="BR372" s="9">
        <v>46073.853981481479</v>
      </c>
      <c r="BS372" s="9" t="s">
        <v>109</v>
      </c>
      <c r="BT372" s="9" t="s">
        <v>65</v>
      </c>
      <c r="BU372" s="9"/>
      <c r="BV372" s="9"/>
      <c r="BW372" s="9">
        <v>0</v>
      </c>
      <c r="BX372" s="9"/>
      <c r="BY372" s="9">
        <v>46153.431354166663</v>
      </c>
      <c r="BZ372" s="9"/>
      <c r="CA372" s="9"/>
      <c r="CB372" s="9"/>
      <c r="CC372" s="9"/>
      <c r="CD372" s="9"/>
      <c r="CE372" s="9"/>
      <c r="CF372" s="9"/>
      <c r="CG372" s="9"/>
      <c r="CH372" s="9">
        <v>1</v>
      </c>
      <c r="CI372" s="9">
        <v>0</v>
      </c>
      <c r="CJ372" s="9"/>
      <c r="CK372" s="9"/>
      <c r="CL372" s="9" t="s">
        <v>2267</v>
      </c>
      <c r="CM372" s="9"/>
      <c r="CN372" s="9">
        <v>0</v>
      </c>
      <c r="CO372" s="9" t="s">
        <v>1925</v>
      </c>
      <c r="CP372" s="9"/>
      <c r="CQ372" s="9"/>
    </row>
    <row r="373" spans="1:95" x14ac:dyDescent="0.35">
      <c r="A373" s="9" t="b">
        <f>ISNUMBER(MATCH(Claude[[#This Row],[Id]],ChargentOrders[Id],0))</f>
        <v>1</v>
      </c>
      <c r="B373" t="b">
        <f>INDEX(ChargentOrders[VALIDO],MATCH(Claude[[#This Row],[Id]],ChargentOrders[Id],0))</f>
        <v>1</v>
      </c>
      <c r="C373">
        <f>INDEX(Contract[CB_Subscription__c],MATCH(Claude[[#This Row],[Contract__c]],Contract[Id],0))</f>
        <v>0</v>
      </c>
      <c r="D373" s="9" t="s">
        <v>1171</v>
      </c>
      <c r="E373" s="9" t="s">
        <v>81</v>
      </c>
      <c r="F373" s="9">
        <v>0</v>
      </c>
      <c r="G373" s="9" t="s">
        <v>1172</v>
      </c>
      <c r="H373" s="9">
        <v>46160.417696759258</v>
      </c>
      <c r="I373" s="9" t="s">
        <v>65</v>
      </c>
      <c r="J373" s="9">
        <v>46161.840439814812</v>
      </c>
      <c r="K373" s="9" t="s">
        <v>101</v>
      </c>
      <c r="L373" s="9">
        <v>46161.840439814812</v>
      </c>
      <c r="M373" s="9"/>
      <c r="N373" s="9" t="s">
        <v>1728</v>
      </c>
      <c r="O373" s="9" t="s">
        <v>2159</v>
      </c>
      <c r="P373" s="9" t="s">
        <v>2006</v>
      </c>
      <c r="Q373" s="9" t="s">
        <v>1925</v>
      </c>
      <c r="R373" s="9" t="s">
        <v>1726</v>
      </c>
      <c r="S373" s="9" t="s">
        <v>1949</v>
      </c>
      <c r="T373" s="9" t="s">
        <v>2160</v>
      </c>
      <c r="U373" s="9" t="s">
        <v>1928</v>
      </c>
      <c r="V373" s="9">
        <v>985</v>
      </c>
      <c r="W373" s="9">
        <v>9</v>
      </c>
      <c r="X373" s="9">
        <v>2027</v>
      </c>
      <c r="Y373" s="9">
        <v>6139</v>
      </c>
      <c r="Z373" s="9">
        <v>9</v>
      </c>
      <c r="AA373" s="9">
        <v>4549516240226130</v>
      </c>
      <c r="AB373" s="9" t="s">
        <v>73</v>
      </c>
      <c r="AC373" s="9">
        <v>2027</v>
      </c>
      <c r="AD373" s="9" t="s">
        <v>2087</v>
      </c>
      <c r="AE373" s="9"/>
      <c r="AF373" s="9" t="s">
        <v>1929</v>
      </c>
      <c r="AG373" s="9"/>
      <c r="AH373" s="9" t="s">
        <v>67</v>
      </c>
      <c r="AI373" s="9">
        <v>0</v>
      </c>
      <c r="AJ373" s="9"/>
      <c r="AK373" s="9">
        <v>0</v>
      </c>
      <c r="AL373" s="9" t="s">
        <v>1930</v>
      </c>
      <c r="AM373" s="9">
        <v>1</v>
      </c>
      <c r="AN373" s="9">
        <v>46164</v>
      </c>
      <c r="AO373" s="9" t="s">
        <v>1931</v>
      </c>
      <c r="AP373" s="9" t="s">
        <v>69</v>
      </c>
      <c r="AQ373" s="9" t="s">
        <v>1932</v>
      </c>
      <c r="AR373" s="9">
        <v>46164</v>
      </c>
      <c r="AS373" s="9" t="s">
        <v>74</v>
      </c>
      <c r="AT373" s="9" t="s">
        <v>1935</v>
      </c>
      <c r="AU373" s="9" t="s">
        <v>1952</v>
      </c>
      <c r="AV373" s="9">
        <v>0</v>
      </c>
      <c r="AW373" s="9" t="s">
        <v>93</v>
      </c>
      <c r="AX373" s="9" t="s">
        <v>650</v>
      </c>
      <c r="AY373" s="9">
        <v>0</v>
      </c>
      <c r="AZ373" s="9">
        <v>46161.840405092589</v>
      </c>
      <c r="BA373" s="9">
        <v>46161.840405092589</v>
      </c>
      <c r="BB373" s="9">
        <v>1</v>
      </c>
      <c r="BC373" s="9">
        <v>2</v>
      </c>
      <c r="BD373" s="9" t="s">
        <v>2087</v>
      </c>
      <c r="BE373" s="9" t="s">
        <v>651</v>
      </c>
      <c r="BF373" s="9" t="s">
        <v>71</v>
      </c>
      <c r="BG373" s="9"/>
      <c r="BH373" s="9">
        <v>0</v>
      </c>
      <c r="BI373" s="9"/>
      <c r="BJ373" s="9">
        <v>0</v>
      </c>
      <c r="BK373" s="9" t="s">
        <v>92</v>
      </c>
      <c r="BL373" s="9" t="s">
        <v>92</v>
      </c>
      <c r="BM373" s="9" t="s">
        <v>72</v>
      </c>
      <c r="BN373" s="9"/>
      <c r="BO373" s="9">
        <v>1</v>
      </c>
      <c r="BP373" s="9" t="s">
        <v>1173</v>
      </c>
      <c r="BQ373" s="9">
        <v>0</v>
      </c>
      <c r="BR373" s="9">
        <v>46009.783958333333</v>
      </c>
      <c r="BS373" s="9" t="s">
        <v>109</v>
      </c>
      <c r="BT373" s="9" t="s">
        <v>65</v>
      </c>
      <c r="BU373" s="9"/>
      <c r="BV373" s="9"/>
      <c r="BW373" s="9">
        <v>0</v>
      </c>
      <c r="BX373" s="9">
        <v>46161.793645833335</v>
      </c>
      <c r="BY373" s="9">
        <v>46161.840405092589</v>
      </c>
      <c r="BZ373" s="9"/>
      <c r="CA373" s="9"/>
      <c r="CB373" s="9"/>
      <c r="CC373" s="9"/>
      <c r="CD373" s="9"/>
      <c r="CE373" s="9"/>
      <c r="CF373" s="9"/>
      <c r="CG373" s="9"/>
      <c r="CH373" s="9">
        <v>1</v>
      </c>
      <c r="CI373" s="9">
        <v>0</v>
      </c>
      <c r="CJ373" s="9"/>
      <c r="CK373" s="9"/>
      <c r="CL373" s="9" t="s">
        <v>2161</v>
      </c>
      <c r="CM373" s="9"/>
      <c r="CN373" s="9">
        <v>0</v>
      </c>
      <c r="CO373" s="9" t="s">
        <v>1925</v>
      </c>
      <c r="CP373" s="9"/>
      <c r="CQ373" s="9"/>
    </row>
    <row r="374" spans="1:95" x14ac:dyDescent="0.35">
      <c r="A374" s="9" t="b">
        <f>ISNUMBER(MATCH(Claude[[#This Row],[Id]],ChargentOrders[Id],0))</f>
        <v>1</v>
      </c>
      <c r="B374" t="b">
        <f>INDEX(ChargentOrders[VALIDO],MATCH(Claude[[#This Row],[Id]],ChargentOrders[Id],0))</f>
        <v>1</v>
      </c>
      <c r="C374">
        <f>INDEX(Contract[CB_Subscription__c],MATCH(Claude[[#This Row],[Contract__c]],Contract[Id],0))</f>
        <v>0</v>
      </c>
      <c r="D374" s="9" t="s">
        <v>1174</v>
      </c>
      <c r="E374" s="9" t="s">
        <v>155</v>
      </c>
      <c r="F374" s="9">
        <v>0</v>
      </c>
      <c r="G374" s="9" t="s">
        <v>1175</v>
      </c>
      <c r="H374" s="9">
        <v>46161.52684027778</v>
      </c>
      <c r="I374" s="9" t="s">
        <v>155</v>
      </c>
      <c r="J374" s="9">
        <v>46161.526932870373</v>
      </c>
      <c r="K374" s="9" t="s">
        <v>155</v>
      </c>
      <c r="L374" s="9">
        <v>46161.526932870373</v>
      </c>
      <c r="M374" s="9"/>
      <c r="N374" s="9"/>
      <c r="O374" s="9" t="s">
        <v>2272</v>
      </c>
      <c r="P374" s="9" t="s">
        <v>2273</v>
      </c>
      <c r="Q374" s="9" t="s">
        <v>1925</v>
      </c>
      <c r="R374" s="9" t="s">
        <v>1826</v>
      </c>
      <c r="S374" s="9" t="s">
        <v>2274</v>
      </c>
      <c r="T374" s="9" t="s">
        <v>2275</v>
      </c>
      <c r="U374" s="9" t="s">
        <v>1928</v>
      </c>
      <c r="V374" s="9" t="s">
        <v>2276</v>
      </c>
      <c r="W374" s="9">
        <v>2</v>
      </c>
      <c r="X374" s="9">
        <v>2030</v>
      </c>
      <c r="Y374" s="9">
        <v>5247</v>
      </c>
      <c r="Z374" s="9">
        <v>2</v>
      </c>
      <c r="AA374" s="9">
        <v>4549518632905240</v>
      </c>
      <c r="AB374" s="9" t="s">
        <v>73</v>
      </c>
      <c r="AC374" s="9">
        <v>2030</v>
      </c>
      <c r="AD374" s="9" t="s">
        <v>93</v>
      </c>
      <c r="AE374" s="9"/>
      <c r="AF374" s="9" t="s">
        <v>1929</v>
      </c>
      <c r="AG374" s="9"/>
      <c r="AH374" s="9" t="s">
        <v>67</v>
      </c>
      <c r="AI374" s="9">
        <v>0</v>
      </c>
      <c r="AJ374" s="9"/>
      <c r="AK374" s="9">
        <v>0</v>
      </c>
      <c r="AL374" s="9" t="s">
        <v>1930</v>
      </c>
      <c r="AM374" s="9"/>
      <c r="AN374" s="9"/>
      <c r="AO374" s="9" t="s">
        <v>1931</v>
      </c>
      <c r="AP374" s="9" t="s">
        <v>69</v>
      </c>
      <c r="AQ374" s="9" t="s">
        <v>1932</v>
      </c>
      <c r="AR374" s="9"/>
      <c r="AS374" s="9"/>
      <c r="AT374" s="9"/>
      <c r="AU374" s="9" t="s">
        <v>92</v>
      </c>
      <c r="AV374" s="9">
        <v>0</v>
      </c>
      <c r="AW374" s="9"/>
      <c r="AX374" s="9" t="s">
        <v>1176</v>
      </c>
      <c r="AY374" s="9">
        <v>0</v>
      </c>
      <c r="AZ374" s="9"/>
      <c r="BA374" s="9">
        <v>46161.526898148149</v>
      </c>
      <c r="BB374" s="9">
        <v>0</v>
      </c>
      <c r="BC374" s="9">
        <v>1</v>
      </c>
      <c r="BD374" s="9">
        <v>0</v>
      </c>
      <c r="BE374" s="9" t="s">
        <v>1177</v>
      </c>
      <c r="BF374" s="9"/>
      <c r="BG374" s="9"/>
      <c r="BH374" s="9">
        <v>0</v>
      </c>
      <c r="BI374" s="9"/>
      <c r="BJ374" s="9">
        <v>1</v>
      </c>
      <c r="BK374" s="9"/>
      <c r="BL374" s="9"/>
      <c r="BM374" s="9" t="s">
        <v>75</v>
      </c>
      <c r="BN374" s="9"/>
      <c r="BO374" s="9">
        <v>0</v>
      </c>
      <c r="BP374" s="9"/>
      <c r="BQ374" s="9">
        <v>1</v>
      </c>
      <c r="BR374" s="9"/>
      <c r="BS374" s="9"/>
      <c r="BT374" s="9"/>
      <c r="BU374" s="9"/>
      <c r="BV374" s="9"/>
      <c r="BW374" s="9">
        <v>0</v>
      </c>
      <c r="BX374" s="9"/>
      <c r="BY374" s="9">
        <v>46161.526898148149</v>
      </c>
      <c r="BZ374" s="9"/>
      <c r="CA374" s="9"/>
      <c r="CB374" s="9"/>
      <c r="CC374" s="9"/>
      <c r="CD374" s="9"/>
      <c r="CE374" s="9"/>
      <c r="CF374" s="9"/>
      <c r="CG374" s="9"/>
      <c r="CH374" s="9">
        <v>1</v>
      </c>
      <c r="CI374" s="9">
        <v>0</v>
      </c>
      <c r="CJ374" s="9"/>
      <c r="CK374" s="9"/>
      <c r="CL374" s="9" t="s">
        <v>2277</v>
      </c>
      <c r="CM374" s="9"/>
      <c r="CN374" s="9">
        <v>0</v>
      </c>
      <c r="CO374" s="9" t="s">
        <v>1925</v>
      </c>
      <c r="CP374" s="9"/>
      <c r="CQ374" s="9"/>
    </row>
    <row r="375" spans="1:95" x14ac:dyDescent="0.35">
      <c r="A375" s="9" t="b">
        <f>ISNUMBER(MATCH(Claude[[#This Row],[Id]],ChargentOrders[Id],0))</f>
        <v>1</v>
      </c>
      <c r="B375" t="b">
        <f>INDEX(ChargentOrders[VALIDO],MATCH(Claude[[#This Row],[Id]],ChargentOrders[Id],0))</f>
        <v>1</v>
      </c>
      <c r="C375">
        <f>INDEX(Contract[CB_Subscription__c],MATCH(Claude[[#This Row],[Contract__c]],Contract[Id],0))</f>
        <v>0</v>
      </c>
      <c r="D375" s="9" t="s">
        <v>1178</v>
      </c>
      <c r="E375" s="9" t="s">
        <v>155</v>
      </c>
      <c r="F375" s="9">
        <v>0</v>
      </c>
      <c r="G375" s="9" t="s">
        <v>1179</v>
      </c>
      <c r="H375" s="9">
        <v>46161.527928240743</v>
      </c>
      <c r="I375" s="9" t="s">
        <v>155</v>
      </c>
      <c r="J375" s="9">
        <v>46171.42559027778</v>
      </c>
      <c r="K375" s="9" t="s">
        <v>65</v>
      </c>
      <c r="L375" s="9">
        <v>46171.42559027778</v>
      </c>
      <c r="M375" s="9"/>
      <c r="N375" s="9" t="s">
        <v>1828</v>
      </c>
      <c r="O375" s="9" t="s">
        <v>2272</v>
      </c>
      <c r="P375" s="9" t="s">
        <v>2273</v>
      </c>
      <c r="Q375" s="9" t="s">
        <v>1925</v>
      </c>
      <c r="R375" s="9" t="s">
        <v>1826</v>
      </c>
      <c r="S375" s="9" t="s">
        <v>2274</v>
      </c>
      <c r="T375" s="9" t="s">
        <v>2275</v>
      </c>
      <c r="U375" s="9" t="s">
        <v>1928</v>
      </c>
      <c r="V375" s="9" t="s">
        <v>2276</v>
      </c>
      <c r="W375" s="9">
        <v>2</v>
      </c>
      <c r="X375" s="9">
        <v>2030</v>
      </c>
      <c r="Y375" s="9">
        <v>5247</v>
      </c>
      <c r="Z375" s="9">
        <v>2</v>
      </c>
      <c r="AA375" s="9">
        <v>4549518632905240</v>
      </c>
      <c r="AB375" s="9" t="s">
        <v>73</v>
      </c>
      <c r="AC375" s="9">
        <v>2030</v>
      </c>
      <c r="AD375" s="9" t="s">
        <v>374</v>
      </c>
      <c r="AE375" s="9"/>
      <c r="AF375" s="9" t="s">
        <v>1929</v>
      </c>
      <c r="AG375" s="9"/>
      <c r="AH375" s="9" t="s">
        <v>67</v>
      </c>
      <c r="AI375" s="9">
        <v>0</v>
      </c>
      <c r="AJ375" s="9"/>
      <c r="AK375" s="9">
        <v>0</v>
      </c>
      <c r="AL375" s="9" t="s">
        <v>1930</v>
      </c>
      <c r="AM375" s="9">
        <v>1</v>
      </c>
      <c r="AN375" s="9"/>
      <c r="AO375" s="9" t="s">
        <v>1931</v>
      </c>
      <c r="AP375" s="9" t="s">
        <v>69</v>
      </c>
      <c r="AQ375" s="9" t="s">
        <v>1932</v>
      </c>
      <c r="AR375" s="9">
        <v>46171</v>
      </c>
      <c r="AS375" s="9" t="s">
        <v>74</v>
      </c>
      <c r="AT375" s="9" t="s">
        <v>1935</v>
      </c>
      <c r="AU375" s="9" t="s">
        <v>374</v>
      </c>
      <c r="AV375" s="9">
        <v>0</v>
      </c>
      <c r="AW375" s="9" t="s">
        <v>92</v>
      </c>
      <c r="AX375" s="9" t="s">
        <v>1176</v>
      </c>
      <c r="AY375" s="9">
        <v>0</v>
      </c>
      <c r="AZ375" s="9">
        <v>46171.425451388888</v>
      </c>
      <c r="BA375" s="9">
        <v>46171.425509259258</v>
      </c>
      <c r="BB375" s="9">
        <v>1</v>
      </c>
      <c r="BC375" s="9">
        <v>1</v>
      </c>
      <c r="BD375" s="9" t="s">
        <v>167</v>
      </c>
      <c r="BE375" s="9" t="s">
        <v>1177</v>
      </c>
      <c r="BF375" s="9" t="s">
        <v>77</v>
      </c>
      <c r="BG375" s="9"/>
      <c r="BH375" s="9">
        <v>0</v>
      </c>
      <c r="BI375" s="9"/>
      <c r="BJ375" s="9">
        <v>1</v>
      </c>
      <c r="BK375" s="9" t="s">
        <v>92</v>
      </c>
      <c r="BL375" s="9" t="s">
        <v>92</v>
      </c>
      <c r="BM375" s="9" t="s">
        <v>75</v>
      </c>
      <c r="BN375" s="9"/>
      <c r="BO375" s="9">
        <v>0</v>
      </c>
      <c r="BP375" s="9"/>
      <c r="BQ375" s="9">
        <v>0</v>
      </c>
      <c r="BR375" s="9"/>
      <c r="BS375" s="9"/>
      <c r="BT375" s="9"/>
      <c r="BU375" s="9"/>
      <c r="BV375" s="9"/>
      <c r="BW375" s="9">
        <v>0</v>
      </c>
      <c r="BX375" s="9"/>
      <c r="BY375" s="9">
        <v>46171.425451388888</v>
      </c>
      <c r="BZ375" s="9"/>
      <c r="CA375" s="9"/>
      <c r="CB375" s="9"/>
      <c r="CC375" s="9"/>
      <c r="CD375" s="9"/>
      <c r="CE375" s="9"/>
      <c r="CF375" s="9"/>
      <c r="CG375" s="9"/>
      <c r="CH375" s="9">
        <v>1</v>
      </c>
      <c r="CI375" s="9">
        <v>0</v>
      </c>
      <c r="CJ375" s="9"/>
      <c r="CK375" s="9"/>
      <c r="CL375" s="9" t="s">
        <v>2277</v>
      </c>
      <c r="CM375" s="9"/>
      <c r="CN375" s="9">
        <v>0</v>
      </c>
      <c r="CO375" s="9" t="s">
        <v>1925</v>
      </c>
      <c r="CP375" s="9"/>
      <c r="CQ375" s="9">
        <v>0</v>
      </c>
    </row>
    <row r="376" spans="1:95" x14ac:dyDescent="0.35">
      <c r="A376" s="9" t="b">
        <f>ISNUMBER(MATCH(Claude[[#This Row],[Id]],ChargentOrders[Id],0))</f>
        <v>1</v>
      </c>
      <c r="B376" t="b">
        <f>INDEX(ChargentOrders[VALIDO],MATCH(Claude[[#This Row],[Id]],ChargentOrders[Id],0))</f>
        <v>1</v>
      </c>
      <c r="C376">
        <f>INDEX(Contract[CB_Subscription__c],MATCH(Claude[[#This Row],[Contract__c]],Contract[Id],0))</f>
        <v>0</v>
      </c>
      <c r="D376" s="9" t="s">
        <v>1180</v>
      </c>
      <c r="E376" s="9" t="s">
        <v>80</v>
      </c>
      <c r="F376" s="9">
        <v>0</v>
      </c>
      <c r="G376" s="9" t="s">
        <v>1181</v>
      </c>
      <c r="H376" s="9">
        <v>46161.796539351853</v>
      </c>
      <c r="I376" s="9" t="s">
        <v>80</v>
      </c>
      <c r="J376" s="9">
        <v>46161.7966087963</v>
      </c>
      <c r="K376" s="9" t="s">
        <v>80</v>
      </c>
      <c r="L376" s="9">
        <v>46161.7966087963</v>
      </c>
      <c r="M376" s="9"/>
      <c r="N376" s="9"/>
      <c r="O376" s="9" t="s">
        <v>2159</v>
      </c>
      <c r="P376" s="9" t="s">
        <v>2006</v>
      </c>
      <c r="Q376" s="9" t="s">
        <v>1925</v>
      </c>
      <c r="R376" s="9" t="s">
        <v>1726</v>
      </c>
      <c r="S376" s="9" t="s">
        <v>1949</v>
      </c>
      <c r="T376" s="9" t="s">
        <v>2160</v>
      </c>
      <c r="U376" s="9" t="s">
        <v>1928</v>
      </c>
      <c r="V376" s="9">
        <v>985</v>
      </c>
      <c r="W376" s="9">
        <v>9</v>
      </c>
      <c r="X376" s="9">
        <v>2027</v>
      </c>
      <c r="Y376" s="9">
        <v>2649</v>
      </c>
      <c r="Z376" s="9">
        <v>9</v>
      </c>
      <c r="AA376" s="9">
        <v>4870382927532640</v>
      </c>
      <c r="AB376" s="9" t="s">
        <v>73</v>
      </c>
      <c r="AC376" s="9">
        <v>2027</v>
      </c>
      <c r="AD376" s="9" t="s">
        <v>93</v>
      </c>
      <c r="AE376" s="9"/>
      <c r="AF376" s="9" t="s">
        <v>1929</v>
      </c>
      <c r="AG376" s="9"/>
      <c r="AH376" s="9" t="s">
        <v>67</v>
      </c>
      <c r="AI376" s="9">
        <v>0</v>
      </c>
      <c r="AJ376" s="9"/>
      <c r="AK376" s="9">
        <v>0</v>
      </c>
      <c r="AL376" s="9" t="s">
        <v>1930</v>
      </c>
      <c r="AM376" s="9"/>
      <c r="AN376" s="9"/>
      <c r="AO376" s="9" t="s">
        <v>1931</v>
      </c>
      <c r="AP376" s="9" t="s">
        <v>69</v>
      </c>
      <c r="AQ376" s="9" t="s">
        <v>1932</v>
      </c>
      <c r="AR376" s="9"/>
      <c r="AS376" s="9"/>
      <c r="AT376" s="9"/>
      <c r="AU376" s="9" t="s">
        <v>92</v>
      </c>
      <c r="AV376" s="9">
        <v>0</v>
      </c>
      <c r="AW376" s="9"/>
      <c r="AX376" s="9" t="s">
        <v>650</v>
      </c>
      <c r="AY376" s="9">
        <v>0</v>
      </c>
      <c r="AZ376" s="9"/>
      <c r="BA376" s="9">
        <v>46161.796574074076</v>
      </c>
      <c r="BB376" s="9">
        <v>0</v>
      </c>
      <c r="BC376" s="9">
        <v>1</v>
      </c>
      <c r="BD376" s="9">
        <v>0</v>
      </c>
      <c r="BE376" s="9" t="s">
        <v>651</v>
      </c>
      <c r="BF376" s="9"/>
      <c r="BG376" s="9"/>
      <c r="BH376" s="9">
        <v>0</v>
      </c>
      <c r="BI376" s="9"/>
      <c r="BJ376" s="9">
        <v>1</v>
      </c>
      <c r="BK376" s="9"/>
      <c r="BL376" s="9"/>
      <c r="BM376" s="9" t="s">
        <v>75</v>
      </c>
      <c r="BN376" s="9"/>
      <c r="BO376" s="9">
        <v>0</v>
      </c>
      <c r="BP376" s="9"/>
      <c r="BQ376" s="9">
        <v>1</v>
      </c>
      <c r="BR376" s="9"/>
      <c r="BS376" s="9"/>
      <c r="BT376" s="9"/>
      <c r="BU376" s="9"/>
      <c r="BV376" s="9"/>
      <c r="BW376" s="9">
        <v>0</v>
      </c>
      <c r="BX376" s="9"/>
      <c r="BY376" s="9">
        <v>46161.7965625</v>
      </c>
      <c r="BZ376" s="9"/>
      <c r="CA376" s="9"/>
      <c r="CB376" s="9"/>
      <c r="CC376" s="9"/>
      <c r="CD376" s="9"/>
      <c r="CE376" s="9"/>
      <c r="CF376" s="9"/>
      <c r="CG376" s="9"/>
      <c r="CH376" s="9">
        <v>1</v>
      </c>
      <c r="CI376" s="9">
        <v>0</v>
      </c>
      <c r="CJ376" s="9"/>
      <c r="CK376" s="9"/>
      <c r="CL376" s="9" t="s">
        <v>2161</v>
      </c>
      <c r="CM376" s="9"/>
      <c r="CN376" s="9">
        <v>0</v>
      </c>
      <c r="CO376" s="9" t="s">
        <v>1925</v>
      </c>
      <c r="CP376" s="9"/>
      <c r="CQ376" s="9"/>
    </row>
    <row r="377" spans="1:95" x14ac:dyDescent="0.35">
      <c r="A377" s="9" t="b">
        <f>ISNUMBER(MATCH(Claude[[#This Row],[Id]],ChargentOrders[Id],0))</f>
        <v>1</v>
      </c>
      <c r="B377" t="b">
        <f>INDEX(ChargentOrders[VALIDO],MATCH(Claude[[#This Row],[Id]],ChargentOrders[Id],0))</f>
        <v>1</v>
      </c>
      <c r="C377">
        <f>INDEX(Contract[CB_Subscription__c],MATCH(Claude[[#This Row],[Contract__c]],Contract[Id],0))</f>
        <v>0</v>
      </c>
      <c r="D377" s="9" t="s">
        <v>1182</v>
      </c>
      <c r="E377" s="9" t="s">
        <v>155</v>
      </c>
      <c r="F377" s="9">
        <v>0</v>
      </c>
      <c r="G377" s="9" t="s">
        <v>1183</v>
      </c>
      <c r="H377" s="9">
        <v>46164.588807870372</v>
      </c>
      <c r="I377" s="9" t="s">
        <v>155</v>
      </c>
      <c r="J377" s="9">
        <v>46164.588865740741</v>
      </c>
      <c r="K377" s="9" t="s">
        <v>155</v>
      </c>
      <c r="L377" s="9">
        <v>46164.588865740741</v>
      </c>
      <c r="M377" s="9"/>
      <c r="N377" s="9"/>
      <c r="O377" s="9" t="s">
        <v>2278</v>
      </c>
      <c r="P377" s="9" t="s">
        <v>2279</v>
      </c>
      <c r="Q377" s="9" t="s">
        <v>1925</v>
      </c>
      <c r="R377" s="9" t="s">
        <v>1831</v>
      </c>
      <c r="S377" s="9" t="s">
        <v>2280</v>
      </c>
      <c r="T377" s="9" t="s">
        <v>2281</v>
      </c>
      <c r="U377" s="9" t="s">
        <v>1928</v>
      </c>
      <c r="V377" s="9">
        <v>623</v>
      </c>
      <c r="W377" s="9">
        <v>10</v>
      </c>
      <c r="X377" s="9">
        <v>2030</v>
      </c>
      <c r="Y377" s="9">
        <v>638</v>
      </c>
      <c r="Z377" s="9">
        <v>10</v>
      </c>
      <c r="AA377" s="9">
        <v>4549519997380630</v>
      </c>
      <c r="AB377" s="9" t="s">
        <v>73</v>
      </c>
      <c r="AC377" s="9">
        <v>2030</v>
      </c>
      <c r="AD377" s="9" t="s">
        <v>93</v>
      </c>
      <c r="AE377" s="9"/>
      <c r="AF377" s="9" t="s">
        <v>1929</v>
      </c>
      <c r="AG377" s="9"/>
      <c r="AH377" s="9" t="s">
        <v>67</v>
      </c>
      <c r="AI377" s="9">
        <v>0</v>
      </c>
      <c r="AJ377" s="9"/>
      <c r="AK377" s="9">
        <v>0</v>
      </c>
      <c r="AL377" s="9" t="s">
        <v>1930</v>
      </c>
      <c r="AM377" s="9"/>
      <c r="AN377" s="9"/>
      <c r="AO377" s="9" t="s">
        <v>1931</v>
      </c>
      <c r="AP377" s="9" t="s">
        <v>69</v>
      </c>
      <c r="AQ377" s="9" t="s">
        <v>1932</v>
      </c>
      <c r="AR377" s="9"/>
      <c r="AS377" s="9"/>
      <c r="AT377" s="9"/>
      <c r="AU377" s="9" t="s">
        <v>92</v>
      </c>
      <c r="AV377" s="9">
        <v>0</v>
      </c>
      <c r="AW377" s="9"/>
      <c r="AX377" s="9" t="s">
        <v>1184</v>
      </c>
      <c r="AY377" s="9">
        <v>0</v>
      </c>
      <c r="AZ377" s="9"/>
      <c r="BA377" s="9">
        <v>46164.588842592595</v>
      </c>
      <c r="BB377" s="9">
        <v>0</v>
      </c>
      <c r="BC377" s="9">
        <v>1</v>
      </c>
      <c r="BD377" s="9">
        <v>0</v>
      </c>
      <c r="BE377" s="9" t="s">
        <v>1185</v>
      </c>
      <c r="BF377" s="9"/>
      <c r="BG377" s="9"/>
      <c r="BH377" s="9">
        <v>0</v>
      </c>
      <c r="BI377" s="9"/>
      <c r="BJ377" s="9">
        <v>1</v>
      </c>
      <c r="BK377" s="9"/>
      <c r="BL377" s="9"/>
      <c r="BM377" s="9" t="s">
        <v>75</v>
      </c>
      <c r="BN377" s="9"/>
      <c r="BO377" s="9">
        <v>0</v>
      </c>
      <c r="BP377" s="9"/>
      <c r="BQ377" s="9">
        <v>1</v>
      </c>
      <c r="BR377" s="9"/>
      <c r="BS377" s="9"/>
      <c r="BT377" s="9"/>
      <c r="BU377" s="9"/>
      <c r="BV377" s="9"/>
      <c r="BW377" s="9">
        <v>0</v>
      </c>
      <c r="BX377" s="9"/>
      <c r="BY377" s="9">
        <v>46164.588842592595</v>
      </c>
      <c r="BZ377" s="9"/>
      <c r="CA377" s="9"/>
      <c r="CB377" s="9"/>
      <c r="CC377" s="9"/>
      <c r="CD377" s="9"/>
      <c r="CE377" s="9"/>
      <c r="CF377" s="9"/>
      <c r="CG377" s="9"/>
      <c r="CH377" s="9">
        <v>1</v>
      </c>
      <c r="CI377" s="9">
        <v>0</v>
      </c>
      <c r="CJ377" s="9"/>
      <c r="CK377" s="9"/>
      <c r="CL377" s="9" t="s">
        <v>2282</v>
      </c>
      <c r="CM377" s="9"/>
      <c r="CN377" s="9">
        <v>0</v>
      </c>
      <c r="CO377" s="9" t="s">
        <v>1925</v>
      </c>
      <c r="CP377" s="9"/>
      <c r="CQ377" s="9">
        <v>0</v>
      </c>
    </row>
    <row r="378" spans="1:95" x14ac:dyDescent="0.35">
      <c r="A378" s="9" t="b">
        <f>ISNUMBER(MATCH(Claude[[#This Row],[Id]],ChargentOrders[Id],0))</f>
        <v>1</v>
      </c>
      <c r="B378" t="b">
        <f>INDEX(ChargentOrders[VALIDO],MATCH(Claude[[#This Row],[Id]],ChargentOrders[Id],0))</f>
        <v>1</v>
      </c>
      <c r="C378">
        <f>INDEX(Contract[CB_Subscription__c],MATCH(Claude[[#This Row],[Contract__c]],Contract[Id],0))</f>
        <v>0</v>
      </c>
      <c r="D378" s="9" t="s">
        <v>1186</v>
      </c>
      <c r="E378" s="9" t="s">
        <v>155</v>
      </c>
      <c r="F378" s="9">
        <v>0</v>
      </c>
      <c r="G378" s="9" t="s">
        <v>1187</v>
      </c>
      <c r="H378" s="9">
        <v>46164.589571759258</v>
      </c>
      <c r="I378" s="9" t="s">
        <v>155</v>
      </c>
      <c r="J378" s="9">
        <v>46171.425763888888</v>
      </c>
      <c r="K378" s="9" t="s">
        <v>65</v>
      </c>
      <c r="L378" s="9">
        <v>46171.425763888888</v>
      </c>
      <c r="M378" s="9"/>
      <c r="N378" s="9" t="s">
        <v>1833</v>
      </c>
      <c r="O378" s="9" t="s">
        <v>2278</v>
      </c>
      <c r="P378" s="9" t="s">
        <v>2279</v>
      </c>
      <c r="Q378" s="9" t="s">
        <v>1925</v>
      </c>
      <c r="R378" s="9" t="s">
        <v>1831</v>
      </c>
      <c r="S378" s="9" t="s">
        <v>2280</v>
      </c>
      <c r="T378" s="9" t="s">
        <v>2281</v>
      </c>
      <c r="U378" s="9" t="s">
        <v>1928</v>
      </c>
      <c r="V378" s="9">
        <v>623</v>
      </c>
      <c r="W378" s="9">
        <v>10</v>
      </c>
      <c r="X378" s="9">
        <v>2030</v>
      </c>
      <c r="Y378" s="9">
        <v>638</v>
      </c>
      <c r="Z378" s="9">
        <v>10</v>
      </c>
      <c r="AA378" s="9">
        <v>4549519997380630</v>
      </c>
      <c r="AB378" s="9" t="s">
        <v>73</v>
      </c>
      <c r="AC378" s="9">
        <v>2030</v>
      </c>
      <c r="AD378" s="9" t="s">
        <v>374</v>
      </c>
      <c r="AE378" s="9"/>
      <c r="AF378" s="9" t="s">
        <v>1929</v>
      </c>
      <c r="AG378" s="9"/>
      <c r="AH378" s="9" t="s">
        <v>67</v>
      </c>
      <c r="AI378" s="9">
        <v>0</v>
      </c>
      <c r="AJ378" s="9"/>
      <c r="AK378" s="9">
        <v>0</v>
      </c>
      <c r="AL378" s="9" t="s">
        <v>1930</v>
      </c>
      <c r="AM378" s="9">
        <v>1</v>
      </c>
      <c r="AN378" s="9">
        <v>46171</v>
      </c>
      <c r="AO378" s="9" t="s">
        <v>1931</v>
      </c>
      <c r="AP378" s="9" t="s">
        <v>69</v>
      </c>
      <c r="AQ378" s="9" t="s">
        <v>1932</v>
      </c>
      <c r="AR378" s="9">
        <v>46171</v>
      </c>
      <c r="AS378" s="9" t="s">
        <v>74</v>
      </c>
      <c r="AT378" s="9" t="s">
        <v>1935</v>
      </c>
      <c r="AU378" s="9" t="s">
        <v>374</v>
      </c>
      <c r="AV378" s="9">
        <v>0</v>
      </c>
      <c r="AW378" s="9" t="s">
        <v>92</v>
      </c>
      <c r="AX378" s="9" t="s">
        <v>1184</v>
      </c>
      <c r="AY378" s="9">
        <v>0</v>
      </c>
      <c r="AZ378" s="9"/>
      <c r="BA378" s="9"/>
      <c r="BB378" s="9">
        <v>0</v>
      </c>
      <c r="BC378" s="9">
        <v>1</v>
      </c>
      <c r="BD378" s="9">
        <v>0</v>
      </c>
      <c r="BE378" s="9" t="s">
        <v>1185</v>
      </c>
      <c r="BF378" s="9" t="s">
        <v>77</v>
      </c>
      <c r="BG378" s="9"/>
      <c r="BH378" s="9">
        <v>0</v>
      </c>
      <c r="BI378" s="9"/>
      <c r="BJ378" s="9">
        <v>1</v>
      </c>
      <c r="BK378" s="9" t="s">
        <v>92</v>
      </c>
      <c r="BL378" s="9" t="s">
        <v>92</v>
      </c>
      <c r="BM378" s="9" t="s">
        <v>75</v>
      </c>
      <c r="BN378" s="9"/>
      <c r="BO378" s="9">
        <v>0</v>
      </c>
      <c r="BP378" s="9"/>
      <c r="BQ378" s="9">
        <v>0</v>
      </c>
      <c r="BR378" s="9"/>
      <c r="BS378" s="9"/>
      <c r="BT378" s="9"/>
      <c r="BU378" s="9"/>
      <c r="BV378" s="9"/>
      <c r="BW378" s="9">
        <v>0</v>
      </c>
      <c r="BX378" s="9">
        <v>46171.425659722219</v>
      </c>
      <c r="BY378" s="9">
        <v>46171.425659722219</v>
      </c>
      <c r="BZ378" s="9"/>
      <c r="CA378" s="9"/>
      <c r="CB378" s="9"/>
      <c r="CC378" s="9"/>
      <c r="CD378" s="9"/>
      <c r="CE378" s="9"/>
      <c r="CF378" s="9"/>
      <c r="CG378" s="9"/>
      <c r="CH378" s="9">
        <v>1</v>
      </c>
      <c r="CI378" s="9">
        <v>0</v>
      </c>
      <c r="CJ378" s="9"/>
      <c r="CK378" s="9"/>
      <c r="CL378" s="9" t="s">
        <v>2282</v>
      </c>
      <c r="CM378" s="9"/>
      <c r="CN378" s="9">
        <v>0</v>
      </c>
      <c r="CO378" s="9" t="s">
        <v>1925</v>
      </c>
      <c r="CP378" s="9"/>
      <c r="CQ378" s="9">
        <v>0</v>
      </c>
    </row>
    <row r="379" spans="1:95" x14ac:dyDescent="0.35">
      <c r="A379" s="9" t="b">
        <f>ISNUMBER(MATCH(Claude[[#This Row],[Id]],ChargentOrders[Id],0))</f>
        <v>1</v>
      </c>
      <c r="B379" t="b">
        <f>INDEX(ChargentOrders[VALIDO],MATCH(Claude[[#This Row],[Id]],ChargentOrders[Id],0))</f>
        <v>1</v>
      </c>
      <c r="C379">
        <f>INDEX(Contract[CB_Subscription__c],MATCH(Claude[[#This Row],[Contract__c]],Contract[Id],0))</f>
        <v>0</v>
      </c>
      <c r="D379" s="9" t="s">
        <v>1188</v>
      </c>
      <c r="E379" s="9" t="s">
        <v>155</v>
      </c>
      <c r="F379" s="9">
        <v>0</v>
      </c>
      <c r="G379" s="9" t="s">
        <v>1189</v>
      </c>
      <c r="H379" s="9">
        <v>46167.420208333337</v>
      </c>
      <c r="I379" s="9" t="s">
        <v>65</v>
      </c>
      <c r="J379" s="9">
        <v>46217.738564814812</v>
      </c>
      <c r="K379" s="9" t="s">
        <v>78</v>
      </c>
      <c r="L379" s="9">
        <v>46217.738564814812</v>
      </c>
      <c r="M379" s="9"/>
      <c r="N379" s="9" t="s">
        <v>1763</v>
      </c>
      <c r="O379" s="9" t="s">
        <v>2198</v>
      </c>
      <c r="P379" s="9" t="s">
        <v>2199</v>
      </c>
      <c r="Q379" s="9" t="s">
        <v>1925</v>
      </c>
      <c r="R379" s="9" t="s">
        <v>1761</v>
      </c>
      <c r="S379" s="9" t="s">
        <v>2200</v>
      </c>
      <c r="T379" s="9" t="s">
        <v>2201</v>
      </c>
      <c r="U379" s="9" t="s">
        <v>1928</v>
      </c>
      <c r="V379" s="9">
        <v>784</v>
      </c>
      <c r="W379" s="9">
        <v>7</v>
      </c>
      <c r="X379" s="9">
        <v>2030</v>
      </c>
      <c r="Y379" s="9">
        <v>1311</v>
      </c>
      <c r="Z379" s="9">
        <v>7</v>
      </c>
      <c r="AA379" s="9">
        <v>4549519302711310</v>
      </c>
      <c r="AB379" s="9" t="s">
        <v>73</v>
      </c>
      <c r="AC379" s="9">
        <v>2030</v>
      </c>
      <c r="AD379" s="9" t="s">
        <v>449</v>
      </c>
      <c r="AE379" s="9"/>
      <c r="AF379" s="9" t="s">
        <v>1929</v>
      </c>
      <c r="AG379" s="9"/>
      <c r="AH379" s="9" t="s">
        <v>67</v>
      </c>
      <c r="AI379" s="9">
        <v>0</v>
      </c>
      <c r="AJ379" s="9"/>
      <c r="AK379" s="9">
        <v>0</v>
      </c>
      <c r="AL379" s="9" t="s">
        <v>1930</v>
      </c>
      <c r="AM379" s="9">
        <v>1</v>
      </c>
      <c r="AN379" s="9">
        <v>46212</v>
      </c>
      <c r="AO379" s="9" t="s">
        <v>1931</v>
      </c>
      <c r="AP379" s="9" t="s">
        <v>69</v>
      </c>
      <c r="AQ379" s="9" t="s">
        <v>1932</v>
      </c>
      <c r="AR379" s="9">
        <v>46212</v>
      </c>
      <c r="AS379" s="9" t="s">
        <v>84</v>
      </c>
      <c r="AT379" s="9" t="s">
        <v>1935</v>
      </c>
      <c r="AU379" s="9" t="s">
        <v>449</v>
      </c>
      <c r="AV379" s="9">
        <v>0</v>
      </c>
      <c r="AW379" s="9" t="s">
        <v>92</v>
      </c>
      <c r="AX379" s="9" t="s">
        <v>755</v>
      </c>
      <c r="AY379" s="9">
        <v>0</v>
      </c>
      <c r="AZ379" s="9"/>
      <c r="BA379" s="9"/>
      <c r="BB379" s="9">
        <v>0</v>
      </c>
      <c r="BC379" s="9">
        <v>19</v>
      </c>
      <c r="BD379" s="9">
        <v>0</v>
      </c>
      <c r="BE379" s="9" t="s">
        <v>752</v>
      </c>
      <c r="BF379" s="9" t="s">
        <v>71</v>
      </c>
      <c r="BG379" s="9"/>
      <c r="BH379" s="9">
        <v>0</v>
      </c>
      <c r="BI379" s="9"/>
      <c r="BJ379" s="9"/>
      <c r="BK379" s="9" t="s">
        <v>92</v>
      </c>
      <c r="BL379" s="9" t="s">
        <v>92</v>
      </c>
      <c r="BM379" s="9" t="s">
        <v>72</v>
      </c>
      <c r="BN379" s="9"/>
      <c r="BO379" s="9">
        <v>1</v>
      </c>
      <c r="BP379" s="9" t="s">
        <v>1190</v>
      </c>
      <c r="BQ379" s="9">
        <v>0</v>
      </c>
      <c r="BR379" s="9">
        <v>46079.422094907408</v>
      </c>
      <c r="BS379" s="9" t="s">
        <v>109</v>
      </c>
      <c r="BT379" s="9" t="s">
        <v>65</v>
      </c>
      <c r="BU379" s="9"/>
      <c r="BV379" s="9"/>
      <c r="BW379" s="9">
        <v>0</v>
      </c>
      <c r="BX379" s="9">
        <v>46209.421168981484</v>
      </c>
      <c r="BY379" s="9">
        <v>46209.421168981484</v>
      </c>
      <c r="BZ379" s="9"/>
      <c r="CA379" s="9"/>
      <c r="CB379" s="9"/>
      <c r="CC379" s="9"/>
      <c r="CD379" s="9"/>
      <c r="CE379" s="9"/>
      <c r="CF379" s="9"/>
      <c r="CG379" s="9"/>
      <c r="CH379" s="9">
        <v>1</v>
      </c>
      <c r="CI379" s="9">
        <v>0</v>
      </c>
      <c r="CJ379" s="9"/>
      <c r="CK379" s="9"/>
      <c r="CL379" s="9" t="s">
        <v>2202</v>
      </c>
      <c r="CM379" s="9"/>
      <c r="CN379" s="9">
        <v>0</v>
      </c>
      <c r="CO379" s="9" t="s">
        <v>1925</v>
      </c>
      <c r="CP379" s="9" t="s">
        <v>2270</v>
      </c>
      <c r="CQ379" s="9">
        <v>0</v>
      </c>
    </row>
    <row r="380" spans="1:95" x14ac:dyDescent="0.35">
      <c r="A380" s="9" t="b">
        <f>ISNUMBER(MATCH(Claude[[#This Row],[Id]],ChargentOrders[Id],0))</f>
        <v>1</v>
      </c>
      <c r="B380" t="b">
        <f>INDEX(ChargentOrders[VALIDO],MATCH(Claude[[#This Row],[Id]],ChargentOrders[Id],0))</f>
        <v>1</v>
      </c>
      <c r="C380">
        <f>INDEX(Contract[CB_Subscription__c],MATCH(Claude[[#This Row],[Contract__c]],Contract[Id],0))</f>
        <v>0</v>
      </c>
      <c r="D380" s="9" t="s">
        <v>1191</v>
      </c>
      <c r="E380" s="9" t="s">
        <v>155</v>
      </c>
      <c r="F380" s="9">
        <v>0</v>
      </c>
      <c r="G380" s="9" t="s">
        <v>1192</v>
      </c>
      <c r="H380" s="9">
        <v>46168.589687500003</v>
      </c>
      <c r="I380" s="9" t="s">
        <v>155</v>
      </c>
      <c r="J380" s="9">
        <v>46168.589803240742</v>
      </c>
      <c r="K380" s="9" t="s">
        <v>155</v>
      </c>
      <c r="L380" s="9">
        <v>46168.589803240742</v>
      </c>
      <c r="M380" s="9"/>
      <c r="N380" s="9"/>
      <c r="O380" s="9" t="s">
        <v>2283</v>
      </c>
      <c r="P380" s="9" t="s">
        <v>2228</v>
      </c>
      <c r="Q380" s="9" t="s">
        <v>1925</v>
      </c>
      <c r="R380" s="9" t="s">
        <v>1836</v>
      </c>
      <c r="S380" s="9" t="s">
        <v>2284</v>
      </c>
      <c r="T380" s="9" t="s">
        <v>2285</v>
      </c>
      <c r="U380" s="9" t="s">
        <v>1928</v>
      </c>
      <c r="V380" s="9">
        <v>698</v>
      </c>
      <c r="W380" s="9">
        <v>4</v>
      </c>
      <c r="X380" s="9">
        <v>2031</v>
      </c>
      <c r="Y380" s="9">
        <v>636</v>
      </c>
      <c r="Z380" s="9">
        <v>4</v>
      </c>
      <c r="AA380" s="9">
        <v>4549519006700630</v>
      </c>
      <c r="AB380" s="9" t="s">
        <v>73</v>
      </c>
      <c r="AC380" s="9">
        <v>2031</v>
      </c>
      <c r="AD380" s="9" t="s">
        <v>93</v>
      </c>
      <c r="AE380" s="9"/>
      <c r="AF380" s="9" t="s">
        <v>1929</v>
      </c>
      <c r="AG380" s="9"/>
      <c r="AH380" s="9" t="s">
        <v>67</v>
      </c>
      <c r="AI380" s="9">
        <v>0</v>
      </c>
      <c r="AJ380" s="9"/>
      <c r="AK380" s="9">
        <v>0</v>
      </c>
      <c r="AL380" s="9" t="s">
        <v>1930</v>
      </c>
      <c r="AM380" s="9"/>
      <c r="AN380" s="9"/>
      <c r="AO380" s="9" t="s">
        <v>1931</v>
      </c>
      <c r="AP380" s="9" t="s">
        <v>69</v>
      </c>
      <c r="AQ380" s="9" t="s">
        <v>1932</v>
      </c>
      <c r="AR380" s="9"/>
      <c r="AS380" s="9"/>
      <c r="AT380" s="9"/>
      <c r="AU380" s="9" t="s">
        <v>92</v>
      </c>
      <c r="AV380" s="9">
        <v>0</v>
      </c>
      <c r="AW380" s="9"/>
      <c r="AX380" s="9" t="s">
        <v>1193</v>
      </c>
      <c r="AY380" s="9">
        <v>0</v>
      </c>
      <c r="AZ380" s="9"/>
      <c r="BA380" s="9">
        <v>46168.589756944442</v>
      </c>
      <c r="BB380" s="9">
        <v>0</v>
      </c>
      <c r="BC380" s="9">
        <v>1</v>
      </c>
      <c r="BD380" s="9">
        <v>0</v>
      </c>
      <c r="BE380" s="9" t="s">
        <v>1194</v>
      </c>
      <c r="BF380" s="9"/>
      <c r="BG380" s="9"/>
      <c r="BH380" s="9">
        <v>0</v>
      </c>
      <c r="BI380" s="9"/>
      <c r="BJ380" s="9">
        <v>1</v>
      </c>
      <c r="BK380" s="9"/>
      <c r="BL380" s="9"/>
      <c r="BM380" s="9" t="s">
        <v>75</v>
      </c>
      <c r="BN380" s="9"/>
      <c r="BO380" s="9">
        <v>0</v>
      </c>
      <c r="BP380" s="9"/>
      <c r="BQ380" s="9">
        <v>1</v>
      </c>
      <c r="BR380" s="9"/>
      <c r="BS380" s="9"/>
      <c r="BT380" s="9"/>
      <c r="BU380" s="9"/>
      <c r="BV380" s="9"/>
      <c r="BW380" s="9">
        <v>0</v>
      </c>
      <c r="BX380" s="9"/>
      <c r="BY380" s="9">
        <v>46168.589756944442</v>
      </c>
      <c r="BZ380" s="9"/>
      <c r="CA380" s="9"/>
      <c r="CB380" s="9"/>
      <c r="CC380" s="9"/>
      <c r="CD380" s="9"/>
      <c r="CE380" s="9"/>
      <c r="CF380" s="9"/>
      <c r="CG380" s="9"/>
      <c r="CH380" s="9">
        <v>1</v>
      </c>
      <c r="CI380" s="9">
        <v>0</v>
      </c>
      <c r="CJ380" s="9"/>
      <c r="CK380" s="9"/>
      <c r="CL380" s="9" t="s">
        <v>2286</v>
      </c>
      <c r="CM380" s="9"/>
      <c r="CN380" s="9">
        <v>0</v>
      </c>
      <c r="CO380" s="9" t="s">
        <v>1925</v>
      </c>
      <c r="CP380" s="9"/>
      <c r="CQ380" s="9">
        <v>0</v>
      </c>
    </row>
    <row r="381" spans="1:95" x14ac:dyDescent="0.35">
      <c r="A381" s="9" t="b">
        <f>ISNUMBER(MATCH(Claude[[#This Row],[Id]],ChargentOrders[Id],0))</f>
        <v>1</v>
      </c>
      <c r="B381" t="b">
        <f>INDEX(ChargentOrders[VALIDO],MATCH(Claude[[#This Row],[Id]],ChargentOrders[Id],0))</f>
        <v>1</v>
      </c>
      <c r="C381">
        <f>INDEX(Contract[CB_Subscription__c],MATCH(Claude[[#This Row],[Contract__c]],Contract[Id],0))</f>
        <v>0</v>
      </c>
      <c r="D381" s="9" t="s">
        <v>1195</v>
      </c>
      <c r="E381" s="9" t="s">
        <v>155</v>
      </c>
      <c r="F381" s="9">
        <v>0</v>
      </c>
      <c r="G381" s="9" t="s">
        <v>1196</v>
      </c>
      <c r="H381" s="9">
        <v>46168.590162037035</v>
      </c>
      <c r="I381" s="9" t="s">
        <v>155</v>
      </c>
      <c r="J381" s="9">
        <v>46170.63349537037</v>
      </c>
      <c r="K381" s="9" t="s">
        <v>97</v>
      </c>
      <c r="L381" s="9">
        <v>46170.63349537037</v>
      </c>
      <c r="M381" s="9"/>
      <c r="N381" s="9" t="s">
        <v>1838</v>
      </c>
      <c r="O381" s="9" t="s">
        <v>2283</v>
      </c>
      <c r="P381" s="9" t="s">
        <v>2228</v>
      </c>
      <c r="Q381" s="9" t="s">
        <v>1925</v>
      </c>
      <c r="R381" s="9" t="s">
        <v>1836</v>
      </c>
      <c r="S381" s="9" t="s">
        <v>2284</v>
      </c>
      <c r="T381" s="9" t="s">
        <v>2285</v>
      </c>
      <c r="U381" s="9" t="s">
        <v>1928</v>
      </c>
      <c r="V381" s="9">
        <v>698</v>
      </c>
      <c r="W381" s="9">
        <v>4</v>
      </c>
      <c r="X381" s="9">
        <v>2031</v>
      </c>
      <c r="Y381" s="9">
        <v>636</v>
      </c>
      <c r="Z381" s="9">
        <v>4</v>
      </c>
      <c r="AA381" s="9">
        <v>4549519006700630</v>
      </c>
      <c r="AB381" s="9" t="s">
        <v>73</v>
      </c>
      <c r="AC381" s="9">
        <v>2031</v>
      </c>
      <c r="AD381" s="9" t="s">
        <v>167</v>
      </c>
      <c r="AE381" s="9"/>
      <c r="AF381" s="9" t="s">
        <v>1929</v>
      </c>
      <c r="AG381" s="9"/>
      <c r="AH381" s="9" t="s">
        <v>67</v>
      </c>
      <c r="AI381" s="9">
        <v>0</v>
      </c>
      <c r="AJ381" s="9"/>
      <c r="AK381" s="9">
        <v>0</v>
      </c>
      <c r="AL381" s="9" t="s">
        <v>1930</v>
      </c>
      <c r="AM381" s="9">
        <v>1</v>
      </c>
      <c r="AN381" s="9"/>
      <c r="AO381" s="9" t="s">
        <v>1931</v>
      </c>
      <c r="AP381" s="9" t="s">
        <v>69</v>
      </c>
      <c r="AQ381" s="9" t="s">
        <v>1932</v>
      </c>
      <c r="AR381" s="9">
        <v>46174</v>
      </c>
      <c r="AS381" s="9" t="s">
        <v>74</v>
      </c>
      <c r="AT381" s="9" t="s">
        <v>1935</v>
      </c>
      <c r="AU381" s="9" t="s">
        <v>374</v>
      </c>
      <c r="AV381" s="9">
        <v>0</v>
      </c>
      <c r="AW381" s="9" t="s">
        <v>93</v>
      </c>
      <c r="AX381" s="9" t="s">
        <v>1193</v>
      </c>
      <c r="AY381" s="9">
        <v>0</v>
      </c>
      <c r="AZ381" s="9">
        <v>46170.633425925924</v>
      </c>
      <c r="BA381" s="9">
        <v>46170.633425925924</v>
      </c>
      <c r="BB381" s="9">
        <v>1</v>
      </c>
      <c r="BC381" s="9">
        <v>1</v>
      </c>
      <c r="BD381" s="9" t="s">
        <v>167</v>
      </c>
      <c r="BE381" s="9" t="s">
        <v>1194</v>
      </c>
      <c r="BF381" s="9" t="s">
        <v>77</v>
      </c>
      <c r="BG381" s="9"/>
      <c r="BH381" s="9">
        <v>0</v>
      </c>
      <c r="BI381" s="9"/>
      <c r="BJ381" s="9">
        <v>1</v>
      </c>
      <c r="BK381" s="9" t="s">
        <v>92</v>
      </c>
      <c r="BL381" s="9" t="s">
        <v>92</v>
      </c>
      <c r="BM381" s="9" t="s">
        <v>75</v>
      </c>
      <c r="BN381" s="9"/>
      <c r="BO381" s="9">
        <v>0</v>
      </c>
      <c r="BP381" s="9"/>
      <c r="BQ381" s="9">
        <v>0</v>
      </c>
      <c r="BR381" s="9"/>
      <c r="BS381" s="9"/>
      <c r="BT381" s="9"/>
      <c r="BU381" s="9"/>
      <c r="BV381" s="9"/>
      <c r="BW381" s="9">
        <v>0</v>
      </c>
      <c r="BX381" s="9"/>
      <c r="BY381" s="9">
        <v>46170.633425925924</v>
      </c>
      <c r="BZ381" s="9"/>
      <c r="CA381" s="9"/>
      <c r="CB381" s="9"/>
      <c r="CC381" s="9"/>
      <c r="CD381" s="9"/>
      <c r="CE381" s="9"/>
      <c r="CF381" s="9"/>
      <c r="CG381" s="9"/>
      <c r="CH381" s="9">
        <v>1</v>
      </c>
      <c r="CI381" s="9">
        <v>0</v>
      </c>
      <c r="CJ381" s="9"/>
      <c r="CK381" s="9"/>
      <c r="CL381" s="9" t="s">
        <v>2286</v>
      </c>
      <c r="CM381" s="9"/>
      <c r="CN381" s="9">
        <v>0</v>
      </c>
      <c r="CO381" s="9" t="s">
        <v>1925</v>
      </c>
      <c r="CP381" s="9"/>
      <c r="CQ381" s="9">
        <v>0</v>
      </c>
    </row>
    <row r="382" spans="1:95" x14ac:dyDescent="0.35">
      <c r="A382" s="9" t="b">
        <f>ISNUMBER(MATCH(Claude[[#This Row],[Id]],ChargentOrders[Id],0))</f>
        <v>1</v>
      </c>
      <c r="B382" t="b">
        <f>INDEX(ChargentOrders[VALIDO],MATCH(Claude[[#This Row],[Id]],ChargentOrders[Id],0))</f>
        <v>1</v>
      </c>
      <c r="C382">
        <f>INDEX(Contract[CB_Subscription__c],MATCH(Claude[[#This Row],[Contract__c]],Contract[Id],0))</f>
        <v>0</v>
      </c>
      <c r="D382" s="9" t="s">
        <v>1197</v>
      </c>
      <c r="E382" s="9" t="s">
        <v>155</v>
      </c>
      <c r="F382" s="9">
        <v>0</v>
      </c>
      <c r="G382" s="9" t="s">
        <v>1198</v>
      </c>
      <c r="H382" s="9">
        <v>46168.632141203707</v>
      </c>
      <c r="I382" s="9" t="s">
        <v>155</v>
      </c>
      <c r="J382" s="9">
        <v>46168.633437500001</v>
      </c>
      <c r="K382" s="9" t="s">
        <v>155</v>
      </c>
      <c r="L382" s="9">
        <v>46168.633437500001</v>
      </c>
      <c r="M382" s="9"/>
      <c r="N382" s="9"/>
      <c r="O382" s="9" t="s">
        <v>2287</v>
      </c>
      <c r="P382" s="9" t="s">
        <v>2006</v>
      </c>
      <c r="Q382" s="9" t="s">
        <v>1925</v>
      </c>
      <c r="R382" s="9" t="s">
        <v>1841</v>
      </c>
      <c r="S382" s="9" t="s">
        <v>2288</v>
      </c>
      <c r="T382" s="9" t="s">
        <v>2289</v>
      </c>
      <c r="U382" s="9" t="s">
        <v>1928</v>
      </c>
      <c r="V382" s="9">
        <v>983</v>
      </c>
      <c r="W382" s="9">
        <v>7</v>
      </c>
      <c r="X382" s="9">
        <v>2029</v>
      </c>
      <c r="Y382" s="9">
        <v>6085</v>
      </c>
      <c r="Z382" s="9">
        <v>7</v>
      </c>
      <c r="AA382" s="9">
        <v>4549518802306080</v>
      </c>
      <c r="AB382" s="9" t="s">
        <v>73</v>
      </c>
      <c r="AC382" s="9">
        <v>2029</v>
      </c>
      <c r="AD382" s="9" t="s">
        <v>93</v>
      </c>
      <c r="AE382" s="9"/>
      <c r="AF382" s="9" t="s">
        <v>1929</v>
      </c>
      <c r="AG382" s="9"/>
      <c r="AH382" s="9" t="s">
        <v>67</v>
      </c>
      <c r="AI382" s="9">
        <v>0</v>
      </c>
      <c r="AJ382" s="9"/>
      <c r="AK382" s="9">
        <v>0</v>
      </c>
      <c r="AL382" s="9" t="s">
        <v>1930</v>
      </c>
      <c r="AM382" s="9"/>
      <c r="AN382" s="9"/>
      <c r="AO382" s="9" t="s">
        <v>1931</v>
      </c>
      <c r="AP382" s="9" t="s">
        <v>69</v>
      </c>
      <c r="AQ382" s="9" t="s">
        <v>1932</v>
      </c>
      <c r="AR382" s="9"/>
      <c r="AS382" s="9"/>
      <c r="AT382" s="9"/>
      <c r="AU382" s="9" t="s">
        <v>92</v>
      </c>
      <c r="AV382" s="9">
        <v>0</v>
      </c>
      <c r="AW382" s="9"/>
      <c r="AX382" s="9" t="s">
        <v>1199</v>
      </c>
      <c r="AY382" s="9">
        <v>0</v>
      </c>
      <c r="AZ382" s="9"/>
      <c r="BA382" s="9">
        <v>46168.632175925923</v>
      </c>
      <c r="BB382" s="9">
        <v>0</v>
      </c>
      <c r="BC382" s="9">
        <v>1</v>
      </c>
      <c r="BD382" s="9">
        <v>0</v>
      </c>
      <c r="BE382" s="9" t="s">
        <v>1200</v>
      </c>
      <c r="BF382" s="9"/>
      <c r="BG382" s="9"/>
      <c r="BH382" s="9">
        <v>0</v>
      </c>
      <c r="BI382" s="9"/>
      <c r="BJ382" s="9">
        <v>1</v>
      </c>
      <c r="BK382" s="9"/>
      <c r="BL382" s="9"/>
      <c r="BM382" s="9" t="s">
        <v>75</v>
      </c>
      <c r="BN382" s="9"/>
      <c r="BO382" s="9">
        <v>0</v>
      </c>
      <c r="BP382" s="9"/>
      <c r="BQ382" s="9">
        <v>1</v>
      </c>
      <c r="BR382" s="9"/>
      <c r="BS382" s="9"/>
      <c r="BT382" s="9"/>
      <c r="BU382" s="9"/>
      <c r="BV382" s="9"/>
      <c r="BW382" s="9">
        <v>0</v>
      </c>
      <c r="BX382" s="9"/>
      <c r="BY382" s="9">
        <v>46168.632175925923</v>
      </c>
      <c r="BZ382" s="9"/>
      <c r="CA382" s="9"/>
      <c r="CB382" s="9"/>
      <c r="CC382" s="9"/>
      <c r="CD382" s="9"/>
      <c r="CE382" s="9"/>
      <c r="CF382" s="9"/>
      <c r="CG382" s="9"/>
      <c r="CH382" s="9">
        <v>1</v>
      </c>
      <c r="CI382" s="9">
        <v>0</v>
      </c>
      <c r="CJ382" s="9"/>
      <c r="CK382" s="9"/>
      <c r="CL382" s="9" t="s">
        <v>2290</v>
      </c>
      <c r="CM382" s="9"/>
      <c r="CN382" s="9">
        <v>0</v>
      </c>
      <c r="CO382" s="9" t="s">
        <v>1925</v>
      </c>
      <c r="CP382" s="9"/>
      <c r="CQ382" s="9">
        <v>0</v>
      </c>
    </row>
    <row r="383" spans="1:95" x14ac:dyDescent="0.35">
      <c r="A383" s="9" t="b">
        <f>ISNUMBER(MATCH(Claude[[#This Row],[Id]],ChargentOrders[Id],0))</f>
        <v>1</v>
      </c>
      <c r="B383" t="b">
        <f>INDEX(ChargentOrders[VALIDO],MATCH(Claude[[#This Row],[Id]],ChargentOrders[Id],0))</f>
        <v>1</v>
      </c>
      <c r="C383">
        <f>INDEX(Contract[CB_Subscription__c],MATCH(Claude[[#This Row],[Contract__c]],Contract[Id],0))</f>
        <v>0</v>
      </c>
      <c r="D383" s="9" t="s">
        <v>1201</v>
      </c>
      <c r="E383" s="9" t="s">
        <v>155</v>
      </c>
      <c r="F383" s="9">
        <v>0</v>
      </c>
      <c r="G383" s="9" t="s">
        <v>1202</v>
      </c>
      <c r="H383" s="9">
        <v>46168.63354166667</v>
      </c>
      <c r="I383" s="9" t="s">
        <v>155</v>
      </c>
      <c r="J383" s="9">
        <v>46178.42596064815</v>
      </c>
      <c r="K383" s="9" t="s">
        <v>65</v>
      </c>
      <c r="L383" s="9">
        <v>46178.42596064815</v>
      </c>
      <c r="M383" s="9"/>
      <c r="N383" s="9" t="s">
        <v>1843</v>
      </c>
      <c r="O383" s="9" t="s">
        <v>2287</v>
      </c>
      <c r="P383" s="9" t="s">
        <v>2006</v>
      </c>
      <c r="Q383" s="9" t="s">
        <v>1925</v>
      </c>
      <c r="R383" s="9" t="s">
        <v>1841</v>
      </c>
      <c r="S383" s="9" t="s">
        <v>2288</v>
      </c>
      <c r="T383" s="9" t="s">
        <v>2289</v>
      </c>
      <c r="U383" s="9" t="s">
        <v>1928</v>
      </c>
      <c r="V383" s="9">
        <v>983</v>
      </c>
      <c r="W383" s="9">
        <v>7</v>
      </c>
      <c r="X383" s="9">
        <v>2029</v>
      </c>
      <c r="Y383" s="9">
        <v>6085</v>
      </c>
      <c r="Z383" s="9">
        <v>7</v>
      </c>
      <c r="AA383" s="9">
        <v>4549518802306080</v>
      </c>
      <c r="AB383" s="9" t="s">
        <v>73</v>
      </c>
      <c r="AC383" s="9">
        <v>2029</v>
      </c>
      <c r="AD383" s="9" t="s">
        <v>374</v>
      </c>
      <c r="AE383" s="9"/>
      <c r="AF383" s="9" t="s">
        <v>1929</v>
      </c>
      <c r="AG383" s="9"/>
      <c r="AH383" s="9" t="s">
        <v>67</v>
      </c>
      <c r="AI383" s="9">
        <v>0</v>
      </c>
      <c r="AJ383" s="9"/>
      <c r="AK383" s="9">
        <v>0</v>
      </c>
      <c r="AL383" s="9" t="s">
        <v>1930</v>
      </c>
      <c r="AM383" s="9">
        <v>1</v>
      </c>
      <c r="AN383" s="9"/>
      <c r="AO383" s="9" t="s">
        <v>1931</v>
      </c>
      <c r="AP383" s="9" t="s">
        <v>69</v>
      </c>
      <c r="AQ383" s="9" t="s">
        <v>1932</v>
      </c>
      <c r="AR383" s="9">
        <v>46178</v>
      </c>
      <c r="AS383" s="9" t="s">
        <v>74</v>
      </c>
      <c r="AT383" s="9" t="s">
        <v>1935</v>
      </c>
      <c r="AU383" s="9" t="s">
        <v>374</v>
      </c>
      <c r="AV383" s="9">
        <v>0</v>
      </c>
      <c r="AW383" s="9" t="s">
        <v>92</v>
      </c>
      <c r="AX383" s="9" t="s">
        <v>1199</v>
      </c>
      <c r="AY383" s="9">
        <v>0</v>
      </c>
      <c r="AZ383" s="9">
        <v>46178.425844907404</v>
      </c>
      <c r="BA383" s="9">
        <v>46178.425891203704</v>
      </c>
      <c r="BB383" s="9">
        <v>1</v>
      </c>
      <c r="BC383" s="9">
        <v>1</v>
      </c>
      <c r="BD383" s="9" t="s">
        <v>167</v>
      </c>
      <c r="BE383" s="9" t="s">
        <v>1200</v>
      </c>
      <c r="BF383" s="9" t="s">
        <v>77</v>
      </c>
      <c r="BG383" s="9"/>
      <c r="BH383" s="9">
        <v>0</v>
      </c>
      <c r="BI383" s="9"/>
      <c r="BJ383" s="9">
        <v>1</v>
      </c>
      <c r="BK383" s="9" t="s">
        <v>92</v>
      </c>
      <c r="BL383" s="9" t="s">
        <v>92</v>
      </c>
      <c r="BM383" s="9" t="s">
        <v>75</v>
      </c>
      <c r="BN383" s="9"/>
      <c r="BO383" s="9">
        <v>0</v>
      </c>
      <c r="BP383" s="9"/>
      <c r="BQ383" s="9">
        <v>0</v>
      </c>
      <c r="BR383" s="9"/>
      <c r="BS383" s="9"/>
      <c r="BT383" s="9"/>
      <c r="BU383" s="9"/>
      <c r="BV383" s="9"/>
      <c r="BW383" s="9">
        <v>0</v>
      </c>
      <c r="BX383" s="9"/>
      <c r="BY383" s="9">
        <v>46178.425844907404</v>
      </c>
      <c r="BZ383" s="9"/>
      <c r="CA383" s="9"/>
      <c r="CB383" s="9"/>
      <c r="CC383" s="9"/>
      <c r="CD383" s="9"/>
      <c r="CE383" s="9"/>
      <c r="CF383" s="9"/>
      <c r="CG383" s="9"/>
      <c r="CH383" s="9">
        <v>1</v>
      </c>
      <c r="CI383" s="9">
        <v>0</v>
      </c>
      <c r="CJ383" s="9"/>
      <c r="CK383" s="9"/>
      <c r="CL383" s="9" t="s">
        <v>2290</v>
      </c>
      <c r="CM383" s="9"/>
      <c r="CN383" s="9">
        <v>0</v>
      </c>
      <c r="CO383" s="9" t="s">
        <v>1925</v>
      </c>
      <c r="CP383" s="9"/>
      <c r="CQ383" s="9">
        <v>0</v>
      </c>
    </row>
    <row r="384" spans="1:95" x14ac:dyDescent="0.35">
      <c r="A384" s="9" t="b">
        <f>ISNUMBER(MATCH(Claude[[#This Row],[Id]],ChargentOrders[Id],0))</f>
        <v>1</v>
      </c>
      <c r="B384" t="b">
        <f>INDEX(ChargentOrders[VALIDO],MATCH(Claude[[#This Row],[Id]],ChargentOrders[Id],0))</f>
        <v>1</v>
      </c>
      <c r="C384">
        <f>INDEX(Contract[CB_Subscription__c],MATCH(Claude[[#This Row],[Contract__c]],Contract[Id],0))</f>
        <v>0</v>
      </c>
      <c r="D384" s="9" t="s">
        <v>1203</v>
      </c>
      <c r="E384" s="9" t="s">
        <v>79</v>
      </c>
      <c r="F384" s="9">
        <v>0</v>
      </c>
      <c r="G384" s="9" t="s">
        <v>1204</v>
      </c>
      <c r="H384" s="9">
        <v>46169.417094907411</v>
      </c>
      <c r="I384" s="9" t="s">
        <v>65</v>
      </c>
      <c r="J384" s="9">
        <v>46217.739004629628</v>
      </c>
      <c r="K384" s="9" t="s">
        <v>78</v>
      </c>
      <c r="L384" s="9">
        <v>46217.739004629628</v>
      </c>
      <c r="M384" s="9"/>
      <c r="N384" s="9" t="s">
        <v>1753</v>
      </c>
      <c r="O384" s="9" t="s">
        <v>2185</v>
      </c>
      <c r="P384" s="9" t="s">
        <v>2186</v>
      </c>
      <c r="Q384" s="9" t="s">
        <v>1925</v>
      </c>
      <c r="R384" s="9" t="s">
        <v>1751</v>
      </c>
      <c r="S384" s="9" t="s">
        <v>2187</v>
      </c>
      <c r="T384" s="9" t="s">
        <v>2029</v>
      </c>
      <c r="U384" s="9" t="s">
        <v>1928</v>
      </c>
      <c r="V384" s="9">
        <v>692</v>
      </c>
      <c r="W384" s="9">
        <v>9</v>
      </c>
      <c r="X384" s="9">
        <v>2028</v>
      </c>
      <c r="Y384" s="9">
        <v>799</v>
      </c>
      <c r="Z384" s="9">
        <v>9</v>
      </c>
      <c r="AA384" s="9">
        <v>799</v>
      </c>
      <c r="AB384" s="9" t="s">
        <v>73</v>
      </c>
      <c r="AC384" s="9">
        <v>2028</v>
      </c>
      <c r="AD384" s="9" t="s">
        <v>993</v>
      </c>
      <c r="AE384" s="9"/>
      <c r="AF384" s="9" t="s">
        <v>1929</v>
      </c>
      <c r="AG384" s="9"/>
      <c r="AH384" s="9" t="s">
        <v>67</v>
      </c>
      <c r="AI384" s="9">
        <v>0</v>
      </c>
      <c r="AJ384" s="9"/>
      <c r="AK384" s="9">
        <v>0</v>
      </c>
      <c r="AL384" s="9" t="s">
        <v>1930</v>
      </c>
      <c r="AM384" s="9">
        <v>1</v>
      </c>
      <c r="AN384" s="9">
        <v>46205</v>
      </c>
      <c r="AO384" s="9" t="s">
        <v>1931</v>
      </c>
      <c r="AP384" s="9" t="s">
        <v>69</v>
      </c>
      <c r="AQ384" s="9" t="s">
        <v>1932</v>
      </c>
      <c r="AR384" s="9">
        <v>46205</v>
      </c>
      <c r="AS384" s="9" t="s">
        <v>84</v>
      </c>
      <c r="AT384" s="9" t="s">
        <v>1935</v>
      </c>
      <c r="AU384" s="9" t="s">
        <v>993</v>
      </c>
      <c r="AV384" s="9">
        <v>0</v>
      </c>
      <c r="AW384" s="9" t="s">
        <v>92</v>
      </c>
      <c r="AX384" s="9" t="s">
        <v>731</v>
      </c>
      <c r="AY384" s="9">
        <v>0</v>
      </c>
      <c r="AZ384" s="9"/>
      <c r="BA384" s="9"/>
      <c r="BB384" s="9">
        <v>0</v>
      </c>
      <c r="BC384" s="9">
        <v>14</v>
      </c>
      <c r="BD384" s="9">
        <v>0</v>
      </c>
      <c r="BE384" s="9" t="s">
        <v>732</v>
      </c>
      <c r="BF384" s="9" t="s">
        <v>71</v>
      </c>
      <c r="BG384" s="9"/>
      <c r="BH384" s="9">
        <v>0</v>
      </c>
      <c r="BI384" s="9"/>
      <c r="BJ384" s="9"/>
      <c r="BK384" s="9" t="s">
        <v>92</v>
      </c>
      <c r="BL384" s="9" t="s">
        <v>92</v>
      </c>
      <c r="BM384" s="9" t="s">
        <v>72</v>
      </c>
      <c r="BN384" s="9"/>
      <c r="BO384" s="9">
        <v>1</v>
      </c>
      <c r="BP384" s="9" t="s">
        <v>1205</v>
      </c>
      <c r="BQ384" s="9">
        <v>0</v>
      </c>
      <c r="BR384" s="9">
        <v>46039.416909722226</v>
      </c>
      <c r="BS384" s="9" t="s">
        <v>109</v>
      </c>
      <c r="BT384" s="9" t="s">
        <v>65</v>
      </c>
      <c r="BU384" s="9"/>
      <c r="BV384" s="9"/>
      <c r="BW384" s="9">
        <v>0</v>
      </c>
      <c r="BX384" s="9">
        <v>46202.421747685185</v>
      </c>
      <c r="BY384" s="9">
        <v>46202.421747685185</v>
      </c>
      <c r="BZ384" s="9"/>
      <c r="CA384" s="9"/>
      <c r="CB384" s="9"/>
      <c r="CC384" s="9"/>
      <c r="CD384" s="9"/>
      <c r="CE384" s="9"/>
      <c r="CF384" s="9"/>
      <c r="CG384" s="9"/>
      <c r="CH384" s="9">
        <v>1</v>
      </c>
      <c r="CI384" s="9">
        <v>0</v>
      </c>
      <c r="CJ384" s="9"/>
      <c r="CK384" s="9"/>
      <c r="CL384" s="9" t="s">
        <v>2188</v>
      </c>
      <c r="CM384" s="9"/>
      <c r="CN384" s="9">
        <v>0</v>
      </c>
      <c r="CO384" s="9" t="s">
        <v>1925</v>
      </c>
      <c r="CP384" s="9" t="s">
        <v>2212</v>
      </c>
      <c r="CQ384" s="9">
        <v>0</v>
      </c>
    </row>
    <row r="385" spans="1:95" x14ac:dyDescent="0.35">
      <c r="A385" s="9" t="b">
        <f>ISNUMBER(MATCH(Claude[[#This Row],[Id]],ChargentOrders[Id],0))</f>
        <v>1</v>
      </c>
      <c r="B385" t="b">
        <f>INDEX(ChargentOrders[VALIDO],MATCH(Claude[[#This Row],[Id]],ChargentOrders[Id],0))</f>
        <v>1</v>
      </c>
      <c r="C385">
        <f>INDEX(Contract[CB_Subscription__c],MATCH(Claude[[#This Row],[Contract__c]],Contract[Id],0))</f>
        <v>0</v>
      </c>
      <c r="D385" s="9" t="s">
        <v>1206</v>
      </c>
      <c r="E385" s="9" t="s">
        <v>78</v>
      </c>
      <c r="F385" s="9">
        <v>0</v>
      </c>
      <c r="G385" s="9" t="s">
        <v>1207</v>
      </c>
      <c r="H385" s="9">
        <v>46169.671550925923</v>
      </c>
      <c r="I385" s="9" t="s">
        <v>78</v>
      </c>
      <c r="J385" s="9">
        <v>46217.739004629628</v>
      </c>
      <c r="K385" s="9" t="s">
        <v>78</v>
      </c>
      <c r="L385" s="9">
        <v>46217.739004629628</v>
      </c>
      <c r="M385" s="9"/>
      <c r="N385" s="9" t="s">
        <v>1753</v>
      </c>
      <c r="O385" s="9"/>
      <c r="P385" s="9"/>
      <c r="Q385" s="9" t="s">
        <v>2291</v>
      </c>
      <c r="R385" s="9" t="s">
        <v>1751</v>
      </c>
      <c r="S385" s="9" t="s">
        <v>2187</v>
      </c>
      <c r="T385" s="9" t="s">
        <v>2029</v>
      </c>
      <c r="U385" s="9"/>
      <c r="V385" s="9"/>
      <c r="W385" s="9">
        <v>9</v>
      </c>
      <c r="X385" s="9">
        <v>2028</v>
      </c>
      <c r="Y385" s="9">
        <v>799</v>
      </c>
      <c r="Z385" s="9">
        <v>9</v>
      </c>
      <c r="AA385" s="9">
        <v>799</v>
      </c>
      <c r="AB385" s="9"/>
      <c r="AC385" s="9">
        <v>2028</v>
      </c>
      <c r="AD385" s="9" t="s">
        <v>2190</v>
      </c>
      <c r="AE385" s="9"/>
      <c r="AF385" s="9"/>
      <c r="AG385" s="9"/>
      <c r="AH385" s="9" t="s">
        <v>67</v>
      </c>
      <c r="AI385" s="9">
        <v>0</v>
      </c>
      <c r="AJ385" s="9"/>
      <c r="AK385" s="9">
        <v>0</v>
      </c>
      <c r="AL385" s="9" t="s">
        <v>1930</v>
      </c>
      <c r="AM385" s="9">
        <v>1</v>
      </c>
      <c r="AN385" s="9">
        <v>46205</v>
      </c>
      <c r="AO385" s="9" t="s">
        <v>1931</v>
      </c>
      <c r="AP385" s="9" t="s">
        <v>69</v>
      </c>
      <c r="AQ385" s="9"/>
      <c r="AR385" s="9">
        <v>46205</v>
      </c>
      <c r="AS385" s="9" t="s">
        <v>84</v>
      </c>
      <c r="AT385" s="9" t="s">
        <v>1935</v>
      </c>
      <c r="AU385" s="9" t="s">
        <v>2190</v>
      </c>
      <c r="AV385" s="9">
        <v>0</v>
      </c>
      <c r="AW385" s="9" t="s">
        <v>92</v>
      </c>
      <c r="AX385" s="9" t="s">
        <v>731</v>
      </c>
      <c r="AY385" s="9">
        <v>0</v>
      </c>
      <c r="AZ385" s="9"/>
      <c r="BA385" s="9"/>
      <c r="BB385" s="9">
        <v>0</v>
      </c>
      <c r="BC385" s="9">
        <v>16</v>
      </c>
      <c r="BD385" s="9">
        <v>0</v>
      </c>
      <c r="BE385" s="9" t="s">
        <v>732</v>
      </c>
      <c r="BF385" s="9" t="s">
        <v>71</v>
      </c>
      <c r="BG385" s="9" t="s">
        <v>1208</v>
      </c>
      <c r="BH385" s="9">
        <v>0</v>
      </c>
      <c r="BI385" s="9"/>
      <c r="BJ385" s="9">
        <v>1</v>
      </c>
      <c r="BK385" s="9"/>
      <c r="BL385" s="9"/>
      <c r="BM385" s="9" t="s">
        <v>75</v>
      </c>
      <c r="BN385" s="9"/>
      <c r="BO385" s="9">
        <v>1</v>
      </c>
      <c r="BP385" s="9"/>
      <c r="BQ385" s="9">
        <v>0</v>
      </c>
      <c r="BR385" s="9"/>
      <c r="BS385" s="9">
        <v>25</v>
      </c>
      <c r="BT385" s="9"/>
      <c r="BU385" s="9"/>
      <c r="BV385" s="9"/>
      <c r="BW385" s="9">
        <v>0</v>
      </c>
      <c r="BX385" s="9">
        <v>46202.421759259261</v>
      </c>
      <c r="BY385" s="9">
        <v>46202.421759259261</v>
      </c>
      <c r="BZ385" s="9"/>
      <c r="CA385" s="9"/>
      <c r="CB385" s="9"/>
      <c r="CC385" s="9"/>
      <c r="CD385" s="9"/>
      <c r="CE385" s="9"/>
      <c r="CF385" s="9"/>
      <c r="CG385" s="9"/>
      <c r="CH385" s="9">
        <v>1</v>
      </c>
      <c r="CI385" s="9">
        <v>0</v>
      </c>
      <c r="CJ385" s="9"/>
      <c r="CK385" s="9"/>
      <c r="CL385" s="9"/>
      <c r="CM385" s="9" t="s">
        <v>1167</v>
      </c>
      <c r="CN385" s="9">
        <v>0</v>
      </c>
      <c r="CO385" s="9" t="s">
        <v>1925</v>
      </c>
      <c r="CP385" s="9"/>
      <c r="CQ385" s="9">
        <v>0</v>
      </c>
    </row>
    <row r="386" spans="1:95" x14ac:dyDescent="0.35">
      <c r="A386" s="9" t="b">
        <f>ISNUMBER(MATCH(Claude[[#This Row],[Id]],ChargentOrders[Id],0))</f>
        <v>1</v>
      </c>
      <c r="B386" t="b">
        <f>INDEX(ChargentOrders[VALIDO],MATCH(Claude[[#This Row],[Id]],ChargentOrders[Id],0))</f>
        <v>1</v>
      </c>
      <c r="C386">
        <f>INDEX(Contract[CB_Subscription__c],MATCH(Claude[[#This Row],[Contract__c]],Contract[Id],0))</f>
        <v>0</v>
      </c>
      <c r="D386" s="9" t="s">
        <v>1209</v>
      </c>
      <c r="E386" s="9" t="s">
        <v>78</v>
      </c>
      <c r="F386" s="9">
        <v>0</v>
      </c>
      <c r="G386" s="9" t="s">
        <v>1210</v>
      </c>
      <c r="H386" s="9">
        <v>46169.673078703701</v>
      </c>
      <c r="I386" s="9" t="s">
        <v>78</v>
      </c>
      <c r="J386" s="9">
        <v>46217.739004629628</v>
      </c>
      <c r="K386" s="9" t="s">
        <v>78</v>
      </c>
      <c r="L386" s="9">
        <v>46217.739004629628</v>
      </c>
      <c r="M386" s="9"/>
      <c r="N386" s="9" t="s">
        <v>1753</v>
      </c>
      <c r="O386" s="9"/>
      <c r="P386" s="9"/>
      <c r="Q386" s="9" t="s">
        <v>2291</v>
      </c>
      <c r="R386" s="9" t="s">
        <v>1751</v>
      </c>
      <c r="S386" s="9" t="s">
        <v>2187</v>
      </c>
      <c r="T386" s="9" t="s">
        <v>2029</v>
      </c>
      <c r="U386" s="9"/>
      <c r="V386" s="9"/>
      <c r="W386" s="9">
        <v>9</v>
      </c>
      <c r="X386" s="9">
        <v>2028</v>
      </c>
      <c r="Y386" s="9">
        <v>799</v>
      </c>
      <c r="Z386" s="9">
        <v>9</v>
      </c>
      <c r="AA386" s="9">
        <v>799</v>
      </c>
      <c r="AB386" s="9"/>
      <c r="AC386" s="9">
        <v>2028</v>
      </c>
      <c r="AD386" s="9" t="s">
        <v>2190</v>
      </c>
      <c r="AE386" s="9"/>
      <c r="AF386" s="9"/>
      <c r="AG386" s="9"/>
      <c r="AH386" s="9" t="s">
        <v>67</v>
      </c>
      <c r="AI386" s="9">
        <v>0</v>
      </c>
      <c r="AJ386" s="9"/>
      <c r="AK386" s="9">
        <v>0</v>
      </c>
      <c r="AL386" s="9" t="s">
        <v>1930</v>
      </c>
      <c r="AM386" s="9">
        <v>1</v>
      </c>
      <c r="AN386" s="9">
        <v>46205</v>
      </c>
      <c r="AO386" s="9" t="s">
        <v>1931</v>
      </c>
      <c r="AP386" s="9" t="s">
        <v>69</v>
      </c>
      <c r="AQ386" s="9"/>
      <c r="AR386" s="9">
        <v>46205</v>
      </c>
      <c r="AS386" s="9" t="s">
        <v>84</v>
      </c>
      <c r="AT386" s="9" t="s">
        <v>1935</v>
      </c>
      <c r="AU386" s="9" t="s">
        <v>2190</v>
      </c>
      <c r="AV386" s="9">
        <v>0</v>
      </c>
      <c r="AW386" s="9" t="s">
        <v>92</v>
      </c>
      <c r="AX386" s="9" t="s">
        <v>731</v>
      </c>
      <c r="AY386" s="9">
        <v>0</v>
      </c>
      <c r="AZ386" s="9"/>
      <c r="BA386" s="9"/>
      <c r="BB386" s="9">
        <v>0</v>
      </c>
      <c r="BC386" s="9">
        <v>15</v>
      </c>
      <c r="BD386" s="9">
        <v>0</v>
      </c>
      <c r="BE386" s="9" t="s">
        <v>732</v>
      </c>
      <c r="BF386" s="9" t="s">
        <v>71</v>
      </c>
      <c r="BG386" s="9" t="s">
        <v>1211</v>
      </c>
      <c r="BH386" s="9">
        <v>0</v>
      </c>
      <c r="BI386" s="9"/>
      <c r="BJ386" s="9">
        <v>1</v>
      </c>
      <c r="BK386" s="9"/>
      <c r="BL386" s="9"/>
      <c r="BM386" s="9" t="s">
        <v>75</v>
      </c>
      <c r="BN386" s="9"/>
      <c r="BO386" s="9">
        <v>1</v>
      </c>
      <c r="BP386" s="9"/>
      <c r="BQ386" s="9">
        <v>0</v>
      </c>
      <c r="BR386" s="9"/>
      <c r="BS386" s="9">
        <v>25</v>
      </c>
      <c r="BT386" s="9"/>
      <c r="BU386" s="9"/>
      <c r="BV386" s="9"/>
      <c r="BW386" s="9">
        <v>0</v>
      </c>
      <c r="BX386" s="9">
        <v>46202.421759259261</v>
      </c>
      <c r="BY386" s="9">
        <v>46202.421759259261</v>
      </c>
      <c r="BZ386" s="9"/>
      <c r="CA386" s="9"/>
      <c r="CB386" s="9"/>
      <c r="CC386" s="9"/>
      <c r="CD386" s="9"/>
      <c r="CE386" s="9"/>
      <c r="CF386" s="9"/>
      <c r="CG386" s="9"/>
      <c r="CH386" s="9">
        <v>1</v>
      </c>
      <c r="CI386" s="9">
        <v>0</v>
      </c>
      <c r="CJ386" s="9"/>
      <c r="CK386" s="9"/>
      <c r="CL386" s="9"/>
      <c r="CM386" s="9" t="s">
        <v>1167</v>
      </c>
      <c r="CN386" s="9">
        <v>0</v>
      </c>
      <c r="CO386" s="9" t="s">
        <v>1925</v>
      </c>
      <c r="CP386" s="9"/>
      <c r="CQ386" s="9">
        <v>0</v>
      </c>
    </row>
    <row r="387" spans="1:95" x14ac:dyDescent="0.35">
      <c r="A387" s="9" t="b">
        <f>ISNUMBER(MATCH(Claude[[#This Row],[Id]],ChargentOrders[Id],0))</f>
        <v>1</v>
      </c>
      <c r="B387" t="b">
        <f>INDEX(ChargentOrders[VALIDO],MATCH(Claude[[#This Row],[Id]],ChargentOrders[Id],0))</f>
        <v>1</v>
      </c>
      <c r="C387">
        <f>INDEX(Contract[CB_Subscription__c],MATCH(Claude[[#This Row],[Contract__c]],Contract[Id],0))</f>
        <v>0</v>
      </c>
      <c r="D387" s="9" t="s">
        <v>1212</v>
      </c>
      <c r="E387" s="9" t="s">
        <v>155</v>
      </c>
      <c r="F387" s="9">
        <v>0</v>
      </c>
      <c r="G387" s="9" t="s">
        <v>1213</v>
      </c>
      <c r="H387" s="9">
        <v>46170.648263888892</v>
      </c>
      <c r="I387" s="9" t="s">
        <v>155</v>
      </c>
      <c r="J387" s="9">
        <v>46170.648333333331</v>
      </c>
      <c r="K387" s="9" t="s">
        <v>155</v>
      </c>
      <c r="L387" s="9">
        <v>46170.648333333331</v>
      </c>
      <c r="M387" s="9"/>
      <c r="N387" s="9"/>
      <c r="O387" s="9" t="s">
        <v>2292</v>
      </c>
      <c r="P387" s="9" t="s">
        <v>2293</v>
      </c>
      <c r="Q387" s="9" t="s">
        <v>1925</v>
      </c>
      <c r="R387" s="9" t="s">
        <v>1846</v>
      </c>
      <c r="S387" s="9" t="s">
        <v>2294</v>
      </c>
      <c r="T387" s="9" t="s">
        <v>2295</v>
      </c>
      <c r="U387" s="9" t="s">
        <v>1928</v>
      </c>
      <c r="V387" s="9">
        <v>953</v>
      </c>
      <c r="W387" s="9">
        <v>7</v>
      </c>
      <c r="X387" s="9">
        <v>2029</v>
      </c>
      <c r="Y387" s="9">
        <v>9490</v>
      </c>
      <c r="Z387" s="9">
        <v>7</v>
      </c>
      <c r="AA387" s="9">
        <v>4549518240099490</v>
      </c>
      <c r="AB387" s="9" t="s">
        <v>73</v>
      </c>
      <c r="AC387" s="9">
        <v>2029</v>
      </c>
      <c r="AD387" s="9" t="s">
        <v>93</v>
      </c>
      <c r="AE387" s="9"/>
      <c r="AF387" s="9" t="s">
        <v>1929</v>
      </c>
      <c r="AG387" s="9"/>
      <c r="AH387" s="9" t="s">
        <v>67</v>
      </c>
      <c r="AI387" s="9">
        <v>0</v>
      </c>
      <c r="AJ387" s="9"/>
      <c r="AK387" s="9">
        <v>0</v>
      </c>
      <c r="AL387" s="9" t="s">
        <v>1930</v>
      </c>
      <c r="AM387" s="9"/>
      <c r="AN387" s="9"/>
      <c r="AO387" s="9" t="s">
        <v>1931</v>
      </c>
      <c r="AP387" s="9" t="s">
        <v>69</v>
      </c>
      <c r="AQ387" s="9" t="s">
        <v>1932</v>
      </c>
      <c r="AR387" s="9"/>
      <c r="AS387" s="9"/>
      <c r="AT387" s="9"/>
      <c r="AU387" s="9" t="s">
        <v>92</v>
      </c>
      <c r="AV387" s="9">
        <v>0</v>
      </c>
      <c r="AW387" s="9"/>
      <c r="AX387" s="9" t="s">
        <v>1214</v>
      </c>
      <c r="AY387" s="9">
        <v>0</v>
      </c>
      <c r="AZ387" s="9"/>
      <c r="BA387" s="9">
        <v>46170.648298611108</v>
      </c>
      <c r="BB387" s="9">
        <v>0</v>
      </c>
      <c r="BC387" s="9">
        <v>1</v>
      </c>
      <c r="BD387" s="9">
        <v>0</v>
      </c>
      <c r="BE387" s="9" t="s">
        <v>1215</v>
      </c>
      <c r="BF387" s="9"/>
      <c r="BG387" s="9"/>
      <c r="BH387" s="9">
        <v>0</v>
      </c>
      <c r="BI387" s="9"/>
      <c r="BJ387" s="9">
        <v>1</v>
      </c>
      <c r="BK387" s="9"/>
      <c r="BL387" s="9"/>
      <c r="BM387" s="9" t="s">
        <v>75</v>
      </c>
      <c r="BN387" s="9"/>
      <c r="BO387" s="9">
        <v>0</v>
      </c>
      <c r="BP387" s="9"/>
      <c r="BQ387" s="9">
        <v>1</v>
      </c>
      <c r="BR387" s="9"/>
      <c r="BS387" s="9"/>
      <c r="BT387" s="9"/>
      <c r="BU387" s="9"/>
      <c r="BV387" s="9"/>
      <c r="BW387" s="9">
        <v>0</v>
      </c>
      <c r="BX387" s="9"/>
      <c r="BY387" s="9">
        <v>46170.648298611108</v>
      </c>
      <c r="BZ387" s="9"/>
      <c r="CA387" s="9"/>
      <c r="CB387" s="9"/>
      <c r="CC387" s="9"/>
      <c r="CD387" s="9"/>
      <c r="CE387" s="9"/>
      <c r="CF387" s="9"/>
      <c r="CG387" s="9"/>
      <c r="CH387" s="9">
        <v>1</v>
      </c>
      <c r="CI387" s="9">
        <v>0</v>
      </c>
      <c r="CJ387" s="9"/>
      <c r="CK387" s="9"/>
      <c r="CL387" s="9" t="s">
        <v>2296</v>
      </c>
      <c r="CM387" s="9"/>
      <c r="CN387" s="9">
        <v>0</v>
      </c>
      <c r="CO387" s="9" t="s">
        <v>1925</v>
      </c>
      <c r="CP387" s="9"/>
      <c r="CQ387" s="9">
        <v>0</v>
      </c>
    </row>
    <row r="388" spans="1:95" x14ac:dyDescent="0.35">
      <c r="A388" s="9" t="b">
        <f>ISNUMBER(MATCH(Claude[[#This Row],[Id]],ChargentOrders[Id],0))</f>
        <v>1</v>
      </c>
      <c r="B388" t="b">
        <f>INDEX(ChargentOrders[VALIDO],MATCH(Claude[[#This Row],[Id]],ChargentOrders[Id],0))</f>
        <v>1</v>
      </c>
      <c r="C388">
        <f>INDEX(Contract[CB_Subscription__c],MATCH(Claude[[#This Row],[Contract__c]],Contract[Id],0))</f>
        <v>0</v>
      </c>
      <c r="D388" s="9" t="s">
        <v>1216</v>
      </c>
      <c r="E388" s="9" t="s">
        <v>155</v>
      </c>
      <c r="F388" s="9">
        <v>0</v>
      </c>
      <c r="G388" s="9" t="s">
        <v>1217</v>
      </c>
      <c r="H388" s="9">
        <v>46170.633449074077</v>
      </c>
      <c r="I388" s="9" t="s">
        <v>97</v>
      </c>
      <c r="J388" s="9">
        <v>46217.738564814812</v>
      </c>
      <c r="K388" s="9" t="s">
        <v>78</v>
      </c>
      <c r="L388" s="9">
        <v>46217.738564814812</v>
      </c>
      <c r="M388" s="9"/>
      <c r="N388" s="9" t="s">
        <v>1838</v>
      </c>
      <c r="O388" s="9" t="s">
        <v>2283</v>
      </c>
      <c r="P388" s="9" t="s">
        <v>2228</v>
      </c>
      <c r="Q388" s="9" t="s">
        <v>1925</v>
      </c>
      <c r="R388" s="9" t="s">
        <v>1836</v>
      </c>
      <c r="S388" s="9" t="s">
        <v>2284</v>
      </c>
      <c r="T388" s="9" t="s">
        <v>2285</v>
      </c>
      <c r="U388" s="9" t="s">
        <v>1928</v>
      </c>
      <c r="V388" s="9">
        <v>698</v>
      </c>
      <c r="W388" s="9">
        <v>4</v>
      </c>
      <c r="X388" s="9">
        <v>2031</v>
      </c>
      <c r="Y388" s="9">
        <v>636</v>
      </c>
      <c r="Z388" s="9">
        <v>4</v>
      </c>
      <c r="AA388" s="9">
        <v>4549519006700630</v>
      </c>
      <c r="AB388" s="9" t="s">
        <v>73</v>
      </c>
      <c r="AC388" s="9">
        <v>2031</v>
      </c>
      <c r="AD388" s="9">
        <v>99000</v>
      </c>
      <c r="AE388" s="9">
        <v>15</v>
      </c>
      <c r="AF388" s="9" t="s">
        <v>1929</v>
      </c>
      <c r="AG388" s="9"/>
      <c r="AH388" s="9" t="s">
        <v>67</v>
      </c>
      <c r="AI388" s="9">
        <v>0</v>
      </c>
      <c r="AJ388" s="9"/>
      <c r="AK388" s="9">
        <v>0</v>
      </c>
      <c r="AL388" s="9" t="s">
        <v>1930</v>
      </c>
      <c r="AM388" s="9"/>
      <c r="AN388" s="9"/>
      <c r="AO388" s="9" t="s">
        <v>1943</v>
      </c>
      <c r="AP388" s="9" t="s">
        <v>69</v>
      </c>
      <c r="AQ388" s="9" t="s">
        <v>1932</v>
      </c>
      <c r="AR388" s="9">
        <v>46218</v>
      </c>
      <c r="AS388" s="9" t="s">
        <v>84</v>
      </c>
      <c r="AT388" s="9" t="s">
        <v>1944</v>
      </c>
      <c r="AU388" s="9" t="s">
        <v>167</v>
      </c>
      <c r="AV388" s="9">
        <v>0</v>
      </c>
      <c r="AW388" s="9" t="s">
        <v>2192</v>
      </c>
      <c r="AX388" s="9" t="s">
        <v>1193</v>
      </c>
      <c r="AY388" s="9">
        <v>0</v>
      </c>
      <c r="AZ388" s="9"/>
      <c r="BA388" s="9"/>
      <c r="BB388" s="9">
        <v>0</v>
      </c>
      <c r="BC388" s="9">
        <v>0</v>
      </c>
      <c r="BD388" s="9">
        <v>0</v>
      </c>
      <c r="BE388" s="9" t="s">
        <v>1194</v>
      </c>
      <c r="BF388" s="9" t="s">
        <v>76</v>
      </c>
      <c r="BG388" s="9"/>
      <c r="BH388" s="9">
        <v>0</v>
      </c>
      <c r="BI388" s="9"/>
      <c r="BJ388" s="9">
        <v>1</v>
      </c>
      <c r="BK388" s="9" t="s">
        <v>92</v>
      </c>
      <c r="BL388" s="9" t="s">
        <v>92</v>
      </c>
      <c r="BM388" s="9" t="s">
        <v>75</v>
      </c>
      <c r="BN388" s="9"/>
      <c r="BO388" s="9">
        <v>0</v>
      </c>
      <c r="BP388" s="9"/>
      <c r="BQ388" s="9">
        <v>0</v>
      </c>
      <c r="BR388" s="9"/>
      <c r="BS388" s="9"/>
      <c r="BT388" s="9"/>
      <c r="BU388" s="9"/>
      <c r="BV388" s="9"/>
      <c r="BW388" s="9">
        <v>0</v>
      </c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>
        <v>1</v>
      </c>
      <c r="CI388" s="9">
        <v>0</v>
      </c>
      <c r="CJ388" s="9"/>
      <c r="CK388" s="9"/>
      <c r="CL388" s="9" t="s">
        <v>2286</v>
      </c>
      <c r="CM388" s="9"/>
      <c r="CN388" s="9">
        <v>0</v>
      </c>
      <c r="CO388" s="9" t="s">
        <v>1925</v>
      </c>
      <c r="CP388" s="9"/>
      <c r="CQ388" s="9">
        <v>0</v>
      </c>
    </row>
    <row r="389" spans="1:95" x14ac:dyDescent="0.35">
      <c r="A389" s="9" t="b">
        <f>ISNUMBER(MATCH(Claude[[#This Row],[Id]],ChargentOrders[Id],0))</f>
        <v>1</v>
      </c>
      <c r="B389" t="b">
        <f>INDEX(ChargentOrders[VALIDO],MATCH(Claude[[#This Row],[Id]],ChargentOrders[Id],0))</f>
        <v>1</v>
      </c>
      <c r="C389">
        <f>INDEX(Contract[CB_Subscription__c],MATCH(Claude[[#This Row],[Contract__c]],Contract[Id],0))</f>
        <v>0</v>
      </c>
      <c r="D389" s="9" t="s">
        <v>1218</v>
      </c>
      <c r="E389" s="9" t="s">
        <v>155</v>
      </c>
      <c r="F389" s="9">
        <v>0</v>
      </c>
      <c r="G389" s="9" t="s">
        <v>1219</v>
      </c>
      <c r="H389" s="9">
        <v>46170.648935185185</v>
      </c>
      <c r="I389" s="9" t="s">
        <v>155</v>
      </c>
      <c r="J389" s="9">
        <v>46171.425983796296</v>
      </c>
      <c r="K389" s="9" t="s">
        <v>65</v>
      </c>
      <c r="L389" s="9">
        <v>46171.425983796296</v>
      </c>
      <c r="M389" s="9"/>
      <c r="N389" s="9" t="s">
        <v>1848</v>
      </c>
      <c r="O389" s="9" t="s">
        <v>2292</v>
      </c>
      <c r="P389" s="9" t="s">
        <v>2293</v>
      </c>
      <c r="Q389" s="9" t="s">
        <v>1925</v>
      </c>
      <c r="R389" s="9" t="s">
        <v>1846</v>
      </c>
      <c r="S389" s="9" t="s">
        <v>2294</v>
      </c>
      <c r="T389" s="9" t="s">
        <v>2295</v>
      </c>
      <c r="U389" s="9" t="s">
        <v>1928</v>
      </c>
      <c r="V389" s="9">
        <v>953</v>
      </c>
      <c r="W389" s="9">
        <v>7</v>
      </c>
      <c r="X389" s="9">
        <v>2029</v>
      </c>
      <c r="Y389" s="9">
        <v>9490</v>
      </c>
      <c r="Z389" s="9">
        <v>7</v>
      </c>
      <c r="AA389" s="9">
        <v>4549518240099490</v>
      </c>
      <c r="AB389" s="9" t="s">
        <v>73</v>
      </c>
      <c r="AC389" s="9">
        <v>2029</v>
      </c>
      <c r="AD389" s="9" t="s">
        <v>374</v>
      </c>
      <c r="AE389" s="9"/>
      <c r="AF389" s="9" t="s">
        <v>1929</v>
      </c>
      <c r="AG389" s="9"/>
      <c r="AH389" s="9" t="s">
        <v>67</v>
      </c>
      <c r="AI389" s="9">
        <v>0</v>
      </c>
      <c r="AJ389" s="9"/>
      <c r="AK389" s="9">
        <v>0</v>
      </c>
      <c r="AL389" s="9" t="s">
        <v>1930</v>
      </c>
      <c r="AM389" s="9">
        <v>1</v>
      </c>
      <c r="AN389" s="9"/>
      <c r="AO389" s="9" t="s">
        <v>1931</v>
      </c>
      <c r="AP389" s="9" t="s">
        <v>69</v>
      </c>
      <c r="AQ389" s="9" t="s">
        <v>1932</v>
      </c>
      <c r="AR389" s="9">
        <v>46171</v>
      </c>
      <c r="AS389" s="9" t="s">
        <v>74</v>
      </c>
      <c r="AT389" s="9" t="s">
        <v>1935</v>
      </c>
      <c r="AU389" s="9" t="s">
        <v>374</v>
      </c>
      <c r="AV389" s="9">
        <v>0</v>
      </c>
      <c r="AW389" s="9" t="s">
        <v>92</v>
      </c>
      <c r="AX389" s="9" t="s">
        <v>1214</v>
      </c>
      <c r="AY389" s="9">
        <v>0</v>
      </c>
      <c r="AZ389" s="9">
        <v>46171.425937499997</v>
      </c>
      <c r="BA389" s="9">
        <v>46171.425937499997</v>
      </c>
      <c r="BB389" s="9">
        <v>1</v>
      </c>
      <c r="BC389" s="9">
        <v>1</v>
      </c>
      <c r="BD389" s="9" t="s">
        <v>167</v>
      </c>
      <c r="BE389" s="9" t="s">
        <v>1215</v>
      </c>
      <c r="BF389" s="9" t="s">
        <v>77</v>
      </c>
      <c r="BG389" s="9"/>
      <c r="BH389" s="9">
        <v>0</v>
      </c>
      <c r="BI389" s="9"/>
      <c r="BJ389" s="9">
        <v>1</v>
      </c>
      <c r="BK389" s="9" t="s">
        <v>92</v>
      </c>
      <c r="BL389" s="9" t="s">
        <v>92</v>
      </c>
      <c r="BM389" s="9" t="s">
        <v>75</v>
      </c>
      <c r="BN389" s="9"/>
      <c r="BO389" s="9">
        <v>0</v>
      </c>
      <c r="BP389" s="9"/>
      <c r="BQ389" s="9">
        <v>0</v>
      </c>
      <c r="BR389" s="9"/>
      <c r="BS389" s="9"/>
      <c r="BT389" s="9"/>
      <c r="BU389" s="9"/>
      <c r="BV389" s="9"/>
      <c r="BW389" s="9">
        <v>0</v>
      </c>
      <c r="BX389" s="9"/>
      <c r="BY389" s="9">
        <v>46171.425937499997</v>
      </c>
      <c r="BZ389" s="9"/>
      <c r="CA389" s="9"/>
      <c r="CB389" s="9"/>
      <c r="CC389" s="9"/>
      <c r="CD389" s="9"/>
      <c r="CE389" s="9"/>
      <c r="CF389" s="9"/>
      <c r="CG389" s="9"/>
      <c r="CH389" s="9">
        <v>1</v>
      </c>
      <c r="CI389" s="9">
        <v>0</v>
      </c>
      <c r="CJ389" s="9"/>
      <c r="CK389" s="9"/>
      <c r="CL389" s="9" t="s">
        <v>2296</v>
      </c>
      <c r="CM389" s="9"/>
      <c r="CN389" s="9">
        <v>0</v>
      </c>
      <c r="CO389" s="9" t="s">
        <v>1925</v>
      </c>
      <c r="CP389" s="9"/>
      <c r="CQ389" s="9">
        <v>0</v>
      </c>
    </row>
    <row r="390" spans="1:95" x14ac:dyDescent="0.35">
      <c r="A390" s="9" t="b">
        <f>ISNUMBER(MATCH(Claude[[#This Row],[Id]],ChargentOrders[Id],0))</f>
        <v>1</v>
      </c>
      <c r="B390" t="b">
        <f>INDEX(ChargentOrders[VALIDO],MATCH(Claude[[#This Row],[Id]],ChargentOrders[Id],0))</f>
        <v>1</v>
      </c>
      <c r="C390">
        <f>INDEX(Contract[CB_Subscription__c],MATCH(Claude[[#This Row],[Contract__c]],Contract[Id],0))</f>
        <v>0</v>
      </c>
      <c r="D390" s="9" t="s">
        <v>1220</v>
      </c>
      <c r="E390" s="9" t="s">
        <v>155</v>
      </c>
      <c r="F390" s="9">
        <v>0</v>
      </c>
      <c r="G390" s="9" t="s">
        <v>1221</v>
      </c>
      <c r="H390" s="9">
        <v>46170.842650462961</v>
      </c>
      <c r="I390" s="9" t="s">
        <v>155</v>
      </c>
      <c r="J390" s="9">
        <v>46185.716307870367</v>
      </c>
      <c r="K390" s="9" t="s">
        <v>155</v>
      </c>
      <c r="L390" s="9">
        <v>46185.716307870367</v>
      </c>
      <c r="M390" s="9"/>
      <c r="N390" s="9"/>
      <c r="O390" s="9" t="s">
        <v>2297</v>
      </c>
      <c r="P390" s="9" t="s">
        <v>2298</v>
      </c>
      <c r="Q390" s="9" t="s">
        <v>1925</v>
      </c>
      <c r="R390" s="9" t="s">
        <v>1851</v>
      </c>
      <c r="S390" s="9" t="s">
        <v>2299</v>
      </c>
      <c r="T390" s="9" t="s">
        <v>2300</v>
      </c>
      <c r="U390" s="9" t="s">
        <v>1928</v>
      </c>
      <c r="V390" s="9">
        <v>745</v>
      </c>
      <c r="W390" s="9">
        <v>3</v>
      </c>
      <c r="X390" s="9">
        <v>2031</v>
      </c>
      <c r="Y390" s="9">
        <v>9211</v>
      </c>
      <c r="Z390" s="9">
        <v>3</v>
      </c>
      <c r="AA390" s="9">
        <v>4549519008729210</v>
      </c>
      <c r="AB390" s="9" t="s">
        <v>73</v>
      </c>
      <c r="AC390" s="9">
        <v>2031</v>
      </c>
      <c r="AD390" s="9" t="s">
        <v>93</v>
      </c>
      <c r="AE390" s="9"/>
      <c r="AF390" s="9" t="s">
        <v>1929</v>
      </c>
      <c r="AG390" s="9"/>
      <c r="AH390" s="9" t="s">
        <v>67</v>
      </c>
      <c r="AI390" s="9">
        <v>0</v>
      </c>
      <c r="AJ390" s="9"/>
      <c r="AK390" s="9">
        <v>0</v>
      </c>
      <c r="AL390" s="9" t="s">
        <v>1930</v>
      </c>
      <c r="AM390" s="9"/>
      <c r="AN390" s="9"/>
      <c r="AO390" s="9" t="s">
        <v>1931</v>
      </c>
      <c r="AP390" s="9" t="s">
        <v>69</v>
      </c>
      <c r="AQ390" s="9" t="s">
        <v>1932</v>
      </c>
      <c r="AR390" s="9"/>
      <c r="AS390" s="9"/>
      <c r="AT390" s="9"/>
      <c r="AU390" s="9" t="s">
        <v>92</v>
      </c>
      <c r="AV390" s="9">
        <v>0</v>
      </c>
      <c r="AW390" s="9"/>
      <c r="AX390" s="9" t="s">
        <v>1222</v>
      </c>
      <c r="AY390" s="9">
        <v>0</v>
      </c>
      <c r="AZ390" s="9"/>
      <c r="BA390" s="9">
        <v>46170.842685185184</v>
      </c>
      <c r="BB390" s="9">
        <v>0</v>
      </c>
      <c r="BC390" s="9">
        <v>1</v>
      </c>
      <c r="BD390" s="9">
        <v>0</v>
      </c>
      <c r="BE390" s="9" t="s">
        <v>1223</v>
      </c>
      <c r="BF390" s="9"/>
      <c r="BG390" s="9"/>
      <c r="BH390" s="9">
        <v>0</v>
      </c>
      <c r="BI390" s="9"/>
      <c r="BJ390" s="9">
        <v>1</v>
      </c>
      <c r="BK390" s="9"/>
      <c r="BL390" s="9"/>
      <c r="BM390" s="9" t="s">
        <v>75</v>
      </c>
      <c r="BN390" s="9"/>
      <c r="BO390" s="9">
        <v>0</v>
      </c>
      <c r="BP390" s="9"/>
      <c r="BQ390" s="9">
        <v>1</v>
      </c>
      <c r="BR390" s="9"/>
      <c r="BS390" s="9"/>
      <c r="BT390" s="9"/>
      <c r="BU390" s="9"/>
      <c r="BV390" s="9"/>
      <c r="BW390" s="9">
        <v>0</v>
      </c>
      <c r="BX390" s="9"/>
      <c r="BY390" s="9">
        <v>46170.842685185184</v>
      </c>
      <c r="BZ390" s="9"/>
      <c r="CA390" s="9"/>
      <c r="CB390" s="9"/>
      <c r="CC390" s="9"/>
      <c r="CD390" s="9"/>
      <c r="CE390" s="9"/>
      <c r="CF390" s="9"/>
      <c r="CG390" s="9"/>
      <c r="CH390" s="9">
        <v>1</v>
      </c>
      <c r="CI390" s="9">
        <v>0</v>
      </c>
      <c r="CJ390" s="9"/>
      <c r="CK390" s="9"/>
      <c r="CL390" s="9" t="s">
        <v>2301</v>
      </c>
      <c r="CM390" s="9"/>
      <c r="CN390" s="9">
        <v>0</v>
      </c>
      <c r="CO390" s="9" t="s">
        <v>1925</v>
      </c>
      <c r="CP390" s="9"/>
      <c r="CQ390" s="9">
        <v>0</v>
      </c>
    </row>
    <row r="391" spans="1:95" x14ac:dyDescent="0.35">
      <c r="A391" s="9" t="b">
        <f>ISNUMBER(MATCH(Claude[[#This Row],[Id]],ChargentOrders[Id],0))</f>
        <v>1</v>
      </c>
      <c r="B391" t="b">
        <f>INDEX(ChargentOrders[VALIDO],MATCH(Claude[[#This Row],[Id]],ChargentOrders[Id],0))</f>
        <v>1</v>
      </c>
      <c r="C391">
        <f>INDEX(Contract[CB_Subscription__c],MATCH(Claude[[#This Row],[Contract__c]],Contract[Id],0))</f>
        <v>0</v>
      </c>
      <c r="D391" s="9" t="s">
        <v>1224</v>
      </c>
      <c r="E391" s="9" t="s">
        <v>155</v>
      </c>
      <c r="F391" s="9">
        <v>0</v>
      </c>
      <c r="G391" s="9" t="s">
        <v>1225</v>
      </c>
      <c r="H391" s="9">
        <v>46170.843715277777</v>
      </c>
      <c r="I391" s="9" t="s">
        <v>155</v>
      </c>
      <c r="J391" s="9">
        <v>46185.716307870367</v>
      </c>
      <c r="K391" s="9" t="s">
        <v>155</v>
      </c>
      <c r="L391" s="9">
        <v>46185.716307870367</v>
      </c>
      <c r="M391" s="9"/>
      <c r="N391" s="9" t="s">
        <v>1853</v>
      </c>
      <c r="O391" s="9" t="s">
        <v>2297</v>
      </c>
      <c r="P391" s="9" t="s">
        <v>2298</v>
      </c>
      <c r="Q391" s="9" t="s">
        <v>1925</v>
      </c>
      <c r="R391" s="9" t="s">
        <v>1851</v>
      </c>
      <c r="S391" s="9" t="s">
        <v>2299</v>
      </c>
      <c r="T391" s="9" t="s">
        <v>2300</v>
      </c>
      <c r="U391" s="9" t="s">
        <v>1928</v>
      </c>
      <c r="V391" s="9">
        <v>745</v>
      </c>
      <c r="W391" s="9">
        <v>3</v>
      </c>
      <c r="X391" s="9">
        <v>2031</v>
      </c>
      <c r="Y391" s="9">
        <v>9211</v>
      </c>
      <c r="Z391" s="9">
        <v>3</v>
      </c>
      <c r="AA391" s="9">
        <v>4549519008729210</v>
      </c>
      <c r="AB391" s="9" t="s">
        <v>73</v>
      </c>
      <c r="AC391" s="9">
        <v>2031</v>
      </c>
      <c r="AD391" s="9" t="s">
        <v>374</v>
      </c>
      <c r="AE391" s="9"/>
      <c r="AF391" s="9" t="s">
        <v>1929</v>
      </c>
      <c r="AG391" s="9"/>
      <c r="AH391" s="9" t="s">
        <v>67</v>
      </c>
      <c r="AI391" s="9">
        <v>0</v>
      </c>
      <c r="AJ391" s="9"/>
      <c r="AK391" s="9">
        <v>0</v>
      </c>
      <c r="AL391" s="9" t="s">
        <v>1930</v>
      </c>
      <c r="AM391" s="9">
        <v>1</v>
      </c>
      <c r="AN391" s="9"/>
      <c r="AO391" s="9" t="s">
        <v>1931</v>
      </c>
      <c r="AP391" s="9" t="s">
        <v>69</v>
      </c>
      <c r="AQ391" s="9" t="s">
        <v>1932</v>
      </c>
      <c r="AR391" s="9">
        <v>46183</v>
      </c>
      <c r="AS391" s="9" t="s">
        <v>74</v>
      </c>
      <c r="AT391" s="9" t="s">
        <v>1935</v>
      </c>
      <c r="AU391" s="9" t="s">
        <v>374</v>
      </c>
      <c r="AV391" s="9">
        <v>0</v>
      </c>
      <c r="AW391" s="9" t="s">
        <v>92</v>
      </c>
      <c r="AX391" s="9" t="s">
        <v>1222</v>
      </c>
      <c r="AY391" s="9">
        <v>0</v>
      </c>
      <c r="AZ391" s="9">
        <v>46183.416886574072</v>
      </c>
      <c r="BA391" s="9">
        <v>46183.416898148149</v>
      </c>
      <c r="BB391" s="9">
        <v>1</v>
      </c>
      <c r="BC391" s="9">
        <v>1</v>
      </c>
      <c r="BD391" s="9" t="s">
        <v>167</v>
      </c>
      <c r="BE391" s="9" t="s">
        <v>1223</v>
      </c>
      <c r="BF391" s="9" t="s">
        <v>77</v>
      </c>
      <c r="BG391" s="9"/>
      <c r="BH391" s="9">
        <v>0</v>
      </c>
      <c r="BI391" s="9"/>
      <c r="BJ391" s="9">
        <v>1</v>
      </c>
      <c r="BK391" s="9" t="s">
        <v>92</v>
      </c>
      <c r="BL391" s="9" t="s">
        <v>92</v>
      </c>
      <c r="BM391" s="9" t="s">
        <v>75</v>
      </c>
      <c r="BN391" s="9"/>
      <c r="BO391" s="9">
        <v>0</v>
      </c>
      <c r="BP391" s="9"/>
      <c r="BQ391" s="9">
        <v>0</v>
      </c>
      <c r="BR391" s="9"/>
      <c r="BS391" s="9"/>
      <c r="BT391" s="9"/>
      <c r="BU391" s="9"/>
      <c r="BV391" s="9"/>
      <c r="BW391" s="9">
        <v>0</v>
      </c>
      <c r="BX391" s="9"/>
      <c r="BY391" s="9">
        <v>46183.416886574072</v>
      </c>
      <c r="BZ391" s="9"/>
      <c r="CA391" s="9"/>
      <c r="CB391" s="9"/>
      <c r="CC391" s="9"/>
      <c r="CD391" s="9"/>
      <c r="CE391" s="9"/>
      <c r="CF391" s="9"/>
      <c r="CG391" s="9"/>
      <c r="CH391" s="9">
        <v>1</v>
      </c>
      <c r="CI391" s="9">
        <v>0</v>
      </c>
      <c r="CJ391" s="9"/>
      <c r="CK391" s="9"/>
      <c r="CL391" s="9" t="s">
        <v>2301</v>
      </c>
      <c r="CM391" s="9"/>
      <c r="CN391" s="9">
        <v>0</v>
      </c>
      <c r="CO391" s="9" t="s">
        <v>1925</v>
      </c>
      <c r="CP391" s="9"/>
      <c r="CQ391" s="9">
        <v>0</v>
      </c>
    </row>
    <row r="392" spans="1:95" x14ac:dyDescent="0.35">
      <c r="A392" s="9" t="b">
        <f>ISNUMBER(MATCH(Claude[[#This Row],[Id]],ChargentOrders[Id],0))</f>
        <v>1</v>
      </c>
      <c r="B392" t="b">
        <f>INDEX(ChargentOrders[VALIDO],MATCH(Claude[[#This Row],[Id]],ChargentOrders[Id],0))</f>
        <v>1</v>
      </c>
      <c r="C392">
        <f>INDEX(Contract[CB_Subscription__c],MATCH(Claude[[#This Row],[Contract__c]],Contract[Id],0))</f>
        <v>0</v>
      </c>
      <c r="D392" s="9" t="s">
        <v>1226</v>
      </c>
      <c r="E392" s="9" t="s">
        <v>79</v>
      </c>
      <c r="F392" s="9">
        <v>0</v>
      </c>
      <c r="G392" s="9" t="s">
        <v>1227</v>
      </c>
      <c r="H392" s="9">
        <v>46171.41684027778</v>
      </c>
      <c r="I392" s="9" t="s">
        <v>65</v>
      </c>
      <c r="J392" s="9">
        <v>46172.550486111111</v>
      </c>
      <c r="K392" s="9" t="s">
        <v>101</v>
      </c>
      <c r="L392" s="9">
        <v>46172.550486111111</v>
      </c>
      <c r="M392" s="9"/>
      <c r="N392" s="9" t="s">
        <v>1576</v>
      </c>
      <c r="O392" s="9" t="s">
        <v>1947</v>
      </c>
      <c r="P392" s="9" t="s">
        <v>1948</v>
      </c>
      <c r="Q392" s="9" t="s">
        <v>1925</v>
      </c>
      <c r="R392" s="9" t="s">
        <v>1574</v>
      </c>
      <c r="S392" s="9" t="s">
        <v>1949</v>
      </c>
      <c r="T392" s="9" t="s">
        <v>1950</v>
      </c>
      <c r="U392" s="9" t="s">
        <v>1928</v>
      </c>
      <c r="V392" s="9">
        <v>769</v>
      </c>
      <c r="W392" s="9">
        <v>7</v>
      </c>
      <c r="X392" s="9">
        <v>2028</v>
      </c>
      <c r="Y392" s="9">
        <v>1524</v>
      </c>
      <c r="Z392" s="9">
        <v>7</v>
      </c>
      <c r="AA392" s="9">
        <v>4549516625621520</v>
      </c>
      <c r="AB392" s="9" t="s">
        <v>73</v>
      </c>
      <c r="AC392" s="9">
        <v>2028</v>
      </c>
      <c r="AD392" s="9" t="s">
        <v>2087</v>
      </c>
      <c r="AE392" s="9"/>
      <c r="AF392" s="9" t="s">
        <v>1929</v>
      </c>
      <c r="AG392" s="9"/>
      <c r="AH392" s="9" t="s">
        <v>67</v>
      </c>
      <c r="AI392" s="9">
        <v>0</v>
      </c>
      <c r="AJ392" s="9"/>
      <c r="AK392" s="9">
        <v>0</v>
      </c>
      <c r="AL392" s="9" t="s">
        <v>1930</v>
      </c>
      <c r="AM392" s="9">
        <v>1</v>
      </c>
      <c r="AN392" s="9">
        <v>46174</v>
      </c>
      <c r="AO392" s="9" t="s">
        <v>1931</v>
      </c>
      <c r="AP392" s="9" t="s">
        <v>69</v>
      </c>
      <c r="AQ392" s="9" t="s">
        <v>1932</v>
      </c>
      <c r="AR392" s="9">
        <v>46174</v>
      </c>
      <c r="AS392" s="9" t="s">
        <v>74</v>
      </c>
      <c r="AT392" s="9" t="s">
        <v>1935</v>
      </c>
      <c r="AU392" s="9" t="s">
        <v>1952</v>
      </c>
      <c r="AV392" s="9">
        <v>0</v>
      </c>
      <c r="AW392" s="9" t="s">
        <v>93</v>
      </c>
      <c r="AX392" s="9" t="s">
        <v>158</v>
      </c>
      <c r="AY392" s="9">
        <v>0</v>
      </c>
      <c r="AZ392" s="9">
        <v>46172.550462962965</v>
      </c>
      <c r="BA392" s="9">
        <v>46172.550462962965</v>
      </c>
      <c r="BB392" s="9">
        <v>1</v>
      </c>
      <c r="BC392" s="9">
        <v>1</v>
      </c>
      <c r="BD392" s="9" t="s">
        <v>2087</v>
      </c>
      <c r="BE392" s="9" t="s">
        <v>159</v>
      </c>
      <c r="BF392" s="9" t="s">
        <v>71</v>
      </c>
      <c r="BG392" s="9"/>
      <c r="BH392" s="9">
        <v>0</v>
      </c>
      <c r="BI392" s="9"/>
      <c r="BJ392" s="9">
        <v>0</v>
      </c>
      <c r="BK392" s="9" t="s">
        <v>92</v>
      </c>
      <c r="BL392" s="9" t="s">
        <v>92</v>
      </c>
      <c r="BM392" s="9" t="s">
        <v>72</v>
      </c>
      <c r="BN392" s="9"/>
      <c r="BO392" s="9">
        <v>1</v>
      </c>
      <c r="BP392" s="9" t="s">
        <v>1228</v>
      </c>
      <c r="BQ392" s="9">
        <v>0</v>
      </c>
      <c r="BR392" s="9">
        <v>45392.867974537039</v>
      </c>
      <c r="BS392" s="9" t="s">
        <v>109</v>
      </c>
      <c r="BT392" s="9" t="s">
        <v>65</v>
      </c>
      <c r="BU392" s="9"/>
      <c r="BV392" s="9"/>
      <c r="BW392" s="9">
        <v>0</v>
      </c>
      <c r="BX392" s="9"/>
      <c r="BY392" s="9">
        <v>46172.550462962965</v>
      </c>
      <c r="BZ392" s="9"/>
      <c r="CA392" s="9"/>
      <c r="CB392" s="9"/>
      <c r="CC392" s="9"/>
      <c r="CD392" s="9"/>
      <c r="CE392" s="9"/>
      <c r="CF392" s="9"/>
      <c r="CG392" s="9"/>
      <c r="CH392" s="9">
        <v>1</v>
      </c>
      <c r="CI392" s="9">
        <v>0</v>
      </c>
      <c r="CJ392" s="9"/>
      <c r="CK392" s="9"/>
      <c r="CL392" s="9"/>
      <c r="CM392" s="9"/>
      <c r="CN392" s="9">
        <v>0</v>
      </c>
      <c r="CO392" s="9" t="s">
        <v>1925</v>
      </c>
      <c r="CP392" s="9" t="s">
        <v>1951</v>
      </c>
      <c r="CQ392" s="9">
        <v>0</v>
      </c>
    </row>
    <row r="393" spans="1:95" x14ac:dyDescent="0.35">
      <c r="A393" s="9" t="b">
        <f>ISNUMBER(MATCH(Claude[[#This Row],[Id]],ChargentOrders[Id],0))</f>
        <v>1</v>
      </c>
      <c r="B393" t="b">
        <f>INDEX(ChargentOrders[VALIDO],MATCH(Claude[[#This Row],[Id]],ChargentOrders[Id],0))</f>
        <v>1</v>
      </c>
      <c r="C393">
        <f>INDEX(Contract[CB_Subscription__c],MATCH(Claude[[#This Row],[Contract__c]],Contract[Id],0))</f>
        <v>0</v>
      </c>
      <c r="D393" s="9" t="s">
        <v>1229</v>
      </c>
      <c r="E393" s="9" t="s">
        <v>79</v>
      </c>
      <c r="F393" s="9">
        <v>0</v>
      </c>
      <c r="G393" s="9" t="s">
        <v>1230</v>
      </c>
      <c r="H393" s="9">
        <v>46171.41684027778</v>
      </c>
      <c r="I393" s="9" t="s">
        <v>65</v>
      </c>
      <c r="J393" s="9">
        <v>46217.738564814812</v>
      </c>
      <c r="K393" s="9" t="s">
        <v>78</v>
      </c>
      <c r="L393" s="9">
        <v>46217.738564814812</v>
      </c>
      <c r="M393" s="9"/>
      <c r="N393" s="9" t="s">
        <v>1581</v>
      </c>
      <c r="O393" s="9" t="s">
        <v>1960</v>
      </c>
      <c r="P393" s="9" t="s">
        <v>1961</v>
      </c>
      <c r="Q393" s="9" t="s">
        <v>1925</v>
      </c>
      <c r="R393" s="9" t="s">
        <v>1579</v>
      </c>
      <c r="S393" s="9" t="s">
        <v>1962</v>
      </c>
      <c r="T393" s="9" t="s">
        <v>1963</v>
      </c>
      <c r="U393" s="9" t="s">
        <v>1928</v>
      </c>
      <c r="V393" s="9">
        <v>778</v>
      </c>
      <c r="W393" s="9">
        <v>3</v>
      </c>
      <c r="X393" s="9">
        <v>2027</v>
      </c>
      <c r="Y393" s="9">
        <v>4327</v>
      </c>
      <c r="Z393" s="9">
        <v>3</v>
      </c>
      <c r="AA393" s="9">
        <v>4327</v>
      </c>
      <c r="AB393" s="9" t="s">
        <v>73</v>
      </c>
      <c r="AC393" s="9">
        <v>2027</v>
      </c>
      <c r="AD393" s="9" t="s">
        <v>1952</v>
      </c>
      <c r="AE393" s="9"/>
      <c r="AF393" s="9" t="s">
        <v>1929</v>
      </c>
      <c r="AG393" s="9"/>
      <c r="AH393" s="9" t="s">
        <v>67</v>
      </c>
      <c r="AI393" s="9">
        <v>0</v>
      </c>
      <c r="AJ393" s="9"/>
      <c r="AK393" s="9">
        <v>0</v>
      </c>
      <c r="AL393" s="9" t="s">
        <v>1930</v>
      </c>
      <c r="AM393" s="9">
        <v>1</v>
      </c>
      <c r="AN393" s="9">
        <v>46212</v>
      </c>
      <c r="AO393" s="9" t="s">
        <v>1931</v>
      </c>
      <c r="AP393" s="9" t="s">
        <v>69</v>
      </c>
      <c r="AQ393" s="9" t="s">
        <v>1932</v>
      </c>
      <c r="AR393" s="9">
        <v>46212</v>
      </c>
      <c r="AS393" s="9" t="s">
        <v>84</v>
      </c>
      <c r="AT393" s="9" t="s">
        <v>1935</v>
      </c>
      <c r="AU393" s="9" t="s">
        <v>1952</v>
      </c>
      <c r="AV393" s="9">
        <v>0</v>
      </c>
      <c r="AW393" s="9" t="s">
        <v>92</v>
      </c>
      <c r="AX393" s="9" t="s">
        <v>165</v>
      </c>
      <c r="AY393" s="9">
        <v>0</v>
      </c>
      <c r="AZ393" s="9"/>
      <c r="BA393" s="9"/>
      <c r="BB393" s="9">
        <v>0</v>
      </c>
      <c r="BC393" s="9">
        <v>16</v>
      </c>
      <c r="BD393" s="9">
        <v>0</v>
      </c>
      <c r="BE393" s="9" t="s">
        <v>179</v>
      </c>
      <c r="BF393" s="9" t="s">
        <v>71</v>
      </c>
      <c r="BG393" s="9"/>
      <c r="BH393" s="9">
        <v>0</v>
      </c>
      <c r="BI393" s="9"/>
      <c r="BJ393" s="9"/>
      <c r="BK393" s="9" t="s">
        <v>92</v>
      </c>
      <c r="BL393" s="9" t="s">
        <v>92</v>
      </c>
      <c r="BM393" s="9" t="s">
        <v>72</v>
      </c>
      <c r="BN393" s="9"/>
      <c r="BO393" s="9">
        <v>1</v>
      </c>
      <c r="BP393" s="9" t="s">
        <v>1231</v>
      </c>
      <c r="BQ393" s="9">
        <v>0</v>
      </c>
      <c r="BR393" s="9">
        <v>45546.777881944443</v>
      </c>
      <c r="BS393" s="9" t="s">
        <v>109</v>
      </c>
      <c r="BT393" s="9" t="s">
        <v>65</v>
      </c>
      <c r="BU393" s="9"/>
      <c r="BV393" s="9"/>
      <c r="BW393" s="9">
        <v>0</v>
      </c>
      <c r="BX393" s="9">
        <v>46209.421284722222</v>
      </c>
      <c r="BY393" s="9">
        <v>46209.421284722222</v>
      </c>
      <c r="BZ393" s="9"/>
      <c r="CA393" s="9"/>
      <c r="CB393" s="9"/>
      <c r="CC393" s="9"/>
      <c r="CD393" s="9"/>
      <c r="CE393" s="9"/>
      <c r="CF393" s="9"/>
      <c r="CG393" s="9"/>
      <c r="CH393" s="9">
        <v>1</v>
      </c>
      <c r="CI393" s="9">
        <v>0</v>
      </c>
      <c r="CJ393" s="9"/>
      <c r="CK393" s="9"/>
      <c r="CL393" s="9" t="s">
        <v>1964</v>
      </c>
      <c r="CM393" s="9"/>
      <c r="CN393" s="9">
        <v>0</v>
      </c>
      <c r="CO393" s="9" t="s">
        <v>1925</v>
      </c>
      <c r="CP393" s="9" t="s">
        <v>1966</v>
      </c>
      <c r="CQ393" s="9">
        <v>0</v>
      </c>
    </row>
    <row r="394" spans="1:95" x14ac:dyDescent="0.35">
      <c r="A394" s="9" t="b">
        <f>ISNUMBER(MATCH(Claude[[#This Row],[Id]],ChargentOrders[Id],0))</f>
        <v>1</v>
      </c>
      <c r="B394" t="b">
        <f>INDEX(ChargentOrders[VALIDO],MATCH(Claude[[#This Row],[Id]],ChargentOrders[Id],0))</f>
        <v>1</v>
      </c>
      <c r="C394">
        <f>INDEX(Contract[CB_Subscription__c],MATCH(Claude[[#This Row],[Contract__c]],Contract[Id],0))</f>
        <v>0</v>
      </c>
      <c r="D394" s="9" t="s">
        <v>1232</v>
      </c>
      <c r="E394" s="9" t="s">
        <v>79</v>
      </c>
      <c r="F394" s="9">
        <v>0</v>
      </c>
      <c r="G394" s="9" t="s">
        <v>1233</v>
      </c>
      <c r="H394" s="9">
        <v>46171.41684027778</v>
      </c>
      <c r="I394" s="9" t="s">
        <v>65</v>
      </c>
      <c r="J394" s="9">
        <v>46217.738564814812</v>
      </c>
      <c r="K394" s="9" t="s">
        <v>78</v>
      </c>
      <c r="L394" s="9">
        <v>46217.738564814812</v>
      </c>
      <c r="M394" s="9"/>
      <c r="N394" s="9" t="s">
        <v>1586</v>
      </c>
      <c r="O394" s="9" t="s">
        <v>1973</v>
      </c>
      <c r="P394" s="9" t="s">
        <v>1974</v>
      </c>
      <c r="Q394" s="9" t="s">
        <v>1925</v>
      </c>
      <c r="R394" s="9" t="s">
        <v>1584</v>
      </c>
      <c r="S394" s="9" t="s">
        <v>1975</v>
      </c>
      <c r="T394" s="9" t="s">
        <v>1976</v>
      </c>
      <c r="U394" s="9" t="s">
        <v>1928</v>
      </c>
      <c r="V394" s="9">
        <v>969</v>
      </c>
      <c r="W394" s="9">
        <v>8</v>
      </c>
      <c r="X394" s="9">
        <v>2028</v>
      </c>
      <c r="Y394" s="9">
        <v>5191</v>
      </c>
      <c r="Z394" s="9">
        <v>8</v>
      </c>
      <c r="AA394" s="9">
        <v>5191</v>
      </c>
      <c r="AB394" s="9" t="s">
        <v>73</v>
      </c>
      <c r="AC394" s="9">
        <v>2028</v>
      </c>
      <c r="AD394" s="9" t="s">
        <v>1970</v>
      </c>
      <c r="AE394" s="9"/>
      <c r="AF394" s="9" t="s">
        <v>1929</v>
      </c>
      <c r="AG394" s="9"/>
      <c r="AH394" s="9" t="s">
        <v>67</v>
      </c>
      <c r="AI394" s="9">
        <v>0</v>
      </c>
      <c r="AJ394" s="9"/>
      <c r="AK394" s="9">
        <v>0</v>
      </c>
      <c r="AL394" s="9" t="s">
        <v>1930</v>
      </c>
      <c r="AM394" s="9">
        <v>1</v>
      </c>
      <c r="AN394" s="9">
        <v>46212</v>
      </c>
      <c r="AO394" s="9" t="s">
        <v>1931</v>
      </c>
      <c r="AP394" s="9" t="s">
        <v>69</v>
      </c>
      <c r="AQ394" s="9" t="s">
        <v>1932</v>
      </c>
      <c r="AR394" s="9">
        <v>46212</v>
      </c>
      <c r="AS394" s="9" t="s">
        <v>84</v>
      </c>
      <c r="AT394" s="9" t="s">
        <v>1935</v>
      </c>
      <c r="AU394" s="9" t="s">
        <v>1970</v>
      </c>
      <c r="AV394" s="9">
        <v>0</v>
      </c>
      <c r="AW394" s="9" t="s">
        <v>92</v>
      </c>
      <c r="AX394" s="9" t="s">
        <v>202</v>
      </c>
      <c r="AY394" s="9">
        <v>0</v>
      </c>
      <c r="AZ394" s="9"/>
      <c r="BA394" s="9"/>
      <c r="BB394" s="9">
        <v>0</v>
      </c>
      <c r="BC394" s="9">
        <v>16</v>
      </c>
      <c r="BD394" s="9">
        <v>0</v>
      </c>
      <c r="BE394" s="9" t="s">
        <v>197</v>
      </c>
      <c r="BF394" s="9" t="s">
        <v>71</v>
      </c>
      <c r="BG394" s="9"/>
      <c r="BH394" s="9">
        <v>0</v>
      </c>
      <c r="BI394" s="9"/>
      <c r="BJ394" s="9"/>
      <c r="BK394" s="9" t="s">
        <v>92</v>
      </c>
      <c r="BL394" s="9" t="s">
        <v>92</v>
      </c>
      <c r="BM394" s="9" t="s">
        <v>72</v>
      </c>
      <c r="BN394" s="9"/>
      <c r="BO394" s="9">
        <v>1</v>
      </c>
      <c r="BP394" s="9" t="s">
        <v>1234</v>
      </c>
      <c r="BQ394" s="9">
        <v>0</v>
      </c>
      <c r="BR394" s="9">
        <v>45589.952337962961</v>
      </c>
      <c r="BS394" s="9" t="s">
        <v>109</v>
      </c>
      <c r="BT394" s="9" t="s">
        <v>65</v>
      </c>
      <c r="BU394" s="9"/>
      <c r="BV394" s="9"/>
      <c r="BW394" s="9">
        <v>0</v>
      </c>
      <c r="BX394" s="9">
        <v>46209.421296296299</v>
      </c>
      <c r="BY394" s="9">
        <v>46209.421296296299</v>
      </c>
      <c r="BZ394" s="9"/>
      <c r="CA394" s="9"/>
      <c r="CB394" s="9"/>
      <c r="CC394" s="9"/>
      <c r="CD394" s="9"/>
      <c r="CE394" s="9"/>
      <c r="CF394" s="9"/>
      <c r="CG394" s="9"/>
      <c r="CH394" s="9">
        <v>1</v>
      </c>
      <c r="CI394" s="9">
        <v>0</v>
      </c>
      <c r="CJ394" s="9"/>
      <c r="CK394" s="9"/>
      <c r="CL394" s="9" t="s">
        <v>1977</v>
      </c>
      <c r="CM394" s="9"/>
      <c r="CN394" s="9">
        <v>0</v>
      </c>
      <c r="CO394" s="9" t="s">
        <v>1925</v>
      </c>
      <c r="CP394" s="9" t="s">
        <v>1981</v>
      </c>
      <c r="CQ394" s="9">
        <v>0</v>
      </c>
    </row>
    <row r="395" spans="1:95" x14ac:dyDescent="0.35">
      <c r="A395" s="9" t="b">
        <f>ISNUMBER(MATCH(Claude[[#This Row],[Id]],ChargentOrders[Id],0))</f>
        <v>1</v>
      </c>
      <c r="B395" t="b">
        <f>INDEX(ChargentOrders[VALIDO],MATCH(Claude[[#This Row],[Id]],ChargentOrders[Id],0))</f>
        <v>1</v>
      </c>
      <c r="C395">
        <f>INDEX(Contract[CB_Subscription__c],MATCH(Claude[[#This Row],[Contract__c]],Contract[Id],0))</f>
        <v>0</v>
      </c>
      <c r="D395" s="9" t="s">
        <v>1235</v>
      </c>
      <c r="E395" s="9" t="s">
        <v>79</v>
      </c>
      <c r="F395" s="9">
        <v>0</v>
      </c>
      <c r="G395" s="9" t="s">
        <v>1236</v>
      </c>
      <c r="H395" s="9">
        <v>46171.41684027778</v>
      </c>
      <c r="I395" s="9" t="s">
        <v>65</v>
      </c>
      <c r="J395" s="9">
        <v>46217.738564814812</v>
      </c>
      <c r="K395" s="9" t="s">
        <v>78</v>
      </c>
      <c r="L395" s="9">
        <v>46217.738564814812</v>
      </c>
      <c r="M395" s="9"/>
      <c r="N395" s="9" t="s">
        <v>1591</v>
      </c>
      <c r="O395" s="9" t="s">
        <v>1989</v>
      </c>
      <c r="P395" s="9" t="s">
        <v>1990</v>
      </c>
      <c r="Q395" s="9" t="s">
        <v>1925</v>
      </c>
      <c r="R395" s="9" t="s">
        <v>1589</v>
      </c>
      <c r="S395" s="9" t="s">
        <v>1991</v>
      </c>
      <c r="T395" s="9" t="s">
        <v>1992</v>
      </c>
      <c r="U395" s="9" t="s">
        <v>1928</v>
      </c>
      <c r="V395" s="9">
        <v>915</v>
      </c>
      <c r="W395" s="9">
        <v>2</v>
      </c>
      <c r="X395" s="9">
        <v>2030</v>
      </c>
      <c r="Y395" s="9">
        <v>1962</v>
      </c>
      <c r="Z395" s="9">
        <v>2</v>
      </c>
      <c r="AA395" s="9">
        <v>1962</v>
      </c>
      <c r="AB395" s="9" t="s">
        <v>73</v>
      </c>
      <c r="AC395" s="9">
        <v>2030</v>
      </c>
      <c r="AD395" s="9" t="s">
        <v>1952</v>
      </c>
      <c r="AE395" s="9"/>
      <c r="AF395" s="9" t="s">
        <v>1929</v>
      </c>
      <c r="AG395" s="9"/>
      <c r="AH395" s="9" t="s">
        <v>67</v>
      </c>
      <c r="AI395" s="9">
        <v>0</v>
      </c>
      <c r="AJ395" s="9"/>
      <c r="AK395" s="9">
        <v>0</v>
      </c>
      <c r="AL395" s="9" t="s">
        <v>1930</v>
      </c>
      <c r="AM395" s="9">
        <v>1</v>
      </c>
      <c r="AN395" s="9">
        <v>46212</v>
      </c>
      <c r="AO395" s="9" t="s">
        <v>1931</v>
      </c>
      <c r="AP395" s="9" t="s">
        <v>69</v>
      </c>
      <c r="AQ395" s="9" t="s">
        <v>1932</v>
      </c>
      <c r="AR395" s="9">
        <v>46212</v>
      </c>
      <c r="AS395" s="9" t="s">
        <v>84</v>
      </c>
      <c r="AT395" s="9" t="s">
        <v>1935</v>
      </c>
      <c r="AU395" s="9" t="s">
        <v>1952</v>
      </c>
      <c r="AV395" s="9">
        <v>0</v>
      </c>
      <c r="AW395" s="9" t="s">
        <v>92</v>
      </c>
      <c r="AX395" s="9" t="s">
        <v>240</v>
      </c>
      <c r="AY395" s="9">
        <v>0</v>
      </c>
      <c r="AZ395" s="9"/>
      <c r="BA395" s="9"/>
      <c r="BB395" s="9">
        <v>0</v>
      </c>
      <c r="BC395" s="9">
        <v>16</v>
      </c>
      <c r="BD395" s="9">
        <v>0</v>
      </c>
      <c r="BE395" s="9" t="s">
        <v>235</v>
      </c>
      <c r="BF395" s="9" t="s">
        <v>71</v>
      </c>
      <c r="BG395" s="9"/>
      <c r="BH395" s="9">
        <v>0</v>
      </c>
      <c r="BI395" s="9"/>
      <c r="BJ395" s="9"/>
      <c r="BK395" s="9" t="s">
        <v>92</v>
      </c>
      <c r="BL395" s="9" t="s">
        <v>92</v>
      </c>
      <c r="BM395" s="9" t="s">
        <v>72</v>
      </c>
      <c r="BN395" s="9"/>
      <c r="BO395" s="9">
        <v>1</v>
      </c>
      <c r="BP395" s="9" t="s">
        <v>1237</v>
      </c>
      <c r="BQ395" s="9">
        <v>0</v>
      </c>
      <c r="BR395" s="9">
        <v>45702.827997685185</v>
      </c>
      <c r="BS395" s="9" t="s">
        <v>109</v>
      </c>
      <c r="BT395" s="9" t="s">
        <v>65</v>
      </c>
      <c r="BU395" s="9"/>
      <c r="BV395" s="9"/>
      <c r="BW395" s="9">
        <v>0</v>
      </c>
      <c r="BX395" s="9">
        <v>46209.421296296299</v>
      </c>
      <c r="BY395" s="9">
        <v>46209.421296296299</v>
      </c>
      <c r="BZ395" s="9"/>
      <c r="CA395" s="9"/>
      <c r="CB395" s="9"/>
      <c r="CC395" s="9"/>
      <c r="CD395" s="9"/>
      <c r="CE395" s="9"/>
      <c r="CF395" s="9"/>
      <c r="CG395" s="9"/>
      <c r="CH395" s="9">
        <v>1</v>
      </c>
      <c r="CI395" s="9">
        <v>0</v>
      </c>
      <c r="CJ395" s="9"/>
      <c r="CK395" s="9"/>
      <c r="CL395" s="9" t="s">
        <v>1993</v>
      </c>
      <c r="CM395" s="9"/>
      <c r="CN395" s="9">
        <v>0</v>
      </c>
      <c r="CO395" s="9" t="s">
        <v>1925</v>
      </c>
      <c r="CP395" s="9" t="s">
        <v>1995</v>
      </c>
      <c r="CQ395" s="9">
        <v>0</v>
      </c>
    </row>
    <row r="396" spans="1:95" x14ac:dyDescent="0.35">
      <c r="A396" s="9" t="b">
        <f>ISNUMBER(MATCH(Claude[[#This Row],[Id]],ChargentOrders[Id],0))</f>
        <v>1</v>
      </c>
      <c r="B396" t="b">
        <f>INDEX(ChargentOrders[VALIDO],MATCH(Claude[[#This Row],[Id]],ChargentOrders[Id],0))</f>
        <v>1</v>
      </c>
      <c r="C396">
        <f>INDEX(Contract[CB_Subscription__c],MATCH(Claude[[#This Row],[Contract__c]],Contract[Id],0))</f>
        <v>0</v>
      </c>
      <c r="D396" s="9" t="s">
        <v>1238</v>
      </c>
      <c r="E396" s="9" t="s">
        <v>79</v>
      </c>
      <c r="F396" s="9">
        <v>0</v>
      </c>
      <c r="G396" s="9" t="s">
        <v>1239</v>
      </c>
      <c r="H396" s="9">
        <v>46171.417025462964</v>
      </c>
      <c r="I396" s="9" t="s">
        <v>65</v>
      </c>
      <c r="J396" s="9">
        <v>46217.738564814812</v>
      </c>
      <c r="K396" s="9" t="s">
        <v>78</v>
      </c>
      <c r="L396" s="9">
        <v>46217.738564814812</v>
      </c>
      <c r="M396" s="9"/>
      <c r="N396" s="9" t="s">
        <v>1988</v>
      </c>
      <c r="O396" s="9" t="s">
        <v>1982</v>
      </c>
      <c r="P396" s="9" t="s">
        <v>1983</v>
      </c>
      <c r="Q396" s="9" t="s">
        <v>1925</v>
      </c>
      <c r="R396" s="9" t="s">
        <v>1984</v>
      </c>
      <c r="S396" s="9" t="s">
        <v>1985</v>
      </c>
      <c r="T396" s="9" t="s">
        <v>1986</v>
      </c>
      <c r="U396" s="9" t="s">
        <v>1928</v>
      </c>
      <c r="V396" s="9">
        <v>771</v>
      </c>
      <c r="W396" s="9">
        <v>7</v>
      </c>
      <c r="X396" s="9">
        <v>2029</v>
      </c>
      <c r="Y396" s="9">
        <v>4040</v>
      </c>
      <c r="Z396" s="9">
        <v>7</v>
      </c>
      <c r="AA396" s="9">
        <v>4040</v>
      </c>
      <c r="AB396" s="9" t="s">
        <v>66</v>
      </c>
      <c r="AC396" s="9">
        <v>2029</v>
      </c>
      <c r="AD396" s="9" t="s">
        <v>1952</v>
      </c>
      <c r="AE396" s="9"/>
      <c r="AF396" s="9" t="s">
        <v>1929</v>
      </c>
      <c r="AG396" s="9"/>
      <c r="AH396" s="9" t="s">
        <v>67</v>
      </c>
      <c r="AI396" s="9">
        <v>0</v>
      </c>
      <c r="AJ396" s="9"/>
      <c r="AK396" s="9">
        <v>0</v>
      </c>
      <c r="AL396" s="9" t="s">
        <v>1930</v>
      </c>
      <c r="AM396" s="9">
        <v>1</v>
      </c>
      <c r="AN396" s="9">
        <v>46212</v>
      </c>
      <c r="AO396" s="9" t="s">
        <v>1931</v>
      </c>
      <c r="AP396" s="9" t="s">
        <v>69</v>
      </c>
      <c r="AQ396" s="9" t="s">
        <v>1932</v>
      </c>
      <c r="AR396" s="9">
        <v>46212</v>
      </c>
      <c r="AS396" s="9" t="s">
        <v>84</v>
      </c>
      <c r="AT396" s="9" t="s">
        <v>1935</v>
      </c>
      <c r="AU396" s="9" t="s">
        <v>1952</v>
      </c>
      <c r="AV396" s="9">
        <v>0</v>
      </c>
      <c r="AW396" s="9" t="s">
        <v>92</v>
      </c>
      <c r="AX396" s="9" t="s">
        <v>219</v>
      </c>
      <c r="AY396" s="9">
        <v>0</v>
      </c>
      <c r="AZ396" s="9"/>
      <c r="BA396" s="9"/>
      <c r="BB396" s="9">
        <v>0</v>
      </c>
      <c r="BC396" s="9">
        <v>16</v>
      </c>
      <c r="BD396" s="9">
        <v>0</v>
      </c>
      <c r="BE396" s="9" t="s">
        <v>220</v>
      </c>
      <c r="BF396" s="9" t="s">
        <v>71</v>
      </c>
      <c r="BG396" s="9"/>
      <c r="BH396" s="9">
        <v>0</v>
      </c>
      <c r="BI396" s="9"/>
      <c r="BJ396" s="9"/>
      <c r="BK396" s="9" t="s">
        <v>92</v>
      </c>
      <c r="BL396" s="9" t="s">
        <v>92</v>
      </c>
      <c r="BM396" s="9" t="s">
        <v>72</v>
      </c>
      <c r="BN396" s="9"/>
      <c r="BO396" s="9">
        <v>1</v>
      </c>
      <c r="BP396" s="9" t="s">
        <v>1240</v>
      </c>
      <c r="BQ396" s="9">
        <v>0</v>
      </c>
      <c r="BR396" s="9">
        <v>45716.429675925923</v>
      </c>
      <c r="BS396" s="9" t="s">
        <v>109</v>
      </c>
      <c r="BT396" s="9" t="s">
        <v>65</v>
      </c>
      <c r="BU396" s="9"/>
      <c r="BV396" s="9"/>
      <c r="BW396" s="9">
        <v>0</v>
      </c>
      <c r="BX396" s="9">
        <v>46209.421388888892</v>
      </c>
      <c r="BY396" s="9">
        <v>46209.421388888892</v>
      </c>
      <c r="BZ396" s="9"/>
      <c r="CA396" s="9"/>
      <c r="CB396" s="9"/>
      <c r="CC396" s="9"/>
      <c r="CD396" s="9"/>
      <c r="CE396" s="9"/>
      <c r="CF396" s="9"/>
      <c r="CG396" s="9"/>
      <c r="CH396" s="9">
        <v>1</v>
      </c>
      <c r="CI396" s="9">
        <v>0</v>
      </c>
      <c r="CJ396" s="9"/>
      <c r="CK396" s="9"/>
      <c r="CL396" s="9" t="s">
        <v>1987</v>
      </c>
      <c r="CM396" s="9"/>
      <c r="CN396" s="9">
        <v>0</v>
      </c>
      <c r="CO396" s="9" t="s">
        <v>1925</v>
      </c>
      <c r="CP396" s="9" t="s">
        <v>1996</v>
      </c>
      <c r="CQ396" s="9">
        <v>0</v>
      </c>
    </row>
    <row r="397" spans="1:95" x14ac:dyDescent="0.35">
      <c r="A397" s="9" t="b">
        <f>ISNUMBER(MATCH(Claude[[#This Row],[Id]],ChargentOrders[Id],0))</f>
        <v>1</v>
      </c>
      <c r="B397" t="b">
        <f>INDEX(ChargentOrders[VALIDO],MATCH(Claude[[#This Row],[Id]],ChargentOrders[Id],0))</f>
        <v>1</v>
      </c>
      <c r="C397">
        <f>INDEX(Contract[CB_Subscription__c],MATCH(Claude[[#This Row],[Contract__c]],Contract[Id],0))</f>
        <v>0</v>
      </c>
      <c r="D397" s="9" t="s">
        <v>1241</v>
      </c>
      <c r="E397" s="9" t="s">
        <v>79</v>
      </c>
      <c r="F397" s="9">
        <v>0</v>
      </c>
      <c r="G397" s="9" t="s">
        <v>1242</v>
      </c>
      <c r="H397" s="9">
        <v>46171.417025462964</v>
      </c>
      <c r="I397" s="9" t="s">
        <v>65</v>
      </c>
      <c r="J397" s="9">
        <v>46217.738564814812</v>
      </c>
      <c r="K397" s="9" t="s">
        <v>78</v>
      </c>
      <c r="L397" s="9">
        <v>46217.738564814812</v>
      </c>
      <c r="M397" s="9"/>
      <c r="N397" s="9" t="s">
        <v>1596</v>
      </c>
      <c r="O397" s="9" t="s">
        <v>1997</v>
      </c>
      <c r="P397" s="9" t="s">
        <v>1990</v>
      </c>
      <c r="Q397" s="9" t="s">
        <v>1925</v>
      </c>
      <c r="R397" s="9" t="s">
        <v>1594</v>
      </c>
      <c r="S397" s="9" t="s">
        <v>1998</v>
      </c>
      <c r="T397" s="9" t="s">
        <v>1999</v>
      </c>
      <c r="U397" s="9" t="s">
        <v>1928</v>
      </c>
      <c r="V397" s="9">
        <v>901</v>
      </c>
      <c r="W397" s="9">
        <v>2</v>
      </c>
      <c r="X397" s="9">
        <v>2026</v>
      </c>
      <c r="Y397" s="9">
        <v>7405</v>
      </c>
      <c r="Z397" s="9">
        <v>2</v>
      </c>
      <c r="AA397" s="9">
        <v>7405</v>
      </c>
      <c r="AB397" s="9" t="s">
        <v>73</v>
      </c>
      <c r="AC397" s="9">
        <v>2026</v>
      </c>
      <c r="AD397" s="9" t="s">
        <v>1952</v>
      </c>
      <c r="AE397" s="9"/>
      <c r="AF397" s="9" t="s">
        <v>1929</v>
      </c>
      <c r="AG397" s="9"/>
      <c r="AH397" s="9" t="s">
        <v>67</v>
      </c>
      <c r="AI397" s="9">
        <v>0</v>
      </c>
      <c r="AJ397" s="9"/>
      <c r="AK397" s="9">
        <v>0</v>
      </c>
      <c r="AL397" s="9" t="s">
        <v>1930</v>
      </c>
      <c r="AM397" s="9">
        <v>1</v>
      </c>
      <c r="AN397" s="9">
        <v>46212</v>
      </c>
      <c r="AO397" s="9" t="s">
        <v>1931</v>
      </c>
      <c r="AP397" s="9" t="s">
        <v>69</v>
      </c>
      <c r="AQ397" s="9" t="s">
        <v>1932</v>
      </c>
      <c r="AR397" s="9">
        <v>46212</v>
      </c>
      <c r="AS397" s="9" t="s">
        <v>84</v>
      </c>
      <c r="AT397" s="9" t="s">
        <v>1935</v>
      </c>
      <c r="AU397" s="9" t="s">
        <v>1952</v>
      </c>
      <c r="AV397" s="9">
        <v>0</v>
      </c>
      <c r="AW397" s="9" t="s">
        <v>92</v>
      </c>
      <c r="AX397" s="9" t="s">
        <v>252</v>
      </c>
      <c r="AY397" s="9">
        <v>0</v>
      </c>
      <c r="AZ397" s="9"/>
      <c r="BA397" s="9"/>
      <c r="BB397" s="9">
        <v>0</v>
      </c>
      <c r="BC397" s="9">
        <v>16</v>
      </c>
      <c r="BD397" s="9">
        <v>0</v>
      </c>
      <c r="BE397" s="9" t="s">
        <v>253</v>
      </c>
      <c r="BF397" s="9" t="s">
        <v>71</v>
      </c>
      <c r="BG397" s="9"/>
      <c r="BH397" s="9">
        <v>0</v>
      </c>
      <c r="BI397" s="9"/>
      <c r="BJ397" s="9"/>
      <c r="BK397" s="9" t="s">
        <v>92</v>
      </c>
      <c r="BL397" s="9" t="s">
        <v>92</v>
      </c>
      <c r="BM397" s="9" t="s">
        <v>72</v>
      </c>
      <c r="BN397" s="9"/>
      <c r="BO397" s="9">
        <v>1</v>
      </c>
      <c r="BP397" s="9" t="s">
        <v>1243</v>
      </c>
      <c r="BQ397" s="9">
        <v>0</v>
      </c>
      <c r="BR397" s="9">
        <v>45723.426469907405</v>
      </c>
      <c r="BS397" s="9" t="s">
        <v>109</v>
      </c>
      <c r="BT397" s="9" t="s">
        <v>65</v>
      </c>
      <c r="BU397" s="9"/>
      <c r="BV397" s="9"/>
      <c r="BW397" s="9">
        <v>0</v>
      </c>
      <c r="BX397" s="9">
        <v>46209.421400462961</v>
      </c>
      <c r="BY397" s="9">
        <v>46209.421400462961</v>
      </c>
      <c r="BZ397" s="9"/>
      <c r="CA397" s="9"/>
      <c r="CB397" s="9"/>
      <c r="CC397" s="9"/>
      <c r="CD397" s="9"/>
      <c r="CE397" s="9"/>
      <c r="CF397" s="9"/>
      <c r="CG397" s="9"/>
      <c r="CH397" s="9">
        <v>1</v>
      </c>
      <c r="CI397" s="9">
        <v>0</v>
      </c>
      <c r="CJ397" s="9"/>
      <c r="CK397" s="9"/>
      <c r="CL397" s="9" t="s">
        <v>2000</v>
      </c>
      <c r="CM397" s="9"/>
      <c r="CN397" s="9">
        <v>0</v>
      </c>
      <c r="CO397" s="9" t="s">
        <v>1925</v>
      </c>
      <c r="CP397" s="9" t="s">
        <v>2003</v>
      </c>
      <c r="CQ397" s="9">
        <v>0</v>
      </c>
    </row>
    <row r="398" spans="1:95" x14ac:dyDescent="0.35">
      <c r="A398" s="9" t="b">
        <f>ISNUMBER(MATCH(Claude[[#This Row],[Id]],ChargentOrders[Id],0))</f>
        <v>1</v>
      </c>
      <c r="B398" t="b">
        <f>INDEX(ChargentOrders[VALIDO],MATCH(Claude[[#This Row],[Id]],ChargentOrders[Id],0))</f>
        <v>1</v>
      </c>
      <c r="C398">
        <f>INDEX(Contract[CB_Subscription__c],MATCH(Claude[[#This Row],[Contract__c]],Contract[Id],0))</f>
        <v>0</v>
      </c>
      <c r="D398" s="9" t="s">
        <v>1244</v>
      </c>
      <c r="E398" s="9" t="s">
        <v>81</v>
      </c>
      <c r="F398" s="9">
        <v>0</v>
      </c>
      <c r="G398" s="9" t="s">
        <v>1245</v>
      </c>
      <c r="H398" s="9">
        <v>46171.417025462964</v>
      </c>
      <c r="I398" s="9" t="s">
        <v>65</v>
      </c>
      <c r="J398" s="9">
        <v>46217.738564814812</v>
      </c>
      <c r="K398" s="9" t="s">
        <v>78</v>
      </c>
      <c r="L398" s="9">
        <v>46217.738564814812</v>
      </c>
      <c r="M398" s="9"/>
      <c r="N398" s="9" t="s">
        <v>1601</v>
      </c>
      <c r="O398" s="9" t="s">
        <v>2005</v>
      </c>
      <c r="P398" s="9" t="s">
        <v>2006</v>
      </c>
      <c r="Q398" s="9" t="s">
        <v>1925</v>
      </c>
      <c r="R398" s="9" t="s">
        <v>1599</v>
      </c>
      <c r="S398" s="9" t="s">
        <v>2007</v>
      </c>
      <c r="T398" s="9" t="s">
        <v>2008</v>
      </c>
      <c r="U398" s="9" t="s">
        <v>1928</v>
      </c>
      <c r="V398" s="9">
        <v>985</v>
      </c>
      <c r="W398" s="9">
        <v>11</v>
      </c>
      <c r="X398" s="9">
        <v>2029</v>
      </c>
      <c r="Y398" s="9">
        <v>6484</v>
      </c>
      <c r="Z398" s="9">
        <v>11</v>
      </c>
      <c r="AA398" s="9">
        <v>6484</v>
      </c>
      <c r="AB398" s="9" t="s">
        <v>73</v>
      </c>
      <c r="AC398" s="9">
        <v>2029</v>
      </c>
      <c r="AD398" s="9" t="s">
        <v>2087</v>
      </c>
      <c r="AE398" s="9"/>
      <c r="AF398" s="9" t="s">
        <v>1929</v>
      </c>
      <c r="AG398" s="9"/>
      <c r="AH398" s="9" t="s">
        <v>67</v>
      </c>
      <c r="AI398" s="9">
        <v>0</v>
      </c>
      <c r="AJ398" s="9"/>
      <c r="AK398" s="9">
        <v>0</v>
      </c>
      <c r="AL398" s="9" t="s">
        <v>1930</v>
      </c>
      <c r="AM398" s="9" t="s">
        <v>1958</v>
      </c>
      <c r="AN398" s="9">
        <v>46212</v>
      </c>
      <c r="AO398" s="9" t="s">
        <v>1931</v>
      </c>
      <c r="AP398" s="9" t="s">
        <v>69</v>
      </c>
      <c r="AQ398" s="9" t="s">
        <v>1932</v>
      </c>
      <c r="AR398" s="9">
        <v>46212</v>
      </c>
      <c r="AS398" s="9" t="s">
        <v>84</v>
      </c>
      <c r="AT398" s="9" t="s">
        <v>1935</v>
      </c>
      <c r="AU398" s="9" t="s">
        <v>1952</v>
      </c>
      <c r="AV398" s="9">
        <v>0</v>
      </c>
      <c r="AW398" s="9" t="s">
        <v>93</v>
      </c>
      <c r="AX398" s="9" t="s">
        <v>264</v>
      </c>
      <c r="AY398" s="9">
        <v>0</v>
      </c>
      <c r="AZ398" s="9"/>
      <c r="BA398" s="9"/>
      <c r="BB398" s="9">
        <v>0</v>
      </c>
      <c r="BC398" s="9">
        <v>17</v>
      </c>
      <c r="BD398" s="9">
        <v>0</v>
      </c>
      <c r="BE398" s="9" t="s">
        <v>265</v>
      </c>
      <c r="BF398" s="9" t="s">
        <v>71</v>
      </c>
      <c r="BG398" s="9"/>
      <c r="BH398" s="9">
        <v>0</v>
      </c>
      <c r="BI398" s="9"/>
      <c r="BJ398" s="9"/>
      <c r="BK398" s="9" t="s">
        <v>92</v>
      </c>
      <c r="BL398" s="9" t="s">
        <v>92</v>
      </c>
      <c r="BM398" s="9" t="s">
        <v>72</v>
      </c>
      <c r="BN398" s="9"/>
      <c r="BO398" s="9">
        <v>1</v>
      </c>
      <c r="BP398" s="9" t="s">
        <v>1246</v>
      </c>
      <c r="BQ398" s="9">
        <v>0</v>
      </c>
      <c r="BR398" s="9">
        <v>45744.431817129633</v>
      </c>
      <c r="BS398" s="9" t="s">
        <v>109</v>
      </c>
      <c r="BT398" s="9" t="s">
        <v>65</v>
      </c>
      <c r="BU398" s="9"/>
      <c r="BV398" s="9"/>
      <c r="BW398" s="9">
        <v>0</v>
      </c>
      <c r="BX398" s="9">
        <v>46210.011932870373</v>
      </c>
      <c r="BY398" s="9">
        <v>46210.011932870373</v>
      </c>
      <c r="BZ398" s="9"/>
      <c r="CA398" s="9"/>
      <c r="CB398" s="9"/>
      <c r="CC398" s="9"/>
      <c r="CD398" s="9"/>
      <c r="CE398" s="9"/>
      <c r="CF398" s="9"/>
      <c r="CG398" s="9"/>
      <c r="CH398" s="9">
        <v>1</v>
      </c>
      <c r="CI398" s="9">
        <v>0</v>
      </c>
      <c r="CJ398" s="9"/>
      <c r="CK398" s="9"/>
      <c r="CL398" s="9" t="s">
        <v>2009</v>
      </c>
      <c r="CM398" s="9"/>
      <c r="CN398" s="9">
        <v>0</v>
      </c>
      <c r="CO398" s="9" t="s">
        <v>1925</v>
      </c>
      <c r="CP398" s="9" t="s">
        <v>2020</v>
      </c>
      <c r="CQ398" s="9">
        <v>0</v>
      </c>
    </row>
    <row r="399" spans="1:95" x14ac:dyDescent="0.35">
      <c r="A399" s="9" t="b">
        <f>ISNUMBER(MATCH(Claude[[#This Row],[Id]],ChargentOrders[Id],0))</f>
        <v>1</v>
      </c>
      <c r="B399" t="b">
        <f>INDEX(ChargentOrders[VALIDO],MATCH(Claude[[#This Row],[Id]],ChargentOrders[Id],0))</f>
        <v>1</v>
      </c>
      <c r="C399">
        <f>INDEX(Contract[CB_Subscription__c],MATCH(Claude[[#This Row],[Contract__c]],Contract[Id],0))</f>
        <v>0</v>
      </c>
      <c r="D399" s="9" t="s">
        <v>1247</v>
      </c>
      <c r="E399" s="9" t="s">
        <v>79</v>
      </c>
      <c r="F399" s="9">
        <v>0</v>
      </c>
      <c r="G399" s="9" t="s">
        <v>1248</v>
      </c>
      <c r="H399" s="9">
        <v>46171.417199074072</v>
      </c>
      <c r="I399" s="9" t="s">
        <v>65</v>
      </c>
      <c r="J399" s="9">
        <v>46217.022430555553</v>
      </c>
      <c r="K399" s="9" t="s">
        <v>101</v>
      </c>
      <c r="L399" s="9">
        <v>46217.022430555553</v>
      </c>
      <c r="M399" s="9"/>
      <c r="N399" s="9" t="s">
        <v>1629</v>
      </c>
      <c r="O399" s="9" t="s">
        <v>2032</v>
      </c>
      <c r="P399" s="9" t="s">
        <v>2033</v>
      </c>
      <c r="Q399" s="9" t="s">
        <v>1925</v>
      </c>
      <c r="R399" s="9" t="s">
        <v>1627</v>
      </c>
      <c r="S399" s="9" t="s">
        <v>1949</v>
      </c>
      <c r="T399" s="9" t="s">
        <v>2034</v>
      </c>
      <c r="U399" s="9" t="s">
        <v>1928</v>
      </c>
      <c r="V399" s="9">
        <v>754</v>
      </c>
      <c r="W399" s="9">
        <v>7</v>
      </c>
      <c r="X399" s="9">
        <v>2028</v>
      </c>
      <c r="Y399" s="9">
        <v>6818</v>
      </c>
      <c r="Z399" s="9">
        <v>7</v>
      </c>
      <c r="AA399" s="9">
        <v>4870388115256810</v>
      </c>
      <c r="AB399" s="9" t="s">
        <v>73</v>
      </c>
      <c r="AC399" s="9">
        <v>2028</v>
      </c>
      <c r="AD399" s="9" t="s">
        <v>2087</v>
      </c>
      <c r="AE399" s="9"/>
      <c r="AF399" s="9" t="s">
        <v>1929</v>
      </c>
      <c r="AG399" s="9"/>
      <c r="AH399" s="9" t="s">
        <v>67</v>
      </c>
      <c r="AI399" s="9">
        <v>0</v>
      </c>
      <c r="AJ399" s="9"/>
      <c r="AK399" s="9">
        <v>0</v>
      </c>
      <c r="AL399" s="9" t="s">
        <v>1930</v>
      </c>
      <c r="AM399" s="9" t="s">
        <v>1958</v>
      </c>
      <c r="AN399" s="9">
        <v>46213</v>
      </c>
      <c r="AO399" s="9" t="s">
        <v>1931</v>
      </c>
      <c r="AP399" s="9" t="s">
        <v>69</v>
      </c>
      <c r="AQ399" s="9" t="s">
        <v>1932</v>
      </c>
      <c r="AR399" s="9">
        <v>46213</v>
      </c>
      <c r="AS399" s="9" t="s">
        <v>90</v>
      </c>
      <c r="AT399" s="9" t="s">
        <v>1935</v>
      </c>
      <c r="AU399" s="9" t="s">
        <v>1952</v>
      </c>
      <c r="AV399" s="9">
        <v>0</v>
      </c>
      <c r="AW399" s="9" t="s">
        <v>93</v>
      </c>
      <c r="AX399" s="9" t="s">
        <v>355</v>
      </c>
      <c r="AY399" s="9">
        <v>0</v>
      </c>
      <c r="AZ399" s="9"/>
      <c r="BA399" s="9"/>
      <c r="BB399" s="9">
        <v>0</v>
      </c>
      <c r="BC399" s="9">
        <v>25</v>
      </c>
      <c r="BD399" s="9">
        <v>0</v>
      </c>
      <c r="BE399" s="9" t="s">
        <v>356</v>
      </c>
      <c r="BF399" s="9" t="s">
        <v>71</v>
      </c>
      <c r="BG399" s="9"/>
      <c r="BH399" s="9">
        <v>0</v>
      </c>
      <c r="BI399" s="9"/>
      <c r="BJ399" s="9"/>
      <c r="BK399" s="9" t="s">
        <v>92</v>
      </c>
      <c r="BL399" s="9" t="s">
        <v>92</v>
      </c>
      <c r="BM399" s="9" t="s">
        <v>72</v>
      </c>
      <c r="BN399" s="9"/>
      <c r="BO399" s="9">
        <v>1</v>
      </c>
      <c r="BP399" s="9" t="s">
        <v>1249</v>
      </c>
      <c r="BQ399" s="9">
        <v>0</v>
      </c>
      <c r="BR399" s="9">
        <v>45812.729178240741</v>
      </c>
      <c r="BS399" s="9" t="s">
        <v>109</v>
      </c>
      <c r="BT399" s="9" t="s">
        <v>65</v>
      </c>
      <c r="BU399" s="9"/>
      <c r="BV399" s="9"/>
      <c r="BW399" s="9">
        <v>0</v>
      </c>
      <c r="BX399" s="9">
        <v>46217.022418981483</v>
      </c>
      <c r="BY399" s="9">
        <v>46217.022418981483</v>
      </c>
      <c r="BZ399" s="9"/>
      <c r="CA399" s="9"/>
      <c r="CB399" s="9"/>
      <c r="CC399" s="9"/>
      <c r="CD399" s="9"/>
      <c r="CE399" s="9"/>
      <c r="CF399" s="9"/>
      <c r="CG399" s="9"/>
      <c r="CH399" s="9">
        <v>1</v>
      </c>
      <c r="CI399" s="9">
        <v>0</v>
      </c>
      <c r="CJ399" s="9"/>
      <c r="CK399" s="9"/>
      <c r="CL399" s="9" t="s">
        <v>2035</v>
      </c>
      <c r="CM399" s="9"/>
      <c r="CN399" s="9">
        <v>0</v>
      </c>
      <c r="CO399" s="9" t="s">
        <v>1925</v>
      </c>
      <c r="CP399" s="9" t="s">
        <v>2036</v>
      </c>
      <c r="CQ399" s="9">
        <v>0</v>
      </c>
    </row>
    <row r="400" spans="1:95" x14ac:dyDescent="0.35">
      <c r="A400" s="9" t="b">
        <f>ISNUMBER(MATCH(Claude[[#This Row],[Id]],ChargentOrders[Id],0))</f>
        <v>1</v>
      </c>
      <c r="B400" t="b">
        <f>INDEX(ChargentOrders[VALIDO],MATCH(Claude[[#This Row],[Id]],ChargentOrders[Id],0))</f>
        <v>1</v>
      </c>
      <c r="C400">
        <f>INDEX(Contract[CB_Subscription__c],MATCH(Claude[[#This Row],[Contract__c]],Contract[Id],0))</f>
        <v>0</v>
      </c>
      <c r="D400" s="9" t="s">
        <v>1250</v>
      </c>
      <c r="E400" s="9" t="s">
        <v>79</v>
      </c>
      <c r="F400" s="9">
        <v>0</v>
      </c>
      <c r="G400" s="9" t="s">
        <v>1251</v>
      </c>
      <c r="H400" s="9">
        <v>46171.417199074072</v>
      </c>
      <c r="I400" s="9" t="s">
        <v>65</v>
      </c>
      <c r="J400" s="9">
        <v>46217.008090277777</v>
      </c>
      <c r="K400" s="9" t="s">
        <v>101</v>
      </c>
      <c r="L400" s="9">
        <v>46217.008090277777</v>
      </c>
      <c r="M400" s="9"/>
      <c r="N400" s="9" t="s">
        <v>1634</v>
      </c>
      <c r="O400" s="9" t="s">
        <v>2037</v>
      </c>
      <c r="P400" s="9" t="s">
        <v>1983</v>
      </c>
      <c r="Q400" s="9" t="s">
        <v>1925</v>
      </c>
      <c r="R400" s="9" t="s">
        <v>1632</v>
      </c>
      <c r="S400" s="9" t="s">
        <v>2038</v>
      </c>
      <c r="T400" s="9" t="s">
        <v>2039</v>
      </c>
      <c r="U400" s="9" t="s">
        <v>1928</v>
      </c>
      <c r="V400" s="9">
        <v>771</v>
      </c>
      <c r="W400" s="9">
        <v>7</v>
      </c>
      <c r="X400" s="9">
        <v>2027</v>
      </c>
      <c r="Y400" s="9">
        <v>233</v>
      </c>
      <c r="Z400" s="9">
        <v>7</v>
      </c>
      <c r="AA400" s="9"/>
      <c r="AB400" s="9" t="s">
        <v>66</v>
      </c>
      <c r="AC400" s="9">
        <v>2027</v>
      </c>
      <c r="AD400" s="9" t="s">
        <v>2087</v>
      </c>
      <c r="AE400" s="9"/>
      <c r="AF400" s="9" t="s">
        <v>1929</v>
      </c>
      <c r="AG400" s="9"/>
      <c r="AH400" s="9" t="s">
        <v>107</v>
      </c>
      <c r="AI400" s="9">
        <v>0</v>
      </c>
      <c r="AJ400" s="9"/>
      <c r="AK400" s="9">
        <v>0</v>
      </c>
      <c r="AL400" s="9" t="s">
        <v>1930</v>
      </c>
      <c r="AM400" s="9" t="s">
        <v>1958</v>
      </c>
      <c r="AN400" s="9">
        <v>46212</v>
      </c>
      <c r="AO400" s="9" t="s">
        <v>1931</v>
      </c>
      <c r="AP400" s="9" t="s">
        <v>69</v>
      </c>
      <c r="AQ400" s="9" t="s">
        <v>1932</v>
      </c>
      <c r="AR400" s="9">
        <v>46212</v>
      </c>
      <c r="AS400" s="9" t="s">
        <v>90</v>
      </c>
      <c r="AT400" s="9" t="s">
        <v>1935</v>
      </c>
      <c r="AU400" s="9" t="s">
        <v>1952</v>
      </c>
      <c r="AV400" s="9">
        <v>0</v>
      </c>
      <c r="AW400" s="9" t="s">
        <v>93</v>
      </c>
      <c r="AX400" s="9" t="s">
        <v>368</v>
      </c>
      <c r="AY400" s="9">
        <v>0</v>
      </c>
      <c r="AZ400" s="9"/>
      <c r="BA400" s="9"/>
      <c r="BB400" s="9">
        <v>0</v>
      </c>
      <c r="BC400" s="9">
        <v>17</v>
      </c>
      <c r="BD400" s="9">
        <v>0</v>
      </c>
      <c r="BE400" s="9" t="s">
        <v>369</v>
      </c>
      <c r="BF400" s="9" t="s">
        <v>71</v>
      </c>
      <c r="BG400" s="9"/>
      <c r="BH400" s="9">
        <v>0</v>
      </c>
      <c r="BI400" s="9"/>
      <c r="BJ400" s="9"/>
      <c r="BK400" s="9" t="s">
        <v>92</v>
      </c>
      <c r="BL400" s="9" t="s">
        <v>92</v>
      </c>
      <c r="BM400" s="9" t="s">
        <v>72</v>
      </c>
      <c r="BN400" s="9"/>
      <c r="BO400" s="9">
        <v>1</v>
      </c>
      <c r="BP400" s="9" t="s">
        <v>1252</v>
      </c>
      <c r="BQ400" s="9">
        <v>0</v>
      </c>
      <c r="BR400" s="9">
        <v>45849.623969907407</v>
      </c>
      <c r="BS400" s="9" t="s">
        <v>109</v>
      </c>
      <c r="BT400" s="9" t="s">
        <v>65</v>
      </c>
      <c r="BU400" s="9"/>
      <c r="BV400" s="9"/>
      <c r="BW400" s="9">
        <v>0</v>
      </c>
      <c r="BX400" s="9">
        <v>46209.421435185184</v>
      </c>
      <c r="BY400" s="9">
        <v>46217.008090277777</v>
      </c>
      <c r="BZ400" s="9"/>
      <c r="CA400" s="9"/>
      <c r="CB400" s="9"/>
      <c r="CC400" s="9"/>
      <c r="CD400" s="9"/>
      <c r="CE400" s="9"/>
      <c r="CF400" s="9"/>
      <c r="CG400" s="9"/>
      <c r="CH400" s="9">
        <v>1</v>
      </c>
      <c r="CI400" s="9">
        <v>0</v>
      </c>
      <c r="CJ400" s="9"/>
      <c r="CK400" s="9"/>
      <c r="CL400" s="9" t="s">
        <v>2040</v>
      </c>
      <c r="CM400" s="9"/>
      <c r="CN400" s="9">
        <v>0</v>
      </c>
      <c r="CO400" s="9" t="s">
        <v>1925</v>
      </c>
      <c r="CP400" s="9" t="s">
        <v>2042</v>
      </c>
      <c r="CQ400" s="9">
        <v>0</v>
      </c>
    </row>
    <row r="401" spans="1:95" x14ac:dyDescent="0.35">
      <c r="A401" s="9" t="b">
        <f>ISNUMBER(MATCH(Claude[[#This Row],[Id]],ChargentOrders[Id],0))</f>
        <v>1</v>
      </c>
      <c r="B401" t="b">
        <f>INDEX(ChargentOrders[VALIDO],MATCH(Claude[[#This Row],[Id]],ChargentOrders[Id],0))</f>
        <v>1</v>
      </c>
      <c r="C401">
        <f>INDEX(Contract[CB_Subscription__c],MATCH(Claude[[#This Row],[Contract__c]],Contract[Id],0))</f>
        <v>0</v>
      </c>
      <c r="D401" s="9" t="s">
        <v>1253</v>
      </c>
      <c r="E401" s="9" t="s">
        <v>81</v>
      </c>
      <c r="F401" s="9">
        <v>0</v>
      </c>
      <c r="G401" s="9" t="s">
        <v>1254</v>
      </c>
      <c r="H401" s="9">
        <v>46171.417199074072</v>
      </c>
      <c r="I401" s="9" t="s">
        <v>65</v>
      </c>
      <c r="J401" s="9">
        <v>46217.002280092594</v>
      </c>
      <c r="K401" s="9" t="s">
        <v>101</v>
      </c>
      <c r="L401" s="9">
        <v>46217.002280092594</v>
      </c>
      <c r="M401" s="9"/>
      <c r="N401" s="9" t="s">
        <v>1639</v>
      </c>
      <c r="O401" s="9" t="s">
        <v>2043</v>
      </c>
      <c r="P401" s="9" t="s">
        <v>2044</v>
      </c>
      <c r="Q401" s="9" t="s">
        <v>1925</v>
      </c>
      <c r="R401" s="9" t="s">
        <v>1637</v>
      </c>
      <c r="S401" s="9" t="s">
        <v>2045</v>
      </c>
      <c r="T401" s="9" t="s">
        <v>2046</v>
      </c>
      <c r="U401" s="9" t="s">
        <v>1928</v>
      </c>
      <c r="V401" s="9">
        <v>725</v>
      </c>
      <c r="W401" s="9">
        <v>6</v>
      </c>
      <c r="X401" s="9">
        <v>2029</v>
      </c>
      <c r="Y401" s="9">
        <v>3025</v>
      </c>
      <c r="Z401" s="9">
        <v>6</v>
      </c>
      <c r="AA401" s="9">
        <v>3025</v>
      </c>
      <c r="AB401" s="9" t="s">
        <v>66</v>
      </c>
      <c r="AC401" s="9">
        <v>2029</v>
      </c>
      <c r="AD401" s="9" t="s">
        <v>2087</v>
      </c>
      <c r="AE401" s="9"/>
      <c r="AF401" s="9" t="s">
        <v>1929</v>
      </c>
      <c r="AG401" s="9"/>
      <c r="AH401" s="9" t="s">
        <v>67</v>
      </c>
      <c r="AI401" s="9">
        <v>0</v>
      </c>
      <c r="AJ401" s="9"/>
      <c r="AK401" s="9">
        <v>0</v>
      </c>
      <c r="AL401" s="9" t="s">
        <v>1930</v>
      </c>
      <c r="AM401" s="9" t="s">
        <v>1958</v>
      </c>
      <c r="AN401" s="9">
        <v>46212</v>
      </c>
      <c r="AO401" s="9" t="s">
        <v>1931</v>
      </c>
      <c r="AP401" s="9" t="s">
        <v>69</v>
      </c>
      <c r="AQ401" s="9" t="s">
        <v>1932</v>
      </c>
      <c r="AR401" s="9">
        <v>46212</v>
      </c>
      <c r="AS401" s="9" t="s">
        <v>90</v>
      </c>
      <c r="AT401" s="9" t="s">
        <v>1935</v>
      </c>
      <c r="AU401" s="9" t="s">
        <v>1952</v>
      </c>
      <c r="AV401" s="9">
        <v>0</v>
      </c>
      <c r="AW401" s="9" t="s">
        <v>93</v>
      </c>
      <c r="AX401" s="9" t="s">
        <v>377</v>
      </c>
      <c r="AY401" s="9">
        <v>0</v>
      </c>
      <c r="AZ401" s="9"/>
      <c r="BA401" s="9"/>
      <c r="BB401" s="9">
        <v>0</v>
      </c>
      <c r="BC401" s="9">
        <v>17</v>
      </c>
      <c r="BD401" s="9">
        <v>0</v>
      </c>
      <c r="BE401" s="9" t="s">
        <v>378</v>
      </c>
      <c r="BF401" s="9" t="s">
        <v>71</v>
      </c>
      <c r="BG401" s="9"/>
      <c r="BH401" s="9">
        <v>0</v>
      </c>
      <c r="BI401" s="9"/>
      <c r="BJ401" s="9"/>
      <c r="BK401" s="9" t="s">
        <v>92</v>
      </c>
      <c r="BL401" s="9" t="s">
        <v>92</v>
      </c>
      <c r="BM401" s="9" t="s">
        <v>72</v>
      </c>
      <c r="BN401" s="9"/>
      <c r="BO401" s="9">
        <v>1</v>
      </c>
      <c r="BP401" s="9" t="s">
        <v>1255</v>
      </c>
      <c r="BQ401" s="9">
        <v>0</v>
      </c>
      <c r="BR401" s="9">
        <v>45864.41710648148</v>
      </c>
      <c r="BS401" s="9" t="s">
        <v>109</v>
      </c>
      <c r="BT401" s="9" t="s">
        <v>65</v>
      </c>
      <c r="BU401" s="9"/>
      <c r="BV401" s="9"/>
      <c r="BW401" s="9">
        <v>0</v>
      </c>
      <c r="BX401" s="9">
        <v>46217.002268518518</v>
      </c>
      <c r="BY401" s="9">
        <v>46217.002268518518</v>
      </c>
      <c r="BZ401" s="9"/>
      <c r="CA401" s="9"/>
      <c r="CB401" s="9"/>
      <c r="CC401" s="9"/>
      <c r="CD401" s="9"/>
      <c r="CE401" s="9"/>
      <c r="CF401" s="9"/>
      <c r="CG401" s="9"/>
      <c r="CH401" s="9">
        <v>1</v>
      </c>
      <c r="CI401" s="9">
        <v>0</v>
      </c>
      <c r="CJ401" s="9"/>
      <c r="CK401" s="9"/>
      <c r="CL401" s="9" t="s">
        <v>2047</v>
      </c>
      <c r="CM401" s="9"/>
      <c r="CN401" s="9">
        <v>0</v>
      </c>
      <c r="CO401" s="9" t="s">
        <v>1925</v>
      </c>
      <c r="CP401" s="9" t="s">
        <v>2051</v>
      </c>
      <c r="CQ401" s="9">
        <v>0</v>
      </c>
    </row>
    <row r="402" spans="1:95" x14ac:dyDescent="0.35">
      <c r="A402" s="9" t="b">
        <f>ISNUMBER(MATCH(Claude[[#This Row],[Id]],ChargentOrders[Id],0))</f>
        <v>1</v>
      </c>
      <c r="B402" t="b">
        <f>INDEX(ChargentOrders[VALIDO],MATCH(Claude[[#This Row],[Id]],ChargentOrders[Id],0))</f>
        <v>1</v>
      </c>
      <c r="C402">
        <f>INDEX(Contract[CB_Subscription__c],MATCH(Claude[[#This Row],[Contract__c]],Contract[Id],0))</f>
        <v>0</v>
      </c>
      <c r="D402" s="9" t="s">
        <v>1256</v>
      </c>
      <c r="E402" s="9" t="s">
        <v>79</v>
      </c>
      <c r="F402" s="9">
        <v>0</v>
      </c>
      <c r="G402" s="9" t="s">
        <v>1257</v>
      </c>
      <c r="H402" s="9">
        <v>46171.417199074072</v>
      </c>
      <c r="I402" s="9" t="s">
        <v>65</v>
      </c>
      <c r="J402" s="9">
        <v>46217.738564814812</v>
      </c>
      <c r="K402" s="9" t="s">
        <v>78</v>
      </c>
      <c r="L402" s="9">
        <v>46217.738564814812</v>
      </c>
      <c r="M402" s="9"/>
      <c r="N402" s="9" t="s">
        <v>1644</v>
      </c>
      <c r="O402" s="9" t="s">
        <v>2052</v>
      </c>
      <c r="P402" s="9" t="s">
        <v>2053</v>
      </c>
      <c r="Q402" s="9" t="s">
        <v>1925</v>
      </c>
      <c r="R402" s="9" t="s">
        <v>1642</v>
      </c>
      <c r="S402" s="9" t="s">
        <v>2054</v>
      </c>
      <c r="T402" s="9" t="s">
        <v>2055</v>
      </c>
      <c r="U402" s="9" t="s">
        <v>1928</v>
      </c>
      <c r="V402" s="9">
        <v>738</v>
      </c>
      <c r="W402" s="9">
        <v>1</v>
      </c>
      <c r="X402" s="9">
        <v>2027</v>
      </c>
      <c r="Y402" s="9">
        <v>2506</v>
      </c>
      <c r="Z402" s="9">
        <v>1</v>
      </c>
      <c r="AA402" s="9">
        <v>2506</v>
      </c>
      <c r="AB402" s="9" t="s">
        <v>73</v>
      </c>
      <c r="AC402" s="9">
        <v>2027</v>
      </c>
      <c r="AD402" s="9" t="s">
        <v>1952</v>
      </c>
      <c r="AE402" s="9"/>
      <c r="AF402" s="9" t="s">
        <v>1929</v>
      </c>
      <c r="AG402" s="9"/>
      <c r="AH402" s="9" t="s">
        <v>67</v>
      </c>
      <c r="AI402" s="9">
        <v>0</v>
      </c>
      <c r="AJ402" s="9"/>
      <c r="AK402" s="9">
        <v>0</v>
      </c>
      <c r="AL402" s="9" t="s">
        <v>1930</v>
      </c>
      <c r="AM402" s="9">
        <v>1</v>
      </c>
      <c r="AN402" s="9">
        <v>46212</v>
      </c>
      <c r="AO402" s="9" t="s">
        <v>1931</v>
      </c>
      <c r="AP402" s="9" t="s">
        <v>69</v>
      </c>
      <c r="AQ402" s="9" t="s">
        <v>1932</v>
      </c>
      <c r="AR402" s="9">
        <v>46212</v>
      </c>
      <c r="AS402" s="9" t="s">
        <v>84</v>
      </c>
      <c r="AT402" s="9" t="s">
        <v>1935</v>
      </c>
      <c r="AU402" s="9" t="s">
        <v>1952</v>
      </c>
      <c r="AV402" s="9">
        <v>0</v>
      </c>
      <c r="AW402" s="9" t="s">
        <v>92</v>
      </c>
      <c r="AX402" s="9" t="s">
        <v>406</v>
      </c>
      <c r="AY402" s="9">
        <v>0</v>
      </c>
      <c r="AZ402" s="9"/>
      <c r="BA402" s="9"/>
      <c r="BB402" s="9">
        <v>0</v>
      </c>
      <c r="BC402" s="9">
        <v>16</v>
      </c>
      <c r="BD402" s="9">
        <v>0</v>
      </c>
      <c r="BE402" s="9" t="s">
        <v>407</v>
      </c>
      <c r="BF402" s="9" t="s">
        <v>71</v>
      </c>
      <c r="BG402" s="9"/>
      <c r="BH402" s="9">
        <v>0</v>
      </c>
      <c r="BI402" s="9"/>
      <c r="BJ402" s="9"/>
      <c r="BK402" s="9" t="s">
        <v>92</v>
      </c>
      <c r="BL402" s="9" t="s">
        <v>92</v>
      </c>
      <c r="BM402" s="9" t="s">
        <v>72</v>
      </c>
      <c r="BN402" s="9"/>
      <c r="BO402" s="9">
        <v>1</v>
      </c>
      <c r="BP402" s="9" t="s">
        <v>1258</v>
      </c>
      <c r="BQ402" s="9">
        <v>0</v>
      </c>
      <c r="BR402" s="9">
        <v>45874.6794212963</v>
      </c>
      <c r="BS402" s="9" t="s">
        <v>109</v>
      </c>
      <c r="BT402" s="9" t="s">
        <v>65</v>
      </c>
      <c r="BU402" s="9"/>
      <c r="BV402" s="9"/>
      <c r="BW402" s="9">
        <v>0</v>
      </c>
      <c r="BX402" s="9">
        <v>46209.421458333331</v>
      </c>
      <c r="BY402" s="9">
        <v>46209.421458333331</v>
      </c>
      <c r="BZ402" s="9"/>
      <c r="CA402" s="9"/>
      <c r="CB402" s="9"/>
      <c r="CC402" s="9"/>
      <c r="CD402" s="9"/>
      <c r="CE402" s="9"/>
      <c r="CF402" s="9"/>
      <c r="CG402" s="9"/>
      <c r="CH402" s="9">
        <v>1</v>
      </c>
      <c r="CI402" s="9">
        <v>0</v>
      </c>
      <c r="CJ402" s="9"/>
      <c r="CK402" s="9"/>
      <c r="CL402" s="9" t="s">
        <v>2056</v>
      </c>
      <c r="CM402" s="9"/>
      <c r="CN402" s="9">
        <v>0</v>
      </c>
      <c r="CO402" s="9" t="s">
        <v>1925</v>
      </c>
      <c r="CP402" s="9" t="s">
        <v>2058</v>
      </c>
      <c r="CQ402" s="9">
        <v>0</v>
      </c>
    </row>
    <row r="403" spans="1:95" x14ac:dyDescent="0.35">
      <c r="A403" s="9" t="b">
        <f>ISNUMBER(MATCH(Claude[[#This Row],[Id]],ChargentOrders[Id],0))</f>
        <v>1</v>
      </c>
      <c r="B403" t="b">
        <f>INDEX(ChargentOrders[VALIDO],MATCH(Claude[[#This Row],[Id]],ChargentOrders[Id],0))</f>
        <v>1</v>
      </c>
      <c r="C403">
        <f>INDEX(Contract[CB_Subscription__c],MATCH(Claude[[#This Row],[Contract__c]],Contract[Id],0))</f>
        <v>0</v>
      </c>
      <c r="D403" s="9" t="s">
        <v>1259</v>
      </c>
      <c r="E403" s="9" t="s">
        <v>155</v>
      </c>
      <c r="F403" s="9">
        <v>0</v>
      </c>
      <c r="G403" s="9" t="s">
        <v>1260</v>
      </c>
      <c r="H403" s="9">
        <v>46171.417199074072</v>
      </c>
      <c r="I403" s="9" t="s">
        <v>65</v>
      </c>
      <c r="J403" s="9">
        <v>46217.738564814812</v>
      </c>
      <c r="K403" s="9" t="s">
        <v>78</v>
      </c>
      <c r="L403" s="9">
        <v>46217.738564814812</v>
      </c>
      <c r="M403" s="9"/>
      <c r="N403" s="9" t="s">
        <v>1649</v>
      </c>
      <c r="O403" s="9" t="s">
        <v>2059</v>
      </c>
      <c r="P403" s="9" t="s">
        <v>1990</v>
      </c>
      <c r="Q403" s="9" t="s">
        <v>1925</v>
      </c>
      <c r="R403" s="9" t="s">
        <v>1647</v>
      </c>
      <c r="S403" s="9" t="s">
        <v>2060</v>
      </c>
      <c r="T403" s="9" t="s">
        <v>2061</v>
      </c>
      <c r="U403" s="9" t="s">
        <v>1928</v>
      </c>
      <c r="V403" s="9">
        <v>915</v>
      </c>
      <c r="W403" s="9">
        <v>10</v>
      </c>
      <c r="X403" s="9">
        <v>2028</v>
      </c>
      <c r="Y403" s="9">
        <v>2362</v>
      </c>
      <c r="Z403" s="9">
        <v>10</v>
      </c>
      <c r="AA403" s="9">
        <v>4549516362132360</v>
      </c>
      <c r="AB403" s="9" t="s">
        <v>73</v>
      </c>
      <c r="AC403" s="9">
        <v>2028</v>
      </c>
      <c r="AD403" s="9" t="s">
        <v>449</v>
      </c>
      <c r="AE403" s="9"/>
      <c r="AF403" s="9" t="s">
        <v>1929</v>
      </c>
      <c r="AG403" s="9"/>
      <c r="AH403" s="9" t="s">
        <v>67</v>
      </c>
      <c r="AI403" s="9">
        <v>0</v>
      </c>
      <c r="AJ403" s="9"/>
      <c r="AK403" s="9">
        <v>0</v>
      </c>
      <c r="AL403" s="9" t="s">
        <v>1930</v>
      </c>
      <c r="AM403" s="9">
        <v>1</v>
      </c>
      <c r="AN403" s="9">
        <v>46212</v>
      </c>
      <c r="AO403" s="9" t="s">
        <v>1931</v>
      </c>
      <c r="AP403" s="9" t="s">
        <v>69</v>
      </c>
      <c r="AQ403" s="9" t="s">
        <v>1932</v>
      </c>
      <c r="AR403" s="9">
        <v>46212</v>
      </c>
      <c r="AS403" s="9" t="s">
        <v>84</v>
      </c>
      <c r="AT403" s="9" t="s">
        <v>1935</v>
      </c>
      <c r="AU403" s="9" t="s">
        <v>449</v>
      </c>
      <c r="AV403" s="9">
        <v>0</v>
      </c>
      <c r="AW403" s="9" t="s">
        <v>92</v>
      </c>
      <c r="AX403" s="9" t="s">
        <v>414</v>
      </c>
      <c r="AY403" s="9">
        <v>0</v>
      </c>
      <c r="AZ403" s="9"/>
      <c r="BA403" s="9"/>
      <c r="BB403" s="9">
        <v>0</v>
      </c>
      <c r="BC403" s="9">
        <v>16</v>
      </c>
      <c r="BD403" s="9">
        <v>0</v>
      </c>
      <c r="BE403" s="9" t="s">
        <v>415</v>
      </c>
      <c r="BF403" s="9" t="s">
        <v>71</v>
      </c>
      <c r="BG403" s="9"/>
      <c r="BH403" s="9">
        <v>0</v>
      </c>
      <c r="BI403" s="9"/>
      <c r="BJ403" s="9"/>
      <c r="BK403" s="9" t="s">
        <v>92</v>
      </c>
      <c r="BL403" s="9" t="s">
        <v>92</v>
      </c>
      <c r="BM403" s="9" t="s">
        <v>72</v>
      </c>
      <c r="BN403" s="9"/>
      <c r="BO403" s="9">
        <v>1</v>
      </c>
      <c r="BP403" s="9" t="s">
        <v>1261</v>
      </c>
      <c r="BQ403" s="9">
        <v>0</v>
      </c>
      <c r="BR403" s="9">
        <v>45901.428703703707</v>
      </c>
      <c r="BS403" s="9" t="s">
        <v>109</v>
      </c>
      <c r="BT403" s="9" t="s">
        <v>65</v>
      </c>
      <c r="BU403" s="9"/>
      <c r="BV403" s="9"/>
      <c r="BW403" s="9">
        <v>0</v>
      </c>
      <c r="BX403" s="9">
        <v>46209.421516203707</v>
      </c>
      <c r="BY403" s="9">
        <v>46209.421516203707</v>
      </c>
      <c r="BZ403" s="9"/>
      <c r="CA403" s="9"/>
      <c r="CB403" s="9"/>
      <c r="CC403" s="9"/>
      <c r="CD403" s="9"/>
      <c r="CE403" s="9"/>
      <c r="CF403" s="9"/>
      <c r="CG403" s="9"/>
      <c r="CH403" s="9">
        <v>1</v>
      </c>
      <c r="CI403" s="9">
        <v>0</v>
      </c>
      <c r="CJ403" s="9"/>
      <c r="CK403" s="9"/>
      <c r="CL403" s="9" t="s">
        <v>2062</v>
      </c>
      <c r="CM403" s="9"/>
      <c r="CN403" s="9">
        <v>0</v>
      </c>
      <c r="CO403" s="9" t="s">
        <v>1925</v>
      </c>
      <c r="CP403" s="9" t="s">
        <v>2073</v>
      </c>
      <c r="CQ403" s="9">
        <v>0</v>
      </c>
    </row>
    <row r="404" spans="1:95" x14ac:dyDescent="0.35">
      <c r="A404" s="9" t="b">
        <f>ISNUMBER(MATCH(Claude[[#This Row],[Id]],ChargentOrders[Id],0))</f>
        <v>1</v>
      </c>
      <c r="B404" t="b">
        <f>INDEX(ChargentOrders[VALIDO],MATCH(Claude[[#This Row],[Id]],ChargentOrders[Id],0))</f>
        <v>1</v>
      </c>
      <c r="C404">
        <f>INDEX(Contract[CB_Subscription__c],MATCH(Claude[[#This Row],[Contract__c]],Contract[Id],0))</f>
        <v>0</v>
      </c>
      <c r="D404" s="9" t="s">
        <v>1262</v>
      </c>
      <c r="E404" s="9" t="s">
        <v>79</v>
      </c>
      <c r="F404" s="9">
        <v>0</v>
      </c>
      <c r="G404" s="9" t="s">
        <v>1263</v>
      </c>
      <c r="H404" s="9">
        <v>46171.417349537034</v>
      </c>
      <c r="I404" s="9" t="s">
        <v>65</v>
      </c>
      <c r="J404" s="9">
        <v>46217.738564814812</v>
      </c>
      <c r="K404" s="9" t="s">
        <v>78</v>
      </c>
      <c r="L404" s="9">
        <v>46217.738564814812</v>
      </c>
      <c r="M404" s="9"/>
      <c r="N404" s="9" t="s">
        <v>1659</v>
      </c>
      <c r="O404" s="9" t="s">
        <v>2074</v>
      </c>
      <c r="P404" s="9" t="s">
        <v>2066</v>
      </c>
      <c r="Q404" s="9" t="s">
        <v>1925</v>
      </c>
      <c r="R404" s="9" t="s">
        <v>1657</v>
      </c>
      <c r="S404" s="9" t="s">
        <v>2075</v>
      </c>
      <c r="T404" s="9" t="s">
        <v>2076</v>
      </c>
      <c r="U404" s="9" t="s">
        <v>1928</v>
      </c>
      <c r="V404" s="9">
        <v>956</v>
      </c>
      <c r="W404" s="9">
        <v>9</v>
      </c>
      <c r="X404" s="9">
        <v>2030</v>
      </c>
      <c r="Y404" s="9">
        <v>4428</v>
      </c>
      <c r="Z404" s="9">
        <v>9</v>
      </c>
      <c r="AA404" s="9">
        <v>4428</v>
      </c>
      <c r="AB404" s="9" t="s">
        <v>73</v>
      </c>
      <c r="AC404" s="9">
        <v>2030</v>
      </c>
      <c r="AD404" s="9" t="s">
        <v>2101</v>
      </c>
      <c r="AE404" s="9"/>
      <c r="AF404" s="9" t="s">
        <v>1929</v>
      </c>
      <c r="AG404" s="9"/>
      <c r="AH404" s="9" t="s">
        <v>67</v>
      </c>
      <c r="AI404" s="9">
        <v>0</v>
      </c>
      <c r="AJ404" s="9"/>
      <c r="AK404" s="9">
        <v>0</v>
      </c>
      <c r="AL404" s="9" t="s">
        <v>1930</v>
      </c>
      <c r="AM404" s="9">
        <v>1</v>
      </c>
      <c r="AN404" s="9">
        <v>46212</v>
      </c>
      <c r="AO404" s="9" t="s">
        <v>1931</v>
      </c>
      <c r="AP404" s="9" t="s">
        <v>69</v>
      </c>
      <c r="AQ404" s="9" t="s">
        <v>1932</v>
      </c>
      <c r="AR404" s="9">
        <v>46212</v>
      </c>
      <c r="AS404" s="9" t="s">
        <v>84</v>
      </c>
      <c r="AT404" s="9" t="s">
        <v>1935</v>
      </c>
      <c r="AU404" s="9" t="s">
        <v>2101</v>
      </c>
      <c r="AV404" s="9">
        <v>0</v>
      </c>
      <c r="AW404" s="9" t="s">
        <v>92</v>
      </c>
      <c r="AX404" s="9" t="s">
        <v>479</v>
      </c>
      <c r="AY404" s="9">
        <v>0</v>
      </c>
      <c r="AZ404" s="9"/>
      <c r="BA404" s="9"/>
      <c r="BB404" s="9">
        <v>0</v>
      </c>
      <c r="BC404" s="9">
        <v>17</v>
      </c>
      <c r="BD404" s="9">
        <v>0</v>
      </c>
      <c r="BE404" s="9" t="s">
        <v>480</v>
      </c>
      <c r="BF404" s="9" t="s">
        <v>71</v>
      </c>
      <c r="BG404" s="9"/>
      <c r="BH404" s="9">
        <v>0</v>
      </c>
      <c r="BI404" s="9"/>
      <c r="BJ404" s="9"/>
      <c r="BK404" s="9" t="s">
        <v>92</v>
      </c>
      <c r="BL404" s="9" t="s">
        <v>92</v>
      </c>
      <c r="BM404" s="9" t="s">
        <v>72</v>
      </c>
      <c r="BN404" s="9"/>
      <c r="BO404" s="9">
        <v>1</v>
      </c>
      <c r="BP404" s="9" t="s">
        <v>1264</v>
      </c>
      <c r="BQ404" s="9">
        <v>0</v>
      </c>
      <c r="BR404" s="9">
        <v>45944.639537037037</v>
      </c>
      <c r="BS404" s="9" t="s">
        <v>109</v>
      </c>
      <c r="BT404" s="9" t="s">
        <v>65</v>
      </c>
      <c r="BU404" s="9"/>
      <c r="BV404" s="9"/>
      <c r="BW404" s="9">
        <v>0</v>
      </c>
      <c r="BX404" s="9">
        <v>46209.421527777777</v>
      </c>
      <c r="BY404" s="9">
        <v>46209.421527777777</v>
      </c>
      <c r="BZ404" s="9"/>
      <c r="CA404" s="9"/>
      <c r="CB404" s="9"/>
      <c r="CC404" s="9"/>
      <c r="CD404" s="9"/>
      <c r="CE404" s="9"/>
      <c r="CF404" s="9"/>
      <c r="CG404" s="9"/>
      <c r="CH404" s="9">
        <v>1</v>
      </c>
      <c r="CI404" s="9">
        <v>0</v>
      </c>
      <c r="CJ404" s="9"/>
      <c r="CK404" s="9"/>
      <c r="CL404" s="9" t="s">
        <v>2077</v>
      </c>
      <c r="CM404" s="9"/>
      <c r="CN404" s="9">
        <v>0</v>
      </c>
      <c r="CO404" s="9" t="s">
        <v>1925</v>
      </c>
      <c r="CP404" s="9" t="s">
        <v>2080</v>
      </c>
      <c r="CQ404" s="9">
        <v>0</v>
      </c>
    </row>
    <row r="405" spans="1:95" x14ac:dyDescent="0.35">
      <c r="A405" s="9" t="b">
        <f>ISNUMBER(MATCH(Claude[[#This Row],[Id]],ChargentOrders[Id],0))</f>
        <v>1</v>
      </c>
      <c r="B405" t="b">
        <f>INDEX(ChargentOrders[VALIDO],MATCH(Claude[[#This Row],[Id]],ChargentOrders[Id],0))</f>
        <v>1</v>
      </c>
      <c r="C405">
        <f>INDEX(Contract[CB_Subscription__c],MATCH(Claude[[#This Row],[Contract__c]],Contract[Id],0))</f>
        <v>0</v>
      </c>
      <c r="D405" s="9" t="s">
        <v>1265</v>
      </c>
      <c r="E405" s="9" t="s">
        <v>155</v>
      </c>
      <c r="F405" s="9">
        <v>0</v>
      </c>
      <c r="G405" s="9" t="s">
        <v>1266</v>
      </c>
      <c r="H405" s="9">
        <v>46171.417349537034</v>
      </c>
      <c r="I405" s="9" t="s">
        <v>65</v>
      </c>
      <c r="J405" s="9">
        <v>46217.738564814812</v>
      </c>
      <c r="K405" s="9" t="s">
        <v>78</v>
      </c>
      <c r="L405" s="9">
        <v>46217.738564814812</v>
      </c>
      <c r="M405" s="9"/>
      <c r="N405" s="9" t="s">
        <v>1664</v>
      </c>
      <c r="O405" s="9" t="s">
        <v>2081</v>
      </c>
      <c r="P405" s="9" t="s">
        <v>2082</v>
      </c>
      <c r="Q405" s="9" t="s">
        <v>2015</v>
      </c>
      <c r="R405" s="9" t="s">
        <v>1662</v>
      </c>
      <c r="S405" s="9" t="s">
        <v>2083</v>
      </c>
      <c r="T405" s="9" t="s">
        <v>2084</v>
      </c>
      <c r="U405" s="9" t="s">
        <v>2085</v>
      </c>
      <c r="V405" s="9">
        <v>17042</v>
      </c>
      <c r="W405" s="9">
        <v>10</v>
      </c>
      <c r="X405" s="9">
        <v>2030</v>
      </c>
      <c r="Y405" s="9">
        <v>3323</v>
      </c>
      <c r="Z405" s="9">
        <v>10</v>
      </c>
      <c r="AA405" s="9"/>
      <c r="AB405" s="9" t="s">
        <v>73</v>
      </c>
      <c r="AC405" s="9">
        <v>2030</v>
      </c>
      <c r="AD405" s="9" t="s">
        <v>2101</v>
      </c>
      <c r="AE405" s="9"/>
      <c r="AF405" s="9" t="s">
        <v>1929</v>
      </c>
      <c r="AG405" s="9"/>
      <c r="AH405" s="9" t="s">
        <v>107</v>
      </c>
      <c r="AI405" s="9">
        <v>0</v>
      </c>
      <c r="AJ405" s="9"/>
      <c r="AK405" s="9">
        <v>0</v>
      </c>
      <c r="AL405" s="9" t="s">
        <v>1930</v>
      </c>
      <c r="AM405" s="9">
        <v>1</v>
      </c>
      <c r="AN405" s="9">
        <v>46212</v>
      </c>
      <c r="AO405" s="9" t="s">
        <v>1931</v>
      </c>
      <c r="AP405" s="9" t="s">
        <v>69</v>
      </c>
      <c r="AQ405" s="9" t="s">
        <v>1932</v>
      </c>
      <c r="AR405" s="9">
        <v>46212</v>
      </c>
      <c r="AS405" s="9" t="s">
        <v>84</v>
      </c>
      <c r="AT405" s="9" t="s">
        <v>1935</v>
      </c>
      <c r="AU405" s="9" t="s">
        <v>2101</v>
      </c>
      <c r="AV405" s="9">
        <v>0</v>
      </c>
      <c r="AW405" s="9" t="s">
        <v>92</v>
      </c>
      <c r="AX405" s="9" t="s">
        <v>489</v>
      </c>
      <c r="AY405" s="9">
        <v>0</v>
      </c>
      <c r="AZ405" s="9"/>
      <c r="BA405" s="9"/>
      <c r="BB405" s="9">
        <v>0</v>
      </c>
      <c r="BC405" s="9">
        <v>16</v>
      </c>
      <c r="BD405" s="9">
        <v>0</v>
      </c>
      <c r="BE405" s="9" t="s">
        <v>490</v>
      </c>
      <c r="BF405" s="9" t="s">
        <v>71</v>
      </c>
      <c r="BG405" s="9"/>
      <c r="BH405" s="9">
        <v>0</v>
      </c>
      <c r="BI405" s="9"/>
      <c r="BJ405" s="9"/>
      <c r="BK405" s="9" t="s">
        <v>92</v>
      </c>
      <c r="BL405" s="9" t="s">
        <v>92</v>
      </c>
      <c r="BM405" s="9" t="s">
        <v>72</v>
      </c>
      <c r="BN405" s="9"/>
      <c r="BO405" s="9">
        <v>1</v>
      </c>
      <c r="BP405" s="9" t="s">
        <v>1267</v>
      </c>
      <c r="BQ405" s="9">
        <v>0</v>
      </c>
      <c r="BR405" s="9">
        <v>45961.424942129626</v>
      </c>
      <c r="BS405" s="9" t="s">
        <v>109</v>
      </c>
      <c r="BT405" s="9" t="s">
        <v>65</v>
      </c>
      <c r="BU405" s="9"/>
      <c r="BV405" s="9"/>
      <c r="BW405" s="9">
        <v>0</v>
      </c>
      <c r="BX405" s="9"/>
      <c r="BY405" s="9">
        <v>46209.4215625</v>
      </c>
      <c r="BZ405" s="9"/>
      <c r="CA405" s="9"/>
      <c r="CB405" s="9"/>
      <c r="CC405" s="9"/>
      <c r="CD405" s="9"/>
      <c r="CE405" s="9"/>
      <c r="CF405" s="9"/>
      <c r="CG405" s="9"/>
      <c r="CH405" s="9">
        <v>1</v>
      </c>
      <c r="CI405" s="9">
        <v>0</v>
      </c>
      <c r="CJ405" s="9"/>
      <c r="CK405" s="9"/>
      <c r="CL405" s="9" t="s">
        <v>2086</v>
      </c>
      <c r="CM405" s="9"/>
      <c r="CN405" s="9">
        <v>0</v>
      </c>
      <c r="CO405" s="9" t="s">
        <v>1925</v>
      </c>
      <c r="CP405" s="9" t="s">
        <v>2089</v>
      </c>
      <c r="CQ405" s="9">
        <v>0</v>
      </c>
    </row>
    <row r="406" spans="1:95" x14ac:dyDescent="0.35">
      <c r="A406" s="9" t="b">
        <f>ISNUMBER(MATCH(Claude[[#This Row],[Id]],ChargentOrders[Id],0))</f>
        <v>1</v>
      </c>
      <c r="B406" t="b">
        <f>INDEX(ChargentOrders[VALIDO],MATCH(Claude[[#This Row],[Id]],ChargentOrders[Id],0))</f>
        <v>1</v>
      </c>
      <c r="C406">
        <f>INDEX(Contract[CB_Subscription__c],MATCH(Claude[[#This Row],[Contract__c]],Contract[Id],0))</f>
        <v>0</v>
      </c>
      <c r="D406" s="9" t="s">
        <v>1268</v>
      </c>
      <c r="E406" s="9" t="s">
        <v>81</v>
      </c>
      <c r="F406" s="9">
        <v>0</v>
      </c>
      <c r="G406" s="9" t="s">
        <v>1269</v>
      </c>
      <c r="H406" s="9">
        <v>46171.417511574073</v>
      </c>
      <c r="I406" s="9" t="s">
        <v>65</v>
      </c>
      <c r="J406" s="9">
        <v>46217.738564814812</v>
      </c>
      <c r="K406" s="9" t="s">
        <v>78</v>
      </c>
      <c r="L406" s="9">
        <v>46217.738564814812</v>
      </c>
      <c r="M406" s="9"/>
      <c r="N406" s="9" t="s">
        <v>1669</v>
      </c>
      <c r="O406" s="9" t="s">
        <v>2090</v>
      </c>
      <c r="P406" s="9" t="s">
        <v>2027</v>
      </c>
      <c r="Q406" s="9" t="s">
        <v>1925</v>
      </c>
      <c r="R406" s="9" t="s">
        <v>1667</v>
      </c>
      <c r="S406" s="9" t="s">
        <v>2091</v>
      </c>
      <c r="T406" s="9" t="s">
        <v>2092</v>
      </c>
      <c r="U406" s="9" t="s">
        <v>1928</v>
      </c>
      <c r="V406" s="9">
        <v>603</v>
      </c>
      <c r="W406" s="9">
        <v>10</v>
      </c>
      <c r="X406" s="9">
        <v>2029</v>
      </c>
      <c r="Y406" s="9">
        <v>1120</v>
      </c>
      <c r="Z406" s="9">
        <v>10</v>
      </c>
      <c r="AA406" s="9">
        <v>4549518508501120</v>
      </c>
      <c r="AB406" s="9" t="s">
        <v>73</v>
      </c>
      <c r="AC406" s="9">
        <v>2029</v>
      </c>
      <c r="AD406" s="9" t="s">
        <v>2101</v>
      </c>
      <c r="AE406" s="9"/>
      <c r="AF406" s="9" t="s">
        <v>1929</v>
      </c>
      <c r="AG406" s="9"/>
      <c r="AH406" s="9" t="s">
        <v>67</v>
      </c>
      <c r="AI406" s="9">
        <v>0</v>
      </c>
      <c r="AJ406" s="9"/>
      <c r="AK406" s="9">
        <v>0</v>
      </c>
      <c r="AL406" s="9" t="s">
        <v>1930</v>
      </c>
      <c r="AM406" s="9">
        <v>1</v>
      </c>
      <c r="AN406" s="9">
        <v>46212</v>
      </c>
      <c r="AO406" s="9" t="s">
        <v>1931</v>
      </c>
      <c r="AP406" s="9" t="s">
        <v>69</v>
      </c>
      <c r="AQ406" s="9" t="s">
        <v>1932</v>
      </c>
      <c r="AR406" s="9">
        <v>46212</v>
      </c>
      <c r="AS406" s="9" t="s">
        <v>84</v>
      </c>
      <c r="AT406" s="9" t="s">
        <v>1935</v>
      </c>
      <c r="AU406" s="9" t="s">
        <v>2101</v>
      </c>
      <c r="AV406" s="9">
        <v>0</v>
      </c>
      <c r="AW406" s="9" t="s">
        <v>92</v>
      </c>
      <c r="AX406" s="9" t="s">
        <v>515</v>
      </c>
      <c r="AY406" s="9">
        <v>0</v>
      </c>
      <c r="AZ406" s="9"/>
      <c r="BA406" s="9"/>
      <c r="BB406" s="9">
        <v>0</v>
      </c>
      <c r="BC406" s="9">
        <v>16</v>
      </c>
      <c r="BD406" s="9">
        <v>0</v>
      </c>
      <c r="BE406" s="9" t="s">
        <v>516</v>
      </c>
      <c r="BF406" s="9" t="s">
        <v>71</v>
      </c>
      <c r="BG406" s="9"/>
      <c r="BH406" s="9">
        <v>0</v>
      </c>
      <c r="BI406" s="9"/>
      <c r="BJ406" s="9"/>
      <c r="BK406" s="9" t="s">
        <v>92</v>
      </c>
      <c r="BL406" s="9" t="s">
        <v>92</v>
      </c>
      <c r="BM406" s="9" t="s">
        <v>72</v>
      </c>
      <c r="BN406" s="9"/>
      <c r="BO406" s="9">
        <v>1</v>
      </c>
      <c r="BP406" s="9" t="s">
        <v>1270</v>
      </c>
      <c r="BQ406" s="9">
        <v>0</v>
      </c>
      <c r="BR406" s="9">
        <v>45982.878946759258</v>
      </c>
      <c r="BS406" s="9" t="s">
        <v>109</v>
      </c>
      <c r="BT406" s="9" t="s">
        <v>65</v>
      </c>
      <c r="BU406" s="9"/>
      <c r="BV406" s="9"/>
      <c r="BW406" s="9">
        <v>0</v>
      </c>
      <c r="BX406" s="9">
        <v>46209.421585648146</v>
      </c>
      <c r="BY406" s="9">
        <v>46209.421585648146</v>
      </c>
      <c r="BZ406" s="9"/>
      <c r="CA406" s="9"/>
      <c r="CB406" s="9"/>
      <c r="CC406" s="9"/>
      <c r="CD406" s="9"/>
      <c r="CE406" s="9"/>
      <c r="CF406" s="9"/>
      <c r="CG406" s="9"/>
      <c r="CH406" s="9">
        <v>1</v>
      </c>
      <c r="CI406" s="9">
        <v>0</v>
      </c>
      <c r="CJ406" s="9"/>
      <c r="CK406" s="9"/>
      <c r="CL406" s="9" t="s">
        <v>2093</v>
      </c>
      <c r="CM406" s="9"/>
      <c r="CN406" s="9">
        <v>0</v>
      </c>
      <c r="CO406" s="9" t="s">
        <v>1925</v>
      </c>
      <c r="CP406" s="9" t="s">
        <v>2100</v>
      </c>
      <c r="CQ406" s="9">
        <v>0</v>
      </c>
    </row>
    <row r="407" spans="1:95" x14ac:dyDescent="0.35">
      <c r="A407" s="9" t="b">
        <f>ISNUMBER(MATCH(Claude[[#This Row],[Id]],ChargentOrders[Id],0))</f>
        <v>1</v>
      </c>
      <c r="B407" t="b">
        <f>INDEX(ChargentOrders[VALIDO],MATCH(Claude[[#This Row],[Id]],ChargentOrders[Id],0))</f>
        <v>1</v>
      </c>
      <c r="C407">
        <f>INDEX(Contract[CB_Subscription__c],MATCH(Claude[[#This Row],[Contract__c]],Contract[Id],0))</f>
        <v>0</v>
      </c>
      <c r="D407" s="9" t="s">
        <v>1271</v>
      </c>
      <c r="E407" s="9" t="s">
        <v>79</v>
      </c>
      <c r="F407" s="9">
        <v>0</v>
      </c>
      <c r="G407" s="9" t="s">
        <v>1272</v>
      </c>
      <c r="H407" s="9">
        <v>46171.418368055558</v>
      </c>
      <c r="I407" s="9" t="s">
        <v>65</v>
      </c>
      <c r="J407" s="9">
        <v>46217.738564814812</v>
      </c>
      <c r="K407" s="9" t="s">
        <v>78</v>
      </c>
      <c r="L407" s="9">
        <v>46217.738564814812</v>
      </c>
      <c r="M407" s="9"/>
      <c r="N407" s="9" t="s">
        <v>1708</v>
      </c>
      <c r="O407" s="9" t="s">
        <v>2132</v>
      </c>
      <c r="P407" s="9" t="s">
        <v>2066</v>
      </c>
      <c r="Q407" s="9" t="s">
        <v>1925</v>
      </c>
      <c r="R407" s="9" t="s">
        <v>1706</v>
      </c>
      <c r="S407" s="9" t="s">
        <v>2133</v>
      </c>
      <c r="T407" s="9" t="s">
        <v>2134</v>
      </c>
      <c r="U407" s="9" t="s">
        <v>1928</v>
      </c>
      <c r="V407" s="9">
        <v>956</v>
      </c>
      <c r="W407" s="9">
        <v>10</v>
      </c>
      <c r="X407" s="9">
        <v>2030</v>
      </c>
      <c r="Y407" s="9">
        <v>2772</v>
      </c>
      <c r="Z407" s="9">
        <v>10</v>
      </c>
      <c r="AA407" s="9">
        <v>4549519496022770</v>
      </c>
      <c r="AB407" s="9" t="s">
        <v>73</v>
      </c>
      <c r="AC407" s="9">
        <v>2030</v>
      </c>
      <c r="AD407" s="9" t="s">
        <v>1952</v>
      </c>
      <c r="AE407" s="9"/>
      <c r="AF407" s="9" t="s">
        <v>1929</v>
      </c>
      <c r="AG407" s="9"/>
      <c r="AH407" s="9" t="s">
        <v>67</v>
      </c>
      <c r="AI407" s="9">
        <v>0</v>
      </c>
      <c r="AJ407" s="9"/>
      <c r="AK407" s="9">
        <v>0</v>
      </c>
      <c r="AL407" s="9" t="s">
        <v>1930</v>
      </c>
      <c r="AM407" s="9">
        <v>1</v>
      </c>
      <c r="AN407" s="9">
        <v>46212</v>
      </c>
      <c r="AO407" s="9" t="s">
        <v>1931</v>
      </c>
      <c r="AP407" s="9" t="s">
        <v>69</v>
      </c>
      <c r="AQ407" s="9" t="s">
        <v>1932</v>
      </c>
      <c r="AR407" s="9">
        <v>46212</v>
      </c>
      <c r="AS407" s="9" t="s">
        <v>84</v>
      </c>
      <c r="AT407" s="9" t="s">
        <v>1935</v>
      </c>
      <c r="AU407" s="9" t="s">
        <v>1952</v>
      </c>
      <c r="AV407" s="9">
        <v>0</v>
      </c>
      <c r="AW407" s="9" t="s">
        <v>92</v>
      </c>
      <c r="AX407" s="9" t="s">
        <v>616</v>
      </c>
      <c r="AY407" s="9">
        <v>0</v>
      </c>
      <c r="AZ407" s="9"/>
      <c r="BA407" s="9"/>
      <c r="BB407" s="9">
        <v>0</v>
      </c>
      <c r="BC407" s="9">
        <v>16</v>
      </c>
      <c r="BD407" s="9">
        <v>0</v>
      </c>
      <c r="BE407" s="9" t="s">
        <v>617</v>
      </c>
      <c r="BF407" s="9" t="s">
        <v>71</v>
      </c>
      <c r="BG407" s="9"/>
      <c r="BH407" s="9">
        <v>0</v>
      </c>
      <c r="BI407" s="9"/>
      <c r="BJ407" s="9"/>
      <c r="BK407" s="9" t="s">
        <v>92</v>
      </c>
      <c r="BL407" s="9" t="s">
        <v>92</v>
      </c>
      <c r="BM407" s="9" t="s">
        <v>72</v>
      </c>
      <c r="BN407" s="9"/>
      <c r="BO407" s="9">
        <v>1</v>
      </c>
      <c r="BP407" s="9" t="s">
        <v>1273</v>
      </c>
      <c r="BQ407" s="9">
        <v>0</v>
      </c>
      <c r="BR407" s="9">
        <v>46031.426122685189</v>
      </c>
      <c r="BS407" s="9" t="s">
        <v>109</v>
      </c>
      <c r="BT407" s="9" t="s">
        <v>65</v>
      </c>
      <c r="BU407" s="9"/>
      <c r="BV407" s="9"/>
      <c r="BW407" s="9">
        <v>0</v>
      </c>
      <c r="BX407" s="9">
        <v>46209.421666666669</v>
      </c>
      <c r="BY407" s="9">
        <v>46209.421666666669</v>
      </c>
      <c r="BZ407" s="9"/>
      <c r="CA407" s="9"/>
      <c r="CB407" s="9"/>
      <c r="CC407" s="9"/>
      <c r="CD407" s="9"/>
      <c r="CE407" s="9"/>
      <c r="CF407" s="9"/>
      <c r="CG407" s="9"/>
      <c r="CH407" s="9">
        <v>1</v>
      </c>
      <c r="CI407" s="9">
        <v>0</v>
      </c>
      <c r="CJ407" s="9"/>
      <c r="CK407" s="9"/>
      <c r="CL407" s="9" t="s">
        <v>2135</v>
      </c>
      <c r="CM407" s="9"/>
      <c r="CN407" s="9">
        <v>0</v>
      </c>
      <c r="CO407" s="9" t="s">
        <v>1925</v>
      </c>
      <c r="CP407" s="9" t="s">
        <v>2184</v>
      </c>
      <c r="CQ407" s="9">
        <v>0</v>
      </c>
    </row>
    <row r="408" spans="1:95" x14ac:dyDescent="0.35">
      <c r="A408" s="9" t="b">
        <f>ISNUMBER(MATCH(Claude[[#This Row],[Id]],ChargentOrders[Id],0))</f>
        <v>1</v>
      </c>
      <c r="B408" t="b">
        <f>INDEX(ChargentOrders[VALIDO],MATCH(Claude[[#This Row],[Id]],ChargentOrders[Id],0))</f>
        <v>1</v>
      </c>
      <c r="C408">
        <f>INDEX(Contract[CB_Subscription__c],MATCH(Claude[[#This Row],[Contract__c]],Contract[Id],0))</f>
        <v>0</v>
      </c>
      <c r="D408" s="9" t="s">
        <v>1274</v>
      </c>
      <c r="E408" s="9" t="s">
        <v>610</v>
      </c>
      <c r="F408" s="9">
        <v>0</v>
      </c>
      <c r="G408" s="9" t="s">
        <v>1275</v>
      </c>
      <c r="H408" s="9">
        <v>46171.42</v>
      </c>
      <c r="I408" s="9" t="s">
        <v>65</v>
      </c>
      <c r="J408" s="9">
        <v>46185.422685185185</v>
      </c>
      <c r="K408" s="9" t="s">
        <v>65</v>
      </c>
      <c r="L408" s="9">
        <v>46185.422685185185</v>
      </c>
      <c r="M408" s="9"/>
      <c r="N408" s="9" t="s">
        <v>1803</v>
      </c>
      <c r="O408" s="9" t="s">
        <v>2243</v>
      </c>
      <c r="P408" s="9" t="s">
        <v>2053</v>
      </c>
      <c r="Q408" s="9" t="s">
        <v>1925</v>
      </c>
      <c r="R408" s="9" t="s">
        <v>1801</v>
      </c>
      <c r="S408" s="9" t="s">
        <v>2244</v>
      </c>
      <c r="T408" s="9" t="s">
        <v>2245</v>
      </c>
      <c r="U408" s="9" t="s">
        <v>1928</v>
      </c>
      <c r="V408" s="9">
        <v>738</v>
      </c>
      <c r="W408" s="9">
        <v>9</v>
      </c>
      <c r="X408" s="9">
        <v>2029</v>
      </c>
      <c r="Y408" s="9">
        <v>6088</v>
      </c>
      <c r="Z408" s="9">
        <v>9</v>
      </c>
      <c r="AA408" s="9">
        <v>6088</v>
      </c>
      <c r="AB408" s="9" t="s">
        <v>66</v>
      </c>
      <c r="AC408" s="9">
        <v>2029</v>
      </c>
      <c r="AD408" s="9" t="s">
        <v>449</v>
      </c>
      <c r="AE408" s="9"/>
      <c r="AF408" s="9" t="s">
        <v>1929</v>
      </c>
      <c r="AG408" s="9"/>
      <c r="AH408" s="9" t="s">
        <v>67</v>
      </c>
      <c r="AI408" s="9">
        <v>0</v>
      </c>
      <c r="AJ408" s="9"/>
      <c r="AK408" s="9">
        <v>0</v>
      </c>
      <c r="AL408" s="9" t="s">
        <v>1930</v>
      </c>
      <c r="AM408" s="9">
        <v>1</v>
      </c>
      <c r="AN408" s="9">
        <v>46185</v>
      </c>
      <c r="AO408" s="9" t="s">
        <v>1931</v>
      </c>
      <c r="AP408" s="9" t="s">
        <v>69</v>
      </c>
      <c r="AQ408" s="9" t="s">
        <v>1932</v>
      </c>
      <c r="AR408" s="9">
        <v>46185</v>
      </c>
      <c r="AS408" s="9" t="s">
        <v>74</v>
      </c>
      <c r="AT408" s="9" t="s">
        <v>1935</v>
      </c>
      <c r="AU408" s="9" t="s">
        <v>449</v>
      </c>
      <c r="AV408" s="9">
        <v>0</v>
      </c>
      <c r="AW408" s="9" t="s">
        <v>92</v>
      </c>
      <c r="AX408" s="9" t="s">
        <v>849</v>
      </c>
      <c r="AY408" s="9">
        <v>0</v>
      </c>
      <c r="AZ408" s="9">
        <v>46185.422638888886</v>
      </c>
      <c r="BA408" s="9">
        <v>46185.422650462962</v>
      </c>
      <c r="BB408" s="9">
        <v>1</v>
      </c>
      <c r="BC408" s="9">
        <v>6</v>
      </c>
      <c r="BD408" s="9" t="s">
        <v>2220</v>
      </c>
      <c r="BE408" s="9" t="s">
        <v>846</v>
      </c>
      <c r="BF408" s="9" t="s">
        <v>71</v>
      </c>
      <c r="BG408" s="9"/>
      <c r="BH408" s="9">
        <v>0</v>
      </c>
      <c r="BI408" s="9"/>
      <c r="BJ408" s="9">
        <v>0</v>
      </c>
      <c r="BK408" s="9" t="s">
        <v>92</v>
      </c>
      <c r="BL408" s="9" t="s">
        <v>92</v>
      </c>
      <c r="BM408" s="9" t="s">
        <v>72</v>
      </c>
      <c r="BN408" s="9"/>
      <c r="BO408" s="9">
        <v>1</v>
      </c>
      <c r="BP408" s="9" t="s">
        <v>1276</v>
      </c>
      <c r="BQ408" s="9">
        <v>0</v>
      </c>
      <c r="BR408" s="9">
        <v>46069.42460648148</v>
      </c>
      <c r="BS408" s="9" t="s">
        <v>109</v>
      </c>
      <c r="BT408" s="9" t="s">
        <v>65</v>
      </c>
      <c r="BU408" s="9"/>
      <c r="BV408" s="9"/>
      <c r="BW408" s="9">
        <v>0</v>
      </c>
      <c r="BX408" s="9">
        <v>46184.422291666669</v>
      </c>
      <c r="BY408" s="9">
        <v>46185.422638888886</v>
      </c>
      <c r="BZ408" s="9"/>
      <c r="CA408" s="9"/>
      <c r="CB408" s="9"/>
      <c r="CC408" s="9"/>
      <c r="CD408" s="9"/>
      <c r="CE408" s="9"/>
      <c r="CF408" s="9"/>
      <c r="CG408" s="9"/>
      <c r="CH408" s="9">
        <v>1</v>
      </c>
      <c r="CI408" s="9">
        <v>0</v>
      </c>
      <c r="CJ408" s="9"/>
      <c r="CK408" s="9"/>
      <c r="CL408" s="9" t="s">
        <v>2246</v>
      </c>
      <c r="CM408" s="9"/>
      <c r="CN408" s="9">
        <v>0</v>
      </c>
      <c r="CO408" s="9" t="s">
        <v>1925</v>
      </c>
      <c r="CP408" s="9" t="s">
        <v>2263</v>
      </c>
      <c r="CQ408" s="9">
        <v>0</v>
      </c>
    </row>
    <row r="409" spans="1:95" x14ac:dyDescent="0.35">
      <c r="A409" s="9" t="b">
        <f>ISNUMBER(MATCH(Claude[[#This Row],[Id]],ChargentOrders[Id],0))</f>
        <v>1</v>
      </c>
      <c r="B409" t="b">
        <f>INDEX(ChargentOrders[VALIDO],MATCH(Claude[[#This Row],[Id]],ChargentOrders[Id],0))</f>
        <v>1</v>
      </c>
      <c r="C409">
        <f>INDEX(Contract[CB_Subscription__c],MATCH(Claude[[#This Row],[Contract__c]],Contract[Id],0))</f>
        <v>0</v>
      </c>
      <c r="D409" s="9" t="s">
        <v>1277</v>
      </c>
      <c r="E409" s="9" t="s">
        <v>155</v>
      </c>
      <c r="F409" s="9">
        <v>0</v>
      </c>
      <c r="G409" s="9" t="s">
        <v>1278</v>
      </c>
      <c r="H409" s="9">
        <v>46171.425532407404</v>
      </c>
      <c r="I409" s="9" t="s">
        <v>65</v>
      </c>
      <c r="J409" s="9">
        <v>46217.738564814812</v>
      </c>
      <c r="K409" s="9" t="s">
        <v>78</v>
      </c>
      <c r="L409" s="9">
        <v>46217.738564814812</v>
      </c>
      <c r="M409" s="9"/>
      <c r="N409" s="9" t="s">
        <v>1828</v>
      </c>
      <c r="O409" s="9" t="s">
        <v>2272</v>
      </c>
      <c r="P409" s="9" t="s">
        <v>2273</v>
      </c>
      <c r="Q409" s="9" t="s">
        <v>1925</v>
      </c>
      <c r="R409" s="9" t="s">
        <v>1826</v>
      </c>
      <c r="S409" s="9" t="s">
        <v>2274</v>
      </c>
      <c r="T409" s="9" t="s">
        <v>2275</v>
      </c>
      <c r="U409" s="9" t="s">
        <v>1928</v>
      </c>
      <c r="V409" s="9" t="s">
        <v>2276</v>
      </c>
      <c r="W409" s="9">
        <v>2</v>
      </c>
      <c r="X409" s="9">
        <v>2030</v>
      </c>
      <c r="Y409" s="9">
        <v>5247</v>
      </c>
      <c r="Z409" s="9">
        <v>2</v>
      </c>
      <c r="AA409" s="9">
        <v>4549518632905240</v>
      </c>
      <c r="AB409" s="9" t="s">
        <v>73</v>
      </c>
      <c r="AC409" s="9">
        <v>2030</v>
      </c>
      <c r="AD409" s="9" t="s">
        <v>374</v>
      </c>
      <c r="AE409" s="9">
        <v>29</v>
      </c>
      <c r="AF409" s="9" t="s">
        <v>1929</v>
      </c>
      <c r="AG409" s="9"/>
      <c r="AH409" s="9" t="s">
        <v>67</v>
      </c>
      <c r="AI409" s="9">
        <v>0</v>
      </c>
      <c r="AJ409" s="9"/>
      <c r="AK409" s="9">
        <v>0</v>
      </c>
      <c r="AL409" s="9" t="s">
        <v>1930</v>
      </c>
      <c r="AM409" s="9"/>
      <c r="AN409" s="9"/>
      <c r="AO409" s="9" t="s">
        <v>1943</v>
      </c>
      <c r="AP409" s="9" t="s">
        <v>69</v>
      </c>
      <c r="AQ409" s="9" t="s">
        <v>1932</v>
      </c>
      <c r="AR409" s="9">
        <v>46232</v>
      </c>
      <c r="AS409" s="9" t="s">
        <v>84</v>
      </c>
      <c r="AT409" s="9" t="s">
        <v>1944</v>
      </c>
      <c r="AU409" s="9" t="s">
        <v>374</v>
      </c>
      <c r="AV409" s="9">
        <v>0</v>
      </c>
      <c r="AW409" s="9" t="s">
        <v>92</v>
      </c>
      <c r="AX409" s="9" t="s">
        <v>1176</v>
      </c>
      <c r="AY409" s="9">
        <v>0</v>
      </c>
      <c r="AZ409" s="9"/>
      <c r="BA409" s="9"/>
      <c r="BB409" s="9">
        <v>0</v>
      </c>
      <c r="BC409" s="9">
        <v>1</v>
      </c>
      <c r="BD409" s="9">
        <v>0</v>
      </c>
      <c r="BE409" s="9" t="s">
        <v>1177</v>
      </c>
      <c r="BF409" s="9" t="s">
        <v>76</v>
      </c>
      <c r="BG409" s="9"/>
      <c r="BH409" s="9">
        <v>0</v>
      </c>
      <c r="BI409" s="9"/>
      <c r="BJ409" s="9">
        <v>2</v>
      </c>
      <c r="BK409" s="9" t="s">
        <v>92</v>
      </c>
      <c r="BL409" s="9" t="s">
        <v>92</v>
      </c>
      <c r="BM409" s="9" t="s">
        <v>75</v>
      </c>
      <c r="BN409" s="9"/>
      <c r="BO409" s="9">
        <v>0</v>
      </c>
      <c r="BP409" s="9"/>
      <c r="BQ409" s="9">
        <v>0</v>
      </c>
      <c r="BR409" s="9"/>
      <c r="BS409" s="9"/>
      <c r="BT409" s="9"/>
      <c r="BU409" s="9"/>
      <c r="BV409" s="9"/>
      <c r="BW409" s="9">
        <v>0</v>
      </c>
      <c r="BX409" s="9">
        <v>46202.422199074077</v>
      </c>
      <c r="BY409" s="9">
        <v>46202.422199074077</v>
      </c>
      <c r="BZ409" s="9"/>
      <c r="CA409" s="9"/>
      <c r="CB409" s="9"/>
      <c r="CC409" s="9"/>
      <c r="CD409" s="9"/>
      <c r="CE409" s="9"/>
      <c r="CF409" s="9"/>
      <c r="CG409" s="9"/>
      <c r="CH409" s="9">
        <v>1</v>
      </c>
      <c r="CI409" s="9">
        <v>0</v>
      </c>
      <c r="CJ409" s="9"/>
      <c r="CK409" s="9"/>
      <c r="CL409" s="9" t="s">
        <v>2277</v>
      </c>
      <c r="CM409" s="9"/>
      <c r="CN409" s="9">
        <v>0</v>
      </c>
      <c r="CO409" s="9" t="s">
        <v>1925</v>
      </c>
      <c r="CP409" s="9"/>
      <c r="CQ409" s="9">
        <v>0</v>
      </c>
    </row>
    <row r="410" spans="1:95" x14ac:dyDescent="0.35">
      <c r="A410" s="9" t="b">
        <f>ISNUMBER(MATCH(Claude[[#This Row],[Id]],ChargentOrders[Id],0))</f>
        <v>1</v>
      </c>
      <c r="B410" t="b">
        <f>INDEX(ChargentOrders[VALIDO],MATCH(Claude[[#This Row],[Id]],ChargentOrders[Id],0))</f>
        <v>1</v>
      </c>
      <c r="C410">
        <f>INDEX(Contract[CB_Subscription__c],MATCH(Claude[[#This Row],[Contract__c]],Contract[Id],0))</f>
        <v>0</v>
      </c>
      <c r="D410" s="9" t="s">
        <v>1279</v>
      </c>
      <c r="E410" s="9" t="s">
        <v>155</v>
      </c>
      <c r="F410" s="9">
        <v>0</v>
      </c>
      <c r="G410" s="9" t="s">
        <v>1280</v>
      </c>
      <c r="H410" s="9">
        <v>46171.425949074073</v>
      </c>
      <c r="I410" s="9" t="s">
        <v>65</v>
      </c>
      <c r="J410" s="9">
        <v>46217.738564814812</v>
      </c>
      <c r="K410" s="9" t="s">
        <v>78</v>
      </c>
      <c r="L410" s="9">
        <v>46217.738564814812</v>
      </c>
      <c r="M410" s="9"/>
      <c r="N410" s="9" t="s">
        <v>1848</v>
      </c>
      <c r="O410" s="9" t="s">
        <v>2292</v>
      </c>
      <c r="P410" s="9" t="s">
        <v>2293</v>
      </c>
      <c r="Q410" s="9" t="s">
        <v>1925</v>
      </c>
      <c r="R410" s="9" t="s">
        <v>1846</v>
      </c>
      <c r="S410" s="9" t="s">
        <v>2294</v>
      </c>
      <c r="T410" s="9" t="s">
        <v>2295</v>
      </c>
      <c r="U410" s="9" t="s">
        <v>1928</v>
      </c>
      <c r="V410" s="9">
        <v>953</v>
      </c>
      <c r="W410" s="9">
        <v>7</v>
      </c>
      <c r="X410" s="9">
        <v>2029</v>
      </c>
      <c r="Y410" s="9">
        <v>9490</v>
      </c>
      <c r="Z410" s="9">
        <v>7</v>
      </c>
      <c r="AA410" s="9">
        <v>4549518240099490</v>
      </c>
      <c r="AB410" s="9" t="s">
        <v>73</v>
      </c>
      <c r="AC410" s="9">
        <v>2029</v>
      </c>
      <c r="AD410" s="9" t="s">
        <v>374</v>
      </c>
      <c r="AE410" s="9">
        <v>29</v>
      </c>
      <c r="AF410" s="9" t="s">
        <v>1929</v>
      </c>
      <c r="AG410" s="9"/>
      <c r="AH410" s="9" t="s">
        <v>67</v>
      </c>
      <c r="AI410" s="9">
        <v>0</v>
      </c>
      <c r="AJ410" s="9"/>
      <c r="AK410" s="9">
        <v>0</v>
      </c>
      <c r="AL410" s="9" t="s">
        <v>1930</v>
      </c>
      <c r="AM410" s="9"/>
      <c r="AN410" s="9"/>
      <c r="AO410" s="9" t="s">
        <v>1943</v>
      </c>
      <c r="AP410" s="9" t="s">
        <v>69</v>
      </c>
      <c r="AQ410" s="9" t="s">
        <v>1932</v>
      </c>
      <c r="AR410" s="9">
        <v>46232</v>
      </c>
      <c r="AS410" s="9" t="s">
        <v>84</v>
      </c>
      <c r="AT410" s="9" t="s">
        <v>1944</v>
      </c>
      <c r="AU410" s="9" t="s">
        <v>374</v>
      </c>
      <c r="AV410" s="9">
        <v>0</v>
      </c>
      <c r="AW410" s="9" t="s">
        <v>92</v>
      </c>
      <c r="AX410" s="9" t="s">
        <v>1214</v>
      </c>
      <c r="AY410" s="9">
        <v>0</v>
      </c>
      <c r="AZ410" s="9"/>
      <c r="BA410" s="9"/>
      <c r="BB410" s="9">
        <v>0</v>
      </c>
      <c r="BC410" s="9">
        <v>1</v>
      </c>
      <c r="BD410" s="9">
        <v>0</v>
      </c>
      <c r="BE410" s="9" t="s">
        <v>1215</v>
      </c>
      <c r="BF410" s="9" t="s">
        <v>76</v>
      </c>
      <c r="BG410" s="9"/>
      <c r="BH410" s="9">
        <v>0</v>
      </c>
      <c r="BI410" s="9"/>
      <c r="BJ410" s="9">
        <v>2</v>
      </c>
      <c r="BK410" s="9" t="s">
        <v>92</v>
      </c>
      <c r="BL410" s="9" t="s">
        <v>92</v>
      </c>
      <c r="BM410" s="9" t="s">
        <v>75</v>
      </c>
      <c r="BN410" s="9"/>
      <c r="BO410" s="9">
        <v>0</v>
      </c>
      <c r="BP410" s="9"/>
      <c r="BQ410" s="9">
        <v>0</v>
      </c>
      <c r="BR410" s="9"/>
      <c r="BS410" s="9"/>
      <c r="BT410" s="9"/>
      <c r="BU410" s="9"/>
      <c r="BV410" s="9"/>
      <c r="BW410" s="9">
        <v>0</v>
      </c>
      <c r="BX410" s="9">
        <v>46202.422280092593</v>
      </c>
      <c r="BY410" s="9">
        <v>46202.422280092593</v>
      </c>
      <c r="BZ410" s="9"/>
      <c r="CA410" s="9"/>
      <c r="CB410" s="9"/>
      <c r="CC410" s="9"/>
      <c r="CD410" s="9"/>
      <c r="CE410" s="9"/>
      <c r="CF410" s="9"/>
      <c r="CG410" s="9"/>
      <c r="CH410" s="9">
        <v>1</v>
      </c>
      <c r="CI410" s="9">
        <v>0</v>
      </c>
      <c r="CJ410" s="9"/>
      <c r="CK410" s="9"/>
      <c r="CL410" s="9" t="s">
        <v>2296</v>
      </c>
      <c r="CM410" s="9"/>
      <c r="CN410" s="9">
        <v>0</v>
      </c>
      <c r="CO410" s="9" t="s">
        <v>1925</v>
      </c>
      <c r="CP410" s="9"/>
      <c r="CQ410" s="9">
        <v>0</v>
      </c>
    </row>
    <row r="411" spans="1:95" x14ac:dyDescent="0.35">
      <c r="A411" s="9" t="b">
        <f>ISNUMBER(MATCH(Claude[[#This Row],[Id]],ChargentOrders[Id],0))</f>
        <v>1</v>
      </c>
      <c r="B411" t="b">
        <f>INDEX(ChargentOrders[VALIDO],MATCH(Claude[[#This Row],[Id]],ChargentOrders[Id],0))</f>
        <v>1</v>
      </c>
      <c r="C411">
        <f>INDEX(Contract[CB_Subscription__c],MATCH(Claude[[#This Row],[Contract__c]],Contract[Id],0))</f>
        <v>0</v>
      </c>
      <c r="D411" s="9" t="s">
        <v>1281</v>
      </c>
      <c r="E411" s="9" t="s">
        <v>155</v>
      </c>
      <c r="F411" s="9">
        <v>0</v>
      </c>
      <c r="G411" s="9" t="s">
        <v>1282</v>
      </c>
      <c r="H411" s="9">
        <v>46171.425740740742</v>
      </c>
      <c r="I411" s="9" t="s">
        <v>65</v>
      </c>
      <c r="J411" s="9">
        <v>46171.82340277778</v>
      </c>
      <c r="K411" s="9" t="s">
        <v>89</v>
      </c>
      <c r="L411" s="9">
        <v>46171.82340277778</v>
      </c>
      <c r="M411" s="9"/>
      <c r="N411" s="9" t="s">
        <v>1833</v>
      </c>
      <c r="O411" s="9" t="s">
        <v>2278</v>
      </c>
      <c r="P411" s="9" t="s">
        <v>2279</v>
      </c>
      <c r="Q411" s="9" t="s">
        <v>1925</v>
      </c>
      <c r="R411" s="9" t="s">
        <v>1831</v>
      </c>
      <c r="S411" s="9" t="s">
        <v>2280</v>
      </c>
      <c r="T411" s="9" t="s">
        <v>2281</v>
      </c>
      <c r="U411" s="9" t="s">
        <v>1928</v>
      </c>
      <c r="V411" s="9">
        <v>623</v>
      </c>
      <c r="W411" s="9">
        <v>1</v>
      </c>
      <c r="X411" s="9">
        <v>2030</v>
      </c>
      <c r="Y411" s="9">
        <v>5241</v>
      </c>
      <c r="Z411" s="9">
        <v>1</v>
      </c>
      <c r="AA411" s="9">
        <v>5241</v>
      </c>
      <c r="AB411" s="9" t="s">
        <v>73</v>
      </c>
      <c r="AC411" s="9">
        <v>2030</v>
      </c>
      <c r="AD411" s="9" t="s">
        <v>167</v>
      </c>
      <c r="AE411" s="9"/>
      <c r="AF411" s="9" t="s">
        <v>1929</v>
      </c>
      <c r="AG411" s="9"/>
      <c r="AH411" s="9" t="s">
        <v>67</v>
      </c>
      <c r="AI411" s="9">
        <v>0</v>
      </c>
      <c r="AJ411" s="9"/>
      <c r="AK411" s="9">
        <v>0</v>
      </c>
      <c r="AL411" s="9" t="s">
        <v>1930</v>
      </c>
      <c r="AM411" s="9">
        <v>1</v>
      </c>
      <c r="AN411" s="9">
        <v>46174</v>
      </c>
      <c r="AO411" s="9" t="s">
        <v>1931</v>
      </c>
      <c r="AP411" s="9" t="s">
        <v>69</v>
      </c>
      <c r="AQ411" s="9" t="s">
        <v>1932</v>
      </c>
      <c r="AR411" s="9">
        <v>46174</v>
      </c>
      <c r="AS411" s="9" t="s">
        <v>74</v>
      </c>
      <c r="AT411" s="9" t="s">
        <v>1935</v>
      </c>
      <c r="AU411" s="9" t="s">
        <v>374</v>
      </c>
      <c r="AV411" s="9">
        <v>0</v>
      </c>
      <c r="AW411" s="9" t="s">
        <v>93</v>
      </c>
      <c r="AX411" s="9" t="s">
        <v>1283</v>
      </c>
      <c r="AY411" s="9">
        <v>0</v>
      </c>
      <c r="AZ411" s="9">
        <v>46171.823344907411</v>
      </c>
      <c r="BA411" s="9">
        <v>46171.82335648148</v>
      </c>
      <c r="BB411" s="9">
        <v>1</v>
      </c>
      <c r="BC411" s="9">
        <v>1</v>
      </c>
      <c r="BD411" s="9" t="s">
        <v>167</v>
      </c>
      <c r="BE411" s="9" t="s">
        <v>1185</v>
      </c>
      <c r="BF411" s="9" t="s">
        <v>71</v>
      </c>
      <c r="BG411" s="9"/>
      <c r="BH411" s="9">
        <v>0</v>
      </c>
      <c r="BI411" s="9"/>
      <c r="BJ411" s="9"/>
      <c r="BK411" s="9" t="s">
        <v>92</v>
      </c>
      <c r="BL411" s="9" t="s">
        <v>92</v>
      </c>
      <c r="BM411" s="9" t="s">
        <v>72</v>
      </c>
      <c r="BN411" s="9"/>
      <c r="BO411" s="9">
        <v>0</v>
      </c>
      <c r="BP411" s="9" t="s">
        <v>1284</v>
      </c>
      <c r="BQ411" s="9">
        <v>0</v>
      </c>
      <c r="BR411" s="9">
        <v>46171.785960648151</v>
      </c>
      <c r="BS411" s="9">
        <v>0</v>
      </c>
      <c r="BT411" s="9" t="s">
        <v>65</v>
      </c>
      <c r="BU411" s="9"/>
      <c r="BV411" s="9"/>
      <c r="BW411" s="9">
        <v>0</v>
      </c>
      <c r="BX411" s="9"/>
      <c r="BY411" s="9">
        <v>46171.823344907411</v>
      </c>
      <c r="BZ411" s="9"/>
      <c r="CA411" s="9"/>
      <c r="CB411" s="9"/>
      <c r="CC411" s="9"/>
      <c r="CD411" s="9"/>
      <c r="CE411" s="9"/>
      <c r="CF411" s="9"/>
      <c r="CG411" s="9"/>
      <c r="CH411" s="9">
        <v>1</v>
      </c>
      <c r="CI411" s="9">
        <v>0</v>
      </c>
      <c r="CJ411" s="9"/>
      <c r="CK411" s="9"/>
      <c r="CL411" s="9" t="s">
        <v>2282</v>
      </c>
      <c r="CM411" s="9"/>
      <c r="CN411" s="9">
        <v>0</v>
      </c>
      <c r="CO411" s="9" t="s">
        <v>1925</v>
      </c>
      <c r="CP411" s="9"/>
      <c r="CQ411" s="9">
        <v>0</v>
      </c>
    </row>
    <row r="412" spans="1:95" x14ac:dyDescent="0.35">
      <c r="A412" s="9" t="b">
        <f>ISNUMBER(MATCH(Claude[[#This Row],[Id]],ChargentOrders[Id],0))</f>
        <v>1</v>
      </c>
      <c r="B412" t="b">
        <f>INDEX(ChargentOrders[VALIDO],MATCH(Claude[[#This Row],[Id]],ChargentOrders[Id],0))</f>
        <v>1</v>
      </c>
      <c r="C412">
        <f>INDEX(Contract[CB_Subscription__c],MATCH(Claude[[#This Row],[Contract__c]],Contract[Id],0))</f>
        <v>0</v>
      </c>
      <c r="D412" s="9" t="s">
        <v>1285</v>
      </c>
      <c r="E412" s="9" t="s">
        <v>155</v>
      </c>
      <c r="F412" s="9">
        <v>0</v>
      </c>
      <c r="G412" s="9" t="s">
        <v>1286</v>
      </c>
      <c r="H412" s="9">
        <v>46171.642453703702</v>
      </c>
      <c r="I412" s="9" t="s">
        <v>155</v>
      </c>
      <c r="J412" s="9">
        <v>46171.642511574071</v>
      </c>
      <c r="K412" s="9" t="s">
        <v>155</v>
      </c>
      <c r="L412" s="9">
        <v>46171.642511574071</v>
      </c>
      <c r="M412" s="9"/>
      <c r="N412" s="9"/>
      <c r="O412" s="9" t="s">
        <v>2302</v>
      </c>
      <c r="P412" s="9" t="s">
        <v>1990</v>
      </c>
      <c r="Q412" s="9" t="s">
        <v>1925</v>
      </c>
      <c r="R412" s="9" t="s">
        <v>1856</v>
      </c>
      <c r="S412" s="9" t="s">
        <v>2303</v>
      </c>
      <c r="T412" s="9" t="s">
        <v>2304</v>
      </c>
      <c r="U412" s="9" t="s">
        <v>1928</v>
      </c>
      <c r="V412" s="9">
        <v>926</v>
      </c>
      <c r="W412" s="9">
        <v>1</v>
      </c>
      <c r="X412" s="9">
        <v>2027</v>
      </c>
      <c r="Y412" s="9">
        <v>6681</v>
      </c>
      <c r="Z412" s="9">
        <v>1</v>
      </c>
      <c r="AA412" s="9">
        <v>4232230224246680</v>
      </c>
      <c r="AB412" s="9" t="s">
        <v>73</v>
      </c>
      <c r="AC412" s="9">
        <v>2027</v>
      </c>
      <c r="AD412" s="9" t="s">
        <v>93</v>
      </c>
      <c r="AE412" s="9"/>
      <c r="AF412" s="9" t="s">
        <v>1929</v>
      </c>
      <c r="AG412" s="9"/>
      <c r="AH412" s="9" t="s">
        <v>67</v>
      </c>
      <c r="AI412" s="9">
        <v>0</v>
      </c>
      <c r="AJ412" s="9"/>
      <c r="AK412" s="9">
        <v>0</v>
      </c>
      <c r="AL412" s="9" t="s">
        <v>1930</v>
      </c>
      <c r="AM412" s="9"/>
      <c r="AN412" s="9"/>
      <c r="AO412" s="9" t="s">
        <v>1931</v>
      </c>
      <c r="AP412" s="9" t="s">
        <v>69</v>
      </c>
      <c r="AQ412" s="9" t="s">
        <v>1932</v>
      </c>
      <c r="AR412" s="9"/>
      <c r="AS412" s="9"/>
      <c r="AT412" s="9"/>
      <c r="AU412" s="9" t="s">
        <v>92</v>
      </c>
      <c r="AV412" s="9">
        <v>0</v>
      </c>
      <c r="AW412" s="9"/>
      <c r="AX412" s="9"/>
      <c r="AY412" s="9">
        <v>0</v>
      </c>
      <c r="AZ412" s="9"/>
      <c r="BA412" s="9"/>
      <c r="BB412" s="9">
        <v>0</v>
      </c>
      <c r="BC412" s="9">
        <v>1</v>
      </c>
      <c r="BD412" s="9">
        <v>0</v>
      </c>
      <c r="BE412" s="9" t="s">
        <v>1287</v>
      </c>
      <c r="BF412" s="9"/>
      <c r="BG412" s="9"/>
      <c r="BH412" s="9">
        <v>0</v>
      </c>
      <c r="BI412" s="9"/>
      <c r="BJ412" s="9">
        <v>1</v>
      </c>
      <c r="BK412" s="9"/>
      <c r="BL412" s="9"/>
      <c r="BM412" s="9" t="s">
        <v>75</v>
      </c>
      <c r="BN412" s="9"/>
      <c r="BO412" s="9">
        <v>0</v>
      </c>
      <c r="BP412" s="9"/>
      <c r="BQ412" s="9">
        <v>1</v>
      </c>
      <c r="BR412" s="9"/>
      <c r="BS412" s="9"/>
      <c r="BT412" s="9"/>
      <c r="BU412" s="9"/>
      <c r="BV412" s="9"/>
      <c r="BW412" s="9">
        <v>0</v>
      </c>
      <c r="BX412" s="9">
        <v>46171.642488425925</v>
      </c>
      <c r="BY412" s="9">
        <v>46171.642488425925</v>
      </c>
      <c r="BZ412" s="9"/>
      <c r="CA412" s="9"/>
      <c r="CB412" s="9"/>
      <c r="CC412" s="9"/>
      <c r="CD412" s="9"/>
      <c r="CE412" s="9"/>
      <c r="CF412" s="9"/>
      <c r="CG412" s="9"/>
      <c r="CH412" s="9">
        <v>1</v>
      </c>
      <c r="CI412" s="9">
        <v>0</v>
      </c>
      <c r="CJ412" s="9"/>
      <c r="CK412" s="9"/>
      <c r="CL412" s="9" t="s">
        <v>2305</v>
      </c>
      <c r="CM412" s="9"/>
      <c r="CN412" s="9">
        <v>0</v>
      </c>
      <c r="CO412" s="9" t="s">
        <v>1925</v>
      </c>
      <c r="CP412" s="9"/>
      <c r="CQ412" s="9">
        <v>0</v>
      </c>
    </row>
    <row r="413" spans="1:95" x14ac:dyDescent="0.35">
      <c r="A413" s="9" t="b">
        <f>ISNUMBER(MATCH(Claude[[#This Row],[Id]],ChargentOrders[Id],0))</f>
        <v>1</v>
      </c>
      <c r="B413" t="b">
        <f>INDEX(ChargentOrders[VALIDO],MATCH(Claude[[#This Row],[Id]],ChargentOrders[Id],0))</f>
        <v>1</v>
      </c>
      <c r="C413">
        <f>INDEX(Contract[CB_Subscription__c],MATCH(Claude[[#This Row],[Contract__c]],Contract[Id],0))</f>
        <v>0</v>
      </c>
      <c r="D413" s="9" t="s">
        <v>1288</v>
      </c>
      <c r="E413" s="9" t="s">
        <v>155</v>
      </c>
      <c r="F413" s="9">
        <v>0</v>
      </c>
      <c r="G413" s="9" t="s">
        <v>1289</v>
      </c>
      <c r="H413" s="9">
        <v>46171.642997685187</v>
      </c>
      <c r="I413" s="9" t="s">
        <v>155</v>
      </c>
      <c r="J413" s="9">
        <v>46171.643055555556</v>
      </c>
      <c r="K413" s="9" t="s">
        <v>155</v>
      </c>
      <c r="L413" s="9">
        <v>46171.643055555556</v>
      </c>
      <c r="M413" s="9"/>
      <c r="N413" s="9"/>
      <c r="O413" s="9" t="s">
        <v>2302</v>
      </c>
      <c r="P413" s="9" t="s">
        <v>1990</v>
      </c>
      <c r="Q413" s="9" t="s">
        <v>1925</v>
      </c>
      <c r="R413" s="9" t="s">
        <v>1856</v>
      </c>
      <c r="S413" s="9" t="s">
        <v>2303</v>
      </c>
      <c r="T413" s="9" t="s">
        <v>2304</v>
      </c>
      <c r="U413" s="9" t="s">
        <v>1928</v>
      </c>
      <c r="V413" s="9">
        <v>926</v>
      </c>
      <c r="W413" s="9">
        <v>1</v>
      </c>
      <c r="X413" s="9">
        <v>2027</v>
      </c>
      <c r="Y413" s="9">
        <v>6681</v>
      </c>
      <c r="Z413" s="9">
        <v>1</v>
      </c>
      <c r="AA413" s="9">
        <v>4232230224246680</v>
      </c>
      <c r="AB413" s="9" t="s">
        <v>73</v>
      </c>
      <c r="AC413" s="9">
        <v>2027</v>
      </c>
      <c r="AD413" s="9" t="s">
        <v>93</v>
      </c>
      <c r="AE413" s="9"/>
      <c r="AF413" s="9" t="s">
        <v>1929</v>
      </c>
      <c r="AG413" s="9"/>
      <c r="AH413" s="9" t="s">
        <v>67</v>
      </c>
      <c r="AI413" s="9">
        <v>0</v>
      </c>
      <c r="AJ413" s="9"/>
      <c r="AK413" s="9">
        <v>0</v>
      </c>
      <c r="AL413" s="9" t="s">
        <v>1930</v>
      </c>
      <c r="AM413" s="9"/>
      <c r="AN413" s="9"/>
      <c r="AO413" s="9" t="s">
        <v>1931</v>
      </c>
      <c r="AP413" s="9" t="s">
        <v>69</v>
      </c>
      <c r="AQ413" s="9" t="s">
        <v>1932</v>
      </c>
      <c r="AR413" s="9"/>
      <c r="AS413" s="9"/>
      <c r="AT413" s="9"/>
      <c r="AU413" s="9" t="s">
        <v>92</v>
      </c>
      <c r="AV413" s="9">
        <v>0</v>
      </c>
      <c r="AW413" s="9"/>
      <c r="AX413" s="9" t="s">
        <v>1290</v>
      </c>
      <c r="AY413" s="9">
        <v>0</v>
      </c>
      <c r="AZ413" s="9"/>
      <c r="BA413" s="9">
        <v>46171.64303240741</v>
      </c>
      <c r="BB413" s="9">
        <v>0</v>
      </c>
      <c r="BC413" s="9">
        <v>1</v>
      </c>
      <c r="BD413" s="9">
        <v>0</v>
      </c>
      <c r="BE413" s="9" t="s">
        <v>1287</v>
      </c>
      <c r="BF413" s="9"/>
      <c r="BG413" s="9"/>
      <c r="BH413" s="9">
        <v>0</v>
      </c>
      <c r="BI413" s="9"/>
      <c r="BJ413" s="9">
        <v>1</v>
      </c>
      <c r="BK413" s="9"/>
      <c r="BL413" s="9"/>
      <c r="BM413" s="9" t="s">
        <v>75</v>
      </c>
      <c r="BN413" s="9"/>
      <c r="BO413" s="9">
        <v>0</v>
      </c>
      <c r="BP413" s="9"/>
      <c r="BQ413" s="9">
        <v>1</v>
      </c>
      <c r="BR413" s="9"/>
      <c r="BS413" s="9"/>
      <c r="BT413" s="9"/>
      <c r="BU413" s="9"/>
      <c r="BV413" s="9"/>
      <c r="BW413" s="9">
        <v>0</v>
      </c>
      <c r="BX413" s="9"/>
      <c r="BY413" s="9">
        <v>46171.64303240741</v>
      </c>
      <c r="BZ413" s="9"/>
      <c r="CA413" s="9"/>
      <c r="CB413" s="9"/>
      <c r="CC413" s="9"/>
      <c r="CD413" s="9"/>
      <c r="CE413" s="9"/>
      <c r="CF413" s="9"/>
      <c r="CG413" s="9"/>
      <c r="CH413" s="9">
        <v>1</v>
      </c>
      <c r="CI413" s="9">
        <v>0</v>
      </c>
      <c r="CJ413" s="9"/>
      <c r="CK413" s="9"/>
      <c r="CL413" s="9" t="s">
        <v>2305</v>
      </c>
      <c r="CM413" s="9"/>
      <c r="CN413" s="9">
        <v>0</v>
      </c>
      <c r="CO413" s="9" t="s">
        <v>1925</v>
      </c>
      <c r="CP413" s="9"/>
      <c r="CQ413" s="9">
        <v>0</v>
      </c>
    </row>
    <row r="414" spans="1:95" x14ac:dyDescent="0.35">
      <c r="A414" s="9" t="b">
        <f>ISNUMBER(MATCH(Claude[[#This Row],[Id]],ChargentOrders[Id],0))</f>
        <v>1</v>
      </c>
      <c r="B414" t="b">
        <f>INDEX(ChargentOrders[VALIDO],MATCH(Claude[[#This Row],[Id]],ChargentOrders[Id],0))</f>
        <v>1</v>
      </c>
      <c r="C414">
        <f>INDEX(Contract[CB_Subscription__c],MATCH(Claude[[#This Row],[Contract__c]],Contract[Id],0))</f>
        <v>0</v>
      </c>
      <c r="D414" s="9" t="s">
        <v>1291</v>
      </c>
      <c r="E414" s="9" t="s">
        <v>155</v>
      </c>
      <c r="F414" s="9">
        <v>0</v>
      </c>
      <c r="G414" s="9" t="s">
        <v>1292</v>
      </c>
      <c r="H414" s="9">
        <v>46171.64371527778</v>
      </c>
      <c r="I414" s="9" t="s">
        <v>155</v>
      </c>
      <c r="J414" s="9">
        <v>46177.424641203703</v>
      </c>
      <c r="K414" s="9" t="s">
        <v>65</v>
      </c>
      <c r="L414" s="9">
        <v>46177.424641203703</v>
      </c>
      <c r="M414" s="9"/>
      <c r="N414" s="9" t="s">
        <v>1858</v>
      </c>
      <c r="O414" s="9" t="s">
        <v>2302</v>
      </c>
      <c r="P414" s="9" t="s">
        <v>1990</v>
      </c>
      <c r="Q414" s="9" t="s">
        <v>1925</v>
      </c>
      <c r="R414" s="9" t="s">
        <v>1856</v>
      </c>
      <c r="S414" s="9" t="s">
        <v>2303</v>
      </c>
      <c r="T414" s="9" t="s">
        <v>2304</v>
      </c>
      <c r="U414" s="9" t="s">
        <v>1928</v>
      </c>
      <c r="V414" s="9">
        <v>926</v>
      </c>
      <c r="W414" s="9">
        <v>1</v>
      </c>
      <c r="X414" s="9">
        <v>2027</v>
      </c>
      <c r="Y414" s="9">
        <v>6681</v>
      </c>
      <c r="Z414" s="9">
        <v>1</v>
      </c>
      <c r="AA414" s="9">
        <v>4232230224246680</v>
      </c>
      <c r="AB414" s="9" t="s">
        <v>73</v>
      </c>
      <c r="AC414" s="9">
        <v>2027</v>
      </c>
      <c r="AD414" s="9" t="s">
        <v>374</v>
      </c>
      <c r="AE414" s="9"/>
      <c r="AF414" s="9" t="s">
        <v>1929</v>
      </c>
      <c r="AG414" s="9"/>
      <c r="AH414" s="9" t="s">
        <v>67</v>
      </c>
      <c r="AI414" s="9">
        <v>0</v>
      </c>
      <c r="AJ414" s="9"/>
      <c r="AK414" s="9">
        <v>0</v>
      </c>
      <c r="AL414" s="9" t="s">
        <v>1930</v>
      </c>
      <c r="AM414" s="9">
        <v>1</v>
      </c>
      <c r="AN414" s="9">
        <v>46177</v>
      </c>
      <c r="AO414" s="9" t="s">
        <v>1931</v>
      </c>
      <c r="AP414" s="9" t="s">
        <v>69</v>
      </c>
      <c r="AQ414" s="9" t="s">
        <v>1932</v>
      </c>
      <c r="AR414" s="9">
        <v>46177</v>
      </c>
      <c r="AS414" s="9" t="s">
        <v>74</v>
      </c>
      <c r="AT414" s="9" t="s">
        <v>1935</v>
      </c>
      <c r="AU414" s="9" t="s">
        <v>374</v>
      </c>
      <c r="AV414" s="9">
        <v>0</v>
      </c>
      <c r="AW414" s="9" t="s">
        <v>92</v>
      </c>
      <c r="AX414" s="9" t="s">
        <v>1290</v>
      </c>
      <c r="AY414" s="9">
        <v>0</v>
      </c>
      <c r="AZ414" s="9"/>
      <c r="BA414" s="9"/>
      <c r="BB414" s="9">
        <v>0</v>
      </c>
      <c r="BC414" s="9">
        <v>1</v>
      </c>
      <c r="BD414" s="9">
        <v>0</v>
      </c>
      <c r="BE414" s="9" t="s">
        <v>1287</v>
      </c>
      <c r="BF414" s="9" t="s">
        <v>77</v>
      </c>
      <c r="BG414" s="9"/>
      <c r="BH414" s="9">
        <v>0</v>
      </c>
      <c r="BI414" s="9"/>
      <c r="BJ414" s="9">
        <v>1</v>
      </c>
      <c r="BK414" s="9" t="s">
        <v>92</v>
      </c>
      <c r="BL414" s="9" t="s">
        <v>92</v>
      </c>
      <c r="BM414" s="9" t="s">
        <v>75</v>
      </c>
      <c r="BN414" s="9"/>
      <c r="BO414" s="9">
        <v>0</v>
      </c>
      <c r="BP414" s="9"/>
      <c r="BQ414" s="9">
        <v>0</v>
      </c>
      <c r="BR414" s="9"/>
      <c r="BS414" s="9"/>
      <c r="BT414" s="9"/>
      <c r="BU414" s="9"/>
      <c r="BV414" s="9"/>
      <c r="BW414" s="9">
        <v>0</v>
      </c>
      <c r="BX414" s="9">
        <v>46177.424571759257</v>
      </c>
      <c r="BY414" s="9">
        <v>46177.424571759257</v>
      </c>
      <c r="BZ414" s="9"/>
      <c r="CA414" s="9"/>
      <c r="CB414" s="9"/>
      <c r="CC414" s="9"/>
      <c r="CD414" s="9"/>
      <c r="CE414" s="9"/>
      <c r="CF414" s="9"/>
      <c r="CG414" s="9"/>
      <c r="CH414" s="9">
        <v>1</v>
      </c>
      <c r="CI414" s="9">
        <v>0</v>
      </c>
      <c r="CJ414" s="9"/>
      <c r="CK414" s="9"/>
      <c r="CL414" s="9" t="s">
        <v>2305</v>
      </c>
      <c r="CM414" s="9"/>
      <c r="CN414" s="9">
        <v>0</v>
      </c>
      <c r="CO414" s="9" t="s">
        <v>1925</v>
      </c>
      <c r="CP414" s="9"/>
      <c r="CQ414" s="9">
        <v>0</v>
      </c>
    </row>
    <row r="415" spans="1:95" x14ac:dyDescent="0.35">
      <c r="A415" s="9" t="b">
        <f>ISNUMBER(MATCH(Claude[[#This Row],[Id]],ChargentOrders[Id],0))</f>
        <v>1</v>
      </c>
      <c r="B415" t="b">
        <f>INDEX(ChargentOrders[VALIDO],MATCH(Claude[[#This Row],[Id]],ChargentOrders[Id],0))</f>
        <v>1</v>
      </c>
      <c r="C415">
        <f>INDEX(Contract[CB_Subscription__c],MATCH(Claude[[#This Row],[Contract__c]],Contract[Id],0))</f>
        <v>0</v>
      </c>
      <c r="D415" s="9" t="s">
        <v>1293</v>
      </c>
      <c r="E415" s="9" t="s">
        <v>155</v>
      </c>
      <c r="F415" s="9">
        <v>0</v>
      </c>
      <c r="G415" s="9" t="s">
        <v>1294</v>
      </c>
      <c r="H415" s="9">
        <v>46171.784641203703</v>
      </c>
      <c r="I415" s="9" t="s">
        <v>155</v>
      </c>
      <c r="J415" s="9">
        <v>46171.784745370373</v>
      </c>
      <c r="K415" s="9" t="s">
        <v>155</v>
      </c>
      <c r="L415" s="9">
        <v>46171.784745370373</v>
      </c>
      <c r="M415" s="9"/>
      <c r="N415" s="9"/>
      <c r="O415" s="9" t="s">
        <v>2278</v>
      </c>
      <c r="P415" s="9" t="s">
        <v>2279</v>
      </c>
      <c r="Q415" s="9" t="s">
        <v>1925</v>
      </c>
      <c r="R415" s="9" t="s">
        <v>1831</v>
      </c>
      <c r="S415" s="9" t="s">
        <v>2280</v>
      </c>
      <c r="T415" s="9" t="s">
        <v>2281</v>
      </c>
      <c r="U415" s="9" t="s">
        <v>1928</v>
      </c>
      <c r="V415" s="9">
        <v>623</v>
      </c>
      <c r="W415" s="9">
        <v>1</v>
      </c>
      <c r="X415" s="9">
        <v>2030</v>
      </c>
      <c r="Y415" s="9">
        <v>5241</v>
      </c>
      <c r="Z415" s="9">
        <v>1</v>
      </c>
      <c r="AA415" s="9">
        <v>4031630649205240</v>
      </c>
      <c r="AB415" s="9" t="s">
        <v>73</v>
      </c>
      <c r="AC415" s="9">
        <v>2030</v>
      </c>
      <c r="AD415" s="9" t="s">
        <v>93</v>
      </c>
      <c r="AE415" s="9"/>
      <c r="AF415" s="9" t="s">
        <v>1929</v>
      </c>
      <c r="AG415" s="9"/>
      <c r="AH415" s="9" t="s">
        <v>67</v>
      </c>
      <c r="AI415" s="9">
        <v>0</v>
      </c>
      <c r="AJ415" s="9"/>
      <c r="AK415" s="9">
        <v>0</v>
      </c>
      <c r="AL415" s="9" t="s">
        <v>1930</v>
      </c>
      <c r="AM415" s="9"/>
      <c r="AN415" s="9"/>
      <c r="AO415" s="9" t="s">
        <v>1931</v>
      </c>
      <c r="AP415" s="9" t="s">
        <v>69</v>
      </c>
      <c r="AQ415" s="9" t="s">
        <v>1932</v>
      </c>
      <c r="AR415" s="9"/>
      <c r="AS415" s="9"/>
      <c r="AT415" s="9"/>
      <c r="AU415" s="9" t="s">
        <v>92</v>
      </c>
      <c r="AV415" s="9">
        <v>0</v>
      </c>
      <c r="AW415" s="9"/>
      <c r="AX415" s="9" t="s">
        <v>1283</v>
      </c>
      <c r="AY415" s="9">
        <v>0</v>
      </c>
      <c r="AZ415" s="9"/>
      <c r="BA415" s="9">
        <v>46171.784687500003</v>
      </c>
      <c r="BB415" s="9">
        <v>0</v>
      </c>
      <c r="BC415" s="9">
        <v>1</v>
      </c>
      <c r="BD415" s="9">
        <v>0</v>
      </c>
      <c r="BE415" s="9" t="s">
        <v>1185</v>
      </c>
      <c r="BF415" s="9"/>
      <c r="BG415" s="9"/>
      <c r="BH415" s="9">
        <v>0</v>
      </c>
      <c r="BI415" s="9"/>
      <c r="BJ415" s="9">
        <v>1</v>
      </c>
      <c r="BK415" s="9"/>
      <c r="BL415" s="9"/>
      <c r="BM415" s="9" t="s">
        <v>75</v>
      </c>
      <c r="BN415" s="9"/>
      <c r="BO415" s="9">
        <v>0</v>
      </c>
      <c r="BP415" s="9"/>
      <c r="BQ415" s="9">
        <v>1</v>
      </c>
      <c r="BR415" s="9"/>
      <c r="BS415" s="9"/>
      <c r="BT415" s="9"/>
      <c r="BU415" s="9"/>
      <c r="BV415" s="9"/>
      <c r="BW415" s="9">
        <v>0</v>
      </c>
      <c r="BX415" s="9"/>
      <c r="BY415" s="9">
        <v>46171.784687500003</v>
      </c>
      <c r="BZ415" s="9"/>
      <c r="CA415" s="9"/>
      <c r="CB415" s="9"/>
      <c r="CC415" s="9"/>
      <c r="CD415" s="9"/>
      <c r="CE415" s="9"/>
      <c r="CF415" s="9"/>
      <c r="CG415" s="9"/>
      <c r="CH415" s="9">
        <v>1</v>
      </c>
      <c r="CI415" s="9">
        <v>0</v>
      </c>
      <c r="CJ415" s="9"/>
      <c r="CK415" s="9"/>
      <c r="CL415" s="9" t="s">
        <v>2282</v>
      </c>
      <c r="CM415" s="9"/>
      <c r="CN415" s="9">
        <v>0</v>
      </c>
      <c r="CO415" s="9" t="s">
        <v>1925</v>
      </c>
      <c r="CP415" s="9"/>
      <c r="CQ415" s="9">
        <v>0</v>
      </c>
    </row>
    <row r="416" spans="1:95" x14ac:dyDescent="0.35">
      <c r="A416" s="9" t="b">
        <f>ISNUMBER(MATCH(Claude[[#This Row],[Id]],ChargentOrders[Id],0))</f>
        <v>1</v>
      </c>
      <c r="B416" t="b">
        <f>INDEX(ChargentOrders[VALIDO],MATCH(Claude[[#This Row],[Id]],ChargentOrders[Id],0))</f>
        <v>1</v>
      </c>
      <c r="C416">
        <f>INDEX(Contract[CB_Subscription__c],MATCH(Claude[[#This Row],[Contract__c]],Contract[Id],0))</f>
        <v>0</v>
      </c>
      <c r="D416" s="9" t="s">
        <v>1295</v>
      </c>
      <c r="E416" s="9" t="s">
        <v>155</v>
      </c>
      <c r="F416" s="9">
        <v>0</v>
      </c>
      <c r="G416" s="9" t="s">
        <v>1296</v>
      </c>
      <c r="H416" s="9">
        <v>46171.823368055557</v>
      </c>
      <c r="I416" s="9" t="s">
        <v>89</v>
      </c>
      <c r="J416" s="9">
        <v>46217.738564814812</v>
      </c>
      <c r="K416" s="9" t="s">
        <v>78</v>
      </c>
      <c r="L416" s="9">
        <v>46217.738564814812</v>
      </c>
      <c r="M416" s="9"/>
      <c r="N416" s="9" t="s">
        <v>1833</v>
      </c>
      <c r="O416" s="9" t="s">
        <v>2278</v>
      </c>
      <c r="P416" s="9" t="s">
        <v>2279</v>
      </c>
      <c r="Q416" s="9" t="s">
        <v>1925</v>
      </c>
      <c r="R416" s="9" t="s">
        <v>1831</v>
      </c>
      <c r="S416" s="9" t="s">
        <v>2280</v>
      </c>
      <c r="T416" s="9" t="s">
        <v>2281</v>
      </c>
      <c r="U416" s="9" t="s">
        <v>1928</v>
      </c>
      <c r="V416" s="9">
        <v>623</v>
      </c>
      <c r="W416" s="9">
        <v>10</v>
      </c>
      <c r="X416" s="9">
        <v>2030</v>
      </c>
      <c r="Y416" s="9">
        <v>5241</v>
      </c>
      <c r="Z416" s="9">
        <v>10</v>
      </c>
      <c r="AA416" s="9">
        <v>4031630649205240</v>
      </c>
      <c r="AB416" s="9" t="s">
        <v>73</v>
      </c>
      <c r="AC416" s="9">
        <v>2030</v>
      </c>
      <c r="AD416" s="9" t="s">
        <v>374</v>
      </c>
      <c r="AE416" s="9">
        <v>5</v>
      </c>
      <c r="AF416" s="9" t="s">
        <v>1929</v>
      </c>
      <c r="AG416" s="9"/>
      <c r="AH416" s="9" t="s">
        <v>67</v>
      </c>
      <c r="AI416" s="9">
        <v>0</v>
      </c>
      <c r="AJ416" s="9"/>
      <c r="AK416" s="9">
        <v>0</v>
      </c>
      <c r="AL416" s="9" t="s">
        <v>1930</v>
      </c>
      <c r="AM416" s="9"/>
      <c r="AN416" s="9"/>
      <c r="AO416" s="9" t="s">
        <v>1943</v>
      </c>
      <c r="AP416" s="9" t="s">
        <v>69</v>
      </c>
      <c r="AQ416" s="9" t="s">
        <v>1932</v>
      </c>
      <c r="AR416" s="9">
        <v>46239</v>
      </c>
      <c r="AS416" s="9" t="s">
        <v>84</v>
      </c>
      <c r="AT416" s="9" t="s">
        <v>1944</v>
      </c>
      <c r="AU416" s="9" t="s">
        <v>374</v>
      </c>
      <c r="AV416" s="9">
        <v>0</v>
      </c>
      <c r="AW416" s="9" t="s">
        <v>92</v>
      </c>
      <c r="AX416" s="9" t="s">
        <v>1184</v>
      </c>
      <c r="AY416" s="9">
        <v>0</v>
      </c>
      <c r="AZ416" s="9">
        <v>46206.422094907408</v>
      </c>
      <c r="BA416" s="9">
        <v>46206.422118055554</v>
      </c>
      <c r="BB416" s="9">
        <v>1</v>
      </c>
      <c r="BC416" s="9">
        <v>2</v>
      </c>
      <c r="BD416" s="9" t="s">
        <v>167</v>
      </c>
      <c r="BE416" s="9" t="s">
        <v>1185</v>
      </c>
      <c r="BF416" s="9" t="s">
        <v>76</v>
      </c>
      <c r="BG416" s="9"/>
      <c r="BH416" s="9">
        <v>0</v>
      </c>
      <c r="BI416" s="9"/>
      <c r="BJ416" s="9">
        <v>3</v>
      </c>
      <c r="BK416" s="9" t="s">
        <v>92</v>
      </c>
      <c r="BL416" s="9" t="s">
        <v>92</v>
      </c>
      <c r="BM416" s="9" t="s">
        <v>75</v>
      </c>
      <c r="BN416" s="9"/>
      <c r="BO416" s="9">
        <v>0</v>
      </c>
      <c r="BP416" s="9"/>
      <c r="BQ416" s="9">
        <v>0</v>
      </c>
      <c r="BR416" s="9"/>
      <c r="BS416" s="9"/>
      <c r="BT416" s="9"/>
      <c r="BU416" s="9"/>
      <c r="BV416" s="9"/>
      <c r="BW416" s="9">
        <v>0</v>
      </c>
      <c r="BX416" s="9">
        <v>46178.426782407405</v>
      </c>
      <c r="BY416" s="9">
        <v>46206.422094907408</v>
      </c>
      <c r="BZ416" s="9"/>
      <c r="CA416" s="9"/>
      <c r="CB416" s="9"/>
      <c r="CC416" s="9"/>
      <c r="CD416" s="9"/>
      <c r="CE416" s="9"/>
      <c r="CF416" s="9"/>
      <c r="CG416" s="9"/>
      <c r="CH416" s="9">
        <v>1</v>
      </c>
      <c r="CI416" s="9">
        <v>0</v>
      </c>
      <c r="CJ416" s="9"/>
      <c r="CK416" s="9"/>
      <c r="CL416" s="9" t="s">
        <v>2282</v>
      </c>
      <c r="CM416" s="9"/>
      <c r="CN416" s="9">
        <v>0</v>
      </c>
      <c r="CO416" s="9" t="s">
        <v>1925</v>
      </c>
      <c r="CP416" s="9"/>
      <c r="CQ416" s="9">
        <v>0</v>
      </c>
    </row>
    <row r="417" spans="1:95" x14ac:dyDescent="0.35">
      <c r="A417" s="9" t="b">
        <f>ISNUMBER(MATCH(Claude[[#This Row],[Id]],ChargentOrders[Id],0))</f>
        <v>1</v>
      </c>
      <c r="B417" t="b">
        <f>INDEX(ChargentOrders[VALIDO],MATCH(Claude[[#This Row],[Id]],ChargentOrders[Id],0))</f>
        <v>1</v>
      </c>
      <c r="C417">
        <f>INDEX(Contract[CB_Subscription__c],MATCH(Claude[[#This Row],[Contract__c]],Contract[Id],0))</f>
        <v>0</v>
      </c>
      <c r="D417" s="9" t="s">
        <v>1297</v>
      </c>
      <c r="E417" s="9" t="s">
        <v>155</v>
      </c>
      <c r="F417" s="9">
        <v>0</v>
      </c>
      <c r="G417" s="9" t="s">
        <v>1298</v>
      </c>
      <c r="H417" s="9">
        <v>46177.424618055556</v>
      </c>
      <c r="I417" s="9" t="s">
        <v>65</v>
      </c>
      <c r="J417" s="9">
        <v>46177.72184027778</v>
      </c>
      <c r="K417" s="9" t="s">
        <v>155</v>
      </c>
      <c r="L417" s="9">
        <v>46177.72184027778</v>
      </c>
      <c r="M417" s="9"/>
      <c r="N417" s="9" t="s">
        <v>1858</v>
      </c>
      <c r="O417" s="9" t="s">
        <v>2302</v>
      </c>
      <c r="P417" s="9" t="s">
        <v>1990</v>
      </c>
      <c r="Q417" s="9" t="s">
        <v>1925</v>
      </c>
      <c r="R417" s="9" t="s">
        <v>1856</v>
      </c>
      <c r="S417" s="9" t="s">
        <v>2303</v>
      </c>
      <c r="T417" s="9" t="s">
        <v>2304</v>
      </c>
      <c r="U417" s="9" t="s">
        <v>1928</v>
      </c>
      <c r="V417" s="9">
        <v>926</v>
      </c>
      <c r="W417" s="9">
        <v>1</v>
      </c>
      <c r="X417" s="9">
        <v>2027</v>
      </c>
      <c r="Y417" s="9">
        <v>6681</v>
      </c>
      <c r="Z417" s="9">
        <v>1</v>
      </c>
      <c r="AA417" s="9">
        <v>4232230224246680</v>
      </c>
      <c r="AB417" s="9" t="s">
        <v>73</v>
      </c>
      <c r="AC417" s="9">
        <v>2027</v>
      </c>
      <c r="AD417" s="9" t="s">
        <v>167</v>
      </c>
      <c r="AE417" s="9"/>
      <c r="AF417" s="9" t="s">
        <v>1929</v>
      </c>
      <c r="AG417" s="9"/>
      <c r="AH417" s="9" t="s">
        <v>67</v>
      </c>
      <c r="AI417" s="9">
        <v>0</v>
      </c>
      <c r="AJ417" s="9"/>
      <c r="AK417" s="9">
        <v>0</v>
      </c>
      <c r="AL417" s="9" t="s">
        <v>1930</v>
      </c>
      <c r="AM417" s="9">
        <v>1</v>
      </c>
      <c r="AN417" s="9">
        <v>46178</v>
      </c>
      <c r="AO417" s="9" t="s">
        <v>1931</v>
      </c>
      <c r="AP417" s="9" t="s">
        <v>69</v>
      </c>
      <c r="AQ417" s="9" t="s">
        <v>1932</v>
      </c>
      <c r="AR417" s="9">
        <v>46178</v>
      </c>
      <c r="AS417" s="9" t="s">
        <v>74</v>
      </c>
      <c r="AT417" s="9" t="s">
        <v>1935</v>
      </c>
      <c r="AU417" s="9" t="s">
        <v>374</v>
      </c>
      <c r="AV417" s="9">
        <v>0</v>
      </c>
      <c r="AW417" s="9" t="s">
        <v>93</v>
      </c>
      <c r="AX417" s="9" t="s">
        <v>1290</v>
      </c>
      <c r="AY417" s="9">
        <v>0</v>
      </c>
      <c r="AZ417" s="9">
        <v>46177.721782407411</v>
      </c>
      <c r="BA417" s="9">
        <v>46177.721782407411</v>
      </c>
      <c r="BB417" s="9">
        <v>1</v>
      </c>
      <c r="BC417" s="9">
        <v>3</v>
      </c>
      <c r="BD417" s="9" t="s">
        <v>167</v>
      </c>
      <c r="BE417" s="9" t="s">
        <v>1287</v>
      </c>
      <c r="BF417" s="9" t="s">
        <v>71</v>
      </c>
      <c r="BG417" s="9"/>
      <c r="BH417" s="9">
        <v>0</v>
      </c>
      <c r="BI417" s="9"/>
      <c r="BJ417" s="9"/>
      <c r="BK417" s="9" t="s">
        <v>92</v>
      </c>
      <c r="BL417" s="9" t="s">
        <v>92</v>
      </c>
      <c r="BM417" s="9" t="s">
        <v>72</v>
      </c>
      <c r="BN417" s="9"/>
      <c r="BO417" s="9">
        <v>0</v>
      </c>
      <c r="BP417" s="9" t="s">
        <v>1299</v>
      </c>
      <c r="BQ417" s="9">
        <v>0</v>
      </c>
      <c r="BR417" s="9">
        <v>46177.717939814815</v>
      </c>
      <c r="BS417" s="9">
        <v>0</v>
      </c>
      <c r="BT417" s="9" t="s">
        <v>65</v>
      </c>
      <c r="BU417" s="9"/>
      <c r="BV417" s="9"/>
      <c r="BW417" s="9">
        <v>0</v>
      </c>
      <c r="BX417" s="9">
        <v>46177.719050925924</v>
      </c>
      <c r="BY417" s="9">
        <v>46177.721782407411</v>
      </c>
      <c r="BZ417" s="9"/>
      <c r="CA417" s="9"/>
      <c r="CB417" s="9"/>
      <c r="CC417" s="9"/>
      <c r="CD417" s="9"/>
      <c r="CE417" s="9"/>
      <c r="CF417" s="9"/>
      <c r="CG417" s="9"/>
      <c r="CH417" s="9">
        <v>1</v>
      </c>
      <c r="CI417" s="9">
        <v>0</v>
      </c>
      <c r="CJ417" s="9"/>
      <c r="CK417" s="9"/>
      <c r="CL417" s="9" t="s">
        <v>2305</v>
      </c>
      <c r="CM417" s="9"/>
      <c r="CN417" s="9">
        <v>0</v>
      </c>
      <c r="CO417" s="9" t="s">
        <v>1925</v>
      </c>
      <c r="CP417" s="9"/>
      <c r="CQ417" s="9">
        <v>0</v>
      </c>
    </row>
    <row r="418" spans="1:95" x14ac:dyDescent="0.35">
      <c r="A418" s="9" t="b">
        <f>ISNUMBER(MATCH(Claude[[#This Row],[Id]],ChargentOrders[Id],0))</f>
        <v>1</v>
      </c>
      <c r="B418" t="b">
        <f>INDEX(ChargentOrders[VALIDO],MATCH(Claude[[#This Row],[Id]],ChargentOrders[Id],0))</f>
        <v>1</v>
      </c>
      <c r="C418">
        <f>INDEX(Contract[CB_Subscription__c],MATCH(Claude[[#This Row],[Contract__c]],Contract[Id],0))</f>
        <v>0</v>
      </c>
      <c r="D418" s="9" t="s">
        <v>1300</v>
      </c>
      <c r="E418" s="9" t="s">
        <v>78</v>
      </c>
      <c r="F418" s="9">
        <v>0</v>
      </c>
      <c r="G418" s="9" t="s">
        <v>1301</v>
      </c>
      <c r="H418" s="9">
        <v>46177.720625000002</v>
      </c>
      <c r="I418" s="9" t="s">
        <v>78</v>
      </c>
      <c r="J418" s="9">
        <v>46217.738564814812</v>
      </c>
      <c r="K418" s="9" t="s">
        <v>78</v>
      </c>
      <c r="L418" s="9">
        <v>46217.738564814812</v>
      </c>
      <c r="M418" s="9"/>
      <c r="N418" s="9" t="s">
        <v>1813</v>
      </c>
      <c r="O418" s="9" t="s">
        <v>2257</v>
      </c>
      <c r="P418" s="9" t="s">
        <v>2258</v>
      </c>
      <c r="Q418" s="9" t="s">
        <v>1925</v>
      </c>
      <c r="R418" s="9" t="s">
        <v>1811</v>
      </c>
      <c r="S418" s="9" t="s">
        <v>2259</v>
      </c>
      <c r="T418" s="9" t="s">
        <v>2260</v>
      </c>
      <c r="U418" s="9" t="s">
        <v>1925</v>
      </c>
      <c r="V418" s="9">
        <v>688</v>
      </c>
      <c r="W418" s="9">
        <v>11</v>
      </c>
      <c r="X418" s="9">
        <v>2029</v>
      </c>
      <c r="Y418" s="9">
        <v>8375</v>
      </c>
      <c r="Z418" s="9">
        <v>11</v>
      </c>
      <c r="AA418" s="9" t="s">
        <v>1531</v>
      </c>
      <c r="AB418" s="9" t="s">
        <v>73</v>
      </c>
      <c r="AC418" s="9">
        <v>2029</v>
      </c>
      <c r="AD418" s="9" t="s">
        <v>374</v>
      </c>
      <c r="AE418" s="9"/>
      <c r="AF418" s="9"/>
      <c r="AG418" s="9"/>
      <c r="AH418" s="9" t="s">
        <v>107</v>
      </c>
      <c r="AI418" s="9">
        <v>0</v>
      </c>
      <c r="AJ418" s="9"/>
      <c r="AK418" s="9">
        <v>0</v>
      </c>
      <c r="AL418" s="9" t="s">
        <v>1930</v>
      </c>
      <c r="AM418" s="9">
        <v>1</v>
      </c>
      <c r="AN418" s="9">
        <v>46212</v>
      </c>
      <c r="AO418" s="9" t="s">
        <v>1931</v>
      </c>
      <c r="AP418" s="9" t="s">
        <v>69</v>
      </c>
      <c r="AQ418" s="9"/>
      <c r="AR418" s="9">
        <v>46212</v>
      </c>
      <c r="AS418" s="9" t="s">
        <v>84</v>
      </c>
      <c r="AT418" s="9" t="s">
        <v>1935</v>
      </c>
      <c r="AU418" s="9" t="s">
        <v>374</v>
      </c>
      <c r="AV418" s="9">
        <v>0</v>
      </c>
      <c r="AW418" s="9" t="s">
        <v>92</v>
      </c>
      <c r="AX418" s="9" t="s">
        <v>918</v>
      </c>
      <c r="AY418" s="9">
        <v>0</v>
      </c>
      <c r="AZ418" s="9"/>
      <c r="BA418" s="9"/>
      <c r="BB418" s="9">
        <v>0</v>
      </c>
      <c r="BC418" s="9">
        <v>0</v>
      </c>
      <c r="BD418" s="9">
        <v>0</v>
      </c>
      <c r="BE418" s="9" t="s">
        <v>919</v>
      </c>
      <c r="BF418" s="9" t="s">
        <v>71</v>
      </c>
      <c r="BG418" s="9" t="s">
        <v>1302</v>
      </c>
      <c r="BH418" s="9">
        <v>0</v>
      </c>
      <c r="BI418" s="9"/>
      <c r="BJ418" s="9">
        <v>1</v>
      </c>
      <c r="BK418" s="9">
        <v>0</v>
      </c>
      <c r="BL418" s="9">
        <v>0</v>
      </c>
      <c r="BM418" s="9" t="s">
        <v>75</v>
      </c>
      <c r="BN418" s="9"/>
      <c r="BO418" s="9">
        <v>0</v>
      </c>
      <c r="BP418" s="9"/>
      <c r="BQ418" s="9">
        <v>0</v>
      </c>
      <c r="BR418" s="9"/>
      <c r="BS418" s="9">
        <v>0</v>
      </c>
      <c r="BT418" s="9"/>
      <c r="BU418" s="9"/>
      <c r="BV418" s="9"/>
      <c r="BW418" s="9">
        <v>0</v>
      </c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>
        <v>1</v>
      </c>
      <c r="CI418" s="9">
        <v>0</v>
      </c>
      <c r="CJ418" s="9"/>
      <c r="CK418" s="9"/>
      <c r="CL418" s="9"/>
      <c r="CM418" s="9" t="s">
        <v>164</v>
      </c>
      <c r="CN418" s="9">
        <v>0</v>
      </c>
      <c r="CO418" s="9" t="s">
        <v>1925</v>
      </c>
      <c r="CP418" s="9"/>
      <c r="CQ418" s="9">
        <v>0</v>
      </c>
    </row>
    <row r="419" spans="1:95" x14ac:dyDescent="0.35">
      <c r="A419" s="9" t="b">
        <f>ISNUMBER(MATCH(Claude[[#This Row],[Id]],ChargentOrders[Id],0))</f>
        <v>1</v>
      </c>
      <c r="B419" t="b">
        <f>INDEX(ChargentOrders[VALIDO],MATCH(Claude[[#This Row],[Id]],ChargentOrders[Id],0))</f>
        <v>1</v>
      </c>
      <c r="C419">
        <f>INDEX(Contract[CB_Subscription__c],MATCH(Claude[[#This Row],[Contract__c]],Contract[Id],0))</f>
        <v>0</v>
      </c>
      <c r="D419" s="9" t="s">
        <v>1303</v>
      </c>
      <c r="E419" s="9" t="s">
        <v>78</v>
      </c>
      <c r="F419" s="9">
        <v>0</v>
      </c>
      <c r="G419" s="9" t="s">
        <v>1304</v>
      </c>
      <c r="H419" s="9">
        <v>46177.720717592594</v>
      </c>
      <c r="I419" s="9" t="s">
        <v>78</v>
      </c>
      <c r="J419" s="9">
        <v>46217.738564814812</v>
      </c>
      <c r="K419" s="9" t="s">
        <v>78</v>
      </c>
      <c r="L419" s="9">
        <v>46217.738564814812</v>
      </c>
      <c r="M419" s="9"/>
      <c r="N419" s="9" t="s">
        <v>1813</v>
      </c>
      <c r="O419" s="9" t="s">
        <v>2257</v>
      </c>
      <c r="P419" s="9" t="s">
        <v>2258</v>
      </c>
      <c r="Q419" s="9" t="s">
        <v>1925</v>
      </c>
      <c r="R419" s="9" t="s">
        <v>1811</v>
      </c>
      <c r="S419" s="9" t="s">
        <v>2259</v>
      </c>
      <c r="T419" s="9" t="s">
        <v>2260</v>
      </c>
      <c r="U419" s="9" t="s">
        <v>1925</v>
      </c>
      <c r="V419" s="9">
        <v>688</v>
      </c>
      <c r="W419" s="9">
        <v>11</v>
      </c>
      <c r="X419" s="9">
        <v>2029</v>
      </c>
      <c r="Y419" s="9">
        <v>8375</v>
      </c>
      <c r="Z419" s="9">
        <v>11</v>
      </c>
      <c r="AA419" s="9" t="s">
        <v>1531</v>
      </c>
      <c r="AB419" s="9" t="s">
        <v>73</v>
      </c>
      <c r="AC419" s="9">
        <v>2029</v>
      </c>
      <c r="AD419" s="9" t="s">
        <v>374</v>
      </c>
      <c r="AE419" s="9"/>
      <c r="AF419" s="9"/>
      <c r="AG419" s="9"/>
      <c r="AH419" s="9" t="s">
        <v>107</v>
      </c>
      <c r="AI419" s="9">
        <v>0</v>
      </c>
      <c r="AJ419" s="9"/>
      <c r="AK419" s="9">
        <v>0</v>
      </c>
      <c r="AL419" s="9" t="s">
        <v>1930</v>
      </c>
      <c r="AM419" s="9">
        <v>1</v>
      </c>
      <c r="AN419" s="9">
        <v>46212</v>
      </c>
      <c r="AO419" s="9" t="s">
        <v>1931</v>
      </c>
      <c r="AP419" s="9" t="s">
        <v>69</v>
      </c>
      <c r="AQ419" s="9"/>
      <c r="AR419" s="9">
        <v>46212</v>
      </c>
      <c r="AS419" s="9" t="s">
        <v>84</v>
      </c>
      <c r="AT419" s="9" t="s">
        <v>1935</v>
      </c>
      <c r="AU419" s="9" t="s">
        <v>374</v>
      </c>
      <c r="AV419" s="9">
        <v>0</v>
      </c>
      <c r="AW419" s="9" t="s">
        <v>92</v>
      </c>
      <c r="AX419" s="9" t="s">
        <v>918</v>
      </c>
      <c r="AY419" s="9">
        <v>0</v>
      </c>
      <c r="AZ419" s="9"/>
      <c r="BA419" s="9"/>
      <c r="BB419" s="9">
        <v>0</v>
      </c>
      <c r="BC419" s="9">
        <v>0</v>
      </c>
      <c r="BD419" s="9">
        <v>0</v>
      </c>
      <c r="BE419" s="9" t="s">
        <v>919</v>
      </c>
      <c r="BF419" s="9" t="s">
        <v>71</v>
      </c>
      <c r="BG419" s="9" t="s">
        <v>1302</v>
      </c>
      <c r="BH419" s="9">
        <v>0</v>
      </c>
      <c r="BI419" s="9"/>
      <c r="BJ419" s="9">
        <v>1</v>
      </c>
      <c r="BK419" s="9">
        <v>0</v>
      </c>
      <c r="BL419" s="9">
        <v>0</v>
      </c>
      <c r="BM419" s="9" t="s">
        <v>75</v>
      </c>
      <c r="BN419" s="9"/>
      <c r="BO419" s="9">
        <v>0</v>
      </c>
      <c r="BP419" s="9"/>
      <c r="BQ419" s="9">
        <v>0</v>
      </c>
      <c r="BR419" s="9"/>
      <c r="BS419" s="9">
        <v>0</v>
      </c>
      <c r="BT419" s="9"/>
      <c r="BU419" s="9"/>
      <c r="BV419" s="9"/>
      <c r="BW419" s="9">
        <v>0</v>
      </c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>
        <v>1</v>
      </c>
      <c r="CI419" s="9">
        <v>0</v>
      </c>
      <c r="CJ419" s="9"/>
      <c r="CK419" s="9"/>
      <c r="CL419" s="9"/>
      <c r="CM419" s="9" t="s">
        <v>279</v>
      </c>
      <c r="CN419" s="9">
        <v>0</v>
      </c>
      <c r="CO419" s="9" t="s">
        <v>1925</v>
      </c>
      <c r="CP419" s="9"/>
      <c r="CQ419" s="9">
        <v>0</v>
      </c>
    </row>
    <row r="420" spans="1:95" x14ac:dyDescent="0.35">
      <c r="A420" s="9" t="b">
        <f>ISNUMBER(MATCH(Claude[[#This Row],[Id]],ChargentOrders[Id],0))</f>
        <v>1</v>
      </c>
      <c r="B420" t="b">
        <f>INDEX(ChargentOrders[VALIDO],MATCH(Claude[[#This Row],[Id]],ChargentOrders[Id],0))</f>
        <v>1</v>
      </c>
      <c r="C420">
        <f>INDEX(Contract[CB_Subscription__c],MATCH(Claude[[#This Row],[Contract__c]],Contract[Id],0))</f>
        <v>0</v>
      </c>
      <c r="D420" s="9" t="s">
        <v>1305</v>
      </c>
      <c r="E420" s="9" t="s">
        <v>155</v>
      </c>
      <c r="F420" s="9">
        <v>0</v>
      </c>
      <c r="G420" s="9" t="s">
        <v>1306</v>
      </c>
      <c r="H420" s="9">
        <v>46177.721805555557</v>
      </c>
      <c r="I420" s="9" t="s">
        <v>155</v>
      </c>
      <c r="J420" s="9">
        <v>46217.738564814812</v>
      </c>
      <c r="K420" s="9" t="s">
        <v>78</v>
      </c>
      <c r="L420" s="9">
        <v>46217.738564814812</v>
      </c>
      <c r="M420" s="9"/>
      <c r="N420" s="9" t="s">
        <v>1858</v>
      </c>
      <c r="O420" s="9" t="s">
        <v>2302</v>
      </c>
      <c r="P420" s="9" t="s">
        <v>1990</v>
      </c>
      <c r="Q420" s="9" t="s">
        <v>1925</v>
      </c>
      <c r="R420" s="9" t="s">
        <v>1856</v>
      </c>
      <c r="S420" s="9" t="s">
        <v>2303</v>
      </c>
      <c r="T420" s="9" t="s">
        <v>2304</v>
      </c>
      <c r="U420" s="9" t="s">
        <v>1928</v>
      </c>
      <c r="V420" s="9">
        <v>926</v>
      </c>
      <c r="W420" s="9">
        <v>1</v>
      </c>
      <c r="X420" s="9">
        <v>2027</v>
      </c>
      <c r="Y420" s="9">
        <v>6681</v>
      </c>
      <c r="Z420" s="9">
        <v>1</v>
      </c>
      <c r="AA420" s="9">
        <v>4232230224246680</v>
      </c>
      <c r="AB420" s="9" t="s">
        <v>73</v>
      </c>
      <c r="AC420" s="9">
        <v>2027</v>
      </c>
      <c r="AD420" s="9" t="s">
        <v>374</v>
      </c>
      <c r="AE420" s="9">
        <v>31</v>
      </c>
      <c r="AF420" s="9" t="s">
        <v>1929</v>
      </c>
      <c r="AG420" s="9"/>
      <c r="AH420" s="9" t="s">
        <v>67</v>
      </c>
      <c r="AI420" s="9">
        <v>0</v>
      </c>
      <c r="AJ420" s="9"/>
      <c r="AK420" s="9">
        <v>0</v>
      </c>
      <c r="AL420" s="9" t="s">
        <v>1930</v>
      </c>
      <c r="AM420" s="9"/>
      <c r="AN420" s="9"/>
      <c r="AO420" s="9" t="s">
        <v>1943</v>
      </c>
      <c r="AP420" s="9" t="s">
        <v>69</v>
      </c>
      <c r="AQ420" s="9" t="s">
        <v>1932</v>
      </c>
      <c r="AR420" s="9">
        <v>46234</v>
      </c>
      <c r="AS420" s="9" t="s">
        <v>84</v>
      </c>
      <c r="AT420" s="9" t="s">
        <v>1944</v>
      </c>
      <c r="AU420" s="9" t="s">
        <v>374</v>
      </c>
      <c r="AV420" s="9">
        <v>0</v>
      </c>
      <c r="AW420" s="9" t="s">
        <v>92</v>
      </c>
      <c r="AX420" s="9" t="s">
        <v>1290</v>
      </c>
      <c r="AY420" s="9">
        <v>0</v>
      </c>
      <c r="AZ420" s="9"/>
      <c r="BA420" s="9"/>
      <c r="BB420" s="9">
        <v>0</v>
      </c>
      <c r="BC420" s="9">
        <v>1</v>
      </c>
      <c r="BD420" s="9">
        <v>0</v>
      </c>
      <c r="BE420" s="9" t="s">
        <v>1287</v>
      </c>
      <c r="BF420" s="9" t="s">
        <v>76</v>
      </c>
      <c r="BG420" s="9"/>
      <c r="BH420" s="9">
        <v>0</v>
      </c>
      <c r="BI420" s="9"/>
      <c r="BJ420" s="9">
        <v>2</v>
      </c>
      <c r="BK420" s="9" t="s">
        <v>92</v>
      </c>
      <c r="BL420" s="9" t="s">
        <v>92</v>
      </c>
      <c r="BM420" s="9" t="s">
        <v>75</v>
      </c>
      <c r="BN420" s="9"/>
      <c r="BO420" s="9">
        <v>0</v>
      </c>
      <c r="BP420" s="9"/>
      <c r="BQ420" s="9">
        <v>0</v>
      </c>
      <c r="BR420" s="9"/>
      <c r="BS420" s="9"/>
      <c r="BT420" s="9"/>
      <c r="BU420" s="9"/>
      <c r="BV420" s="9"/>
      <c r="BW420" s="9">
        <v>0</v>
      </c>
      <c r="BX420" s="9">
        <v>46205.421990740739</v>
      </c>
      <c r="BY420" s="9">
        <v>46205.421990740739</v>
      </c>
      <c r="BZ420" s="9"/>
      <c r="CA420" s="9"/>
      <c r="CB420" s="9"/>
      <c r="CC420" s="9"/>
      <c r="CD420" s="9"/>
      <c r="CE420" s="9"/>
      <c r="CF420" s="9"/>
      <c r="CG420" s="9"/>
      <c r="CH420" s="9">
        <v>1</v>
      </c>
      <c r="CI420" s="9">
        <v>0</v>
      </c>
      <c r="CJ420" s="9"/>
      <c r="CK420" s="9"/>
      <c r="CL420" s="9" t="s">
        <v>2305</v>
      </c>
      <c r="CM420" s="9"/>
      <c r="CN420" s="9">
        <v>0</v>
      </c>
      <c r="CO420" s="9" t="s">
        <v>1925</v>
      </c>
      <c r="CP420" s="9"/>
      <c r="CQ420" s="9">
        <v>0</v>
      </c>
    </row>
    <row r="421" spans="1:95" x14ac:dyDescent="0.35">
      <c r="A421" s="9" t="b">
        <f>ISNUMBER(MATCH(Claude[[#This Row],[Id]],ChargentOrders[Id],0))</f>
        <v>1</v>
      </c>
      <c r="B421" t="b">
        <f>INDEX(ChargentOrders[VALIDO],MATCH(Claude[[#This Row],[Id]],ChargentOrders[Id],0))</f>
        <v>1</v>
      </c>
      <c r="C421">
        <f>INDEX(Contract[CB_Subscription__c],MATCH(Claude[[#This Row],[Contract__c]],Contract[Id],0))</f>
        <v>0</v>
      </c>
      <c r="D421" s="9" t="s">
        <v>1307</v>
      </c>
      <c r="E421" s="9" t="s">
        <v>155</v>
      </c>
      <c r="F421" s="9">
        <v>0</v>
      </c>
      <c r="G421" s="9" t="s">
        <v>1308</v>
      </c>
      <c r="H421" s="9">
        <v>46178.42591435185</v>
      </c>
      <c r="I421" s="9" t="s">
        <v>65</v>
      </c>
      <c r="J421" s="9">
        <v>46217.738564814812</v>
      </c>
      <c r="K421" s="9" t="s">
        <v>78</v>
      </c>
      <c r="L421" s="9">
        <v>46217.738564814812</v>
      </c>
      <c r="M421" s="9"/>
      <c r="N421" s="9" t="s">
        <v>1843</v>
      </c>
      <c r="O421" s="9" t="s">
        <v>2287</v>
      </c>
      <c r="P421" s="9" t="s">
        <v>2006</v>
      </c>
      <c r="Q421" s="9" t="s">
        <v>1925</v>
      </c>
      <c r="R421" s="9" t="s">
        <v>1841</v>
      </c>
      <c r="S421" s="9" t="s">
        <v>2288</v>
      </c>
      <c r="T421" s="9" t="s">
        <v>2289</v>
      </c>
      <c r="U421" s="9" t="s">
        <v>1928</v>
      </c>
      <c r="V421" s="9">
        <v>983</v>
      </c>
      <c r="W421" s="9">
        <v>7</v>
      </c>
      <c r="X421" s="9">
        <v>2029</v>
      </c>
      <c r="Y421" s="9">
        <v>6085</v>
      </c>
      <c r="Z421" s="9">
        <v>7</v>
      </c>
      <c r="AA421" s="9">
        <v>4549518802306080</v>
      </c>
      <c r="AB421" s="9" t="s">
        <v>73</v>
      </c>
      <c r="AC421" s="9">
        <v>2029</v>
      </c>
      <c r="AD421" s="9">
        <v>99000</v>
      </c>
      <c r="AE421" s="9">
        <v>24</v>
      </c>
      <c r="AF421" s="9" t="s">
        <v>1929</v>
      </c>
      <c r="AG421" s="9"/>
      <c r="AH421" s="9" t="s">
        <v>67</v>
      </c>
      <c r="AI421" s="9">
        <v>0</v>
      </c>
      <c r="AJ421" s="9"/>
      <c r="AK421" s="9">
        <v>0</v>
      </c>
      <c r="AL421" s="9" t="s">
        <v>1930</v>
      </c>
      <c r="AM421" s="9"/>
      <c r="AN421" s="9"/>
      <c r="AO421" s="9" t="s">
        <v>1943</v>
      </c>
      <c r="AP421" s="9" t="s">
        <v>69</v>
      </c>
      <c r="AQ421" s="9" t="s">
        <v>1932</v>
      </c>
      <c r="AR421" s="9">
        <v>46227</v>
      </c>
      <c r="AS421" s="9" t="s">
        <v>84</v>
      </c>
      <c r="AT421" s="9" t="s">
        <v>1944</v>
      </c>
      <c r="AU421" s="9" t="s">
        <v>167</v>
      </c>
      <c r="AV421" s="9">
        <v>0</v>
      </c>
      <c r="AW421" s="9" t="s">
        <v>2192</v>
      </c>
      <c r="AX421" s="9" t="s">
        <v>1199</v>
      </c>
      <c r="AY421" s="9">
        <v>0</v>
      </c>
      <c r="AZ421" s="9"/>
      <c r="BA421" s="9"/>
      <c r="BB421" s="9">
        <v>0</v>
      </c>
      <c r="BC421" s="9">
        <v>0</v>
      </c>
      <c r="BD421" s="9">
        <v>0</v>
      </c>
      <c r="BE421" s="9" t="s">
        <v>1200</v>
      </c>
      <c r="BF421" s="9" t="s">
        <v>76</v>
      </c>
      <c r="BG421" s="9"/>
      <c r="BH421" s="9">
        <v>0</v>
      </c>
      <c r="BI421" s="9"/>
      <c r="BJ421" s="9">
        <v>1</v>
      </c>
      <c r="BK421" s="9" t="s">
        <v>92</v>
      </c>
      <c r="BL421" s="9" t="s">
        <v>92</v>
      </c>
      <c r="BM421" s="9" t="s">
        <v>75</v>
      </c>
      <c r="BN421" s="9"/>
      <c r="BO421" s="9">
        <v>0</v>
      </c>
      <c r="BP421" s="9"/>
      <c r="BQ421" s="9">
        <v>0</v>
      </c>
      <c r="BR421" s="9"/>
      <c r="BS421" s="9"/>
      <c r="BT421" s="9"/>
      <c r="BU421" s="9"/>
      <c r="BV421" s="9"/>
      <c r="BW421" s="9">
        <v>0</v>
      </c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>
        <v>1</v>
      </c>
      <c r="CI421" s="9">
        <v>0</v>
      </c>
      <c r="CJ421" s="9"/>
      <c r="CK421" s="9"/>
      <c r="CL421" s="9" t="s">
        <v>2290</v>
      </c>
      <c r="CM421" s="9"/>
      <c r="CN421" s="9">
        <v>0</v>
      </c>
      <c r="CO421" s="9" t="s">
        <v>1925</v>
      </c>
      <c r="CP421" s="9"/>
      <c r="CQ421" s="9">
        <v>0</v>
      </c>
    </row>
    <row r="422" spans="1:95" x14ac:dyDescent="0.35">
      <c r="A422" s="9" t="b">
        <f>ISNUMBER(MATCH(Claude[[#This Row],[Id]],ChargentOrders[Id],0))</f>
        <v>1</v>
      </c>
      <c r="B422" t="b">
        <f>INDEX(ChargentOrders[VALIDO],MATCH(Claude[[#This Row],[Id]],ChargentOrders[Id],0))</f>
        <v>1</v>
      </c>
      <c r="C422">
        <f>INDEX(Contract[CB_Subscription__c],MATCH(Claude[[#This Row],[Contract__c]],Contract[Id],0))</f>
        <v>0</v>
      </c>
      <c r="D422" s="9" t="s">
        <v>1309</v>
      </c>
      <c r="E422" s="9" t="s">
        <v>155</v>
      </c>
      <c r="F422" s="9">
        <v>0</v>
      </c>
      <c r="G422" s="9" t="s">
        <v>1310</v>
      </c>
      <c r="H422" s="9">
        <v>46178.426817129628</v>
      </c>
      <c r="I422" s="9" t="s">
        <v>65</v>
      </c>
      <c r="J422" s="9">
        <v>46178.661805555559</v>
      </c>
      <c r="K422" s="9" t="s">
        <v>101</v>
      </c>
      <c r="L422" s="9">
        <v>46178.661805555559</v>
      </c>
      <c r="M422" s="9"/>
      <c r="N422" s="9" t="s">
        <v>1833</v>
      </c>
      <c r="O422" s="9" t="s">
        <v>2278</v>
      </c>
      <c r="P422" s="9" t="s">
        <v>2279</v>
      </c>
      <c r="Q422" s="9" t="s">
        <v>1925</v>
      </c>
      <c r="R422" s="9" t="s">
        <v>1831</v>
      </c>
      <c r="S422" s="9" t="s">
        <v>2280</v>
      </c>
      <c r="T422" s="9" t="s">
        <v>2281</v>
      </c>
      <c r="U422" s="9" t="s">
        <v>1928</v>
      </c>
      <c r="V422" s="9">
        <v>623</v>
      </c>
      <c r="W422" s="9">
        <v>10</v>
      </c>
      <c r="X422" s="9">
        <v>2030</v>
      </c>
      <c r="Y422" s="9">
        <v>5241</v>
      </c>
      <c r="Z422" s="9">
        <v>10</v>
      </c>
      <c r="AA422" s="9">
        <v>4031630649205240</v>
      </c>
      <c r="AB422" s="9" t="s">
        <v>73</v>
      </c>
      <c r="AC422" s="9">
        <v>2030</v>
      </c>
      <c r="AD422" s="9" t="s">
        <v>167</v>
      </c>
      <c r="AE422" s="9"/>
      <c r="AF422" s="9" t="s">
        <v>1929</v>
      </c>
      <c r="AG422" s="9"/>
      <c r="AH422" s="9" t="s">
        <v>67</v>
      </c>
      <c r="AI422" s="9">
        <v>0</v>
      </c>
      <c r="AJ422" s="9"/>
      <c r="AK422" s="9">
        <v>0</v>
      </c>
      <c r="AL422" s="9" t="s">
        <v>1930</v>
      </c>
      <c r="AM422" s="9">
        <v>1</v>
      </c>
      <c r="AN422" s="9">
        <v>46181</v>
      </c>
      <c r="AO422" s="9" t="s">
        <v>1931</v>
      </c>
      <c r="AP422" s="9" t="s">
        <v>69</v>
      </c>
      <c r="AQ422" s="9" t="s">
        <v>1932</v>
      </c>
      <c r="AR422" s="9">
        <v>46181</v>
      </c>
      <c r="AS422" s="9" t="s">
        <v>74</v>
      </c>
      <c r="AT422" s="9" t="s">
        <v>1935</v>
      </c>
      <c r="AU422" s="9" t="s">
        <v>374</v>
      </c>
      <c r="AV422" s="9">
        <v>0</v>
      </c>
      <c r="AW422" s="9" t="s">
        <v>93</v>
      </c>
      <c r="AX422" s="9" t="s">
        <v>1184</v>
      </c>
      <c r="AY422" s="9">
        <v>0</v>
      </c>
      <c r="AZ422" s="9">
        <v>46178.661770833336</v>
      </c>
      <c r="BA422" s="9">
        <v>46178.661770833336</v>
      </c>
      <c r="BB422" s="9">
        <v>1</v>
      </c>
      <c r="BC422" s="9">
        <v>1</v>
      </c>
      <c r="BD422" s="9" t="s">
        <v>167</v>
      </c>
      <c r="BE422" s="9" t="s">
        <v>1185</v>
      </c>
      <c r="BF422" s="9" t="s">
        <v>71</v>
      </c>
      <c r="BG422" s="9"/>
      <c r="BH422" s="9">
        <v>0</v>
      </c>
      <c r="BI422" s="9"/>
      <c r="BJ422" s="9">
        <v>0</v>
      </c>
      <c r="BK422" s="9" t="s">
        <v>92</v>
      </c>
      <c r="BL422" s="9" t="s">
        <v>92</v>
      </c>
      <c r="BM422" s="9" t="s">
        <v>72</v>
      </c>
      <c r="BN422" s="9"/>
      <c r="BO422" s="9">
        <v>0</v>
      </c>
      <c r="BP422" s="9" t="s">
        <v>1311</v>
      </c>
      <c r="BQ422" s="9">
        <v>0</v>
      </c>
      <c r="BR422" s="9">
        <v>46178.66138888889</v>
      </c>
      <c r="BS422" s="9" t="s">
        <v>92</v>
      </c>
      <c r="BT422" s="9" t="s">
        <v>65</v>
      </c>
      <c r="BU422" s="9"/>
      <c r="BV422" s="9"/>
      <c r="BW422" s="9">
        <v>0</v>
      </c>
      <c r="BX422" s="9"/>
      <c r="BY422" s="9">
        <v>46178.661770833336</v>
      </c>
      <c r="BZ422" s="9"/>
      <c r="CA422" s="9"/>
      <c r="CB422" s="9"/>
      <c r="CC422" s="9"/>
      <c r="CD422" s="9"/>
      <c r="CE422" s="9"/>
      <c r="CF422" s="9"/>
      <c r="CG422" s="9"/>
      <c r="CH422" s="9">
        <v>1</v>
      </c>
      <c r="CI422" s="9">
        <v>0</v>
      </c>
      <c r="CJ422" s="9"/>
      <c r="CK422" s="9"/>
      <c r="CL422" s="9" t="s">
        <v>2282</v>
      </c>
      <c r="CM422" s="9"/>
      <c r="CN422" s="9">
        <v>0</v>
      </c>
      <c r="CO422" s="9" t="s">
        <v>1925</v>
      </c>
      <c r="CP422" s="9"/>
      <c r="CQ422" s="9">
        <v>0</v>
      </c>
    </row>
    <row r="423" spans="1:95" x14ac:dyDescent="0.35">
      <c r="A423" s="9" t="b">
        <f>ISNUMBER(MATCH(Claude[[#This Row],[Id]],ChargentOrders[Id],0))</f>
        <v>1</v>
      </c>
      <c r="B423" t="b">
        <f>INDEX(ChargentOrders[VALIDO],MATCH(Claude[[#This Row],[Id]],ChargentOrders[Id],0))</f>
        <v>1</v>
      </c>
      <c r="C423">
        <f>INDEX(Contract[CB_Subscription__c],MATCH(Claude[[#This Row],[Contract__c]],Contract[Id],0))</f>
        <v>0</v>
      </c>
      <c r="D423" s="9" t="s">
        <v>1312</v>
      </c>
      <c r="E423" s="9" t="s">
        <v>101</v>
      </c>
      <c r="F423" s="9">
        <v>0</v>
      </c>
      <c r="G423" s="9" t="s">
        <v>1313</v>
      </c>
      <c r="H423" s="9">
        <v>46181.627500000002</v>
      </c>
      <c r="I423" s="9" t="s">
        <v>101</v>
      </c>
      <c r="J423" s="9">
        <v>46217.738564814812</v>
      </c>
      <c r="K423" s="9" t="s">
        <v>78</v>
      </c>
      <c r="L423" s="9">
        <v>46217.738564814812</v>
      </c>
      <c r="M423" s="9"/>
      <c r="N423" s="9" t="s">
        <v>1823</v>
      </c>
      <c r="O423" s="9" t="s">
        <v>2306</v>
      </c>
      <c r="P423" s="9" t="s">
        <v>2307</v>
      </c>
      <c r="Q423" s="9" t="s">
        <v>1925</v>
      </c>
      <c r="R423" s="9" t="s">
        <v>1821</v>
      </c>
      <c r="S423" s="9" t="s">
        <v>2308</v>
      </c>
      <c r="T423" s="9" t="s">
        <v>2309</v>
      </c>
      <c r="U423" s="9" t="s">
        <v>1928</v>
      </c>
      <c r="V423" s="9">
        <v>667</v>
      </c>
      <c r="W423" s="9">
        <v>5</v>
      </c>
      <c r="X423" s="9">
        <v>2031</v>
      </c>
      <c r="Y423" s="9">
        <v>7711</v>
      </c>
      <c r="Z423" s="9">
        <v>5</v>
      </c>
      <c r="AA423" s="9">
        <v>7711</v>
      </c>
      <c r="AB423" s="9" t="s">
        <v>73</v>
      </c>
      <c r="AC423" s="9">
        <v>2031</v>
      </c>
      <c r="AD423" s="9">
        <v>99000</v>
      </c>
      <c r="AE423" s="9">
        <v>15</v>
      </c>
      <c r="AF423" s="9" t="s">
        <v>1929</v>
      </c>
      <c r="AG423" s="9"/>
      <c r="AH423" s="9" t="s">
        <v>67</v>
      </c>
      <c r="AI423" s="9">
        <v>0</v>
      </c>
      <c r="AJ423" s="9"/>
      <c r="AK423" s="9">
        <v>0</v>
      </c>
      <c r="AL423" s="9" t="s">
        <v>1930</v>
      </c>
      <c r="AM423" s="9"/>
      <c r="AN423" s="9">
        <v>46186</v>
      </c>
      <c r="AO423" s="9" t="s">
        <v>1943</v>
      </c>
      <c r="AP423" s="9" t="s">
        <v>69</v>
      </c>
      <c r="AQ423" s="9" t="s">
        <v>1932</v>
      </c>
      <c r="AR423" s="9">
        <v>46218</v>
      </c>
      <c r="AS423" s="9" t="s">
        <v>84</v>
      </c>
      <c r="AT423" s="9" t="s">
        <v>1944</v>
      </c>
      <c r="AU423" s="9" t="s">
        <v>167</v>
      </c>
      <c r="AV423" s="9">
        <v>0</v>
      </c>
      <c r="AW423" s="9" t="s">
        <v>2192</v>
      </c>
      <c r="AX423" s="9" t="s">
        <v>1314</v>
      </c>
      <c r="AY423" s="9">
        <v>0</v>
      </c>
      <c r="AZ423" s="9">
        <v>46188.42328703704</v>
      </c>
      <c r="BA423" s="9">
        <v>46188.42328703704</v>
      </c>
      <c r="BB423" s="9">
        <v>1</v>
      </c>
      <c r="BC423" s="9">
        <v>1</v>
      </c>
      <c r="BD423" s="9" t="s">
        <v>167</v>
      </c>
      <c r="BE423" s="9" t="s">
        <v>1315</v>
      </c>
      <c r="BF423" s="9" t="s">
        <v>76</v>
      </c>
      <c r="BG423" s="9"/>
      <c r="BH423" s="9">
        <v>0</v>
      </c>
      <c r="BI423" s="9"/>
      <c r="BJ423" s="9">
        <v>2</v>
      </c>
      <c r="BK423" s="9" t="s">
        <v>92</v>
      </c>
      <c r="BL423" s="9" t="s">
        <v>92</v>
      </c>
      <c r="BM423" s="9" t="s">
        <v>75</v>
      </c>
      <c r="BN423" s="9" t="s">
        <v>1316</v>
      </c>
      <c r="BO423" s="9">
        <v>0</v>
      </c>
      <c r="BP423" s="9"/>
      <c r="BQ423" s="9">
        <v>0</v>
      </c>
      <c r="BR423" s="9"/>
      <c r="BS423" s="9"/>
      <c r="BT423" s="9"/>
      <c r="BU423" s="9"/>
      <c r="BV423" s="9"/>
      <c r="BW423" s="9">
        <v>0</v>
      </c>
      <c r="BX423" s="9"/>
      <c r="BY423" s="9">
        <v>46188.42328703704</v>
      </c>
      <c r="BZ423" s="9"/>
      <c r="CA423" s="9"/>
      <c r="CB423" s="9"/>
      <c r="CC423" s="9"/>
      <c r="CD423" s="9"/>
      <c r="CE423" s="9"/>
      <c r="CF423" s="9"/>
      <c r="CG423" s="9"/>
      <c r="CH423" s="9">
        <v>1</v>
      </c>
      <c r="CI423" s="9">
        <v>0</v>
      </c>
      <c r="CJ423" s="9"/>
      <c r="CK423" s="9"/>
      <c r="CL423" s="9" t="s">
        <v>2310</v>
      </c>
      <c r="CM423" s="9"/>
      <c r="CN423" s="9">
        <v>0</v>
      </c>
      <c r="CO423" s="9" t="s">
        <v>1925</v>
      </c>
      <c r="CP423" s="9"/>
      <c r="CQ423" s="9">
        <v>0</v>
      </c>
    </row>
    <row r="424" spans="1:95" x14ac:dyDescent="0.35">
      <c r="A424" s="9" t="b">
        <f>ISNUMBER(MATCH(Claude[[#This Row],[Id]],ChargentOrders[Id],0))</f>
        <v>1</v>
      </c>
      <c r="B424" t="b">
        <f>INDEX(ChargentOrders[VALIDO],MATCH(Claude[[#This Row],[Id]],ChargentOrders[Id],0))</f>
        <v>1</v>
      </c>
      <c r="C424">
        <f>INDEX(Contract[CB_Subscription__c],MATCH(Claude[[#This Row],[Contract__c]],Contract[Id],0))</f>
        <v>0</v>
      </c>
      <c r="D424" s="9" t="s">
        <v>1317</v>
      </c>
      <c r="E424" s="9" t="s">
        <v>101</v>
      </c>
      <c r="F424" s="9">
        <v>0</v>
      </c>
      <c r="G424" s="9" t="s">
        <v>1318</v>
      </c>
      <c r="H424" s="9">
        <v>46181.627384259256</v>
      </c>
      <c r="I424" s="9" t="s">
        <v>101</v>
      </c>
      <c r="J424" s="9">
        <v>46181.627511574072</v>
      </c>
      <c r="K424" s="9" t="s">
        <v>101</v>
      </c>
      <c r="L424" s="9">
        <v>46181.627511574072</v>
      </c>
      <c r="M424" s="9"/>
      <c r="N424" s="9"/>
      <c r="O424" s="9" t="s">
        <v>2306</v>
      </c>
      <c r="P424" s="9" t="s">
        <v>2307</v>
      </c>
      <c r="Q424" s="9" t="s">
        <v>1925</v>
      </c>
      <c r="R424" s="9" t="s">
        <v>1821</v>
      </c>
      <c r="S424" s="9" t="s">
        <v>2308</v>
      </c>
      <c r="T424" s="9" t="s">
        <v>2309</v>
      </c>
      <c r="U424" s="9" t="s">
        <v>1928</v>
      </c>
      <c r="V424" s="9">
        <v>667</v>
      </c>
      <c r="W424" s="9">
        <v>5</v>
      </c>
      <c r="X424" s="9">
        <v>2031</v>
      </c>
      <c r="Y424" s="9">
        <v>7711</v>
      </c>
      <c r="Z424" s="9">
        <v>5</v>
      </c>
      <c r="AA424" s="9">
        <v>4549519914747710</v>
      </c>
      <c r="AB424" s="9" t="s">
        <v>73</v>
      </c>
      <c r="AC424" s="9">
        <v>2031</v>
      </c>
      <c r="AD424" s="9" t="s">
        <v>93</v>
      </c>
      <c r="AE424" s="9"/>
      <c r="AF424" s="9" t="s">
        <v>1929</v>
      </c>
      <c r="AG424" s="9"/>
      <c r="AH424" s="9" t="s">
        <v>67</v>
      </c>
      <c r="AI424" s="9">
        <v>0</v>
      </c>
      <c r="AJ424" s="9"/>
      <c r="AK424" s="9">
        <v>0</v>
      </c>
      <c r="AL424" s="9" t="s">
        <v>1930</v>
      </c>
      <c r="AM424" s="9"/>
      <c r="AN424" s="9"/>
      <c r="AO424" s="9" t="s">
        <v>1931</v>
      </c>
      <c r="AP424" s="9" t="s">
        <v>69</v>
      </c>
      <c r="AQ424" s="9" t="s">
        <v>1932</v>
      </c>
      <c r="AR424" s="9"/>
      <c r="AS424" s="9"/>
      <c r="AT424" s="9"/>
      <c r="AU424" s="9" t="s">
        <v>92</v>
      </c>
      <c r="AV424" s="9">
        <v>0</v>
      </c>
      <c r="AW424" s="9"/>
      <c r="AX424" s="9" t="s">
        <v>1314</v>
      </c>
      <c r="AY424" s="9">
        <v>0</v>
      </c>
      <c r="AZ424" s="9"/>
      <c r="BA424" s="9">
        <v>46181.627476851849</v>
      </c>
      <c r="BB424" s="9">
        <v>0</v>
      </c>
      <c r="BC424" s="9">
        <v>1</v>
      </c>
      <c r="BD424" s="9">
        <v>0</v>
      </c>
      <c r="BE424" s="9" t="s">
        <v>1315</v>
      </c>
      <c r="BF424" s="9"/>
      <c r="BG424" s="9"/>
      <c r="BH424" s="9">
        <v>0</v>
      </c>
      <c r="BI424" s="9"/>
      <c r="BJ424" s="9">
        <v>1</v>
      </c>
      <c r="BK424" s="9"/>
      <c r="BL424" s="9"/>
      <c r="BM424" s="9" t="s">
        <v>75</v>
      </c>
      <c r="BN424" s="9"/>
      <c r="BO424" s="9">
        <v>0</v>
      </c>
      <c r="BP424" s="9"/>
      <c r="BQ424" s="9">
        <v>1</v>
      </c>
      <c r="BR424" s="9"/>
      <c r="BS424" s="9"/>
      <c r="BT424" s="9"/>
      <c r="BU424" s="9"/>
      <c r="BV424" s="9"/>
      <c r="BW424" s="9">
        <v>0</v>
      </c>
      <c r="BX424" s="9"/>
      <c r="BY424" s="9">
        <v>46181.627465277779</v>
      </c>
      <c r="BZ424" s="9"/>
      <c r="CA424" s="9"/>
      <c r="CB424" s="9"/>
      <c r="CC424" s="9"/>
      <c r="CD424" s="9"/>
      <c r="CE424" s="9"/>
      <c r="CF424" s="9"/>
      <c r="CG424" s="9"/>
      <c r="CH424" s="9">
        <v>1</v>
      </c>
      <c r="CI424" s="9">
        <v>0</v>
      </c>
      <c r="CJ424" s="9"/>
      <c r="CK424" s="9"/>
      <c r="CL424" s="9" t="s">
        <v>2310</v>
      </c>
      <c r="CM424" s="9"/>
      <c r="CN424" s="9">
        <v>0</v>
      </c>
      <c r="CO424" s="9" t="s">
        <v>1925</v>
      </c>
      <c r="CP424" s="9"/>
      <c r="CQ424" s="9">
        <v>0</v>
      </c>
    </row>
    <row r="425" spans="1:95" x14ac:dyDescent="0.35">
      <c r="A425" s="9" t="b">
        <f>ISNUMBER(MATCH(Claude[[#This Row],[Id]],ChargentOrders[Id],0))</f>
        <v>1</v>
      </c>
      <c r="B425" t="b">
        <f>INDEX(ChargentOrders[VALIDO],MATCH(Claude[[#This Row],[Id]],ChargentOrders[Id],0))</f>
        <v>1</v>
      </c>
      <c r="C425">
        <f>INDEX(Contract[CB_Subscription__c],MATCH(Claude[[#This Row],[Contract__c]],Contract[Id],0))</f>
        <v>0</v>
      </c>
      <c r="D425" s="9" t="s">
        <v>1319</v>
      </c>
      <c r="E425" s="9" t="s">
        <v>155</v>
      </c>
      <c r="F425" s="9">
        <v>0</v>
      </c>
      <c r="G425" s="9" t="s">
        <v>1320</v>
      </c>
      <c r="H425" s="9">
        <v>46183.416932870372</v>
      </c>
      <c r="I425" s="9" t="s">
        <v>65</v>
      </c>
      <c r="J425" s="9">
        <v>46217.738564814812</v>
      </c>
      <c r="K425" s="9" t="s">
        <v>78</v>
      </c>
      <c r="L425" s="9">
        <v>46217.738564814812</v>
      </c>
      <c r="M425" s="9"/>
      <c r="N425" s="9" t="s">
        <v>1853</v>
      </c>
      <c r="O425" s="9" t="s">
        <v>2297</v>
      </c>
      <c r="P425" s="9" t="s">
        <v>2298</v>
      </c>
      <c r="Q425" s="9" t="s">
        <v>1925</v>
      </c>
      <c r="R425" s="9" t="s">
        <v>1851</v>
      </c>
      <c r="S425" s="9" t="s">
        <v>2299</v>
      </c>
      <c r="T425" s="9" t="s">
        <v>2300</v>
      </c>
      <c r="U425" s="9" t="s">
        <v>1928</v>
      </c>
      <c r="V425" s="9">
        <v>745</v>
      </c>
      <c r="W425" s="9">
        <v>3</v>
      </c>
      <c r="X425" s="9">
        <v>2031</v>
      </c>
      <c r="Y425" s="9">
        <v>9211</v>
      </c>
      <c r="Z425" s="9">
        <v>3</v>
      </c>
      <c r="AA425" s="9">
        <v>4549519008729210</v>
      </c>
      <c r="AB425" s="9" t="s">
        <v>73</v>
      </c>
      <c r="AC425" s="9">
        <v>2031</v>
      </c>
      <c r="AD425" s="9">
        <v>99000</v>
      </c>
      <c r="AE425" s="9">
        <v>15</v>
      </c>
      <c r="AF425" s="9" t="s">
        <v>1929</v>
      </c>
      <c r="AG425" s="9"/>
      <c r="AH425" s="9" t="s">
        <v>67</v>
      </c>
      <c r="AI425" s="9">
        <v>0</v>
      </c>
      <c r="AJ425" s="9"/>
      <c r="AK425" s="9">
        <v>0</v>
      </c>
      <c r="AL425" s="9" t="s">
        <v>1930</v>
      </c>
      <c r="AM425" s="9"/>
      <c r="AN425" s="9"/>
      <c r="AO425" s="9" t="s">
        <v>1943</v>
      </c>
      <c r="AP425" s="9" t="s">
        <v>69</v>
      </c>
      <c r="AQ425" s="9" t="s">
        <v>1932</v>
      </c>
      <c r="AR425" s="9">
        <v>46218</v>
      </c>
      <c r="AS425" s="9" t="s">
        <v>84</v>
      </c>
      <c r="AT425" s="9" t="s">
        <v>1944</v>
      </c>
      <c r="AU425" s="9" t="s">
        <v>167</v>
      </c>
      <c r="AV425" s="9">
        <v>0</v>
      </c>
      <c r="AW425" s="9" t="s">
        <v>2192</v>
      </c>
      <c r="AX425" s="9" t="s">
        <v>1222</v>
      </c>
      <c r="AY425" s="9">
        <v>0</v>
      </c>
      <c r="AZ425" s="9"/>
      <c r="BA425" s="9"/>
      <c r="BB425" s="9">
        <v>0</v>
      </c>
      <c r="BC425" s="9">
        <v>0</v>
      </c>
      <c r="BD425" s="9">
        <v>0</v>
      </c>
      <c r="BE425" s="9" t="s">
        <v>1223</v>
      </c>
      <c r="BF425" s="9" t="s">
        <v>76</v>
      </c>
      <c r="BG425" s="9"/>
      <c r="BH425" s="9">
        <v>0</v>
      </c>
      <c r="BI425" s="9"/>
      <c r="BJ425" s="9">
        <v>1</v>
      </c>
      <c r="BK425" s="9" t="s">
        <v>92</v>
      </c>
      <c r="BL425" s="9" t="s">
        <v>92</v>
      </c>
      <c r="BM425" s="9" t="s">
        <v>75</v>
      </c>
      <c r="BN425" s="9"/>
      <c r="BO425" s="9">
        <v>0</v>
      </c>
      <c r="BP425" s="9"/>
      <c r="BQ425" s="9">
        <v>0</v>
      </c>
      <c r="BR425" s="9"/>
      <c r="BS425" s="9"/>
      <c r="BT425" s="9"/>
      <c r="BU425" s="9"/>
      <c r="BV425" s="9"/>
      <c r="BW425" s="9">
        <v>0</v>
      </c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>
        <v>1</v>
      </c>
      <c r="CI425" s="9">
        <v>0</v>
      </c>
      <c r="CJ425" s="9"/>
      <c r="CK425" s="9"/>
      <c r="CL425" s="9" t="s">
        <v>2301</v>
      </c>
      <c r="CM425" s="9"/>
      <c r="CN425" s="9">
        <v>0</v>
      </c>
      <c r="CO425" s="9" t="s">
        <v>1925</v>
      </c>
      <c r="CP425" s="9"/>
      <c r="CQ425" s="9">
        <v>0</v>
      </c>
    </row>
    <row r="426" spans="1:95" x14ac:dyDescent="0.35">
      <c r="A426" s="9" t="b">
        <f>ISNUMBER(MATCH(Claude[[#This Row],[Id]],ChargentOrders[Id],0))</f>
        <v>1</v>
      </c>
      <c r="B426" t="b">
        <f>INDEX(ChargentOrders[VALIDO],MATCH(Claude[[#This Row],[Id]],ChargentOrders[Id],0))</f>
        <v>1</v>
      </c>
      <c r="C426">
        <f>INDEX(Contract[CB_Subscription__c],MATCH(Claude[[#This Row],[Contract__c]],Contract[Id],0))</f>
        <v>0</v>
      </c>
      <c r="D426" s="9" t="s">
        <v>1321</v>
      </c>
      <c r="E426" s="9" t="s">
        <v>79</v>
      </c>
      <c r="F426" s="9">
        <v>0</v>
      </c>
      <c r="G426" s="9" t="s">
        <v>1322</v>
      </c>
      <c r="H426" s="9">
        <v>46189.551493055558</v>
      </c>
      <c r="I426" s="9" t="s">
        <v>101</v>
      </c>
      <c r="J426" s="9">
        <v>46198.422951388886</v>
      </c>
      <c r="K426" s="9" t="s">
        <v>65</v>
      </c>
      <c r="L426" s="9">
        <v>46198.422951388886</v>
      </c>
      <c r="M426" s="9"/>
      <c r="N426" s="9" t="s">
        <v>1813</v>
      </c>
      <c r="O426" s="9" t="s">
        <v>2257</v>
      </c>
      <c r="P426" s="9" t="s">
        <v>2258</v>
      </c>
      <c r="Q426" s="9" t="s">
        <v>1925</v>
      </c>
      <c r="R426" s="9" t="s">
        <v>1811</v>
      </c>
      <c r="S426" s="9" t="s">
        <v>2259</v>
      </c>
      <c r="T426" s="9" t="s">
        <v>2260</v>
      </c>
      <c r="U426" s="9" t="s">
        <v>1928</v>
      </c>
      <c r="V426" s="9">
        <v>688</v>
      </c>
      <c r="W426" s="9">
        <v>11</v>
      </c>
      <c r="X426" s="9">
        <v>2029</v>
      </c>
      <c r="Y426" s="9">
        <v>8375</v>
      </c>
      <c r="Z426" s="9">
        <v>11</v>
      </c>
      <c r="AA426" s="9"/>
      <c r="AB426" s="9" t="s">
        <v>73</v>
      </c>
      <c r="AC426" s="9">
        <v>2029</v>
      </c>
      <c r="AD426" s="9">
        <v>1.24E+20</v>
      </c>
      <c r="AE426" s="9"/>
      <c r="AF426" s="9" t="s">
        <v>1929</v>
      </c>
      <c r="AG426" s="9"/>
      <c r="AH426" s="9" t="s">
        <v>107</v>
      </c>
      <c r="AI426" s="9">
        <v>0</v>
      </c>
      <c r="AJ426" s="9"/>
      <c r="AK426" s="9">
        <v>0</v>
      </c>
      <c r="AL426" s="9" t="s">
        <v>1930</v>
      </c>
      <c r="AM426" s="9">
        <v>1</v>
      </c>
      <c r="AN426" s="9">
        <v>46198</v>
      </c>
      <c r="AO426" s="9" t="s">
        <v>1931</v>
      </c>
      <c r="AP426" s="9" t="s">
        <v>69</v>
      </c>
      <c r="AQ426" s="9" t="s">
        <v>1932</v>
      </c>
      <c r="AR426" s="9">
        <v>46198</v>
      </c>
      <c r="AS426" s="9" t="s">
        <v>74</v>
      </c>
      <c r="AT426" s="9" t="s">
        <v>1935</v>
      </c>
      <c r="AU426" s="9" t="s">
        <v>449</v>
      </c>
      <c r="AV426" s="9">
        <v>0</v>
      </c>
      <c r="AW426" s="9" t="s">
        <v>93</v>
      </c>
      <c r="AX426" s="9" t="s">
        <v>918</v>
      </c>
      <c r="AY426" s="9">
        <v>0</v>
      </c>
      <c r="AZ426" s="9">
        <v>46198.422858796293</v>
      </c>
      <c r="BA426" s="9">
        <v>46198.422905092593</v>
      </c>
      <c r="BB426" s="9">
        <v>1</v>
      </c>
      <c r="BC426" s="9">
        <v>3</v>
      </c>
      <c r="BD426" s="9" t="s">
        <v>2220</v>
      </c>
      <c r="BE426" s="9" t="s">
        <v>919</v>
      </c>
      <c r="BF426" s="9" t="s">
        <v>71</v>
      </c>
      <c r="BG426" s="9"/>
      <c r="BH426" s="9">
        <v>0</v>
      </c>
      <c r="BI426" s="9"/>
      <c r="BJ426" s="9">
        <v>3</v>
      </c>
      <c r="BK426" s="9" t="s">
        <v>92</v>
      </c>
      <c r="BL426" s="9" t="s">
        <v>92</v>
      </c>
      <c r="BM426" s="9" t="s">
        <v>72</v>
      </c>
      <c r="BN426" s="9"/>
      <c r="BO426" s="9">
        <v>1</v>
      </c>
      <c r="BP426" s="9" t="s">
        <v>1323</v>
      </c>
      <c r="BQ426" s="9">
        <v>0</v>
      </c>
      <c r="BR426" s="9">
        <v>46059.43074074074</v>
      </c>
      <c r="BS426" s="9" t="s">
        <v>109</v>
      </c>
      <c r="BT426" s="9" t="s">
        <v>101</v>
      </c>
      <c r="BU426" s="9"/>
      <c r="BV426" s="9"/>
      <c r="BW426" s="9">
        <v>0</v>
      </c>
      <c r="BX426" s="9"/>
      <c r="BY426" s="9">
        <v>46198.422858796293</v>
      </c>
      <c r="BZ426" s="9"/>
      <c r="CA426" s="9"/>
      <c r="CB426" s="9"/>
      <c r="CC426" s="9"/>
      <c r="CD426" s="9"/>
      <c r="CE426" s="9"/>
      <c r="CF426" s="9"/>
      <c r="CG426" s="9"/>
      <c r="CH426" s="9">
        <v>1</v>
      </c>
      <c r="CI426" s="9">
        <v>0</v>
      </c>
      <c r="CJ426" s="9"/>
      <c r="CK426" s="9"/>
      <c r="CL426" s="9" t="s">
        <v>2261</v>
      </c>
      <c r="CM426" s="9"/>
      <c r="CN426" s="9">
        <v>0</v>
      </c>
      <c r="CO426" s="9" t="s">
        <v>1925</v>
      </c>
      <c r="CP426" s="9" t="s">
        <v>2262</v>
      </c>
      <c r="CQ426" s="9">
        <v>0</v>
      </c>
    </row>
    <row r="427" spans="1:95" x14ac:dyDescent="0.35">
      <c r="A427" s="9" t="b">
        <f>ISNUMBER(MATCH(Claude[[#This Row],[Id]],ChargentOrders[Id],0))</f>
        <v>1</v>
      </c>
      <c r="B427" t="b">
        <f>INDEX(ChargentOrders[VALIDO],MATCH(Claude[[#This Row],[Id]],ChargentOrders[Id],0))</f>
        <v>1</v>
      </c>
      <c r="C427">
        <f>INDEX(Contract[CB_Subscription__c],MATCH(Claude[[#This Row],[Contract__c]],Contract[Id],0))</f>
        <v>0</v>
      </c>
      <c r="D427" s="9" t="s">
        <v>1324</v>
      </c>
      <c r="E427" s="9" t="s">
        <v>79</v>
      </c>
      <c r="F427" s="9">
        <v>0</v>
      </c>
      <c r="G427" s="9" t="s">
        <v>1325</v>
      </c>
      <c r="H427" s="9">
        <v>46192.924351851849</v>
      </c>
      <c r="I427" s="9" t="s">
        <v>101</v>
      </c>
      <c r="J427" s="9">
        <v>46216.998090277775</v>
      </c>
      <c r="K427" s="9" t="s">
        <v>101</v>
      </c>
      <c r="L427" s="9">
        <v>46216.998090277775</v>
      </c>
      <c r="M427" s="9"/>
      <c r="N427" s="9" t="s">
        <v>1629</v>
      </c>
      <c r="O427" s="9" t="s">
        <v>2032</v>
      </c>
      <c r="P427" s="9" t="s">
        <v>2033</v>
      </c>
      <c r="Q427" s="9" t="s">
        <v>1925</v>
      </c>
      <c r="R427" s="9" t="s">
        <v>1627</v>
      </c>
      <c r="S427" s="9" t="s">
        <v>1949</v>
      </c>
      <c r="T427" s="9" t="s">
        <v>2034</v>
      </c>
      <c r="U427" s="9" t="s">
        <v>1928</v>
      </c>
      <c r="V427" s="9">
        <v>754</v>
      </c>
      <c r="W427" s="9">
        <v>7</v>
      </c>
      <c r="X427" s="9">
        <v>2028</v>
      </c>
      <c r="Y427" s="9">
        <v>6818</v>
      </c>
      <c r="Z427" s="9">
        <v>7</v>
      </c>
      <c r="AA427" s="9">
        <v>4870388115256810</v>
      </c>
      <c r="AB427" s="9" t="s">
        <v>73</v>
      </c>
      <c r="AC427" s="9">
        <v>2028</v>
      </c>
      <c r="AD427" s="9" t="s">
        <v>2087</v>
      </c>
      <c r="AE427" s="9"/>
      <c r="AF427" s="9" t="s">
        <v>1929</v>
      </c>
      <c r="AG427" s="9"/>
      <c r="AH427" s="9" t="s">
        <v>67</v>
      </c>
      <c r="AI427" s="9">
        <v>0</v>
      </c>
      <c r="AJ427" s="9"/>
      <c r="AK427" s="9">
        <v>0</v>
      </c>
      <c r="AL427" s="9" t="s">
        <v>1930</v>
      </c>
      <c r="AM427" s="9" t="s">
        <v>1958</v>
      </c>
      <c r="AN427" s="9">
        <v>46212</v>
      </c>
      <c r="AO427" s="9" t="s">
        <v>1931</v>
      </c>
      <c r="AP427" s="9" t="s">
        <v>69</v>
      </c>
      <c r="AQ427" s="9" t="s">
        <v>1932</v>
      </c>
      <c r="AR427" s="9">
        <v>46212</v>
      </c>
      <c r="AS427" s="9" t="s">
        <v>90</v>
      </c>
      <c r="AT427" s="9" t="s">
        <v>1935</v>
      </c>
      <c r="AU427" s="9" t="s">
        <v>1952</v>
      </c>
      <c r="AV427" s="9">
        <v>0</v>
      </c>
      <c r="AW427" s="9" t="s">
        <v>93</v>
      </c>
      <c r="AX427" s="9" t="s">
        <v>355</v>
      </c>
      <c r="AY427" s="9">
        <v>0</v>
      </c>
      <c r="AZ427" s="9"/>
      <c r="BA427" s="9"/>
      <c r="BB427" s="9">
        <v>0</v>
      </c>
      <c r="BC427" s="9">
        <v>11</v>
      </c>
      <c r="BD427" s="9">
        <v>0</v>
      </c>
      <c r="BE427" s="9" t="s">
        <v>356</v>
      </c>
      <c r="BF427" s="9" t="s">
        <v>71</v>
      </c>
      <c r="BG427" s="9"/>
      <c r="BH427" s="9">
        <v>0</v>
      </c>
      <c r="BI427" s="9"/>
      <c r="BJ427" s="9">
        <v>11</v>
      </c>
      <c r="BK427" s="9" t="s">
        <v>92</v>
      </c>
      <c r="BL427" s="9" t="s">
        <v>92</v>
      </c>
      <c r="BM427" s="9" t="s">
        <v>72</v>
      </c>
      <c r="BN427" s="9"/>
      <c r="BO427" s="9">
        <v>1</v>
      </c>
      <c r="BP427" s="9" t="s">
        <v>1326</v>
      </c>
      <c r="BQ427" s="9">
        <v>0</v>
      </c>
      <c r="BR427" s="9">
        <v>45812.729178240741</v>
      </c>
      <c r="BS427" s="9" t="s">
        <v>109</v>
      </c>
      <c r="BT427" s="9" t="s">
        <v>101</v>
      </c>
      <c r="BU427" s="9"/>
      <c r="BV427" s="9"/>
      <c r="BW427" s="9">
        <v>0</v>
      </c>
      <c r="BX427" s="9">
        <v>46216.998078703706</v>
      </c>
      <c r="BY427" s="9">
        <v>46216.998078703706</v>
      </c>
      <c r="BZ427" s="9"/>
      <c r="CA427" s="9"/>
      <c r="CB427" s="9"/>
      <c r="CC427" s="9"/>
      <c r="CD427" s="9"/>
      <c r="CE427" s="9"/>
      <c r="CF427" s="9"/>
      <c r="CG427" s="9"/>
      <c r="CH427" s="9">
        <v>1</v>
      </c>
      <c r="CI427" s="9">
        <v>0</v>
      </c>
      <c r="CJ427" s="9"/>
      <c r="CK427" s="9"/>
      <c r="CL427" s="9" t="s">
        <v>2035</v>
      </c>
      <c r="CM427" s="9"/>
      <c r="CN427" s="9">
        <v>0</v>
      </c>
      <c r="CO427" s="9" t="s">
        <v>1925</v>
      </c>
      <c r="CP427" s="9" t="s">
        <v>2036</v>
      </c>
      <c r="CQ427" s="9">
        <v>0</v>
      </c>
    </row>
    <row r="428" spans="1:95" x14ac:dyDescent="0.35">
      <c r="A428" s="9" t="b">
        <f>ISNUMBER(MATCH(Claude[[#This Row],[Id]],ChargentOrders[Id],0))</f>
        <v>1</v>
      </c>
      <c r="B428" t="b">
        <f>INDEX(ChargentOrders[VALIDO],MATCH(Claude[[#This Row],[Id]],ChargentOrders[Id],0))</f>
        <v>1</v>
      </c>
      <c r="C428">
        <f>INDEX(Contract[CB_Subscription__c],MATCH(Claude[[#This Row],[Contract__c]],Contract[Id],0))</f>
        <v>0</v>
      </c>
      <c r="D428" s="9" t="s">
        <v>1327</v>
      </c>
      <c r="E428" s="9" t="s">
        <v>101</v>
      </c>
      <c r="F428" s="9">
        <v>0</v>
      </c>
      <c r="G428" s="9" t="s">
        <v>1328</v>
      </c>
      <c r="H428" s="9">
        <v>46196.929756944446</v>
      </c>
      <c r="I428" s="9" t="s">
        <v>101</v>
      </c>
      <c r="J428" s="9">
        <v>46196.929872685185</v>
      </c>
      <c r="K428" s="9" t="s">
        <v>101</v>
      </c>
      <c r="L428" s="9">
        <v>46196.929872685185</v>
      </c>
      <c r="M428" s="9"/>
      <c r="N428" s="9"/>
      <c r="O428" s="9" t="s">
        <v>2178</v>
      </c>
      <c r="P428" s="9" t="s">
        <v>2179</v>
      </c>
      <c r="Q428" s="9" t="s">
        <v>1925</v>
      </c>
      <c r="R428" s="9" t="s">
        <v>1746</v>
      </c>
      <c r="S428" s="9" t="s">
        <v>2045</v>
      </c>
      <c r="T428" s="9" t="s">
        <v>2193</v>
      </c>
      <c r="U428" s="9" t="s">
        <v>2182</v>
      </c>
      <c r="V428" s="9">
        <v>32822</v>
      </c>
      <c r="W428" s="9">
        <v>6</v>
      </c>
      <c r="X428" s="9">
        <v>2030</v>
      </c>
      <c r="Y428" s="9">
        <v>6709</v>
      </c>
      <c r="Z428" s="9">
        <v>6</v>
      </c>
      <c r="AA428" s="9"/>
      <c r="AB428" s="9" t="s">
        <v>73</v>
      </c>
      <c r="AC428" s="9">
        <v>2030</v>
      </c>
      <c r="AD428" s="9" t="s">
        <v>93</v>
      </c>
      <c r="AE428" s="9"/>
      <c r="AF428" s="9" t="s">
        <v>1929</v>
      </c>
      <c r="AG428" s="9"/>
      <c r="AH428" s="9" t="s">
        <v>107</v>
      </c>
      <c r="AI428" s="9">
        <v>0</v>
      </c>
      <c r="AJ428" s="9"/>
      <c r="AK428" s="9">
        <v>0</v>
      </c>
      <c r="AL428" s="9" t="s">
        <v>1930</v>
      </c>
      <c r="AM428" s="9"/>
      <c r="AN428" s="9"/>
      <c r="AO428" s="9" t="s">
        <v>1931</v>
      </c>
      <c r="AP428" s="9" t="s">
        <v>69</v>
      </c>
      <c r="AQ428" s="9" t="s">
        <v>1932</v>
      </c>
      <c r="AR428" s="9"/>
      <c r="AS428" s="9"/>
      <c r="AT428" s="9"/>
      <c r="AU428" s="9" t="s">
        <v>92</v>
      </c>
      <c r="AV428" s="9">
        <v>0</v>
      </c>
      <c r="AW428" s="9"/>
      <c r="AX428" s="9" t="s">
        <v>1002</v>
      </c>
      <c r="AY428" s="9">
        <v>0</v>
      </c>
      <c r="AZ428" s="9"/>
      <c r="BA428" s="9">
        <v>46196.929826388892</v>
      </c>
      <c r="BB428" s="9">
        <v>0</v>
      </c>
      <c r="BC428" s="9">
        <v>1</v>
      </c>
      <c r="BD428" s="9">
        <v>0</v>
      </c>
      <c r="BE428" s="9" t="s">
        <v>717</v>
      </c>
      <c r="BF428" s="9"/>
      <c r="BG428" s="9"/>
      <c r="BH428" s="9">
        <v>0</v>
      </c>
      <c r="BI428" s="9"/>
      <c r="BJ428" s="9">
        <v>1</v>
      </c>
      <c r="BK428" s="9"/>
      <c r="BL428" s="9"/>
      <c r="BM428" s="9" t="s">
        <v>75</v>
      </c>
      <c r="BN428" s="9"/>
      <c r="BO428" s="9">
        <v>0</v>
      </c>
      <c r="BP428" s="9"/>
      <c r="BQ428" s="9">
        <v>1</v>
      </c>
      <c r="BR428" s="9"/>
      <c r="BS428" s="9"/>
      <c r="BT428" s="9"/>
      <c r="BU428" s="9"/>
      <c r="BV428" s="9"/>
      <c r="BW428" s="9">
        <v>0</v>
      </c>
      <c r="BX428" s="9"/>
      <c r="BY428" s="9">
        <v>46196.929826388892</v>
      </c>
      <c r="BZ428" s="9"/>
      <c r="CA428" s="9"/>
      <c r="CB428" s="9"/>
      <c r="CC428" s="9"/>
      <c r="CD428" s="9"/>
      <c r="CE428" s="9"/>
      <c r="CF428" s="9"/>
      <c r="CG428" s="9"/>
      <c r="CH428" s="9">
        <v>1</v>
      </c>
      <c r="CI428" s="9">
        <v>0</v>
      </c>
      <c r="CJ428" s="9"/>
      <c r="CK428" s="9"/>
      <c r="CL428" s="9" t="s">
        <v>2183</v>
      </c>
      <c r="CM428" s="9"/>
      <c r="CN428" s="9">
        <v>0</v>
      </c>
      <c r="CO428" s="9" t="s">
        <v>1925</v>
      </c>
      <c r="CP428" s="9"/>
      <c r="CQ428" s="9">
        <v>0</v>
      </c>
    </row>
    <row r="429" spans="1:95" x14ac:dyDescent="0.35">
      <c r="A429" s="9" t="b">
        <f>ISNUMBER(MATCH(Claude[[#This Row],[Id]],ChargentOrders[Id],0))</f>
        <v>1</v>
      </c>
      <c r="B429" t="b">
        <f>INDEX(ChargentOrders[VALIDO],MATCH(Claude[[#This Row],[Id]],ChargentOrders[Id],0))</f>
        <v>1</v>
      </c>
      <c r="C429">
        <f>INDEX(Contract[CB_Subscription__c],MATCH(Claude[[#This Row],[Contract__c]],Contract[Id],0))</f>
        <v>0</v>
      </c>
      <c r="D429" s="9" t="s">
        <v>1329</v>
      </c>
      <c r="E429" s="9" t="s">
        <v>155</v>
      </c>
      <c r="F429" s="9">
        <v>0</v>
      </c>
      <c r="G429" s="9" t="s">
        <v>1330</v>
      </c>
      <c r="H429" s="9">
        <v>46198.418194444443</v>
      </c>
      <c r="I429" s="9" t="s">
        <v>65</v>
      </c>
      <c r="J429" s="9">
        <v>46217.738564814812</v>
      </c>
      <c r="K429" s="9" t="s">
        <v>78</v>
      </c>
      <c r="L429" s="9">
        <v>46217.738564814812</v>
      </c>
      <c r="M429" s="9"/>
      <c r="N429" s="9" t="s">
        <v>1763</v>
      </c>
      <c r="O429" s="9" t="s">
        <v>2198</v>
      </c>
      <c r="P429" s="9" t="s">
        <v>2199</v>
      </c>
      <c r="Q429" s="9" t="s">
        <v>1925</v>
      </c>
      <c r="R429" s="9" t="s">
        <v>1761</v>
      </c>
      <c r="S429" s="9" t="s">
        <v>2200</v>
      </c>
      <c r="T429" s="9" t="s">
        <v>2201</v>
      </c>
      <c r="U429" s="9" t="s">
        <v>1928</v>
      </c>
      <c r="V429" s="9">
        <v>784</v>
      </c>
      <c r="W429" s="9">
        <v>7</v>
      </c>
      <c r="X429" s="9">
        <v>2030</v>
      </c>
      <c r="Y429" s="9">
        <v>1311</v>
      </c>
      <c r="Z429" s="9">
        <v>7</v>
      </c>
      <c r="AA429" s="9">
        <v>4549519302711310</v>
      </c>
      <c r="AB429" s="9" t="s">
        <v>73</v>
      </c>
      <c r="AC429" s="9">
        <v>2030</v>
      </c>
      <c r="AD429" s="9" t="s">
        <v>449</v>
      </c>
      <c r="AE429" s="9"/>
      <c r="AF429" s="9" t="s">
        <v>1929</v>
      </c>
      <c r="AG429" s="9"/>
      <c r="AH429" s="9" t="s">
        <v>67</v>
      </c>
      <c r="AI429" s="9">
        <v>0</v>
      </c>
      <c r="AJ429" s="9"/>
      <c r="AK429" s="9">
        <v>0</v>
      </c>
      <c r="AL429" s="9" t="s">
        <v>1930</v>
      </c>
      <c r="AM429" s="9">
        <v>1</v>
      </c>
      <c r="AN429" s="9">
        <v>46212</v>
      </c>
      <c r="AO429" s="9" t="s">
        <v>1931</v>
      </c>
      <c r="AP429" s="9" t="s">
        <v>69</v>
      </c>
      <c r="AQ429" s="9" t="s">
        <v>1932</v>
      </c>
      <c r="AR429" s="9">
        <v>46212</v>
      </c>
      <c r="AS429" s="9" t="s">
        <v>84</v>
      </c>
      <c r="AT429" s="9" t="s">
        <v>1935</v>
      </c>
      <c r="AU429" s="9" t="s">
        <v>449</v>
      </c>
      <c r="AV429" s="9">
        <v>0</v>
      </c>
      <c r="AW429" s="9" t="s">
        <v>92</v>
      </c>
      <c r="AX429" s="9" t="s">
        <v>755</v>
      </c>
      <c r="AY429" s="9">
        <v>0</v>
      </c>
      <c r="AZ429" s="9"/>
      <c r="BA429" s="9"/>
      <c r="BB429" s="9">
        <v>0</v>
      </c>
      <c r="BC429" s="9">
        <v>5</v>
      </c>
      <c r="BD429" s="9">
        <v>0</v>
      </c>
      <c r="BE429" s="9" t="s">
        <v>752</v>
      </c>
      <c r="BF429" s="9" t="s">
        <v>71</v>
      </c>
      <c r="BG429" s="9"/>
      <c r="BH429" s="9">
        <v>0</v>
      </c>
      <c r="BI429" s="9"/>
      <c r="BJ429" s="9"/>
      <c r="BK429" s="9" t="s">
        <v>92</v>
      </c>
      <c r="BL429" s="9" t="s">
        <v>92</v>
      </c>
      <c r="BM429" s="9" t="s">
        <v>72</v>
      </c>
      <c r="BN429" s="9"/>
      <c r="BO429" s="9">
        <v>1</v>
      </c>
      <c r="BP429" s="9" t="s">
        <v>1331</v>
      </c>
      <c r="BQ429" s="9">
        <v>0</v>
      </c>
      <c r="BR429" s="9">
        <v>46079.422094907408</v>
      </c>
      <c r="BS429" s="9" t="s">
        <v>109</v>
      </c>
      <c r="BT429" s="9" t="s">
        <v>65</v>
      </c>
      <c r="BU429" s="9"/>
      <c r="BV429" s="9"/>
      <c r="BW429" s="9">
        <v>0</v>
      </c>
      <c r="BX429" s="9">
        <v>46209.422395833331</v>
      </c>
      <c r="BY429" s="9">
        <v>46209.422395833331</v>
      </c>
      <c r="BZ429" s="9"/>
      <c r="CA429" s="9"/>
      <c r="CB429" s="9"/>
      <c r="CC429" s="9"/>
      <c r="CD429" s="9"/>
      <c r="CE429" s="9"/>
      <c r="CF429" s="9"/>
      <c r="CG429" s="9"/>
      <c r="CH429" s="9">
        <v>1</v>
      </c>
      <c r="CI429" s="9">
        <v>0</v>
      </c>
      <c r="CJ429" s="9"/>
      <c r="CK429" s="9"/>
      <c r="CL429" s="9" t="s">
        <v>2202</v>
      </c>
      <c r="CM429" s="9"/>
      <c r="CN429" s="9">
        <v>0</v>
      </c>
      <c r="CO429" s="9" t="s">
        <v>1925</v>
      </c>
      <c r="CP429" s="9" t="s">
        <v>2270</v>
      </c>
      <c r="CQ429" s="9">
        <v>0</v>
      </c>
    </row>
    <row r="430" spans="1:95" x14ac:dyDescent="0.35">
      <c r="A430" s="9" t="b">
        <f>ISNUMBER(MATCH(Claude[[#This Row],[Id]],ChargentOrders[Id],0))</f>
        <v>1</v>
      </c>
      <c r="B430" t="b">
        <f>INDEX(ChargentOrders[VALIDO],MATCH(Claude[[#This Row],[Id]],ChargentOrders[Id],0))</f>
        <v>1</v>
      </c>
      <c r="C430">
        <f>INDEX(Contract[CB_Subscription__c],MATCH(Claude[[#This Row],[Contract__c]],Contract[Id],0))</f>
        <v>0</v>
      </c>
      <c r="D430" s="9" t="s">
        <v>1332</v>
      </c>
      <c r="E430" s="9" t="s">
        <v>79</v>
      </c>
      <c r="F430" s="9">
        <v>0</v>
      </c>
      <c r="G430" s="9" t="s">
        <v>1333</v>
      </c>
      <c r="H430" s="9">
        <v>46199.417164351849</v>
      </c>
      <c r="I430" s="9" t="s">
        <v>65</v>
      </c>
      <c r="J430" s="9">
        <v>46217.739004629628</v>
      </c>
      <c r="K430" s="9" t="s">
        <v>78</v>
      </c>
      <c r="L430" s="9">
        <v>46217.739004629628</v>
      </c>
      <c r="M430" s="9"/>
      <c r="N430" s="9" t="s">
        <v>1753</v>
      </c>
      <c r="O430" s="9" t="s">
        <v>2185</v>
      </c>
      <c r="P430" s="9" t="s">
        <v>2186</v>
      </c>
      <c r="Q430" s="9" t="s">
        <v>1925</v>
      </c>
      <c r="R430" s="9" t="s">
        <v>1751</v>
      </c>
      <c r="S430" s="9" t="s">
        <v>2187</v>
      </c>
      <c r="T430" s="9" t="s">
        <v>2029</v>
      </c>
      <c r="U430" s="9" t="s">
        <v>1928</v>
      </c>
      <c r="V430" s="9">
        <v>692</v>
      </c>
      <c r="W430" s="9">
        <v>9</v>
      </c>
      <c r="X430" s="9">
        <v>2028</v>
      </c>
      <c r="Y430" s="9">
        <v>799</v>
      </c>
      <c r="Z430" s="9">
        <v>9</v>
      </c>
      <c r="AA430" s="9">
        <v>799</v>
      </c>
      <c r="AB430" s="9" t="s">
        <v>73</v>
      </c>
      <c r="AC430" s="9">
        <v>2028</v>
      </c>
      <c r="AD430" s="9" t="s">
        <v>993</v>
      </c>
      <c r="AE430" s="9"/>
      <c r="AF430" s="9" t="s">
        <v>1929</v>
      </c>
      <c r="AG430" s="9"/>
      <c r="AH430" s="9" t="s">
        <v>67</v>
      </c>
      <c r="AI430" s="9">
        <v>0</v>
      </c>
      <c r="AJ430" s="9"/>
      <c r="AK430" s="9">
        <v>0</v>
      </c>
      <c r="AL430" s="9" t="s">
        <v>1930</v>
      </c>
      <c r="AM430" s="9">
        <v>1</v>
      </c>
      <c r="AN430" s="9">
        <v>46205</v>
      </c>
      <c r="AO430" s="9" t="s">
        <v>1931</v>
      </c>
      <c r="AP430" s="9" t="s">
        <v>69</v>
      </c>
      <c r="AQ430" s="9" t="s">
        <v>1932</v>
      </c>
      <c r="AR430" s="9">
        <v>46205</v>
      </c>
      <c r="AS430" s="9" t="s">
        <v>84</v>
      </c>
      <c r="AT430" s="9" t="s">
        <v>1935</v>
      </c>
      <c r="AU430" s="9" t="s">
        <v>993</v>
      </c>
      <c r="AV430" s="9">
        <v>0</v>
      </c>
      <c r="AW430" s="9" t="s">
        <v>92</v>
      </c>
      <c r="AX430" s="9" t="s">
        <v>731</v>
      </c>
      <c r="AY430" s="9">
        <v>0</v>
      </c>
      <c r="AZ430" s="9"/>
      <c r="BA430" s="9"/>
      <c r="BB430" s="9">
        <v>0</v>
      </c>
      <c r="BC430" s="9">
        <v>1</v>
      </c>
      <c r="BD430" s="9">
        <v>0</v>
      </c>
      <c r="BE430" s="9" t="s">
        <v>732</v>
      </c>
      <c r="BF430" s="9" t="s">
        <v>71</v>
      </c>
      <c r="BG430" s="9"/>
      <c r="BH430" s="9">
        <v>0</v>
      </c>
      <c r="BI430" s="9"/>
      <c r="BJ430" s="9"/>
      <c r="BK430" s="9" t="s">
        <v>92</v>
      </c>
      <c r="BL430" s="9" t="s">
        <v>92</v>
      </c>
      <c r="BM430" s="9" t="s">
        <v>72</v>
      </c>
      <c r="BN430" s="9"/>
      <c r="BO430" s="9">
        <v>1</v>
      </c>
      <c r="BP430" s="9" t="s">
        <v>1334</v>
      </c>
      <c r="BQ430" s="9">
        <v>0</v>
      </c>
      <c r="BR430" s="9">
        <v>46039.416909722226</v>
      </c>
      <c r="BS430" s="9" t="s">
        <v>109</v>
      </c>
      <c r="BT430" s="9" t="s">
        <v>65</v>
      </c>
      <c r="BU430" s="9"/>
      <c r="BV430" s="9"/>
      <c r="BW430" s="9">
        <v>0</v>
      </c>
      <c r="BX430" s="9">
        <v>46202.422974537039</v>
      </c>
      <c r="BY430" s="9">
        <v>46202.422974537039</v>
      </c>
      <c r="BZ430" s="9"/>
      <c r="CA430" s="9"/>
      <c r="CB430" s="9"/>
      <c r="CC430" s="9"/>
      <c r="CD430" s="9"/>
      <c r="CE430" s="9"/>
      <c r="CF430" s="9"/>
      <c r="CG430" s="9"/>
      <c r="CH430" s="9">
        <v>1</v>
      </c>
      <c r="CI430" s="9">
        <v>0</v>
      </c>
      <c r="CJ430" s="9"/>
      <c r="CK430" s="9"/>
      <c r="CL430" s="9" t="s">
        <v>2188</v>
      </c>
      <c r="CM430" s="9"/>
      <c r="CN430" s="9">
        <v>0</v>
      </c>
      <c r="CO430" s="9" t="s">
        <v>1925</v>
      </c>
      <c r="CP430" s="9" t="s">
        <v>2212</v>
      </c>
      <c r="CQ430" s="9">
        <v>0</v>
      </c>
    </row>
    <row r="431" spans="1:95" x14ac:dyDescent="0.35">
      <c r="A431" s="9" t="b">
        <f>ISNUMBER(MATCH(Claude[[#This Row],[Id]],ChargentOrders[Id],0))</f>
        <v>1</v>
      </c>
      <c r="B431" t="b">
        <f>INDEX(ChargentOrders[VALIDO],MATCH(Claude[[#This Row],[Id]],ChargentOrders[Id],0))</f>
        <v>1</v>
      </c>
      <c r="C431">
        <f>INDEX(Contract[CB_Subscription__c],MATCH(Claude[[#This Row],[Contract__c]],Contract[Id],0))</f>
        <v>0</v>
      </c>
      <c r="D431" s="9" t="s">
        <v>1336</v>
      </c>
      <c r="E431" s="9" t="s">
        <v>155</v>
      </c>
      <c r="F431" s="9">
        <v>0</v>
      </c>
      <c r="G431" s="9" t="s">
        <v>1337</v>
      </c>
      <c r="H431" s="9">
        <v>46202.422233796293</v>
      </c>
      <c r="I431" s="9" t="s">
        <v>65</v>
      </c>
      <c r="J431" s="9">
        <v>46217.738564814812</v>
      </c>
      <c r="K431" s="9" t="s">
        <v>78</v>
      </c>
      <c r="L431" s="9">
        <v>46217.738564814812</v>
      </c>
      <c r="M431" s="9"/>
      <c r="N431" s="9" t="s">
        <v>1828</v>
      </c>
      <c r="O431" s="9" t="s">
        <v>2272</v>
      </c>
      <c r="P431" s="9" t="s">
        <v>2273</v>
      </c>
      <c r="Q431" s="9" t="s">
        <v>1925</v>
      </c>
      <c r="R431" s="9" t="s">
        <v>1826</v>
      </c>
      <c r="S431" s="9" t="s">
        <v>2274</v>
      </c>
      <c r="T431" s="9" t="s">
        <v>2275</v>
      </c>
      <c r="U431" s="9" t="s">
        <v>1928</v>
      </c>
      <c r="V431" s="9" t="s">
        <v>2276</v>
      </c>
      <c r="W431" s="9">
        <v>2</v>
      </c>
      <c r="X431" s="9">
        <v>2030</v>
      </c>
      <c r="Y431" s="9">
        <v>5247</v>
      </c>
      <c r="Z431" s="9">
        <v>2</v>
      </c>
      <c r="AA431" s="9">
        <v>4549518632905240</v>
      </c>
      <c r="AB431" s="9" t="s">
        <v>73</v>
      </c>
      <c r="AC431" s="9">
        <v>2030</v>
      </c>
      <c r="AD431" s="9" t="s">
        <v>449</v>
      </c>
      <c r="AE431" s="9"/>
      <c r="AF431" s="9" t="s">
        <v>1929</v>
      </c>
      <c r="AG431" s="9"/>
      <c r="AH431" s="9" t="s">
        <v>67</v>
      </c>
      <c r="AI431" s="9">
        <v>0</v>
      </c>
      <c r="AJ431" s="9"/>
      <c r="AK431" s="9">
        <v>0</v>
      </c>
      <c r="AL431" s="9" t="s">
        <v>1930</v>
      </c>
      <c r="AM431" s="9">
        <v>1</v>
      </c>
      <c r="AN431" s="9">
        <v>46212</v>
      </c>
      <c r="AO431" s="9" t="s">
        <v>1931</v>
      </c>
      <c r="AP431" s="9" t="s">
        <v>69</v>
      </c>
      <c r="AQ431" s="9" t="s">
        <v>1932</v>
      </c>
      <c r="AR431" s="9">
        <v>46212</v>
      </c>
      <c r="AS431" s="9" t="s">
        <v>84</v>
      </c>
      <c r="AT431" s="9" t="s">
        <v>1935</v>
      </c>
      <c r="AU431" s="9" t="s">
        <v>449</v>
      </c>
      <c r="AV431" s="9">
        <v>0</v>
      </c>
      <c r="AW431" s="9" t="s">
        <v>92</v>
      </c>
      <c r="AX431" s="9" t="s">
        <v>1176</v>
      </c>
      <c r="AY431" s="9">
        <v>0</v>
      </c>
      <c r="AZ431" s="9"/>
      <c r="BA431" s="9"/>
      <c r="BB431" s="9">
        <v>0</v>
      </c>
      <c r="BC431" s="9">
        <v>3</v>
      </c>
      <c r="BD431" s="9">
        <v>0</v>
      </c>
      <c r="BE431" s="9" t="s">
        <v>1177</v>
      </c>
      <c r="BF431" s="9" t="s">
        <v>71</v>
      </c>
      <c r="BG431" s="9"/>
      <c r="BH431" s="9">
        <v>0</v>
      </c>
      <c r="BI431" s="9"/>
      <c r="BJ431" s="9"/>
      <c r="BK431" s="9" t="s">
        <v>92</v>
      </c>
      <c r="BL431" s="9" t="s">
        <v>92</v>
      </c>
      <c r="BM431" s="9" t="s">
        <v>72</v>
      </c>
      <c r="BN431" s="9"/>
      <c r="BO431" s="9">
        <v>1</v>
      </c>
      <c r="BP431" s="9" t="s">
        <v>1338</v>
      </c>
      <c r="BQ431" s="9">
        <v>0</v>
      </c>
      <c r="BR431" s="9">
        <v>46171.425532407404</v>
      </c>
      <c r="BS431" s="9" t="s">
        <v>109</v>
      </c>
      <c r="BT431" s="9" t="s">
        <v>65</v>
      </c>
      <c r="BU431" s="9"/>
      <c r="BV431" s="9"/>
      <c r="BW431" s="9">
        <v>0</v>
      </c>
      <c r="BX431" s="9">
        <v>46209.422488425924</v>
      </c>
      <c r="BY431" s="9">
        <v>46209.422488425924</v>
      </c>
      <c r="BZ431" s="9"/>
      <c r="CA431" s="9"/>
      <c r="CB431" s="9"/>
      <c r="CC431" s="9"/>
      <c r="CD431" s="9"/>
      <c r="CE431" s="9"/>
      <c r="CF431" s="9"/>
      <c r="CG431" s="9"/>
      <c r="CH431" s="9">
        <v>1</v>
      </c>
      <c r="CI431" s="9">
        <v>0</v>
      </c>
      <c r="CJ431" s="9"/>
      <c r="CK431" s="9"/>
      <c r="CL431" s="9" t="s">
        <v>2277</v>
      </c>
      <c r="CM431" s="9"/>
      <c r="CN431" s="9">
        <v>0</v>
      </c>
      <c r="CO431" s="9" t="s">
        <v>1925</v>
      </c>
      <c r="CP431" s="9"/>
      <c r="CQ431" s="9">
        <v>0</v>
      </c>
    </row>
    <row r="432" spans="1:95" x14ac:dyDescent="0.35">
      <c r="A432" s="9" t="b">
        <f>ISNUMBER(MATCH(Claude[[#This Row],[Id]],ChargentOrders[Id],0))</f>
        <v>1</v>
      </c>
      <c r="B432" t="b">
        <f>INDEX(ChargentOrders[VALIDO],MATCH(Claude[[#This Row],[Id]],ChargentOrders[Id],0))</f>
        <v>1</v>
      </c>
      <c r="C432">
        <f>INDEX(Contract[CB_Subscription__c],MATCH(Claude[[#This Row],[Contract__c]],Contract[Id],0))</f>
        <v>0</v>
      </c>
      <c r="D432" s="9" t="s">
        <v>1339</v>
      </c>
      <c r="E432" s="9" t="s">
        <v>155</v>
      </c>
      <c r="F432" s="9">
        <v>0</v>
      </c>
      <c r="G432" s="9" t="s">
        <v>1340</v>
      </c>
      <c r="H432" s="9">
        <v>46202.422384259262</v>
      </c>
      <c r="I432" s="9" t="s">
        <v>65</v>
      </c>
      <c r="J432" s="9">
        <v>46217.738564814812</v>
      </c>
      <c r="K432" s="9" t="s">
        <v>78</v>
      </c>
      <c r="L432" s="9">
        <v>46217.738564814812</v>
      </c>
      <c r="M432" s="9"/>
      <c r="N432" s="9" t="s">
        <v>1848</v>
      </c>
      <c r="O432" s="9" t="s">
        <v>2292</v>
      </c>
      <c r="P432" s="9" t="s">
        <v>2293</v>
      </c>
      <c r="Q432" s="9" t="s">
        <v>1925</v>
      </c>
      <c r="R432" s="9" t="s">
        <v>1846</v>
      </c>
      <c r="S432" s="9" t="s">
        <v>2294</v>
      </c>
      <c r="T432" s="9" t="s">
        <v>2295</v>
      </c>
      <c r="U432" s="9" t="s">
        <v>1928</v>
      </c>
      <c r="V432" s="9">
        <v>953</v>
      </c>
      <c r="W432" s="9">
        <v>7</v>
      </c>
      <c r="X432" s="9">
        <v>2029</v>
      </c>
      <c r="Y432" s="9">
        <v>9490</v>
      </c>
      <c r="Z432" s="9">
        <v>7</v>
      </c>
      <c r="AA432" s="9">
        <v>4549518240099490</v>
      </c>
      <c r="AB432" s="9" t="s">
        <v>73</v>
      </c>
      <c r="AC432" s="9">
        <v>2029</v>
      </c>
      <c r="AD432" s="9" t="s">
        <v>449</v>
      </c>
      <c r="AE432" s="9"/>
      <c r="AF432" s="9" t="s">
        <v>1929</v>
      </c>
      <c r="AG432" s="9"/>
      <c r="AH432" s="9" t="s">
        <v>67</v>
      </c>
      <c r="AI432" s="9">
        <v>0</v>
      </c>
      <c r="AJ432" s="9"/>
      <c r="AK432" s="9">
        <v>0</v>
      </c>
      <c r="AL432" s="9" t="s">
        <v>1930</v>
      </c>
      <c r="AM432" s="9">
        <v>1</v>
      </c>
      <c r="AN432" s="9">
        <v>46212</v>
      </c>
      <c r="AO432" s="9" t="s">
        <v>1931</v>
      </c>
      <c r="AP432" s="9" t="s">
        <v>69</v>
      </c>
      <c r="AQ432" s="9" t="s">
        <v>1932</v>
      </c>
      <c r="AR432" s="9">
        <v>46212</v>
      </c>
      <c r="AS432" s="9" t="s">
        <v>84</v>
      </c>
      <c r="AT432" s="9" t="s">
        <v>1935</v>
      </c>
      <c r="AU432" s="9" t="s">
        <v>449</v>
      </c>
      <c r="AV432" s="9">
        <v>0</v>
      </c>
      <c r="AW432" s="9" t="s">
        <v>92</v>
      </c>
      <c r="AX432" s="9" t="s">
        <v>1214</v>
      </c>
      <c r="AY432" s="9">
        <v>0</v>
      </c>
      <c r="AZ432" s="9"/>
      <c r="BA432" s="9"/>
      <c r="BB432" s="9">
        <v>0</v>
      </c>
      <c r="BC432" s="9">
        <v>3</v>
      </c>
      <c r="BD432" s="9">
        <v>0</v>
      </c>
      <c r="BE432" s="9" t="s">
        <v>1215</v>
      </c>
      <c r="BF432" s="9" t="s">
        <v>71</v>
      </c>
      <c r="BG432" s="9"/>
      <c r="BH432" s="9">
        <v>0</v>
      </c>
      <c r="BI432" s="9"/>
      <c r="BJ432" s="9"/>
      <c r="BK432" s="9" t="s">
        <v>92</v>
      </c>
      <c r="BL432" s="9" t="s">
        <v>92</v>
      </c>
      <c r="BM432" s="9" t="s">
        <v>72</v>
      </c>
      <c r="BN432" s="9"/>
      <c r="BO432" s="9">
        <v>1</v>
      </c>
      <c r="BP432" s="9" t="s">
        <v>1341</v>
      </c>
      <c r="BQ432" s="9">
        <v>0</v>
      </c>
      <c r="BR432" s="9">
        <v>46171.425949074073</v>
      </c>
      <c r="BS432" s="9" t="s">
        <v>109</v>
      </c>
      <c r="BT432" s="9" t="s">
        <v>65</v>
      </c>
      <c r="BU432" s="9"/>
      <c r="BV432" s="9"/>
      <c r="BW432" s="9">
        <v>0</v>
      </c>
      <c r="BX432" s="9">
        <v>46209.422500000001</v>
      </c>
      <c r="BY432" s="9">
        <v>46209.422500000001</v>
      </c>
      <c r="BZ432" s="9"/>
      <c r="CA432" s="9"/>
      <c r="CB432" s="9"/>
      <c r="CC432" s="9"/>
      <c r="CD432" s="9"/>
      <c r="CE432" s="9"/>
      <c r="CF432" s="9"/>
      <c r="CG432" s="9"/>
      <c r="CH432" s="9">
        <v>1</v>
      </c>
      <c r="CI432" s="9">
        <v>0</v>
      </c>
      <c r="CJ432" s="9"/>
      <c r="CK432" s="9"/>
      <c r="CL432" s="9" t="s">
        <v>2296</v>
      </c>
      <c r="CM432" s="9"/>
      <c r="CN432" s="9">
        <v>0</v>
      </c>
      <c r="CO432" s="9" t="s">
        <v>1925</v>
      </c>
      <c r="CP432" s="9"/>
      <c r="CQ432" s="9">
        <v>0</v>
      </c>
    </row>
    <row r="433" spans="1:95" x14ac:dyDescent="0.35">
      <c r="A433" s="9" t="b">
        <f>ISNUMBER(MATCH(Claude[[#This Row],[Id]],ChargentOrders[Id],0))</f>
        <v>1</v>
      </c>
      <c r="B433" t="b">
        <f>INDEX(ChargentOrders[VALIDO],MATCH(Claude[[#This Row],[Id]],ChargentOrders[Id],0))</f>
        <v>1</v>
      </c>
      <c r="C433">
        <f>INDEX(Contract[CB_Subscription__c],MATCH(Claude[[#This Row],[Contract__c]],Contract[Id],0))</f>
        <v>0</v>
      </c>
      <c r="D433" s="9" t="s">
        <v>1342</v>
      </c>
      <c r="E433" s="9" t="s">
        <v>79</v>
      </c>
      <c r="F433" s="9">
        <v>0</v>
      </c>
      <c r="G433" s="9" t="s">
        <v>1343</v>
      </c>
      <c r="H433" s="9">
        <v>46202.855381944442</v>
      </c>
      <c r="I433" s="9" t="s">
        <v>101</v>
      </c>
      <c r="J433" s="9">
        <v>46217.738564814812</v>
      </c>
      <c r="K433" s="9" t="s">
        <v>78</v>
      </c>
      <c r="L433" s="9">
        <v>46217.738564814812</v>
      </c>
      <c r="M433" s="9"/>
      <c r="N433" s="9" t="s">
        <v>1988</v>
      </c>
      <c r="O433" s="9" t="s">
        <v>1982</v>
      </c>
      <c r="P433" s="9" t="s">
        <v>1983</v>
      </c>
      <c r="Q433" s="9" t="s">
        <v>1925</v>
      </c>
      <c r="R433" s="9" t="s">
        <v>1984</v>
      </c>
      <c r="S433" s="9" t="s">
        <v>1985</v>
      </c>
      <c r="T433" s="9" t="s">
        <v>1986</v>
      </c>
      <c r="U433" s="9" t="s">
        <v>1928</v>
      </c>
      <c r="V433" s="9">
        <v>771</v>
      </c>
      <c r="W433" s="9">
        <v>7</v>
      </c>
      <c r="X433" s="9">
        <v>2029</v>
      </c>
      <c r="Y433" s="9">
        <v>4040</v>
      </c>
      <c r="Z433" s="9">
        <v>7</v>
      </c>
      <c r="AA433" s="9">
        <v>4040</v>
      </c>
      <c r="AB433" s="9" t="s">
        <v>66</v>
      </c>
      <c r="AC433" s="9">
        <v>2029</v>
      </c>
      <c r="AD433" s="9" t="s">
        <v>2087</v>
      </c>
      <c r="AE433" s="9"/>
      <c r="AF433" s="9" t="s">
        <v>1929</v>
      </c>
      <c r="AG433" s="9"/>
      <c r="AH433" s="9" t="s">
        <v>67</v>
      </c>
      <c r="AI433" s="9">
        <v>0</v>
      </c>
      <c r="AJ433" s="9"/>
      <c r="AK433" s="9">
        <v>0</v>
      </c>
      <c r="AL433" s="9" t="s">
        <v>1930</v>
      </c>
      <c r="AM433" s="9" t="s">
        <v>1958</v>
      </c>
      <c r="AN433" s="9">
        <v>46213</v>
      </c>
      <c r="AO433" s="9" t="s">
        <v>1931</v>
      </c>
      <c r="AP433" s="9" t="s">
        <v>69</v>
      </c>
      <c r="AQ433" s="9" t="s">
        <v>1932</v>
      </c>
      <c r="AR433" s="9">
        <v>46213</v>
      </c>
      <c r="AS433" s="9" t="s">
        <v>84</v>
      </c>
      <c r="AT433" s="9" t="s">
        <v>1935</v>
      </c>
      <c r="AU433" s="9" t="s">
        <v>1952</v>
      </c>
      <c r="AV433" s="9">
        <v>0</v>
      </c>
      <c r="AW433" s="9" t="s">
        <v>93</v>
      </c>
      <c r="AX433" s="9" t="s">
        <v>219</v>
      </c>
      <c r="AY433" s="9">
        <v>0</v>
      </c>
      <c r="AZ433" s="9"/>
      <c r="BA433" s="9"/>
      <c r="BB433" s="9">
        <v>0</v>
      </c>
      <c r="BC433" s="9">
        <v>4</v>
      </c>
      <c r="BD433" s="9">
        <v>0</v>
      </c>
      <c r="BE433" s="9" t="s">
        <v>220</v>
      </c>
      <c r="BF433" s="9" t="s">
        <v>71</v>
      </c>
      <c r="BG433" s="9"/>
      <c r="BH433" s="9">
        <v>0</v>
      </c>
      <c r="BI433" s="9"/>
      <c r="BJ433" s="9">
        <v>15</v>
      </c>
      <c r="BK433" s="9" t="s">
        <v>92</v>
      </c>
      <c r="BL433" s="9" t="s">
        <v>92</v>
      </c>
      <c r="BM433" s="9" t="s">
        <v>72</v>
      </c>
      <c r="BN433" s="9"/>
      <c r="BO433" s="9">
        <v>1</v>
      </c>
      <c r="BP433" s="9" t="s">
        <v>1344</v>
      </c>
      <c r="BQ433" s="9">
        <v>0</v>
      </c>
      <c r="BR433" s="9">
        <v>45716.429675925923</v>
      </c>
      <c r="BS433" s="9" t="s">
        <v>109</v>
      </c>
      <c r="BT433" s="9" t="s">
        <v>101</v>
      </c>
      <c r="BU433" s="9"/>
      <c r="BV433" s="9"/>
      <c r="BW433" s="9">
        <v>0</v>
      </c>
      <c r="BX433" s="9">
        <v>46211.011469907404</v>
      </c>
      <c r="BY433" s="9">
        <v>46211.011469907404</v>
      </c>
      <c r="BZ433" s="9"/>
      <c r="CA433" s="9"/>
      <c r="CB433" s="9"/>
      <c r="CC433" s="9"/>
      <c r="CD433" s="9"/>
      <c r="CE433" s="9"/>
      <c r="CF433" s="9"/>
      <c r="CG433" s="9"/>
      <c r="CH433" s="9">
        <v>1</v>
      </c>
      <c r="CI433" s="9">
        <v>0</v>
      </c>
      <c r="CJ433" s="9"/>
      <c r="CK433" s="9"/>
      <c r="CL433" s="9" t="s">
        <v>1987</v>
      </c>
      <c r="CM433" s="9"/>
      <c r="CN433" s="9">
        <v>0</v>
      </c>
      <c r="CO433" s="9" t="s">
        <v>1925</v>
      </c>
      <c r="CP433" s="9" t="s">
        <v>1996</v>
      </c>
      <c r="CQ433" s="9">
        <v>0</v>
      </c>
    </row>
    <row r="434" spans="1:95" x14ac:dyDescent="0.35">
      <c r="A434" s="9" t="b">
        <f>ISNUMBER(MATCH(Claude[[#This Row],[Id]],ChargentOrders[Id],0))</f>
        <v>1</v>
      </c>
      <c r="B434" t="b">
        <f>INDEX(ChargentOrders[VALIDO],MATCH(Claude[[#This Row],[Id]],ChargentOrders[Id],0))</f>
        <v>1</v>
      </c>
      <c r="C434">
        <f>INDEX(Contract[CB_Subscription__c],MATCH(Claude[[#This Row],[Contract__c]],Contract[Id],0))</f>
        <v>0</v>
      </c>
      <c r="D434" s="9" t="s">
        <v>1345</v>
      </c>
      <c r="E434" s="9" t="s">
        <v>79</v>
      </c>
      <c r="F434" s="9">
        <v>0</v>
      </c>
      <c r="G434" s="9" t="s">
        <v>1346</v>
      </c>
      <c r="H434" s="9">
        <v>46202.863703703704</v>
      </c>
      <c r="I434" s="9" t="s">
        <v>101</v>
      </c>
      <c r="J434" s="9">
        <v>46217.738564814812</v>
      </c>
      <c r="K434" s="9" t="s">
        <v>78</v>
      </c>
      <c r="L434" s="9">
        <v>46217.738564814812</v>
      </c>
      <c r="M434" s="9"/>
      <c r="N434" s="9" t="s">
        <v>1634</v>
      </c>
      <c r="O434" s="9" t="s">
        <v>2037</v>
      </c>
      <c r="P434" s="9" t="s">
        <v>1983</v>
      </c>
      <c r="Q434" s="9" t="s">
        <v>1925</v>
      </c>
      <c r="R434" s="9" t="s">
        <v>1632</v>
      </c>
      <c r="S434" s="9" t="s">
        <v>2038</v>
      </c>
      <c r="T434" s="9" t="s">
        <v>2039</v>
      </c>
      <c r="U434" s="9" t="s">
        <v>1928</v>
      </c>
      <c r="V434" s="9">
        <v>771</v>
      </c>
      <c r="W434" s="9">
        <v>7</v>
      </c>
      <c r="X434" s="9">
        <v>2027</v>
      </c>
      <c r="Y434" s="9">
        <v>233</v>
      </c>
      <c r="Z434" s="9">
        <v>7</v>
      </c>
      <c r="AA434" s="9"/>
      <c r="AB434" s="9" t="s">
        <v>66</v>
      </c>
      <c r="AC434" s="9">
        <v>2027</v>
      </c>
      <c r="AD434" s="9" t="s">
        <v>1952</v>
      </c>
      <c r="AE434" s="9"/>
      <c r="AF434" s="9" t="s">
        <v>1929</v>
      </c>
      <c r="AG434" s="9"/>
      <c r="AH434" s="9" t="s">
        <v>107</v>
      </c>
      <c r="AI434" s="9">
        <v>0</v>
      </c>
      <c r="AJ434" s="9"/>
      <c r="AK434" s="9">
        <v>0</v>
      </c>
      <c r="AL434" s="9" t="s">
        <v>1930</v>
      </c>
      <c r="AM434" s="9">
        <v>1</v>
      </c>
      <c r="AN434" s="9">
        <v>46212</v>
      </c>
      <c r="AO434" s="9" t="s">
        <v>1931</v>
      </c>
      <c r="AP434" s="9" t="s">
        <v>69</v>
      </c>
      <c r="AQ434" s="9" t="s">
        <v>1932</v>
      </c>
      <c r="AR434" s="9">
        <v>46212</v>
      </c>
      <c r="AS434" s="9" t="s">
        <v>84</v>
      </c>
      <c r="AT434" s="9" t="s">
        <v>1935</v>
      </c>
      <c r="AU434" s="9" t="s">
        <v>1952</v>
      </c>
      <c r="AV434" s="9">
        <v>0</v>
      </c>
      <c r="AW434" s="9" t="s">
        <v>92</v>
      </c>
      <c r="AX434" s="9" t="s">
        <v>368</v>
      </c>
      <c r="AY434" s="9">
        <v>0</v>
      </c>
      <c r="AZ434" s="9"/>
      <c r="BA434" s="9"/>
      <c r="BB434" s="9">
        <v>0</v>
      </c>
      <c r="BC434" s="9">
        <v>3</v>
      </c>
      <c r="BD434" s="9">
        <v>0</v>
      </c>
      <c r="BE434" s="9" t="s">
        <v>369</v>
      </c>
      <c r="BF434" s="9" t="s">
        <v>71</v>
      </c>
      <c r="BG434" s="9"/>
      <c r="BH434" s="9">
        <v>0</v>
      </c>
      <c r="BI434" s="9"/>
      <c r="BJ434" s="9">
        <v>10</v>
      </c>
      <c r="BK434" s="9" t="s">
        <v>92</v>
      </c>
      <c r="BL434" s="9" t="s">
        <v>92</v>
      </c>
      <c r="BM434" s="9" t="s">
        <v>72</v>
      </c>
      <c r="BN434" s="9"/>
      <c r="BO434" s="9">
        <v>1</v>
      </c>
      <c r="BP434" s="9" t="s">
        <v>1347</v>
      </c>
      <c r="BQ434" s="9">
        <v>0</v>
      </c>
      <c r="BR434" s="9">
        <v>45849.623969907407</v>
      </c>
      <c r="BS434" s="9" t="s">
        <v>109</v>
      </c>
      <c r="BT434" s="9" t="s">
        <v>101</v>
      </c>
      <c r="BU434" s="9"/>
      <c r="BV434" s="9"/>
      <c r="BW434" s="9">
        <v>0</v>
      </c>
      <c r="BX434" s="9"/>
      <c r="BY434" s="9">
        <v>46209.422523148147</v>
      </c>
      <c r="BZ434" s="9"/>
      <c r="CA434" s="9"/>
      <c r="CB434" s="9"/>
      <c r="CC434" s="9"/>
      <c r="CD434" s="9"/>
      <c r="CE434" s="9"/>
      <c r="CF434" s="9"/>
      <c r="CG434" s="9"/>
      <c r="CH434" s="9">
        <v>1</v>
      </c>
      <c r="CI434" s="9">
        <v>0</v>
      </c>
      <c r="CJ434" s="9"/>
      <c r="CK434" s="9"/>
      <c r="CL434" s="9" t="s">
        <v>2040</v>
      </c>
      <c r="CM434" s="9"/>
      <c r="CN434" s="9">
        <v>0</v>
      </c>
      <c r="CO434" s="9" t="s">
        <v>1925</v>
      </c>
      <c r="CP434" s="9" t="s">
        <v>2042</v>
      </c>
      <c r="CQ434" s="9">
        <v>0</v>
      </c>
    </row>
    <row r="435" spans="1:95" x14ac:dyDescent="0.35">
      <c r="A435" s="9" t="b">
        <f>ISNUMBER(MATCH(Claude[[#This Row],[Id]],ChargentOrders[Id],0))</f>
        <v>1</v>
      </c>
      <c r="B435" t="b">
        <f>INDEX(ChargentOrders[VALIDO],MATCH(Claude[[#This Row],[Id]],ChargentOrders[Id],0))</f>
        <v>1</v>
      </c>
      <c r="C435">
        <f>INDEX(Contract[CB_Subscription__c],MATCH(Claude[[#This Row],[Contract__c]],Contract[Id],0))</f>
        <v>0</v>
      </c>
      <c r="D435" s="9" t="s">
        <v>1348</v>
      </c>
      <c r="E435" s="9" t="s">
        <v>81</v>
      </c>
      <c r="F435" s="9">
        <v>0</v>
      </c>
      <c r="G435" s="9" t="s">
        <v>1349</v>
      </c>
      <c r="H435" s="9">
        <v>46202.865543981483</v>
      </c>
      <c r="I435" s="9" t="s">
        <v>101</v>
      </c>
      <c r="J435" s="9">
        <v>46217.738564814812</v>
      </c>
      <c r="K435" s="9" t="s">
        <v>78</v>
      </c>
      <c r="L435" s="9">
        <v>46217.738564814812</v>
      </c>
      <c r="M435" s="9"/>
      <c r="N435" s="9" t="s">
        <v>1601</v>
      </c>
      <c r="O435" s="9" t="s">
        <v>2005</v>
      </c>
      <c r="P435" s="9" t="s">
        <v>2006</v>
      </c>
      <c r="Q435" s="9" t="s">
        <v>1925</v>
      </c>
      <c r="R435" s="9" t="s">
        <v>1599</v>
      </c>
      <c r="S435" s="9" t="s">
        <v>2007</v>
      </c>
      <c r="T435" s="9" t="s">
        <v>2008</v>
      </c>
      <c r="U435" s="9" t="s">
        <v>1928</v>
      </c>
      <c r="V435" s="9">
        <v>985</v>
      </c>
      <c r="W435" s="9">
        <v>11</v>
      </c>
      <c r="X435" s="9">
        <v>2029</v>
      </c>
      <c r="Y435" s="9">
        <v>6484</v>
      </c>
      <c r="Z435" s="9">
        <v>11</v>
      </c>
      <c r="AA435" s="9">
        <v>6484</v>
      </c>
      <c r="AB435" s="9" t="s">
        <v>73</v>
      </c>
      <c r="AC435" s="9">
        <v>2029</v>
      </c>
      <c r="AD435" s="9" t="s">
        <v>2087</v>
      </c>
      <c r="AE435" s="9"/>
      <c r="AF435" s="9" t="s">
        <v>1929</v>
      </c>
      <c r="AG435" s="9"/>
      <c r="AH435" s="9" t="s">
        <v>67</v>
      </c>
      <c r="AI435" s="9">
        <v>0</v>
      </c>
      <c r="AJ435" s="9"/>
      <c r="AK435" s="9">
        <v>0</v>
      </c>
      <c r="AL435" s="9" t="s">
        <v>1930</v>
      </c>
      <c r="AM435" s="9" t="s">
        <v>1958</v>
      </c>
      <c r="AN435" s="9">
        <v>46213</v>
      </c>
      <c r="AO435" s="9" t="s">
        <v>1931</v>
      </c>
      <c r="AP435" s="9" t="s">
        <v>69</v>
      </c>
      <c r="AQ435" s="9" t="s">
        <v>1932</v>
      </c>
      <c r="AR435" s="9">
        <v>46213</v>
      </c>
      <c r="AS435" s="9" t="s">
        <v>84</v>
      </c>
      <c r="AT435" s="9" t="s">
        <v>1935</v>
      </c>
      <c r="AU435" s="9" t="s">
        <v>1952</v>
      </c>
      <c r="AV435" s="9">
        <v>0</v>
      </c>
      <c r="AW435" s="9" t="s">
        <v>93</v>
      </c>
      <c r="AX435" s="9" t="s">
        <v>264</v>
      </c>
      <c r="AY435" s="9">
        <v>0</v>
      </c>
      <c r="AZ435" s="9"/>
      <c r="BA435" s="9"/>
      <c r="BB435" s="9">
        <v>0</v>
      </c>
      <c r="BC435" s="9">
        <v>4</v>
      </c>
      <c r="BD435" s="9">
        <v>0</v>
      </c>
      <c r="BE435" s="9" t="s">
        <v>265</v>
      </c>
      <c r="BF435" s="9" t="s">
        <v>71</v>
      </c>
      <c r="BG435" s="9"/>
      <c r="BH435" s="9">
        <v>0</v>
      </c>
      <c r="BI435" s="9"/>
      <c r="BJ435" s="9">
        <v>14</v>
      </c>
      <c r="BK435" s="9" t="s">
        <v>92</v>
      </c>
      <c r="BL435" s="9" t="s">
        <v>92</v>
      </c>
      <c r="BM435" s="9" t="s">
        <v>72</v>
      </c>
      <c r="BN435" s="9"/>
      <c r="BO435" s="9">
        <v>1</v>
      </c>
      <c r="BP435" s="9" t="s">
        <v>1350</v>
      </c>
      <c r="BQ435" s="9">
        <v>0</v>
      </c>
      <c r="BR435" s="9">
        <v>45744.431817129633</v>
      </c>
      <c r="BS435" s="9" t="s">
        <v>109</v>
      </c>
      <c r="BT435" s="9" t="s">
        <v>101</v>
      </c>
      <c r="BU435" s="9"/>
      <c r="BV435" s="9"/>
      <c r="BW435" s="9">
        <v>0</v>
      </c>
      <c r="BX435" s="9">
        <v>46211.011921296296</v>
      </c>
      <c r="BY435" s="9">
        <v>46211.011921296296</v>
      </c>
      <c r="BZ435" s="9"/>
      <c r="CA435" s="9"/>
      <c r="CB435" s="9"/>
      <c r="CC435" s="9"/>
      <c r="CD435" s="9"/>
      <c r="CE435" s="9"/>
      <c r="CF435" s="9"/>
      <c r="CG435" s="9"/>
      <c r="CH435" s="9">
        <v>1</v>
      </c>
      <c r="CI435" s="9">
        <v>0</v>
      </c>
      <c r="CJ435" s="9"/>
      <c r="CK435" s="9"/>
      <c r="CL435" s="9" t="s">
        <v>2009</v>
      </c>
      <c r="CM435" s="9"/>
      <c r="CN435" s="9">
        <v>0</v>
      </c>
      <c r="CO435" s="9" t="s">
        <v>1925</v>
      </c>
      <c r="CP435" s="9" t="s">
        <v>2020</v>
      </c>
      <c r="CQ435" s="9">
        <v>0</v>
      </c>
    </row>
    <row r="436" spans="1:95" x14ac:dyDescent="0.35">
      <c r="A436" s="9" t="b">
        <f>ISNUMBER(MATCH(Claude[[#This Row],[Id]],ChargentOrders[Id],0))</f>
        <v>1</v>
      </c>
      <c r="B436" t="b">
        <f>INDEX(ChargentOrders[VALIDO],MATCH(Claude[[#This Row],[Id]],ChargentOrders[Id],0))</f>
        <v>1</v>
      </c>
      <c r="C436">
        <f>INDEX(Contract[CB_Subscription__c],MATCH(Claude[[#This Row],[Contract__c]],Contract[Id],0))</f>
        <v>0</v>
      </c>
      <c r="D436" s="9" t="s">
        <v>1351</v>
      </c>
      <c r="E436" s="9" t="s">
        <v>79</v>
      </c>
      <c r="F436" s="9">
        <v>0</v>
      </c>
      <c r="G436" s="9" t="s">
        <v>1352</v>
      </c>
      <c r="H436" s="9">
        <v>46202.867581018516</v>
      </c>
      <c r="I436" s="9" t="s">
        <v>101</v>
      </c>
      <c r="J436" s="9">
        <v>46217.738564814812</v>
      </c>
      <c r="K436" s="9" t="s">
        <v>78</v>
      </c>
      <c r="L436" s="9">
        <v>46217.738564814812</v>
      </c>
      <c r="M436" s="9"/>
      <c r="N436" s="9" t="s">
        <v>1591</v>
      </c>
      <c r="O436" s="9" t="s">
        <v>1989</v>
      </c>
      <c r="P436" s="9" t="s">
        <v>1990</v>
      </c>
      <c r="Q436" s="9" t="s">
        <v>1925</v>
      </c>
      <c r="R436" s="9" t="s">
        <v>1589</v>
      </c>
      <c r="S436" s="9" t="s">
        <v>1991</v>
      </c>
      <c r="T436" s="9" t="s">
        <v>1992</v>
      </c>
      <c r="U436" s="9" t="s">
        <v>1928</v>
      </c>
      <c r="V436" s="9">
        <v>915</v>
      </c>
      <c r="W436" s="9">
        <v>2</v>
      </c>
      <c r="X436" s="9">
        <v>2030</v>
      </c>
      <c r="Y436" s="9">
        <v>1962</v>
      </c>
      <c r="Z436" s="9">
        <v>2</v>
      </c>
      <c r="AA436" s="9">
        <v>1962</v>
      </c>
      <c r="AB436" s="9" t="s">
        <v>73</v>
      </c>
      <c r="AC436" s="9">
        <v>2030</v>
      </c>
      <c r="AD436" s="9" t="s">
        <v>1952</v>
      </c>
      <c r="AE436" s="9"/>
      <c r="AF436" s="9" t="s">
        <v>1929</v>
      </c>
      <c r="AG436" s="9"/>
      <c r="AH436" s="9" t="s">
        <v>67</v>
      </c>
      <c r="AI436" s="9">
        <v>0</v>
      </c>
      <c r="AJ436" s="9"/>
      <c r="AK436" s="9">
        <v>0</v>
      </c>
      <c r="AL436" s="9" t="s">
        <v>1930</v>
      </c>
      <c r="AM436" s="9">
        <v>1</v>
      </c>
      <c r="AN436" s="9">
        <v>46212</v>
      </c>
      <c r="AO436" s="9" t="s">
        <v>1931</v>
      </c>
      <c r="AP436" s="9" t="s">
        <v>69</v>
      </c>
      <c r="AQ436" s="9" t="s">
        <v>1932</v>
      </c>
      <c r="AR436" s="9">
        <v>46212</v>
      </c>
      <c r="AS436" s="9" t="s">
        <v>84</v>
      </c>
      <c r="AT436" s="9" t="s">
        <v>1935</v>
      </c>
      <c r="AU436" s="9" t="s">
        <v>1952</v>
      </c>
      <c r="AV436" s="9">
        <v>0</v>
      </c>
      <c r="AW436" s="9" t="s">
        <v>92</v>
      </c>
      <c r="AX436" s="9" t="s">
        <v>240</v>
      </c>
      <c r="AY436" s="9">
        <v>0</v>
      </c>
      <c r="AZ436" s="9"/>
      <c r="BA436" s="9"/>
      <c r="BB436" s="9">
        <v>0</v>
      </c>
      <c r="BC436" s="9">
        <v>3</v>
      </c>
      <c r="BD436" s="9">
        <v>0</v>
      </c>
      <c r="BE436" s="9" t="s">
        <v>235</v>
      </c>
      <c r="BF436" s="9" t="s">
        <v>71</v>
      </c>
      <c r="BG436" s="9"/>
      <c r="BH436" s="9">
        <v>0</v>
      </c>
      <c r="BI436" s="9"/>
      <c r="BJ436" s="9">
        <v>15</v>
      </c>
      <c r="BK436" s="9" t="s">
        <v>92</v>
      </c>
      <c r="BL436" s="9" t="s">
        <v>92</v>
      </c>
      <c r="BM436" s="9" t="s">
        <v>72</v>
      </c>
      <c r="BN436" s="9"/>
      <c r="BO436" s="9">
        <v>1</v>
      </c>
      <c r="BP436" s="9" t="s">
        <v>1353</v>
      </c>
      <c r="BQ436" s="9">
        <v>0</v>
      </c>
      <c r="BR436" s="9">
        <v>45702.827997685185</v>
      </c>
      <c r="BS436" s="9" t="s">
        <v>109</v>
      </c>
      <c r="BT436" s="9" t="s">
        <v>101</v>
      </c>
      <c r="BU436" s="9"/>
      <c r="BV436" s="9"/>
      <c r="BW436" s="9">
        <v>0</v>
      </c>
      <c r="BX436" s="9">
        <v>46209.422534722224</v>
      </c>
      <c r="BY436" s="9">
        <v>46209.422534722224</v>
      </c>
      <c r="BZ436" s="9"/>
      <c r="CA436" s="9"/>
      <c r="CB436" s="9"/>
      <c r="CC436" s="9"/>
      <c r="CD436" s="9"/>
      <c r="CE436" s="9"/>
      <c r="CF436" s="9"/>
      <c r="CG436" s="9"/>
      <c r="CH436" s="9">
        <v>1</v>
      </c>
      <c r="CI436" s="9">
        <v>0</v>
      </c>
      <c r="CJ436" s="9"/>
      <c r="CK436" s="9"/>
      <c r="CL436" s="9" t="s">
        <v>1993</v>
      </c>
      <c r="CM436" s="9"/>
      <c r="CN436" s="9">
        <v>0</v>
      </c>
      <c r="CO436" s="9" t="s">
        <v>1925</v>
      </c>
      <c r="CP436" s="9" t="s">
        <v>1995</v>
      </c>
      <c r="CQ436" s="9">
        <v>0</v>
      </c>
    </row>
    <row r="437" spans="1:95" x14ac:dyDescent="0.35">
      <c r="A437" s="9" t="b">
        <f>ISNUMBER(MATCH(Claude[[#This Row],[Id]],ChargentOrders[Id],0))</f>
        <v>1</v>
      </c>
      <c r="B437" t="b">
        <f>INDEX(ChargentOrders[VALIDO],MATCH(Claude[[#This Row],[Id]],ChargentOrders[Id],0))</f>
        <v>1</v>
      </c>
      <c r="C437">
        <f>INDEX(Contract[CB_Subscription__c],MATCH(Claude[[#This Row],[Contract__c]],Contract[Id],0))</f>
        <v>0</v>
      </c>
      <c r="D437" s="9" t="s">
        <v>1354</v>
      </c>
      <c r="E437" s="9" t="s">
        <v>102</v>
      </c>
      <c r="F437" s="9">
        <v>0</v>
      </c>
      <c r="G437" s="9" t="s">
        <v>1355</v>
      </c>
      <c r="H437" s="9">
        <v>46203.416944444441</v>
      </c>
      <c r="I437" s="9" t="s">
        <v>65</v>
      </c>
      <c r="J437" s="9">
        <v>46216.995937500003</v>
      </c>
      <c r="K437" s="9" t="s">
        <v>101</v>
      </c>
      <c r="L437" s="9">
        <v>46216.995937500003</v>
      </c>
      <c r="M437" s="9"/>
      <c r="N437" s="9" t="s">
        <v>1570</v>
      </c>
      <c r="O437" s="9" t="s">
        <v>1923</v>
      </c>
      <c r="P437" s="9" t="s">
        <v>1924</v>
      </c>
      <c r="Q437" s="9" t="s">
        <v>1925</v>
      </c>
      <c r="R437" s="9" t="s">
        <v>1568</v>
      </c>
      <c r="S437" s="9" t="s">
        <v>1926</v>
      </c>
      <c r="T437" s="9" t="s">
        <v>1927</v>
      </c>
      <c r="U437" s="9" t="s">
        <v>1928</v>
      </c>
      <c r="V437" s="9">
        <v>949</v>
      </c>
      <c r="W437" s="9">
        <v>6</v>
      </c>
      <c r="X437" s="9">
        <v>2030</v>
      </c>
      <c r="Y437" s="9">
        <v>2774</v>
      </c>
      <c r="Z437" s="9">
        <v>6</v>
      </c>
      <c r="AA437" s="9">
        <v>2774</v>
      </c>
      <c r="AB437" s="9" t="s">
        <v>73</v>
      </c>
      <c r="AC437" s="9">
        <v>2030</v>
      </c>
      <c r="AD437" s="9" t="s">
        <v>94</v>
      </c>
      <c r="AE437" s="9"/>
      <c r="AF437" s="9" t="s">
        <v>1929</v>
      </c>
      <c r="AG437" s="9"/>
      <c r="AH437" s="9" t="s">
        <v>67</v>
      </c>
      <c r="AI437" s="9">
        <v>0</v>
      </c>
      <c r="AJ437" s="9"/>
      <c r="AK437" s="9">
        <v>0</v>
      </c>
      <c r="AL437" s="9" t="s">
        <v>1930</v>
      </c>
      <c r="AM437" s="9" t="s">
        <v>1958</v>
      </c>
      <c r="AN437" s="9">
        <v>46213</v>
      </c>
      <c r="AO437" s="9" t="s">
        <v>1931</v>
      </c>
      <c r="AP437" s="9" t="s">
        <v>69</v>
      </c>
      <c r="AQ437" s="9" t="s">
        <v>1932</v>
      </c>
      <c r="AR437" s="9">
        <v>46213</v>
      </c>
      <c r="AS437" s="9" t="s">
        <v>90</v>
      </c>
      <c r="AT437" s="9" t="s">
        <v>1935</v>
      </c>
      <c r="AU437" s="9" t="s">
        <v>1970</v>
      </c>
      <c r="AV437" s="9">
        <v>0</v>
      </c>
      <c r="AW437" s="9" t="s">
        <v>93</v>
      </c>
      <c r="AX437" s="9" t="s">
        <v>147</v>
      </c>
      <c r="AY437" s="9">
        <v>0</v>
      </c>
      <c r="AZ437" s="9"/>
      <c r="BA437" s="9"/>
      <c r="BB437" s="9">
        <v>0</v>
      </c>
      <c r="BC437" s="9">
        <v>5</v>
      </c>
      <c r="BD437" s="9">
        <v>0</v>
      </c>
      <c r="BE437" s="9" t="s">
        <v>112</v>
      </c>
      <c r="BF437" s="9" t="s">
        <v>71</v>
      </c>
      <c r="BG437" s="9"/>
      <c r="BH437" s="9">
        <v>0</v>
      </c>
      <c r="BI437" s="9"/>
      <c r="BJ437" s="9"/>
      <c r="BK437" s="9" t="s">
        <v>92</v>
      </c>
      <c r="BL437" s="9" t="s">
        <v>92</v>
      </c>
      <c r="BM437" s="9" t="s">
        <v>72</v>
      </c>
      <c r="BN437" s="9"/>
      <c r="BO437" s="9">
        <v>1</v>
      </c>
      <c r="BP437" s="9" t="s">
        <v>1356</v>
      </c>
      <c r="BQ437" s="9">
        <v>0</v>
      </c>
      <c r="BR437" s="9">
        <v>45170.864606481482</v>
      </c>
      <c r="BS437" s="9" t="s">
        <v>109</v>
      </c>
      <c r="BT437" s="9" t="s">
        <v>65</v>
      </c>
      <c r="BU437" s="9"/>
      <c r="BV437" s="9"/>
      <c r="BW437" s="9">
        <v>0</v>
      </c>
      <c r="BX437" s="9">
        <v>46216.995925925927</v>
      </c>
      <c r="BY437" s="9">
        <v>46216.995925925927</v>
      </c>
      <c r="BZ437" s="9"/>
      <c r="CA437" s="9"/>
      <c r="CB437" s="9"/>
      <c r="CC437" s="9"/>
      <c r="CD437" s="9"/>
      <c r="CE437" s="9"/>
      <c r="CF437" s="9"/>
      <c r="CG437" s="9"/>
      <c r="CH437" s="9">
        <v>1</v>
      </c>
      <c r="CI437" s="9">
        <v>0</v>
      </c>
      <c r="CJ437" s="9"/>
      <c r="CK437" s="9"/>
      <c r="CL437" s="9"/>
      <c r="CM437" s="9"/>
      <c r="CN437" s="9">
        <v>0</v>
      </c>
      <c r="CO437" s="9" t="s">
        <v>1925</v>
      </c>
      <c r="CP437" s="9" t="s">
        <v>1945</v>
      </c>
      <c r="CQ437" s="9">
        <v>0</v>
      </c>
    </row>
    <row r="438" spans="1:95" x14ac:dyDescent="0.35">
      <c r="A438" s="9" t="b">
        <f>ISNUMBER(MATCH(Claude[[#This Row],[Id]],ChargentOrders[Id],0))</f>
        <v>1</v>
      </c>
      <c r="B438" t="b">
        <f>INDEX(ChargentOrders[VALIDO],MATCH(Claude[[#This Row],[Id]],ChargentOrders[Id],0))</f>
        <v>1</v>
      </c>
      <c r="C438">
        <f>INDEX(Contract[CB_Subscription__c],MATCH(Claude[[#This Row],[Contract__c]],Contract[Id],0))</f>
        <v>0</v>
      </c>
      <c r="D438" s="9" t="s">
        <v>1357</v>
      </c>
      <c r="E438" s="9" t="s">
        <v>79</v>
      </c>
      <c r="F438" s="9">
        <v>0</v>
      </c>
      <c r="G438" s="9" t="s">
        <v>1358</v>
      </c>
      <c r="H438" s="9">
        <v>46203.416944444441</v>
      </c>
      <c r="I438" s="9" t="s">
        <v>65</v>
      </c>
      <c r="J438" s="9">
        <v>46206.988738425927</v>
      </c>
      <c r="K438" s="9" t="s">
        <v>101</v>
      </c>
      <c r="L438" s="9">
        <v>46206.988738425927</v>
      </c>
      <c r="M438" s="9"/>
      <c r="N438" s="9" t="s">
        <v>1576</v>
      </c>
      <c r="O438" s="9" t="s">
        <v>1947</v>
      </c>
      <c r="P438" s="9" t="s">
        <v>1948</v>
      </c>
      <c r="Q438" s="9" t="s">
        <v>1925</v>
      </c>
      <c r="R438" s="9" t="s">
        <v>1574</v>
      </c>
      <c r="S438" s="9" t="s">
        <v>1949</v>
      </c>
      <c r="T438" s="9" t="s">
        <v>1950</v>
      </c>
      <c r="U438" s="9" t="s">
        <v>1928</v>
      </c>
      <c r="V438" s="9">
        <v>769</v>
      </c>
      <c r="W438" s="9">
        <v>7</v>
      </c>
      <c r="X438" s="9">
        <v>2028</v>
      </c>
      <c r="Y438" s="9">
        <v>1524</v>
      </c>
      <c r="Z438" s="9">
        <v>7</v>
      </c>
      <c r="AA438" s="9">
        <v>4549516625621520</v>
      </c>
      <c r="AB438" s="9" t="s">
        <v>73</v>
      </c>
      <c r="AC438" s="9">
        <v>2028</v>
      </c>
      <c r="AD438" s="9" t="s">
        <v>2087</v>
      </c>
      <c r="AE438" s="9"/>
      <c r="AF438" s="9" t="s">
        <v>1929</v>
      </c>
      <c r="AG438" s="9"/>
      <c r="AH438" s="9" t="s">
        <v>67</v>
      </c>
      <c r="AI438" s="9">
        <v>0</v>
      </c>
      <c r="AJ438" s="9"/>
      <c r="AK438" s="9">
        <v>0</v>
      </c>
      <c r="AL438" s="9" t="s">
        <v>1930</v>
      </c>
      <c r="AM438" s="9">
        <v>1</v>
      </c>
      <c r="AN438" s="9">
        <v>46209</v>
      </c>
      <c r="AO438" s="9" t="s">
        <v>1931</v>
      </c>
      <c r="AP438" s="9" t="s">
        <v>69</v>
      </c>
      <c r="AQ438" s="9" t="s">
        <v>1932</v>
      </c>
      <c r="AR438" s="9">
        <v>46209</v>
      </c>
      <c r="AS438" s="9" t="s">
        <v>74</v>
      </c>
      <c r="AT438" s="9" t="s">
        <v>1935</v>
      </c>
      <c r="AU438" s="9" t="s">
        <v>1952</v>
      </c>
      <c r="AV438" s="9">
        <v>0</v>
      </c>
      <c r="AW438" s="9" t="s">
        <v>93</v>
      </c>
      <c r="AX438" s="9" t="s">
        <v>158</v>
      </c>
      <c r="AY438" s="9">
        <v>0</v>
      </c>
      <c r="AZ438" s="9">
        <v>46206.988703703704</v>
      </c>
      <c r="BA438" s="9">
        <v>46206.988715277781</v>
      </c>
      <c r="BB438" s="9">
        <v>1</v>
      </c>
      <c r="BC438" s="9">
        <v>3</v>
      </c>
      <c r="BD438" s="9" t="s">
        <v>2087</v>
      </c>
      <c r="BE438" s="9" t="s">
        <v>159</v>
      </c>
      <c r="BF438" s="9" t="s">
        <v>71</v>
      </c>
      <c r="BG438" s="9"/>
      <c r="BH438" s="9">
        <v>0</v>
      </c>
      <c r="BI438" s="9"/>
      <c r="BJ438" s="9">
        <v>0</v>
      </c>
      <c r="BK438" s="9" t="s">
        <v>92</v>
      </c>
      <c r="BL438" s="9" t="s">
        <v>92</v>
      </c>
      <c r="BM438" s="9" t="s">
        <v>72</v>
      </c>
      <c r="BN438" s="9"/>
      <c r="BO438" s="9">
        <v>1</v>
      </c>
      <c r="BP438" s="9" t="s">
        <v>1359</v>
      </c>
      <c r="BQ438" s="9">
        <v>0</v>
      </c>
      <c r="BR438" s="9">
        <v>45392.867974537039</v>
      </c>
      <c r="BS438" s="9" t="s">
        <v>109</v>
      </c>
      <c r="BT438" s="9" t="s">
        <v>65</v>
      </c>
      <c r="BU438" s="9"/>
      <c r="BV438" s="9"/>
      <c r="BW438" s="9">
        <v>0</v>
      </c>
      <c r="BX438" s="9">
        <v>46206.423043981478</v>
      </c>
      <c r="BY438" s="9">
        <v>46206.988703703704</v>
      </c>
      <c r="BZ438" s="9"/>
      <c r="CA438" s="9"/>
      <c r="CB438" s="9"/>
      <c r="CC438" s="9"/>
      <c r="CD438" s="9"/>
      <c r="CE438" s="9"/>
      <c r="CF438" s="9"/>
      <c r="CG438" s="9"/>
      <c r="CH438" s="9">
        <v>1</v>
      </c>
      <c r="CI438" s="9">
        <v>0</v>
      </c>
      <c r="CJ438" s="9"/>
      <c r="CK438" s="9"/>
      <c r="CL438" s="9"/>
      <c r="CM438" s="9"/>
      <c r="CN438" s="9">
        <v>0</v>
      </c>
      <c r="CO438" s="9" t="s">
        <v>1925</v>
      </c>
      <c r="CP438" s="9" t="s">
        <v>1951</v>
      </c>
      <c r="CQ438" s="9">
        <v>0</v>
      </c>
    </row>
    <row r="439" spans="1:95" x14ac:dyDescent="0.35">
      <c r="A439" s="9" t="b">
        <f>ISNUMBER(MATCH(Claude[[#This Row],[Id]],ChargentOrders[Id],0))</f>
        <v>1</v>
      </c>
      <c r="B439" t="b">
        <f>INDEX(ChargentOrders[VALIDO],MATCH(Claude[[#This Row],[Id]],ChargentOrders[Id],0))</f>
        <v>1</v>
      </c>
      <c r="C439">
        <f>INDEX(Contract[CB_Subscription__c],MATCH(Claude[[#This Row],[Contract__c]],Contract[Id],0))</f>
        <v>0</v>
      </c>
      <c r="D439" s="9" t="s">
        <v>1360</v>
      </c>
      <c r="E439" s="9" t="s">
        <v>79</v>
      </c>
      <c r="F439" s="9">
        <v>0</v>
      </c>
      <c r="G439" s="9" t="s">
        <v>1361</v>
      </c>
      <c r="H439" s="9">
        <v>46203.416944444441</v>
      </c>
      <c r="I439" s="9" t="s">
        <v>65</v>
      </c>
      <c r="J439" s="9">
        <v>46217.738564814812</v>
      </c>
      <c r="K439" s="9" t="s">
        <v>78</v>
      </c>
      <c r="L439" s="9">
        <v>46217.738564814812</v>
      </c>
      <c r="M439" s="9"/>
      <c r="N439" s="9" t="s">
        <v>1581</v>
      </c>
      <c r="O439" s="9" t="s">
        <v>1960</v>
      </c>
      <c r="P439" s="9" t="s">
        <v>1961</v>
      </c>
      <c r="Q439" s="9" t="s">
        <v>1925</v>
      </c>
      <c r="R439" s="9" t="s">
        <v>1579</v>
      </c>
      <c r="S439" s="9" t="s">
        <v>1962</v>
      </c>
      <c r="T439" s="9" t="s">
        <v>1963</v>
      </c>
      <c r="U439" s="9" t="s">
        <v>1928</v>
      </c>
      <c r="V439" s="9">
        <v>778</v>
      </c>
      <c r="W439" s="9">
        <v>3</v>
      </c>
      <c r="X439" s="9">
        <v>2027</v>
      </c>
      <c r="Y439" s="9">
        <v>4327</v>
      </c>
      <c r="Z439" s="9">
        <v>3</v>
      </c>
      <c r="AA439" s="9">
        <v>4327</v>
      </c>
      <c r="AB439" s="9" t="s">
        <v>73</v>
      </c>
      <c r="AC439" s="9">
        <v>2027</v>
      </c>
      <c r="AD439" s="9" t="s">
        <v>1952</v>
      </c>
      <c r="AE439" s="9"/>
      <c r="AF439" s="9" t="s">
        <v>1929</v>
      </c>
      <c r="AG439" s="9"/>
      <c r="AH439" s="9" t="s">
        <v>67</v>
      </c>
      <c r="AI439" s="9">
        <v>0</v>
      </c>
      <c r="AJ439" s="9"/>
      <c r="AK439" s="9">
        <v>0</v>
      </c>
      <c r="AL439" s="9" t="s">
        <v>1930</v>
      </c>
      <c r="AM439" s="9">
        <v>1</v>
      </c>
      <c r="AN439" s="9">
        <v>46212</v>
      </c>
      <c r="AO439" s="9" t="s">
        <v>1931</v>
      </c>
      <c r="AP439" s="9" t="s">
        <v>69</v>
      </c>
      <c r="AQ439" s="9" t="s">
        <v>1932</v>
      </c>
      <c r="AR439" s="9">
        <v>46212</v>
      </c>
      <c r="AS439" s="9" t="s">
        <v>84</v>
      </c>
      <c r="AT439" s="9" t="s">
        <v>1935</v>
      </c>
      <c r="AU439" s="9" t="s">
        <v>1952</v>
      </c>
      <c r="AV439" s="9">
        <v>0</v>
      </c>
      <c r="AW439" s="9" t="s">
        <v>92</v>
      </c>
      <c r="AX439" s="9" t="s">
        <v>165</v>
      </c>
      <c r="AY439" s="9">
        <v>0</v>
      </c>
      <c r="AZ439" s="9"/>
      <c r="BA439" s="9"/>
      <c r="BB439" s="9">
        <v>0</v>
      </c>
      <c r="BC439" s="9">
        <v>2</v>
      </c>
      <c r="BD439" s="9">
        <v>0</v>
      </c>
      <c r="BE439" s="9" t="s">
        <v>179</v>
      </c>
      <c r="BF439" s="9" t="s">
        <v>71</v>
      </c>
      <c r="BG439" s="9"/>
      <c r="BH439" s="9">
        <v>0</v>
      </c>
      <c r="BI439" s="9"/>
      <c r="BJ439" s="9"/>
      <c r="BK439" s="9" t="s">
        <v>92</v>
      </c>
      <c r="BL439" s="9" t="s">
        <v>92</v>
      </c>
      <c r="BM439" s="9" t="s">
        <v>72</v>
      </c>
      <c r="BN439" s="9"/>
      <c r="BO439" s="9">
        <v>1</v>
      </c>
      <c r="BP439" s="9" t="s">
        <v>1362</v>
      </c>
      <c r="BQ439" s="9">
        <v>0</v>
      </c>
      <c r="BR439" s="9">
        <v>45546.777881944443</v>
      </c>
      <c r="BS439" s="9" t="s">
        <v>109</v>
      </c>
      <c r="BT439" s="9" t="s">
        <v>65</v>
      </c>
      <c r="BU439" s="9"/>
      <c r="BV439" s="9"/>
      <c r="BW439" s="9">
        <v>0</v>
      </c>
      <c r="BX439" s="9">
        <v>46209.422627314816</v>
      </c>
      <c r="BY439" s="9">
        <v>46209.422627314816</v>
      </c>
      <c r="BZ439" s="9"/>
      <c r="CA439" s="9"/>
      <c r="CB439" s="9"/>
      <c r="CC439" s="9"/>
      <c r="CD439" s="9"/>
      <c r="CE439" s="9"/>
      <c r="CF439" s="9"/>
      <c r="CG439" s="9"/>
      <c r="CH439" s="9">
        <v>1</v>
      </c>
      <c r="CI439" s="9">
        <v>0</v>
      </c>
      <c r="CJ439" s="9"/>
      <c r="CK439" s="9"/>
      <c r="CL439" s="9" t="s">
        <v>1964</v>
      </c>
      <c r="CM439" s="9"/>
      <c r="CN439" s="9">
        <v>0</v>
      </c>
      <c r="CO439" s="9" t="s">
        <v>1925</v>
      </c>
      <c r="CP439" s="9" t="s">
        <v>1966</v>
      </c>
      <c r="CQ439" s="9">
        <v>0</v>
      </c>
    </row>
    <row r="440" spans="1:95" x14ac:dyDescent="0.35">
      <c r="A440" s="9" t="b">
        <f>ISNUMBER(MATCH(Claude[[#This Row],[Id]],ChargentOrders[Id],0))</f>
        <v>1</v>
      </c>
      <c r="B440" t="b">
        <f>INDEX(ChargentOrders[VALIDO],MATCH(Claude[[#This Row],[Id]],ChargentOrders[Id],0))</f>
        <v>1</v>
      </c>
      <c r="C440">
        <f>INDEX(Contract[CB_Subscription__c],MATCH(Claude[[#This Row],[Contract__c]],Contract[Id],0))</f>
        <v>0</v>
      </c>
      <c r="D440" s="9" t="s">
        <v>1363</v>
      </c>
      <c r="E440" s="9" t="s">
        <v>79</v>
      </c>
      <c r="F440" s="9">
        <v>0</v>
      </c>
      <c r="G440" s="9" t="s">
        <v>1364</v>
      </c>
      <c r="H440" s="9">
        <v>46203.416944444441</v>
      </c>
      <c r="I440" s="9" t="s">
        <v>65</v>
      </c>
      <c r="J440" s="9">
        <v>46217.738564814812</v>
      </c>
      <c r="K440" s="9" t="s">
        <v>78</v>
      </c>
      <c r="L440" s="9">
        <v>46217.738564814812</v>
      </c>
      <c r="M440" s="9"/>
      <c r="N440" s="9" t="s">
        <v>1586</v>
      </c>
      <c r="O440" s="9" t="s">
        <v>1973</v>
      </c>
      <c r="P440" s="9" t="s">
        <v>1974</v>
      </c>
      <c r="Q440" s="9" t="s">
        <v>1925</v>
      </c>
      <c r="R440" s="9" t="s">
        <v>1584</v>
      </c>
      <c r="S440" s="9" t="s">
        <v>1975</v>
      </c>
      <c r="T440" s="9" t="s">
        <v>1976</v>
      </c>
      <c r="U440" s="9" t="s">
        <v>1928</v>
      </c>
      <c r="V440" s="9">
        <v>969</v>
      </c>
      <c r="W440" s="9">
        <v>8</v>
      </c>
      <c r="X440" s="9">
        <v>2028</v>
      </c>
      <c r="Y440" s="9">
        <v>5191</v>
      </c>
      <c r="Z440" s="9">
        <v>8</v>
      </c>
      <c r="AA440" s="9">
        <v>5191</v>
      </c>
      <c r="AB440" s="9" t="s">
        <v>73</v>
      </c>
      <c r="AC440" s="9">
        <v>2028</v>
      </c>
      <c r="AD440" s="9" t="s">
        <v>1970</v>
      </c>
      <c r="AE440" s="9"/>
      <c r="AF440" s="9" t="s">
        <v>1929</v>
      </c>
      <c r="AG440" s="9"/>
      <c r="AH440" s="9" t="s">
        <v>67</v>
      </c>
      <c r="AI440" s="9">
        <v>0</v>
      </c>
      <c r="AJ440" s="9"/>
      <c r="AK440" s="9">
        <v>0</v>
      </c>
      <c r="AL440" s="9" t="s">
        <v>1930</v>
      </c>
      <c r="AM440" s="9">
        <v>1</v>
      </c>
      <c r="AN440" s="9">
        <v>46212</v>
      </c>
      <c r="AO440" s="9" t="s">
        <v>1931</v>
      </c>
      <c r="AP440" s="9" t="s">
        <v>69</v>
      </c>
      <c r="AQ440" s="9" t="s">
        <v>1932</v>
      </c>
      <c r="AR440" s="9">
        <v>46212</v>
      </c>
      <c r="AS440" s="9" t="s">
        <v>84</v>
      </c>
      <c r="AT440" s="9" t="s">
        <v>1935</v>
      </c>
      <c r="AU440" s="9" t="s">
        <v>1970</v>
      </c>
      <c r="AV440" s="9">
        <v>0</v>
      </c>
      <c r="AW440" s="9" t="s">
        <v>92</v>
      </c>
      <c r="AX440" s="9" t="s">
        <v>202</v>
      </c>
      <c r="AY440" s="9">
        <v>0</v>
      </c>
      <c r="AZ440" s="9"/>
      <c r="BA440" s="9"/>
      <c r="BB440" s="9">
        <v>0</v>
      </c>
      <c r="BC440" s="9">
        <v>2</v>
      </c>
      <c r="BD440" s="9">
        <v>0</v>
      </c>
      <c r="BE440" s="9" t="s">
        <v>197</v>
      </c>
      <c r="BF440" s="9" t="s">
        <v>71</v>
      </c>
      <c r="BG440" s="9"/>
      <c r="BH440" s="9">
        <v>0</v>
      </c>
      <c r="BI440" s="9"/>
      <c r="BJ440" s="9"/>
      <c r="BK440" s="9" t="s">
        <v>92</v>
      </c>
      <c r="BL440" s="9" t="s">
        <v>92</v>
      </c>
      <c r="BM440" s="9" t="s">
        <v>72</v>
      </c>
      <c r="BN440" s="9"/>
      <c r="BO440" s="9">
        <v>1</v>
      </c>
      <c r="BP440" s="9" t="s">
        <v>1365</v>
      </c>
      <c r="BQ440" s="9">
        <v>0</v>
      </c>
      <c r="BR440" s="9">
        <v>45589.952337962961</v>
      </c>
      <c r="BS440" s="9" t="s">
        <v>109</v>
      </c>
      <c r="BT440" s="9" t="s">
        <v>65</v>
      </c>
      <c r="BU440" s="9"/>
      <c r="BV440" s="9"/>
      <c r="BW440" s="9">
        <v>0</v>
      </c>
      <c r="BX440" s="9">
        <v>46209.422638888886</v>
      </c>
      <c r="BY440" s="9">
        <v>46209.422638888886</v>
      </c>
      <c r="BZ440" s="9"/>
      <c r="CA440" s="9"/>
      <c r="CB440" s="9"/>
      <c r="CC440" s="9"/>
      <c r="CD440" s="9"/>
      <c r="CE440" s="9"/>
      <c r="CF440" s="9"/>
      <c r="CG440" s="9"/>
      <c r="CH440" s="9">
        <v>1</v>
      </c>
      <c r="CI440" s="9">
        <v>0</v>
      </c>
      <c r="CJ440" s="9"/>
      <c r="CK440" s="9"/>
      <c r="CL440" s="9" t="s">
        <v>1977</v>
      </c>
      <c r="CM440" s="9"/>
      <c r="CN440" s="9">
        <v>0</v>
      </c>
      <c r="CO440" s="9" t="s">
        <v>1925</v>
      </c>
      <c r="CP440" s="9" t="s">
        <v>1981</v>
      </c>
      <c r="CQ440" s="9">
        <v>0</v>
      </c>
    </row>
    <row r="441" spans="1:95" x14ac:dyDescent="0.35">
      <c r="A441" s="9" t="b">
        <f>ISNUMBER(MATCH(Claude[[#This Row],[Id]],ChargentOrders[Id],0))</f>
        <v>1</v>
      </c>
      <c r="B441" t="b">
        <f>INDEX(ChargentOrders[VALIDO],MATCH(Claude[[#This Row],[Id]],ChargentOrders[Id],0))</f>
        <v>1</v>
      </c>
      <c r="C441">
        <f>INDEX(Contract[CB_Subscription__c],MATCH(Claude[[#This Row],[Contract__c]],Contract[Id],0))</f>
        <v>0</v>
      </c>
      <c r="D441" s="9" t="s">
        <v>1366</v>
      </c>
      <c r="E441" s="9" t="s">
        <v>79</v>
      </c>
      <c r="F441" s="9">
        <v>0</v>
      </c>
      <c r="G441" s="9" t="s">
        <v>1367</v>
      </c>
      <c r="H441" s="9">
        <v>46203.417164351849</v>
      </c>
      <c r="I441" s="9" t="s">
        <v>65</v>
      </c>
      <c r="J441" s="9">
        <v>46217.738564814812</v>
      </c>
      <c r="K441" s="9" t="s">
        <v>78</v>
      </c>
      <c r="L441" s="9">
        <v>46217.738564814812</v>
      </c>
      <c r="M441" s="9"/>
      <c r="N441" s="9" t="s">
        <v>1596</v>
      </c>
      <c r="O441" s="9" t="s">
        <v>1997</v>
      </c>
      <c r="P441" s="9" t="s">
        <v>1990</v>
      </c>
      <c r="Q441" s="9" t="s">
        <v>1925</v>
      </c>
      <c r="R441" s="9" t="s">
        <v>1594</v>
      </c>
      <c r="S441" s="9" t="s">
        <v>1998</v>
      </c>
      <c r="T441" s="9" t="s">
        <v>1999</v>
      </c>
      <c r="U441" s="9" t="s">
        <v>1928</v>
      </c>
      <c r="V441" s="9">
        <v>901</v>
      </c>
      <c r="W441" s="9">
        <v>2</v>
      </c>
      <c r="X441" s="9">
        <v>2026</v>
      </c>
      <c r="Y441" s="9">
        <v>7405</v>
      </c>
      <c r="Z441" s="9">
        <v>2</v>
      </c>
      <c r="AA441" s="9">
        <v>7405</v>
      </c>
      <c r="AB441" s="9" t="s">
        <v>73</v>
      </c>
      <c r="AC441" s="9">
        <v>2026</v>
      </c>
      <c r="AD441" s="9" t="s">
        <v>1952</v>
      </c>
      <c r="AE441" s="9"/>
      <c r="AF441" s="9" t="s">
        <v>1929</v>
      </c>
      <c r="AG441" s="9"/>
      <c r="AH441" s="9" t="s">
        <v>67</v>
      </c>
      <c r="AI441" s="9">
        <v>0</v>
      </c>
      <c r="AJ441" s="9"/>
      <c r="AK441" s="9">
        <v>0</v>
      </c>
      <c r="AL441" s="9" t="s">
        <v>1930</v>
      </c>
      <c r="AM441" s="9">
        <v>1</v>
      </c>
      <c r="AN441" s="9">
        <v>46212</v>
      </c>
      <c r="AO441" s="9" t="s">
        <v>1931</v>
      </c>
      <c r="AP441" s="9" t="s">
        <v>69</v>
      </c>
      <c r="AQ441" s="9" t="s">
        <v>1932</v>
      </c>
      <c r="AR441" s="9">
        <v>46212</v>
      </c>
      <c r="AS441" s="9" t="s">
        <v>84</v>
      </c>
      <c r="AT441" s="9" t="s">
        <v>1935</v>
      </c>
      <c r="AU441" s="9" t="s">
        <v>1952</v>
      </c>
      <c r="AV441" s="9">
        <v>0</v>
      </c>
      <c r="AW441" s="9" t="s">
        <v>92</v>
      </c>
      <c r="AX441" s="9" t="s">
        <v>252</v>
      </c>
      <c r="AY441" s="9">
        <v>0</v>
      </c>
      <c r="AZ441" s="9"/>
      <c r="BA441" s="9"/>
      <c r="BB441" s="9">
        <v>0</v>
      </c>
      <c r="BC441" s="9">
        <v>2</v>
      </c>
      <c r="BD441" s="9">
        <v>0</v>
      </c>
      <c r="BE441" s="9" t="s">
        <v>253</v>
      </c>
      <c r="BF441" s="9" t="s">
        <v>71</v>
      </c>
      <c r="BG441" s="9"/>
      <c r="BH441" s="9">
        <v>0</v>
      </c>
      <c r="BI441" s="9"/>
      <c r="BJ441" s="9"/>
      <c r="BK441" s="9" t="s">
        <v>92</v>
      </c>
      <c r="BL441" s="9" t="s">
        <v>92</v>
      </c>
      <c r="BM441" s="9" t="s">
        <v>72</v>
      </c>
      <c r="BN441" s="9"/>
      <c r="BO441" s="9">
        <v>1</v>
      </c>
      <c r="BP441" s="9" t="s">
        <v>1368</v>
      </c>
      <c r="BQ441" s="9">
        <v>0</v>
      </c>
      <c r="BR441" s="9">
        <v>45723.426469907405</v>
      </c>
      <c r="BS441" s="9" t="s">
        <v>109</v>
      </c>
      <c r="BT441" s="9" t="s">
        <v>65</v>
      </c>
      <c r="BU441" s="9"/>
      <c r="BV441" s="9"/>
      <c r="BW441" s="9">
        <v>0</v>
      </c>
      <c r="BX441" s="9">
        <v>46209.422650462962</v>
      </c>
      <c r="BY441" s="9">
        <v>46209.422650462962</v>
      </c>
      <c r="BZ441" s="9"/>
      <c r="CA441" s="9"/>
      <c r="CB441" s="9"/>
      <c r="CC441" s="9"/>
      <c r="CD441" s="9"/>
      <c r="CE441" s="9"/>
      <c r="CF441" s="9"/>
      <c r="CG441" s="9"/>
      <c r="CH441" s="9">
        <v>1</v>
      </c>
      <c r="CI441" s="9">
        <v>0</v>
      </c>
      <c r="CJ441" s="9"/>
      <c r="CK441" s="9"/>
      <c r="CL441" s="9" t="s">
        <v>2000</v>
      </c>
      <c r="CM441" s="9"/>
      <c r="CN441" s="9">
        <v>0</v>
      </c>
      <c r="CO441" s="9" t="s">
        <v>1925</v>
      </c>
      <c r="CP441" s="9" t="s">
        <v>2003</v>
      </c>
      <c r="CQ441" s="9">
        <v>0</v>
      </c>
    </row>
    <row r="442" spans="1:95" x14ac:dyDescent="0.35">
      <c r="A442" s="9" t="b">
        <f>ISNUMBER(MATCH(Claude[[#This Row],[Id]],ChargentOrders[Id],0))</f>
        <v>1</v>
      </c>
      <c r="B442" t="b">
        <f>INDEX(ChargentOrders[VALIDO],MATCH(Claude[[#This Row],[Id]],ChargentOrders[Id],0))</f>
        <v>1</v>
      </c>
      <c r="C442">
        <f>INDEX(Contract[CB_Subscription__c],MATCH(Claude[[#This Row],[Contract__c]],Contract[Id],0))</f>
        <v>0</v>
      </c>
      <c r="D442" s="9" t="s">
        <v>1369</v>
      </c>
      <c r="E442" s="9" t="s">
        <v>81</v>
      </c>
      <c r="F442" s="9">
        <v>0</v>
      </c>
      <c r="G442" s="9" t="s">
        <v>1370</v>
      </c>
      <c r="H442" s="9">
        <v>46203.417164351849</v>
      </c>
      <c r="I442" s="9" t="s">
        <v>65</v>
      </c>
      <c r="J442" s="9">
        <v>46217.738564814812</v>
      </c>
      <c r="K442" s="9" t="s">
        <v>78</v>
      </c>
      <c r="L442" s="9">
        <v>46217.738564814812</v>
      </c>
      <c r="M442" s="9"/>
      <c r="N442" s="9" t="s">
        <v>1639</v>
      </c>
      <c r="O442" s="9" t="s">
        <v>2043</v>
      </c>
      <c r="P442" s="9" t="s">
        <v>2044</v>
      </c>
      <c r="Q442" s="9" t="s">
        <v>1925</v>
      </c>
      <c r="R442" s="9" t="s">
        <v>1637</v>
      </c>
      <c r="S442" s="9" t="s">
        <v>2045</v>
      </c>
      <c r="T442" s="9" t="s">
        <v>2046</v>
      </c>
      <c r="U442" s="9" t="s">
        <v>1928</v>
      </c>
      <c r="V442" s="9">
        <v>725</v>
      </c>
      <c r="W442" s="9">
        <v>6</v>
      </c>
      <c r="X442" s="9">
        <v>2029</v>
      </c>
      <c r="Y442" s="9">
        <v>3025</v>
      </c>
      <c r="Z442" s="9">
        <v>6</v>
      </c>
      <c r="AA442" s="9">
        <v>3025</v>
      </c>
      <c r="AB442" s="9" t="s">
        <v>66</v>
      </c>
      <c r="AC442" s="9">
        <v>2029</v>
      </c>
      <c r="AD442" s="9" t="s">
        <v>1952</v>
      </c>
      <c r="AE442" s="9"/>
      <c r="AF442" s="9" t="s">
        <v>1929</v>
      </c>
      <c r="AG442" s="9"/>
      <c r="AH442" s="9" t="s">
        <v>67</v>
      </c>
      <c r="AI442" s="9">
        <v>0</v>
      </c>
      <c r="AJ442" s="9"/>
      <c r="AK442" s="9">
        <v>0</v>
      </c>
      <c r="AL442" s="9" t="s">
        <v>1930</v>
      </c>
      <c r="AM442" s="9">
        <v>1</v>
      </c>
      <c r="AN442" s="9">
        <v>46212</v>
      </c>
      <c r="AO442" s="9" t="s">
        <v>1931</v>
      </c>
      <c r="AP442" s="9" t="s">
        <v>69</v>
      </c>
      <c r="AQ442" s="9" t="s">
        <v>1932</v>
      </c>
      <c r="AR442" s="9">
        <v>46212</v>
      </c>
      <c r="AS442" s="9" t="s">
        <v>84</v>
      </c>
      <c r="AT442" s="9" t="s">
        <v>1935</v>
      </c>
      <c r="AU442" s="9" t="s">
        <v>1952</v>
      </c>
      <c r="AV442" s="9">
        <v>0</v>
      </c>
      <c r="AW442" s="9" t="s">
        <v>92</v>
      </c>
      <c r="AX442" s="9" t="s">
        <v>377</v>
      </c>
      <c r="AY442" s="9">
        <v>0</v>
      </c>
      <c r="AZ442" s="9"/>
      <c r="BA442" s="9"/>
      <c r="BB442" s="9">
        <v>0</v>
      </c>
      <c r="BC442" s="9">
        <v>2</v>
      </c>
      <c r="BD442" s="9">
        <v>0</v>
      </c>
      <c r="BE442" s="9" t="s">
        <v>378</v>
      </c>
      <c r="BF442" s="9" t="s">
        <v>71</v>
      </c>
      <c r="BG442" s="9"/>
      <c r="BH442" s="9">
        <v>0</v>
      </c>
      <c r="BI442" s="9"/>
      <c r="BJ442" s="9"/>
      <c r="BK442" s="9" t="s">
        <v>92</v>
      </c>
      <c r="BL442" s="9" t="s">
        <v>92</v>
      </c>
      <c r="BM442" s="9" t="s">
        <v>72</v>
      </c>
      <c r="BN442" s="9"/>
      <c r="BO442" s="9">
        <v>1</v>
      </c>
      <c r="BP442" s="9" t="s">
        <v>1371</v>
      </c>
      <c r="BQ442" s="9">
        <v>0</v>
      </c>
      <c r="BR442" s="9">
        <v>45864.41710648148</v>
      </c>
      <c r="BS442" s="9" t="s">
        <v>109</v>
      </c>
      <c r="BT442" s="9" t="s">
        <v>65</v>
      </c>
      <c r="BU442" s="9"/>
      <c r="BV442" s="9"/>
      <c r="BW442" s="9">
        <v>0</v>
      </c>
      <c r="BX442" s="9">
        <v>46209.422743055555</v>
      </c>
      <c r="BY442" s="9">
        <v>46209.422743055555</v>
      </c>
      <c r="BZ442" s="9"/>
      <c r="CA442" s="9"/>
      <c r="CB442" s="9"/>
      <c r="CC442" s="9"/>
      <c r="CD442" s="9"/>
      <c r="CE442" s="9"/>
      <c r="CF442" s="9"/>
      <c r="CG442" s="9"/>
      <c r="CH442" s="9">
        <v>1</v>
      </c>
      <c r="CI442" s="9">
        <v>0</v>
      </c>
      <c r="CJ442" s="9"/>
      <c r="CK442" s="9"/>
      <c r="CL442" s="9" t="s">
        <v>2047</v>
      </c>
      <c r="CM442" s="9"/>
      <c r="CN442" s="9">
        <v>0</v>
      </c>
      <c r="CO442" s="9" t="s">
        <v>1925</v>
      </c>
      <c r="CP442" s="9" t="s">
        <v>2051</v>
      </c>
      <c r="CQ442" s="9">
        <v>0</v>
      </c>
    </row>
    <row r="443" spans="1:95" x14ac:dyDescent="0.35">
      <c r="A443" s="9" t="b">
        <f>ISNUMBER(MATCH(Claude[[#This Row],[Id]],ChargentOrders[Id],0))</f>
        <v>1</v>
      </c>
      <c r="B443" t="b">
        <f>INDEX(ChargentOrders[VALIDO],MATCH(Claude[[#This Row],[Id]],ChargentOrders[Id],0))</f>
        <v>1</v>
      </c>
      <c r="C443">
        <f>INDEX(Contract[CB_Subscription__c],MATCH(Claude[[#This Row],[Contract__c]],Contract[Id],0))</f>
        <v>0</v>
      </c>
      <c r="D443" s="9" t="s">
        <v>1372</v>
      </c>
      <c r="E443" s="9" t="s">
        <v>79</v>
      </c>
      <c r="F443" s="9">
        <v>0</v>
      </c>
      <c r="G443" s="9" t="s">
        <v>1373</v>
      </c>
      <c r="H443" s="9">
        <v>46203.417164351849</v>
      </c>
      <c r="I443" s="9" t="s">
        <v>65</v>
      </c>
      <c r="J443" s="9">
        <v>46217.738564814812</v>
      </c>
      <c r="K443" s="9" t="s">
        <v>78</v>
      </c>
      <c r="L443" s="9">
        <v>46217.738564814812</v>
      </c>
      <c r="M443" s="9"/>
      <c r="N443" s="9" t="s">
        <v>1644</v>
      </c>
      <c r="O443" s="9" t="s">
        <v>2052</v>
      </c>
      <c r="P443" s="9" t="s">
        <v>2053</v>
      </c>
      <c r="Q443" s="9" t="s">
        <v>1925</v>
      </c>
      <c r="R443" s="9" t="s">
        <v>1642</v>
      </c>
      <c r="S443" s="9" t="s">
        <v>2054</v>
      </c>
      <c r="T443" s="9" t="s">
        <v>2055</v>
      </c>
      <c r="U443" s="9" t="s">
        <v>1928</v>
      </c>
      <c r="V443" s="9">
        <v>738</v>
      </c>
      <c r="W443" s="9">
        <v>1</v>
      </c>
      <c r="X443" s="9">
        <v>2027</v>
      </c>
      <c r="Y443" s="9">
        <v>2506</v>
      </c>
      <c r="Z443" s="9">
        <v>1</v>
      </c>
      <c r="AA443" s="9">
        <v>2506</v>
      </c>
      <c r="AB443" s="9" t="s">
        <v>73</v>
      </c>
      <c r="AC443" s="9">
        <v>2027</v>
      </c>
      <c r="AD443" s="9" t="s">
        <v>1952</v>
      </c>
      <c r="AE443" s="9"/>
      <c r="AF443" s="9" t="s">
        <v>1929</v>
      </c>
      <c r="AG443" s="9"/>
      <c r="AH443" s="9" t="s">
        <v>67</v>
      </c>
      <c r="AI443" s="9">
        <v>0</v>
      </c>
      <c r="AJ443" s="9"/>
      <c r="AK443" s="9">
        <v>0</v>
      </c>
      <c r="AL443" s="9" t="s">
        <v>1930</v>
      </c>
      <c r="AM443" s="9">
        <v>1</v>
      </c>
      <c r="AN443" s="9">
        <v>46212</v>
      </c>
      <c r="AO443" s="9" t="s">
        <v>1931</v>
      </c>
      <c r="AP443" s="9" t="s">
        <v>69</v>
      </c>
      <c r="AQ443" s="9" t="s">
        <v>1932</v>
      </c>
      <c r="AR443" s="9">
        <v>46212</v>
      </c>
      <c r="AS443" s="9" t="s">
        <v>84</v>
      </c>
      <c r="AT443" s="9" t="s">
        <v>1935</v>
      </c>
      <c r="AU443" s="9" t="s">
        <v>1952</v>
      </c>
      <c r="AV443" s="9">
        <v>0</v>
      </c>
      <c r="AW443" s="9" t="s">
        <v>92</v>
      </c>
      <c r="AX443" s="9" t="s">
        <v>406</v>
      </c>
      <c r="AY443" s="9">
        <v>0</v>
      </c>
      <c r="AZ443" s="9"/>
      <c r="BA443" s="9"/>
      <c r="BB443" s="9">
        <v>0</v>
      </c>
      <c r="BC443" s="9">
        <v>2</v>
      </c>
      <c r="BD443" s="9">
        <v>0</v>
      </c>
      <c r="BE443" s="9" t="s">
        <v>407</v>
      </c>
      <c r="BF443" s="9" t="s">
        <v>71</v>
      </c>
      <c r="BG443" s="9"/>
      <c r="BH443" s="9">
        <v>0</v>
      </c>
      <c r="BI443" s="9"/>
      <c r="BJ443" s="9"/>
      <c r="BK443" s="9" t="s">
        <v>92</v>
      </c>
      <c r="BL443" s="9" t="s">
        <v>92</v>
      </c>
      <c r="BM443" s="9" t="s">
        <v>72</v>
      </c>
      <c r="BN443" s="9"/>
      <c r="BO443" s="9">
        <v>1</v>
      </c>
      <c r="BP443" s="9" t="s">
        <v>1374</v>
      </c>
      <c r="BQ443" s="9">
        <v>0</v>
      </c>
      <c r="BR443" s="9">
        <v>45874.6794212963</v>
      </c>
      <c r="BS443" s="9" t="s">
        <v>109</v>
      </c>
      <c r="BT443" s="9" t="s">
        <v>65</v>
      </c>
      <c r="BU443" s="9"/>
      <c r="BV443" s="9"/>
      <c r="BW443" s="9">
        <v>0</v>
      </c>
      <c r="BX443" s="9">
        <v>46209.422754629632</v>
      </c>
      <c r="BY443" s="9">
        <v>46209.422754629632</v>
      </c>
      <c r="BZ443" s="9"/>
      <c r="CA443" s="9"/>
      <c r="CB443" s="9"/>
      <c r="CC443" s="9"/>
      <c r="CD443" s="9"/>
      <c r="CE443" s="9"/>
      <c r="CF443" s="9"/>
      <c r="CG443" s="9"/>
      <c r="CH443" s="9">
        <v>1</v>
      </c>
      <c r="CI443" s="9">
        <v>0</v>
      </c>
      <c r="CJ443" s="9"/>
      <c r="CK443" s="9"/>
      <c r="CL443" s="9" t="s">
        <v>2056</v>
      </c>
      <c r="CM443" s="9"/>
      <c r="CN443" s="9">
        <v>0</v>
      </c>
      <c r="CO443" s="9" t="s">
        <v>1925</v>
      </c>
      <c r="CP443" s="9" t="s">
        <v>2058</v>
      </c>
      <c r="CQ443" s="9">
        <v>0</v>
      </c>
    </row>
    <row r="444" spans="1:95" x14ac:dyDescent="0.35">
      <c r="A444" s="9" t="b">
        <f>ISNUMBER(MATCH(Claude[[#This Row],[Id]],ChargentOrders[Id],0))</f>
        <v>1</v>
      </c>
      <c r="B444" t="b">
        <f>INDEX(ChargentOrders[VALIDO],MATCH(Claude[[#This Row],[Id]],ChargentOrders[Id],0))</f>
        <v>1</v>
      </c>
      <c r="C444">
        <f>INDEX(Contract[CB_Subscription__c],MATCH(Claude[[#This Row],[Contract__c]],Contract[Id],0))</f>
        <v>0</v>
      </c>
      <c r="D444" s="9" t="s">
        <v>1375</v>
      </c>
      <c r="E444" s="9" t="s">
        <v>155</v>
      </c>
      <c r="F444" s="9">
        <v>0</v>
      </c>
      <c r="G444" s="9" t="s">
        <v>1376</v>
      </c>
      <c r="H444" s="9">
        <v>46203.417164351849</v>
      </c>
      <c r="I444" s="9" t="s">
        <v>65</v>
      </c>
      <c r="J444" s="9">
        <v>46217.738564814812</v>
      </c>
      <c r="K444" s="9" t="s">
        <v>78</v>
      </c>
      <c r="L444" s="9">
        <v>46217.738564814812</v>
      </c>
      <c r="M444" s="9"/>
      <c r="N444" s="9" t="s">
        <v>1649</v>
      </c>
      <c r="O444" s="9" t="s">
        <v>2059</v>
      </c>
      <c r="P444" s="9" t="s">
        <v>1990</v>
      </c>
      <c r="Q444" s="9" t="s">
        <v>1925</v>
      </c>
      <c r="R444" s="9" t="s">
        <v>1647</v>
      </c>
      <c r="S444" s="9" t="s">
        <v>2060</v>
      </c>
      <c r="T444" s="9" t="s">
        <v>2061</v>
      </c>
      <c r="U444" s="9" t="s">
        <v>1928</v>
      </c>
      <c r="V444" s="9">
        <v>915</v>
      </c>
      <c r="W444" s="9">
        <v>10</v>
      </c>
      <c r="X444" s="9">
        <v>2028</v>
      </c>
      <c r="Y444" s="9">
        <v>2362</v>
      </c>
      <c r="Z444" s="9">
        <v>10</v>
      </c>
      <c r="AA444" s="9">
        <v>4549516362132360</v>
      </c>
      <c r="AB444" s="9" t="s">
        <v>73</v>
      </c>
      <c r="AC444" s="9">
        <v>2028</v>
      </c>
      <c r="AD444" s="9" t="s">
        <v>449</v>
      </c>
      <c r="AE444" s="9"/>
      <c r="AF444" s="9" t="s">
        <v>1929</v>
      </c>
      <c r="AG444" s="9"/>
      <c r="AH444" s="9" t="s">
        <v>67</v>
      </c>
      <c r="AI444" s="9">
        <v>0</v>
      </c>
      <c r="AJ444" s="9"/>
      <c r="AK444" s="9">
        <v>0</v>
      </c>
      <c r="AL444" s="9" t="s">
        <v>1930</v>
      </c>
      <c r="AM444" s="9">
        <v>1</v>
      </c>
      <c r="AN444" s="9">
        <v>46212</v>
      </c>
      <c r="AO444" s="9" t="s">
        <v>1931</v>
      </c>
      <c r="AP444" s="9" t="s">
        <v>69</v>
      </c>
      <c r="AQ444" s="9" t="s">
        <v>1932</v>
      </c>
      <c r="AR444" s="9">
        <v>46212</v>
      </c>
      <c r="AS444" s="9" t="s">
        <v>84</v>
      </c>
      <c r="AT444" s="9" t="s">
        <v>1935</v>
      </c>
      <c r="AU444" s="9" t="s">
        <v>449</v>
      </c>
      <c r="AV444" s="9">
        <v>0</v>
      </c>
      <c r="AW444" s="9" t="s">
        <v>92</v>
      </c>
      <c r="AX444" s="9" t="s">
        <v>414</v>
      </c>
      <c r="AY444" s="9">
        <v>0</v>
      </c>
      <c r="AZ444" s="9"/>
      <c r="BA444" s="9"/>
      <c r="BB444" s="9">
        <v>0</v>
      </c>
      <c r="BC444" s="9">
        <v>2</v>
      </c>
      <c r="BD444" s="9">
        <v>0</v>
      </c>
      <c r="BE444" s="9" t="s">
        <v>415</v>
      </c>
      <c r="BF444" s="9" t="s">
        <v>71</v>
      </c>
      <c r="BG444" s="9"/>
      <c r="BH444" s="9">
        <v>0</v>
      </c>
      <c r="BI444" s="9"/>
      <c r="BJ444" s="9"/>
      <c r="BK444" s="9" t="s">
        <v>92</v>
      </c>
      <c r="BL444" s="9" t="s">
        <v>92</v>
      </c>
      <c r="BM444" s="9" t="s">
        <v>72</v>
      </c>
      <c r="BN444" s="9"/>
      <c r="BO444" s="9">
        <v>1</v>
      </c>
      <c r="BP444" s="9" t="s">
        <v>1377</v>
      </c>
      <c r="BQ444" s="9">
        <v>0</v>
      </c>
      <c r="BR444" s="9">
        <v>45901.428703703707</v>
      </c>
      <c r="BS444" s="9" t="s">
        <v>109</v>
      </c>
      <c r="BT444" s="9" t="s">
        <v>65</v>
      </c>
      <c r="BU444" s="9"/>
      <c r="BV444" s="9"/>
      <c r="BW444" s="9">
        <v>0</v>
      </c>
      <c r="BX444" s="9">
        <v>46209.422754629632</v>
      </c>
      <c r="BY444" s="9">
        <v>46209.422754629632</v>
      </c>
      <c r="BZ444" s="9"/>
      <c r="CA444" s="9"/>
      <c r="CB444" s="9"/>
      <c r="CC444" s="9"/>
      <c r="CD444" s="9"/>
      <c r="CE444" s="9"/>
      <c r="CF444" s="9"/>
      <c r="CG444" s="9"/>
      <c r="CH444" s="9">
        <v>1</v>
      </c>
      <c r="CI444" s="9">
        <v>0</v>
      </c>
      <c r="CJ444" s="9"/>
      <c r="CK444" s="9"/>
      <c r="CL444" s="9" t="s">
        <v>2062</v>
      </c>
      <c r="CM444" s="9"/>
      <c r="CN444" s="9">
        <v>0</v>
      </c>
      <c r="CO444" s="9" t="s">
        <v>1925</v>
      </c>
      <c r="CP444" s="9" t="s">
        <v>2073</v>
      </c>
      <c r="CQ444" s="9">
        <v>0</v>
      </c>
    </row>
    <row r="445" spans="1:95" x14ac:dyDescent="0.35">
      <c r="A445" s="9" t="b">
        <f>ISNUMBER(MATCH(Claude[[#This Row],[Id]],ChargentOrders[Id],0))</f>
        <v>1</v>
      </c>
      <c r="B445" t="b">
        <f>INDEX(ChargentOrders[VALIDO],MATCH(Claude[[#This Row],[Id]],ChargentOrders[Id],0))</f>
        <v>1</v>
      </c>
      <c r="C445">
        <f>INDEX(Contract[CB_Subscription__c],MATCH(Claude[[#This Row],[Contract__c]],Contract[Id],0))</f>
        <v>0</v>
      </c>
      <c r="D445" s="9" t="s">
        <v>1378</v>
      </c>
      <c r="E445" s="9" t="s">
        <v>79</v>
      </c>
      <c r="F445" s="9">
        <v>0</v>
      </c>
      <c r="G445" s="9" t="s">
        <v>1379</v>
      </c>
      <c r="H445" s="9">
        <v>46203.417164351849</v>
      </c>
      <c r="I445" s="9" t="s">
        <v>65</v>
      </c>
      <c r="J445" s="9">
        <v>46217.738564814812</v>
      </c>
      <c r="K445" s="9" t="s">
        <v>78</v>
      </c>
      <c r="L445" s="9">
        <v>46217.738564814812</v>
      </c>
      <c r="M445" s="9"/>
      <c r="N445" s="9" t="s">
        <v>1659</v>
      </c>
      <c r="O445" s="9" t="s">
        <v>2074</v>
      </c>
      <c r="P445" s="9" t="s">
        <v>2066</v>
      </c>
      <c r="Q445" s="9" t="s">
        <v>1925</v>
      </c>
      <c r="R445" s="9" t="s">
        <v>1657</v>
      </c>
      <c r="S445" s="9" t="s">
        <v>2075</v>
      </c>
      <c r="T445" s="9" t="s">
        <v>2076</v>
      </c>
      <c r="U445" s="9" t="s">
        <v>1928</v>
      </c>
      <c r="V445" s="9">
        <v>956</v>
      </c>
      <c r="W445" s="9">
        <v>9</v>
      </c>
      <c r="X445" s="9">
        <v>2030</v>
      </c>
      <c r="Y445" s="9">
        <v>4428</v>
      </c>
      <c r="Z445" s="9">
        <v>9</v>
      </c>
      <c r="AA445" s="9">
        <v>4428</v>
      </c>
      <c r="AB445" s="9" t="s">
        <v>73</v>
      </c>
      <c r="AC445" s="9">
        <v>2030</v>
      </c>
      <c r="AD445" s="9" t="s">
        <v>95</v>
      </c>
      <c r="AE445" s="9"/>
      <c r="AF445" s="9" t="s">
        <v>1929</v>
      </c>
      <c r="AG445" s="9"/>
      <c r="AH445" s="9" t="s">
        <v>67</v>
      </c>
      <c r="AI445" s="9">
        <v>0</v>
      </c>
      <c r="AJ445" s="9"/>
      <c r="AK445" s="9">
        <v>0</v>
      </c>
      <c r="AL445" s="9" t="s">
        <v>1930</v>
      </c>
      <c r="AM445" s="9" t="s">
        <v>1958</v>
      </c>
      <c r="AN445" s="9">
        <v>46212</v>
      </c>
      <c r="AO445" s="9" t="s">
        <v>1931</v>
      </c>
      <c r="AP445" s="9" t="s">
        <v>69</v>
      </c>
      <c r="AQ445" s="9" t="s">
        <v>1932</v>
      </c>
      <c r="AR445" s="9">
        <v>46212</v>
      </c>
      <c r="AS445" s="9" t="s">
        <v>84</v>
      </c>
      <c r="AT445" s="9" t="s">
        <v>1935</v>
      </c>
      <c r="AU445" s="9" t="s">
        <v>2101</v>
      </c>
      <c r="AV445" s="9">
        <v>0</v>
      </c>
      <c r="AW445" s="9" t="s">
        <v>93</v>
      </c>
      <c r="AX445" s="9" t="s">
        <v>479</v>
      </c>
      <c r="AY445" s="9">
        <v>0</v>
      </c>
      <c r="AZ445" s="9"/>
      <c r="BA445" s="9"/>
      <c r="BB445" s="9">
        <v>0</v>
      </c>
      <c r="BC445" s="9">
        <v>3</v>
      </c>
      <c r="BD445" s="9">
        <v>0</v>
      </c>
      <c r="BE445" s="9" t="s">
        <v>480</v>
      </c>
      <c r="BF445" s="9" t="s">
        <v>71</v>
      </c>
      <c r="BG445" s="9"/>
      <c r="BH445" s="9">
        <v>0</v>
      </c>
      <c r="BI445" s="9"/>
      <c r="BJ445" s="9"/>
      <c r="BK445" s="9" t="s">
        <v>92</v>
      </c>
      <c r="BL445" s="9" t="s">
        <v>92</v>
      </c>
      <c r="BM445" s="9" t="s">
        <v>72</v>
      </c>
      <c r="BN445" s="9"/>
      <c r="BO445" s="9">
        <v>1</v>
      </c>
      <c r="BP445" s="9" t="s">
        <v>1380</v>
      </c>
      <c r="BQ445" s="9">
        <v>0</v>
      </c>
      <c r="BR445" s="9">
        <v>45944.639537037037</v>
      </c>
      <c r="BS445" s="9" t="s">
        <v>109</v>
      </c>
      <c r="BT445" s="9" t="s">
        <v>65</v>
      </c>
      <c r="BU445" s="9"/>
      <c r="BV445" s="9"/>
      <c r="BW445" s="9">
        <v>0</v>
      </c>
      <c r="BX445" s="9">
        <v>46209.97315972222</v>
      </c>
      <c r="BY445" s="9">
        <v>46209.97315972222</v>
      </c>
      <c r="BZ445" s="9"/>
      <c r="CA445" s="9"/>
      <c r="CB445" s="9"/>
      <c r="CC445" s="9"/>
      <c r="CD445" s="9"/>
      <c r="CE445" s="9"/>
      <c r="CF445" s="9"/>
      <c r="CG445" s="9"/>
      <c r="CH445" s="9">
        <v>1</v>
      </c>
      <c r="CI445" s="9">
        <v>0</v>
      </c>
      <c r="CJ445" s="9"/>
      <c r="CK445" s="9"/>
      <c r="CL445" s="9" t="s">
        <v>2077</v>
      </c>
      <c r="CM445" s="9"/>
      <c r="CN445" s="9">
        <v>0</v>
      </c>
      <c r="CO445" s="9" t="s">
        <v>1925</v>
      </c>
      <c r="CP445" s="9" t="s">
        <v>2080</v>
      </c>
      <c r="CQ445" s="9">
        <v>0</v>
      </c>
    </row>
    <row r="446" spans="1:95" x14ac:dyDescent="0.35">
      <c r="A446" s="9" t="b">
        <f>ISNUMBER(MATCH(Claude[[#This Row],[Id]],ChargentOrders[Id],0))</f>
        <v>1</v>
      </c>
      <c r="B446" t="b">
        <f>INDEX(ChargentOrders[VALIDO],MATCH(Claude[[#This Row],[Id]],ChargentOrders[Id],0))</f>
        <v>1</v>
      </c>
      <c r="C446">
        <f>INDEX(Contract[CB_Subscription__c],MATCH(Claude[[#This Row],[Contract__c]],Contract[Id],0))</f>
        <v>0</v>
      </c>
      <c r="D446" s="9" t="s">
        <v>1381</v>
      </c>
      <c r="E446" s="9" t="s">
        <v>155</v>
      </c>
      <c r="F446" s="9">
        <v>0</v>
      </c>
      <c r="G446" s="9" t="s">
        <v>1382</v>
      </c>
      <c r="H446" s="9">
        <v>46203.417361111111</v>
      </c>
      <c r="I446" s="9" t="s">
        <v>65</v>
      </c>
      <c r="J446" s="9">
        <v>46217.006099537037</v>
      </c>
      <c r="K446" s="9" t="s">
        <v>101</v>
      </c>
      <c r="L446" s="9">
        <v>46217.006099537037</v>
      </c>
      <c r="M446" s="9"/>
      <c r="N446" s="9" t="s">
        <v>1664</v>
      </c>
      <c r="O446" s="9" t="s">
        <v>2081</v>
      </c>
      <c r="P446" s="9" t="s">
        <v>2082</v>
      </c>
      <c r="Q446" s="9" t="s">
        <v>2015</v>
      </c>
      <c r="R446" s="9" t="s">
        <v>1662</v>
      </c>
      <c r="S446" s="9" t="s">
        <v>2083</v>
      </c>
      <c r="T446" s="9" t="s">
        <v>2084</v>
      </c>
      <c r="U446" s="9" t="s">
        <v>2085</v>
      </c>
      <c r="V446" s="9">
        <v>17042</v>
      </c>
      <c r="W446" s="9">
        <v>10</v>
      </c>
      <c r="X446" s="9">
        <v>2030</v>
      </c>
      <c r="Y446" s="9">
        <v>3323</v>
      </c>
      <c r="Z446" s="9">
        <v>10</v>
      </c>
      <c r="AA446" s="9"/>
      <c r="AB446" s="9" t="s">
        <v>73</v>
      </c>
      <c r="AC446" s="9">
        <v>2030</v>
      </c>
      <c r="AD446" s="9" t="s">
        <v>95</v>
      </c>
      <c r="AE446" s="9"/>
      <c r="AF446" s="9" t="s">
        <v>1929</v>
      </c>
      <c r="AG446" s="9"/>
      <c r="AH446" s="9" t="s">
        <v>107</v>
      </c>
      <c r="AI446" s="9">
        <v>0</v>
      </c>
      <c r="AJ446" s="9"/>
      <c r="AK446" s="9">
        <v>0</v>
      </c>
      <c r="AL446" s="9" t="s">
        <v>1930</v>
      </c>
      <c r="AM446" s="9" t="s">
        <v>1958</v>
      </c>
      <c r="AN446" s="9">
        <v>46212</v>
      </c>
      <c r="AO446" s="9" t="s">
        <v>1931</v>
      </c>
      <c r="AP446" s="9" t="s">
        <v>69</v>
      </c>
      <c r="AQ446" s="9" t="s">
        <v>1932</v>
      </c>
      <c r="AR446" s="9">
        <v>46212</v>
      </c>
      <c r="AS446" s="9" t="s">
        <v>90</v>
      </c>
      <c r="AT446" s="9" t="s">
        <v>1935</v>
      </c>
      <c r="AU446" s="9" t="s">
        <v>2101</v>
      </c>
      <c r="AV446" s="9">
        <v>0</v>
      </c>
      <c r="AW446" s="9" t="s">
        <v>93</v>
      </c>
      <c r="AX446" s="9" t="s">
        <v>489</v>
      </c>
      <c r="AY446" s="9">
        <v>0</v>
      </c>
      <c r="AZ446" s="9"/>
      <c r="BA446" s="9"/>
      <c r="BB446" s="9">
        <v>0</v>
      </c>
      <c r="BC446" s="9">
        <v>3</v>
      </c>
      <c r="BD446" s="9">
        <v>0</v>
      </c>
      <c r="BE446" s="9" t="s">
        <v>490</v>
      </c>
      <c r="BF446" s="9" t="s">
        <v>71</v>
      </c>
      <c r="BG446" s="9"/>
      <c r="BH446" s="9">
        <v>0</v>
      </c>
      <c r="BI446" s="9"/>
      <c r="BJ446" s="9"/>
      <c r="BK446" s="9" t="s">
        <v>92</v>
      </c>
      <c r="BL446" s="9" t="s">
        <v>92</v>
      </c>
      <c r="BM446" s="9" t="s">
        <v>72</v>
      </c>
      <c r="BN446" s="9"/>
      <c r="BO446" s="9">
        <v>1</v>
      </c>
      <c r="BP446" s="9" t="s">
        <v>1383</v>
      </c>
      <c r="BQ446" s="9">
        <v>0</v>
      </c>
      <c r="BR446" s="9">
        <v>45961.424942129626</v>
      </c>
      <c r="BS446" s="9" t="s">
        <v>109</v>
      </c>
      <c r="BT446" s="9" t="s">
        <v>65</v>
      </c>
      <c r="BU446" s="9"/>
      <c r="BV446" s="9"/>
      <c r="BW446" s="9">
        <v>0</v>
      </c>
      <c r="BX446" s="9">
        <v>46209.422800925924</v>
      </c>
      <c r="BY446" s="9">
        <v>46217.006099537037</v>
      </c>
      <c r="BZ446" s="9"/>
      <c r="CA446" s="9"/>
      <c r="CB446" s="9"/>
      <c r="CC446" s="9"/>
      <c r="CD446" s="9"/>
      <c r="CE446" s="9"/>
      <c r="CF446" s="9"/>
      <c r="CG446" s="9"/>
      <c r="CH446" s="9">
        <v>1</v>
      </c>
      <c r="CI446" s="9">
        <v>0</v>
      </c>
      <c r="CJ446" s="9"/>
      <c r="CK446" s="9"/>
      <c r="CL446" s="9" t="s">
        <v>2086</v>
      </c>
      <c r="CM446" s="9"/>
      <c r="CN446" s="9">
        <v>0</v>
      </c>
      <c r="CO446" s="9" t="s">
        <v>1925</v>
      </c>
      <c r="CP446" s="9" t="s">
        <v>2089</v>
      </c>
      <c r="CQ446" s="9">
        <v>0</v>
      </c>
    </row>
    <row r="447" spans="1:95" x14ac:dyDescent="0.35">
      <c r="A447" s="9" t="b">
        <f>ISNUMBER(MATCH(Claude[[#This Row],[Id]],ChargentOrders[Id],0))</f>
        <v>1</v>
      </c>
      <c r="B447" t="b">
        <f>INDEX(ChargentOrders[VALIDO],MATCH(Claude[[#This Row],[Id]],ChargentOrders[Id],0))</f>
        <v>1</v>
      </c>
      <c r="C447">
        <f>INDEX(Contract[CB_Subscription__c],MATCH(Claude[[#This Row],[Contract__c]],Contract[Id],0))</f>
        <v>0</v>
      </c>
      <c r="D447" s="9" t="s">
        <v>1384</v>
      </c>
      <c r="E447" s="9" t="s">
        <v>81</v>
      </c>
      <c r="F447" s="9">
        <v>0</v>
      </c>
      <c r="G447" s="9" t="s">
        <v>1385</v>
      </c>
      <c r="H447" s="9">
        <v>46203.417361111111</v>
      </c>
      <c r="I447" s="9" t="s">
        <v>65</v>
      </c>
      <c r="J447" s="9">
        <v>46217.738564814812</v>
      </c>
      <c r="K447" s="9" t="s">
        <v>78</v>
      </c>
      <c r="L447" s="9">
        <v>46217.738564814812</v>
      </c>
      <c r="M447" s="9"/>
      <c r="N447" s="9" t="s">
        <v>1669</v>
      </c>
      <c r="O447" s="9" t="s">
        <v>2090</v>
      </c>
      <c r="P447" s="9" t="s">
        <v>2027</v>
      </c>
      <c r="Q447" s="9" t="s">
        <v>1925</v>
      </c>
      <c r="R447" s="9" t="s">
        <v>1667</v>
      </c>
      <c r="S447" s="9" t="s">
        <v>2091</v>
      </c>
      <c r="T447" s="9" t="s">
        <v>2092</v>
      </c>
      <c r="U447" s="9" t="s">
        <v>1928</v>
      </c>
      <c r="V447" s="9">
        <v>603</v>
      </c>
      <c r="W447" s="9">
        <v>10</v>
      </c>
      <c r="X447" s="9">
        <v>2029</v>
      </c>
      <c r="Y447" s="9">
        <v>1120</v>
      </c>
      <c r="Z447" s="9">
        <v>10</v>
      </c>
      <c r="AA447" s="9">
        <v>4549518508501120</v>
      </c>
      <c r="AB447" s="9" t="s">
        <v>73</v>
      </c>
      <c r="AC447" s="9">
        <v>2029</v>
      </c>
      <c r="AD447" s="9" t="s">
        <v>2101</v>
      </c>
      <c r="AE447" s="9"/>
      <c r="AF447" s="9" t="s">
        <v>1929</v>
      </c>
      <c r="AG447" s="9"/>
      <c r="AH447" s="9" t="s">
        <v>67</v>
      </c>
      <c r="AI447" s="9">
        <v>0</v>
      </c>
      <c r="AJ447" s="9"/>
      <c r="AK447" s="9">
        <v>0</v>
      </c>
      <c r="AL447" s="9" t="s">
        <v>1930</v>
      </c>
      <c r="AM447" s="9">
        <v>1</v>
      </c>
      <c r="AN447" s="9">
        <v>46212</v>
      </c>
      <c r="AO447" s="9" t="s">
        <v>1931</v>
      </c>
      <c r="AP447" s="9" t="s">
        <v>69</v>
      </c>
      <c r="AQ447" s="9" t="s">
        <v>1932</v>
      </c>
      <c r="AR447" s="9">
        <v>46212</v>
      </c>
      <c r="AS447" s="9" t="s">
        <v>84</v>
      </c>
      <c r="AT447" s="9" t="s">
        <v>1935</v>
      </c>
      <c r="AU447" s="9" t="s">
        <v>2101</v>
      </c>
      <c r="AV447" s="9">
        <v>0</v>
      </c>
      <c r="AW447" s="9" t="s">
        <v>92</v>
      </c>
      <c r="AX447" s="9" t="s">
        <v>515</v>
      </c>
      <c r="AY447" s="9">
        <v>0</v>
      </c>
      <c r="AZ447" s="9"/>
      <c r="BA447" s="9"/>
      <c r="BB447" s="9">
        <v>0</v>
      </c>
      <c r="BC447" s="9">
        <v>2</v>
      </c>
      <c r="BD447" s="9">
        <v>0</v>
      </c>
      <c r="BE447" s="9" t="s">
        <v>516</v>
      </c>
      <c r="BF447" s="9" t="s">
        <v>71</v>
      </c>
      <c r="BG447" s="9"/>
      <c r="BH447" s="9">
        <v>0</v>
      </c>
      <c r="BI447" s="9"/>
      <c r="BJ447" s="9"/>
      <c r="BK447" s="9" t="s">
        <v>92</v>
      </c>
      <c r="BL447" s="9" t="s">
        <v>92</v>
      </c>
      <c r="BM447" s="9" t="s">
        <v>72</v>
      </c>
      <c r="BN447" s="9"/>
      <c r="BO447" s="9">
        <v>1</v>
      </c>
      <c r="BP447" s="9" t="s">
        <v>1386</v>
      </c>
      <c r="BQ447" s="9">
        <v>0</v>
      </c>
      <c r="BR447" s="9">
        <v>45982.878946759258</v>
      </c>
      <c r="BS447" s="9" t="s">
        <v>109</v>
      </c>
      <c r="BT447" s="9" t="s">
        <v>65</v>
      </c>
      <c r="BU447" s="9"/>
      <c r="BV447" s="9"/>
      <c r="BW447" s="9">
        <v>0</v>
      </c>
      <c r="BX447" s="9">
        <v>46209.422881944447</v>
      </c>
      <c r="BY447" s="9">
        <v>46209.422881944447</v>
      </c>
      <c r="BZ447" s="9"/>
      <c r="CA447" s="9"/>
      <c r="CB447" s="9"/>
      <c r="CC447" s="9"/>
      <c r="CD447" s="9"/>
      <c r="CE447" s="9"/>
      <c r="CF447" s="9"/>
      <c r="CG447" s="9"/>
      <c r="CH447" s="9">
        <v>1</v>
      </c>
      <c r="CI447" s="9">
        <v>0</v>
      </c>
      <c r="CJ447" s="9"/>
      <c r="CK447" s="9"/>
      <c r="CL447" s="9" t="s">
        <v>2093</v>
      </c>
      <c r="CM447" s="9"/>
      <c r="CN447" s="9">
        <v>0</v>
      </c>
      <c r="CO447" s="9" t="s">
        <v>1925</v>
      </c>
      <c r="CP447" s="9" t="s">
        <v>2100</v>
      </c>
      <c r="CQ447" s="9">
        <v>0</v>
      </c>
    </row>
    <row r="448" spans="1:95" x14ac:dyDescent="0.35">
      <c r="A448" s="9" t="b">
        <f>ISNUMBER(MATCH(Claude[[#This Row],[Id]],ChargentOrders[Id],0))</f>
        <v>1</v>
      </c>
      <c r="B448" t="b">
        <f>INDEX(ChargentOrders[VALIDO],MATCH(Claude[[#This Row],[Id]],ChargentOrders[Id],0))</f>
        <v>1</v>
      </c>
      <c r="C448">
        <f>INDEX(Contract[CB_Subscription__c],MATCH(Claude[[#This Row],[Contract__c]],Contract[Id],0))</f>
        <v>0</v>
      </c>
      <c r="D448" s="9" t="s">
        <v>1387</v>
      </c>
      <c r="E448" s="9" t="s">
        <v>79</v>
      </c>
      <c r="F448" s="9">
        <v>0</v>
      </c>
      <c r="G448" s="9" t="s">
        <v>1388</v>
      </c>
      <c r="H448" s="9">
        <v>46203.417361111111</v>
      </c>
      <c r="I448" s="9" t="s">
        <v>65</v>
      </c>
      <c r="J448" s="9">
        <v>46217.004189814812</v>
      </c>
      <c r="K448" s="9" t="s">
        <v>101</v>
      </c>
      <c r="L448" s="9">
        <v>46217.004189814812</v>
      </c>
      <c r="M448" s="9"/>
      <c r="N448" s="9" t="s">
        <v>1708</v>
      </c>
      <c r="O448" s="9" t="s">
        <v>2132</v>
      </c>
      <c r="P448" s="9" t="s">
        <v>2066</v>
      </c>
      <c r="Q448" s="9" t="s">
        <v>1925</v>
      </c>
      <c r="R448" s="9" t="s">
        <v>1706</v>
      </c>
      <c r="S448" s="9" t="s">
        <v>2133</v>
      </c>
      <c r="T448" s="9" t="s">
        <v>2134</v>
      </c>
      <c r="U448" s="9" t="s">
        <v>1928</v>
      </c>
      <c r="V448" s="9">
        <v>956</v>
      </c>
      <c r="W448" s="9">
        <v>10</v>
      </c>
      <c r="X448" s="9">
        <v>2030</v>
      </c>
      <c r="Y448" s="9">
        <v>2772</v>
      </c>
      <c r="Z448" s="9">
        <v>10</v>
      </c>
      <c r="AA448" s="9">
        <v>4549519496022770</v>
      </c>
      <c r="AB448" s="9" t="s">
        <v>73</v>
      </c>
      <c r="AC448" s="9">
        <v>2030</v>
      </c>
      <c r="AD448" s="9" t="s">
        <v>2087</v>
      </c>
      <c r="AE448" s="9"/>
      <c r="AF448" s="9" t="s">
        <v>1929</v>
      </c>
      <c r="AG448" s="9"/>
      <c r="AH448" s="9" t="s">
        <v>67</v>
      </c>
      <c r="AI448" s="9">
        <v>0</v>
      </c>
      <c r="AJ448" s="9"/>
      <c r="AK448" s="9">
        <v>0</v>
      </c>
      <c r="AL448" s="9" t="s">
        <v>1930</v>
      </c>
      <c r="AM448" s="9" t="s">
        <v>1958</v>
      </c>
      <c r="AN448" s="9">
        <v>46212</v>
      </c>
      <c r="AO448" s="9" t="s">
        <v>1931</v>
      </c>
      <c r="AP448" s="9" t="s">
        <v>69</v>
      </c>
      <c r="AQ448" s="9" t="s">
        <v>1932</v>
      </c>
      <c r="AR448" s="9">
        <v>46212</v>
      </c>
      <c r="AS448" s="9" t="s">
        <v>90</v>
      </c>
      <c r="AT448" s="9" t="s">
        <v>1935</v>
      </c>
      <c r="AU448" s="9" t="s">
        <v>1952</v>
      </c>
      <c r="AV448" s="9">
        <v>0</v>
      </c>
      <c r="AW448" s="9" t="s">
        <v>93</v>
      </c>
      <c r="AX448" s="9" t="s">
        <v>616</v>
      </c>
      <c r="AY448" s="9">
        <v>0</v>
      </c>
      <c r="AZ448" s="9"/>
      <c r="BA448" s="9"/>
      <c r="BB448" s="9">
        <v>0</v>
      </c>
      <c r="BC448" s="9">
        <v>3</v>
      </c>
      <c r="BD448" s="9">
        <v>0</v>
      </c>
      <c r="BE448" s="9" t="s">
        <v>617</v>
      </c>
      <c r="BF448" s="9" t="s">
        <v>71</v>
      </c>
      <c r="BG448" s="9"/>
      <c r="BH448" s="9">
        <v>0</v>
      </c>
      <c r="BI448" s="9"/>
      <c r="BJ448" s="9"/>
      <c r="BK448" s="9" t="s">
        <v>92</v>
      </c>
      <c r="BL448" s="9" t="s">
        <v>92</v>
      </c>
      <c r="BM448" s="9" t="s">
        <v>72</v>
      </c>
      <c r="BN448" s="9"/>
      <c r="BO448" s="9">
        <v>1</v>
      </c>
      <c r="BP448" s="9" t="s">
        <v>1389</v>
      </c>
      <c r="BQ448" s="9">
        <v>0</v>
      </c>
      <c r="BR448" s="9">
        <v>46031.426122685189</v>
      </c>
      <c r="BS448" s="9" t="s">
        <v>109</v>
      </c>
      <c r="BT448" s="9" t="s">
        <v>65</v>
      </c>
      <c r="BU448" s="9"/>
      <c r="BV448" s="9"/>
      <c r="BW448" s="9">
        <v>0</v>
      </c>
      <c r="BX448" s="9">
        <v>46217.004178240742</v>
      </c>
      <c r="BY448" s="9">
        <v>46217.004178240742</v>
      </c>
      <c r="BZ448" s="9"/>
      <c r="CA448" s="9"/>
      <c r="CB448" s="9"/>
      <c r="CC448" s="9"/>
      <c r="CD448" s="9"/>
      <c r="CE448" s="9"/>
      <c r="CF448" s="9"/>
      <c r="CG448" s="9"/>
      <c r="CH448" s="9">
        <v>1</v>
      </c>
      <c r="CI448" s="9">
        <v>0</v>
      </c>
      <c r="CJ448" s="9"/>
      <c r="CK448" s="9"/>
      <c r="CL448" s="9" t="s">
        <v>2135</v>
      </c>
      <c r="CM448" s="9"/>
      <c r="CN448" s="9">
        <v>0</v>
      </c>
      <c r="CO448" s="9" t="s">
        <v>1925</v>
      </c>
      <c r="CP448" s="9" t="s">
        <v>2184</v>
      </c>
      <c r="CQ448" s="9">
        <v>0</v>
      </c>
    </row>
    <row r="449" spans="1:95" x14ac:dyDescent="0.35">
      <c r="A449" s="9" t="b">
        <f>ISNUMBER(MATCH(Claude[[#This Row],[Id]],ChargentOrders[Id],0))</f>
        <v>1</v>
      </c>
      <c r="B449" t="b">
        <f>INDEX(ChargentOrders[VALIDO],MATCH(Claude[[#This Row],[Id]],ChargentOrders[Id],0))</f>
        <v>1</v>
      </c>
      <c r="C449">
        <f>INDEX(Contract[CB_Subscription__c],MATCH(Claude[[#This Row],[Contract__c]],Contract[Id],0))</f>
        <v>0</v>
      </c>
      <c r="D449" s="9" t="s">
        <v>1390</v>
      </c>
      <c r="E449" s="9" t="s">
        <v>155</v>
      </c>
      <c r="F449" s="9">
        <v>0</v>
      </c>
      <c r="G449" s="9" t="s">
        <v>1391</v>
      </c>
      <c r="H449" s="9">
        <v>46205.422025462962</v>
      </c>
      <c r="I449" s="9" t="s">
        <v>65</v>
      </c>
      <c r="J449" s="9">
        <v>46216.995115740741</v>
      </c>
      <c r="K449" s="9" t="s">
        <v>101</v>
      </c>
      <c r="L449" s="9">
        <v>46216.995115740741</v>
      </c>
      <c r="M449" s="9"/>
      <c r="N449" s="9" t="s">
        <v>1858</v>
      </c>
      <c r="O449" s="9" t="s">
        <v>2302</v>
      </c>
      <c r="P449" s="9" t="s">
        <v>1990</v>
      </c>
      <c r="Q449" s="9" t="s">
        <v>1925</v>
      </c>
      <c r="R449" s="9" t="s">
        <v>1856</v>
      </c>
      <c r="S449" s="9" t="s">
        <v>2303</v>
      </c>
      <c r="T449" s="9" t="s">
        <v>2304</v>
      </c>
      <c r="U449" s="9" t="s">
        <v>1928</v>
      </c>
      <c r="V449" s="9">
        <v>926</v>
      </c>
      <c r="W449" s="9">
        <v>1</v>
      </c>
      <c r="X449" s="9">
        <v>2027</v>
      </c>
      <c r="Y449" s="9">
        <v>6681</v>
      </c>
      <c r="Z449" s="9">
        <v>1</v>
      </c>
      <c r="AA449" s="9">
        <v>4232230224246680</v>
      </c>
      <c r="AB449" s="9" t="s">
        <v>73</v>
      </c>
      <c r="AC449" s="9">
        <v>2027</v>
      </c>
      <c r="AD449" s="9" t="s">
        <v>2220</v>
      </c>
      <c r="AE449" s="9"/>
      <c r="AF449" s="9" t="s">
        <v>1929</v>
      </c>
      <c r="AG449" s="9"/>
      <c r="AH449" s="9" t="s">
        <v>67</v>
      </c>
      <c r="AI449" s="9">
        <v>0</v>
      </c>
      <c r="AJ449" s="9"/>
      <c r="AK449" s="9">
        <v>0</v>
      </c>
      <c r="AL449" s="9" t="s">
        <v>1930</v>
      </c>
      <c r="AM449" s="9" t="s">
        <v>1958</v>
      </c>
      <c r="AN449" s="9">
        <v>46212</v>
      </c>
      <c r="AO449" s="9" t="s">
        <v>1931</v>
      </c>
      <c r="AP449" s="9" t="s">
        <v>69</v>
      </c>
      <c r="AQ449" s="9" t="s">
        <v>1932</v>
      </c>
      <c r="AR449" s="9">
        <v>46212</v>
      </c>
      <c r="AS449" s="9" t="s">
        <v>90</v>
      </c>
      <c r="AT449" s="9" t="s">
        <v>1935</v>
      </c>
      <c r="AU449" s="9" t="s">
        <v>449</v>
      </c>
      <c r="AV449" s="9">
        <v>0</v>
      </c>
      <c r="AW449" s="9" t="s">
        <v>93</v>
      </c>
      <c r="AX449" s="9" t="s">
        <v>1290</v>
      </c>
      <c r="AY449" s="9">
        <v>0</v>
      </c>
      <c r="AZ449" s="9"/>
      <c r="BA449" s="9"/>
      <c r="BB449" s="9">
        <v>0</v>
      </c>
      <c r="BC449" s="9">
        <v>3</v>
      </c>
      <c r="BD449" s="9">
        <v>0</v>
      </c>
      <c r="BE449" s="9" t="s">
        <v>1287</v>
      </c>
      <c r="BF449" s="9" t="s">
        <v>71</v>
      </c>
      <c r="BG449" s="9"/>
      <c r="BH449" s="9">
        <v>0</v>
      </c>
      <c r="BI449" s="9"/>
      <c r="BJ449" s="9"/>
      <c r="BK449" s="9" t="s">
        <v>92</v>
      </c>
      <c r="BL449" s="9" t="s">
        <v>92</v>
      </c>
      <c r="BM449" s="9" t="s">
        <v>72</v>
      </c>
      <c r="BN449" s="9"/>
      <c r="BO449" s="9">
        <v>1</v>
      </c>
      <c r="BP449" s="9" t="s">
        <v>1392</v>
      </c>
      <c r="BQ449" s="9">
        <v>0</v>
      </c>
      <c r="BR449" s="9">
        <v>46177.721805555557</v>
      </c>
      <c r="BS449" s="9" t="s">
        <v>109</v>
      </c>
      <c r="BT449" s="9" t="s">
        <v>65</v>
      </c>
      <c r="BU449" s="9"/>
      <c r="BV449" s="9"/>
      <c r="BW449" s="9">
        <v>0</v>
      </c>
      <c r="BX449" s="9">
        <v>46216.995104166665</v>
      </c>
      <c r="BY449" s="9">
        <v>46216.995104166665</v>
      </c>
      <c r="BZ449" s="9"/>
      <c r="CA449" s="9"/>
      <c r="CB449" s="9"/>
      <c r="CC449" s="9"/>
      <c r="CD449" s="9"/>
      <c r="CE449" s="9"/>
      <c r="CF449" s="9"/>
      <c r="CG449" s="9"/>
      <c r="CH449" s="9">
        <v>1</v>
      </c>
      <c r="CI449" s="9">
        <v>0</v>
      </c>
      <c r="CJ449" s="9"/>
      <c r="CK449" s="9"/>
      <c r="CL449" s="9" t="s">
        <v>2305</v>
      </c>
      <c r="CM449" s="9"/>
      <c r="CN449" s="9">
        <v>0</v>
      </c>
      <c r="CO449" s="9" t="s">
        <v>1925</v>
      </c>
      <c r="CP449" s="9"/>
      <c r="CQ449" s="9">
        <v>0</v>
      </c>
    </row>
    <row r="450" spans="1:95" x14ac:dyDescent="0.35">
      <c r="A450" s="9" t="b">
        <f>ISNUMBER(MATCH(Claude[[#This Row],[Id]],ChargentOrders[Id],0))</f>
        <v>1</v>
      </c>
      <c r="B450" t="b">
        <f>INDEX(ChargentOrders[VALIDO],MATCH(Claude[[#This Row],[Id]],ChargentOrders[Id],0))</f>
        <v>1</v>
      </c>
      <c r="C450">
        <f>INDEX(Contract[CB_Subscription__c],MATCH(Claude[[#This Row],[Contract__c]],Contract[Id],0))</f>
        <v>0</v>
      </c>
      <c r="D450" s="9" t="s">
        <v>1393</v>
      </c>
      <c r="E450" s="9" t="s">
        <v>78</v>
      </c>
      <c r="F450" s="9">
        <v>0</v>
      </c>
      <c r="G450" s="9" t="s">
        <v>1394</v>
      </c>
      <c r="H450" s="9">
        <v>46205.830520833333</v>
      </c>
      <c r="I450" s="9" t="s">
        <v>78</v>
      </c>
      <c r="J450" s="9">
        <v>46217.738564814812</v>
      </c>
      <c r="K450" s="9" t="s">
        <v>78</v>
      </c>
      <c r="L450" s="9">
        <v>46217.738564814812</v>
      </c>
      <c r="M450" s="9"/>
      <c r="N450" s="9" t="s">
        <v>1768</v>
      </c>
      <c r="O450" s="9" t="s">
        <v>2203</v>
      </c>
      <c r="P450" s="9" t="s">
        <v>2066</v>
      </c>
      <c r="Q450" s="9" t="s">
        <v>1925</v>
      </c>
      <c r="R450" s="9" t="s">
        <v>1766</v>
      </c>
      <c r="S450" s="9" t="s">
        <v>2204</v>
      </c>
      <c r="T450" s="9" t="s">
        <v>2205</v>
      </c>
      <c r="U450" s="9" t="s">
        <v>1925</v>
      </c>
      <c r="V450" s="9">
        <v>959</v>
      </c>
      <c r="W450" s="9">
        <v>9</v>
      </c>
      <c r="X450" s="9">
        <v>2029</v>
      </c>
      <c r="Y450" s="9">
        <v>2681</v>
      </c>
      <c r="Z450" s="9">
        <v>9</v>
      </c>
      <c r="AA450" s="9" t="s">
        <v>1534</v>
      </c>
      <c r="AB450" s="9" t="s">
        <v>66</v>
      </c>
      <c r="AC450" s="9">
        <v>2029</v>
      </c>
      <c r="AD450" s="9" t="s">
        <v>374</v>
      </c>
      <c r="AE450" s="9"/>
      <c r="AF450" s="9"/>
      <c r="AG450" s="9"/>
      <c r="AH450" s="9" t="s">
        <v>67</v>
      </c>
      <c r="AI450" s="9">
        <v>0</v>
      </c>
      <c r="AJ450" s="9"/>
      <c r="AK450" s="9">
        <v>0</v>
      </c>
      <c r="AL450" s="9" t="s">
        <v>1930</v>
      </c>
      <c r="AM450" s="9">
        <v>1</v>
      </c>
      <c r="AN450" s="9">
        <v>46233</v>
      </c>
      <c r="AO450" s="9" t="s">
        <v>1931</v>
      </c>
      <c r="AP450" s="9" t="s">
        <v>69</v>
      </c>
      <c r="AQ450" s="9"/>
      <c r="AR450" s="9">
        <v>46233</v>
      </c>
      <c r="AS450" s="9" t="s">
        <v>84</v>
      </c>
      <c r="AT450" s="9" t="s">
        <v>1935</v>
      </c>
      <c r="AU450" s="9" t="s">
        <v>374</v>
      </c>
      <c r="AV450" s="9">
        <v>0</v>
      </c>
      <c r="AW450" s="9">
        <v>0</v>
      </c>
      <c r="AX450" s="9" t="s">
        <v>760</v>
      </c>
      <c r="AY450" s="9">
        <v>0</v>
      </c>
      <c r="AZ450" s="9"/>
      <c r="BA450" s="9"/>
      <c r="BB450" s="9">
        <v>0</v>
      </c>
      <c r="BC450" s="9">
        <v>0</v>
      </c>
      <c r="BD450" s="9">
        <v>0</v>
      </c>
      <c r="BE450" s="9" t="s">
        <v>761</v>
      </c>
      <c r="BF450" s="9" t="s">
        <v>71</v>
      </c>
      <c r="BG450" s="9" t="s">
        <v>1395</v>
      </c>
      <c r="BH450" s="9">
        <v>0</v>
      </c>
      <c r="BI450" s="9"/>
      <c r="BJ450" s="9">
        <v>1</v>
      </c>
      <c r="BK450" s="9">
        <v>0</v>
      </c>
      <c r="BL450" s="9">
        <v>0</v>
      </c>
      <c r="BM450" s="9" t="s">
        <v>75</v>
      </c>
      <c r="BN450" s="9"/>
      <c r="BO450" s="9">
        <v>0</v>
      </c>
      <c r="BP450" s="9"/>
      <c r="BQ450" s="9">
        <v>0</v>
      </c>
      <c r="BR450" s="9"/>
      <c r="BS450" s="9">
        <v>0</v>
      </c>
      <c r="BT450" s="9"/>
      <c r="BU450" s="9"/>
      <c r="BV450" s="9"/>
      <c r="BW450" s="9">
        <v>0</v>
      </c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>
        <v>1</v>
      </c>
      <c r="CI450" s="9">
        <v>0</v>
      </c>
      <c r="CJ450" s="9"/>
      <c r="CK450" s="9"/>
      <c r="CL450" s="9"/>
      <c r="CM450" s="9" t="s">
        <v>279</v>
      </c>
      <c r="CN450" s="9">
        <v>0</v>
      </c>
      <c r="CO450" s="9" t="s">
        <v>1925</v>
      </c>
      <c r="CP450" s="9"/>
      <c r="CQ450" s="9">
        <v>0</v>
      </c>
    </row>
    <row r="451" spans="1:95" x14ac:dyDescent="0.35">
      <c r="A451" s="9" t="b">
        <f>ISNUMBER(MATCH(Claude[[#This Row],[Id]],ChargentOrders[Id],0))</f>
        <v>1</v>
      </c>
      <c r="B451" t="b">
        <f>INDEX(ChargentOrders[VALIDO],MATCH(Claude[[#This Row],[Id]],ChargentOrders[Id],0))</f>
        <v>1</v>
      </c>
      <c r="C451">
        <f>INDEX(Contract[CB_Subscription__c],MATCH(Claude[[#This Row],[Contract__c]],Contract[Id],0))</f>
        <v>0</v>
      </c>
      <c r="D451" s="9" t="s">
        <v>1396</v>
      </c>
      <c r="E451" s="9" t="s">
        <v>101</v>
      </c>
      <c r="F451" s="9">
        <v>0</v>
      </c>
      <c r="G451" s="9" t="s">
        <v>1397</v>
      </c>
      <c r="H451" s="9">
        <v>46210.783495370371</v>
      </c>
      <c r="I451" s="9" t="s">
        <v>101</v>
      </c>
      <c r="J451" s="9">
        <v>46217.738564814812</v>
      </c>
      <c r="K451" s="9" t="s">
        <v>78</v>
      </c>
      <c r="L451" s="9">
        <v>46217.738564814812</v>
      </c>
      <c r="M451" s="9"/>
      <c r="N451" s="9" t="s">
        <v>1693</v>
      </c>
      <c r="O451" s="9" t="s">
        <v>2311</v>
      </c>
      <c r="P451" s="9" t="s">
        <v>2006</v>
      </c>
      <c r="Q451" s="9" t="s">
        <v>1925</v>
      </c>
      <c r="R451" s="9" t="s">
        <v>1691</v>
      </c>
      <c r="S451" s="9" t="s">
        <v>2284</v>
      </c>
      <c r="T451" s="9" t="s">
        <v>2312</v>
      </c>
      <c r="U451" s="9" t="s">
        <v>1928</v>
      </c>
      <c r="V451" s="9">
        <v>987</v>
      </c>
      <c r="W451" s="9">
        <v>10</v>
      </c>
      <c r="X451" s="9">
        <v>2030</v>
      </c>
      <c r="Y451" s="9">
        <v>1328</v>
      </c>
      <c r="Z451" s="9">
        <v>10</v>
      </c>
      <c r="AA451" s="9">
        <v>1328</v>
      </c>
      <c r="AB451" s="9" t="s">
        <v>66</v>
      </c>
      <c r="AC451" s="9">
        <v>2030</v>
      </c>
      <c r="AD451" s="9" t="s">
        <v>91</v>
      </c>
      <c r="AE451" s="9">
        <v>14</v>
      </c>
      <c r="AF451" s="9" t="s">
        <v>1929</v>
      </c>
      <c r="AG451" s="9"/>
      <c r="AH451" s="9" t="s">
        <v>67</v>
      </c>
      <c r="AI451" s="9">
        <v>0</v>
      </c>
      <c r="AJ451" s="9"/>
      <c r="AK451" s="9">
        <v>0</v>
      </c>
      <c r="AL451" s="9" t="s">
        <v>1930</v>
      </c>
      <c r="AM451" s="9"/>
      <c r="AN451" s="9">
        <v>46123</v>
      </c>
      <c r="AO451" s="9" t="s">
        <v>1943</v>
      </c>
      <c r="AP451" s="9" t="s">
        <v>69</v>
      </c>
      <c r="AQ451" s="9" t="s">
        <v>1932</v>
      </c>
      <c r="AR451" s="9">
        <v>46248</v>
      </c>
      <c r="AS451" s="9" t="s">
        <v>84</v>
      </c>
      <c r="AT451" s="9" t="s">
        <v>1944</v>
      </c>
      <c r="AU451" s="9" t="s">
        <v>91</v>
      </c>
      <c r="AV451" s="9">
        <v>0</v>
      </c>
      <c r="AW451" s="9" t="s">
        <v>93</v>
      </c>
      <c r="AX451" s="9" t="s">
        <v>1398</v>
      </c>
      <c r="AY451" s="9">
        <v>0</v>
      </c>
      <c r="AZ451" s="9">
        <v>46210.873553240737</v>
      </c>
      <c r="BA451" s="9">
        <v>46210.873553240737</v>
      </c>
      <c r="BB451" s="9">
        <v>1</v>
      </c>
      <c r="BC451" s="9">
        <v>1</v>
      </c>
      <c r="BD451" s="9" t="s">
        <v>91</v>
      </c>
      <c r="BE451" s="9" t="s">
        <v>1399</v>
      </c>
      <c r="BF451" s="9" t="s">
        <v>76</v>
      </c>
      <c r="BG451" s="9"/>
      <c r="BH451" s="9">
        <v>0</v>
      </c>
      <c r="BI451" s="9"/>
      <c r="BJ451" s="9">
        <v>2</v>
      </c>
      <c r="BK451" s="9" t="s">
        <v>92</v>
      </c>
      <c r="BL451" s="9" t="s">
        <v>92</v>
      </c>
      <c r="BM451" s="9" t="s">
        <v>75</v>
      </c>
      <c r="BN451" s="9" t="s">
        <v>1400</v>
      </c>
      <c r="BO451" s="9">
        <v>0</v>
      </c>
      <c r="BP451" s="9"/>
      <c r="BQ451" s="9">
        <v>0</v>
      </c>
      <c r="BR451" s="9"/>
      <c r="BS451" s="9"/>
      <c r="BT451" s="9"/>
      <c r="BU451" s="9"/>
      <c r="BV451" s="9"/>
      <c r="BW451" s="9">
        <v>0</v>
      </c>
      <c r="BX451" s="9"/>
      <c r="BY451" s="9">
        <v>46210.873553240737</v>
      </c>
      <c r="BZ451" s="9"/>
      <c r="CA451" s="9"/>
      <c r="CB451" s="9"/>
      <c r="CC451" s="9"/>
      <c r="CD451" s="9"/>
      <c r="CE451" s="9"/>
      <c r="CF451" s="9"/>
      <c r="CG451" s="9"/>
      <c r="CH451" s="9">
        <v>1</v>
      </c>
      <c r="CI451" s="9">
        <v>0</v>
      </c>
      <c r="CJ451" s="9"/>
      <c r="CK451" s="9"/>
      <c r="CL451" s="9" t="s">
        <v>2313</v>
      </c>
      <c r="CM451" s="9"/>
      <c r="CN451" s="9">
        <v>0</v>
      </c>
      <c r="CO451" s="9" t="s">
        <v>1925</v>
      </c>
      <c r="CP451" s="9"/>
      <c r="CQ451" s="9">
        <v>0</v>
      </c>
    </row>
    <row r="452" spans="1:95" x14ac:dyDescent="0.35">
      <c r="A452" s="9" t="b">
        <f>ISNUMBER(MATCH(Claude[[#This Row],[Id]],ChargentOrders[Id],0))</f>
        <v>1</v>
      </c>
      <c r="B452" t="b">
        <f>INDEX(ChargentOrders[VALIDO],MATCH(Claude[[#This Row],[Id]],ChargentOrders[Id],0))</f>
        <v>1</v>
      </c>
      <c r="C452">
        <f>INDEX(Contract[CB_Subscription__c],MATCH(Claude[[#This Row],[Contract__c]],Contract[Id],0))</f>
        <v>0</v>
      </c>
      <c r="D452" s="9" t="s">
        <v>1401</v>
      </c>
      <c r="E452" s="9" t="s">
        <v>101</v>
      </c>
      <c r="F452" s="9">
        <v>0</v>
      </c>
      <c r="G452" s="9" t="s">
        <v>1402</v>
      </c>
      <c r="H452" s="9">
        <v>46210.783402777779</v>
      </c>
      <c r="I452" s="9" t="s">
        <v>101</v>
      </c>
      <c r="J452" s="9">
        <v>46210.783506944441</v>
      </c>
      <c r="K452" s="9" t="s">
        <v>101</v>
      </c>
      <c r="L452" s="9">
        <v>46210.783506944441</v>
      </c>
      <c r="M452" s="9"/>
      <c r="N452" s="9"/>
      <c r="O452" s="9" t="s">
        <v>2311</v>
      </c>
      <c r="P452" s="9" t="s">
        <v>2006</v>
      </c>
      <c r="Q452" s="9" t="s">
        <v>1925</v>
      </c>
      <c r="R452" s="9" t="s">
        <v>1691</v>
      </c>
      <c r="S452" s="9" t="s">
        <v>2284</v>
      </c>
      <c r="T452" s="9" t="s">
        <v>2312</v>
      </c>
      <c r="U452" s="9" t="s">
        <v>1928</v>
      </c>
      <c r="V452" s="9">
        <v>987</v>
      </c>
      <c r="W452" s="9">
        <v>10</v>
      </c>
      <c r="X452" s="9">
        <v>2030</v>
      </c>
      <c r="Y452" s="9">
        <v>1328</v>
      </c>
      <c r="Z452" s="9">
        <v>10</v>
      </c>
      <c r="AA452" s="9">
        <v>5121065278791320</v>
      </c>
      <c r="AB452" s="9" t="s">
        <v>66</v>
      </c>
      <c r="AC452" s="9">
        <v>2030</v>
      </c>
      <c r="AD452" s="9" t="s">
        <v>93</v>
      </c>
      <c r="AE452" s="9"/>
      <c r="AF452" s="9" t="s">
        <v>1929</v>
      </c>
      <c r="AG452" s="9"/>
      <c r="AH452" s="9" t="s">
        <v>67</v>
      </c>
      <c r="AI452" s="9">
        <v>0</v>
      </c>
      <c r="AJ452" s="9"/>
      <c r="AK452" s="9">
        <v>0</v>
      </c>
      <c r="AL452" s="9" t="s">
        <v>1930</v>
      </c>
      <c r="AM452" s="9"/>
      <c r="AN452" s="9"/>
      <c r="AO452" s="9" t="s">
        <v>1931</v>
      </c>
      <c r="AP452" s="9" t="s">
        <v>69</v>
      </c>
      <c r="AQ452" s="9" t="s">
        <v>1932</v>
      </c>
      <c r="AR452" s="9"/>
      <c r="AS452" s="9"/>
      <c r="AT452" s="9"/>
      <c r="AU452" s="9" t="s">
        <v>92</v>
      </c>
      <c r="AV452" s="9">
        <v>0</v>
      </c>
      <c r="AW452" s="9"/>
      <c r="AX452" s="9" t="s">
        <v>1398</v>
      </c>
      <c r="AY452" s="9">
        <v>0</v>
      </c>
      <c r="AZ452" s="9"/>
      <c r="BA452" s="9">
        <v>46210.783449074072</v>
      </c>
      <c r="BB452" s="9">
        <v>0</v>
      </c>
      <c r="BC452" s="9">
        <v>1</v>
      </c>
      <c r="BD452" s="9">
        <v>0</v>
      </c>
      <c r="BE452" s="9" t="s">
        <v>1399</v>
      </c>
      <c r="BF452" s="9"/>
      <c r="BG452" s="9"/>
      <c r="BH452" s="9">
        <v>0</v>
      </c>
      <c r="BI452" s="9"/>
      <c r="BJ452" s="9">
        <v>1</v>
      </c>
      <c r="BK452" s="9"/>
      <c r="BL452" s="9"/>
      <c r="BM452" s="9" t="s">
        <v>75</v>
      </c>
      <c r="BN452" s="9"/>
      <c r="BO452" s="9">
        <v>0</v>
      </c>
      <c r="BP452" s="9"/>
      <c r="BQ452" s="9">
        <v>1</v>
      </c>
      <c r="BR452" s="9"/>
      <c r="BS452" s="9"/>
      <c r="BT452" s="9"/>
      <c r="BU452" s="9"/>
      <c r="BV452" s="9"/>
      <c r="BW452" s="9">
        <v>0</v>
      </c>
      <c r="BX452" s="9"/>
      <c r="BY452" s="9">
        <v>46210.783449074072</v>
      </c>
      <c r="BZ452" s="9"/>
      <c r="CA452" s="9"/>
      <c r="CB452" s="9"/>
      <c r="CC452" s="9"/>
      <c r="CD452" s="9"/>
      <c r="CE452" s="9"/>
      <c r="CF452" s="9"/>
      <c r="CG452" s="9"/>
      <c r="CH452" s="9">
        <v>1</v>
      </c>
      <c r="CI452" s="9">
        <v>0</v>
      </c>
      <c r="CJ452" s="9"/>
      <c r="CK452" s="9"/>
      <c r="CL452" s="9" t="s">
        <v>2313</v>
      </c>
      <c r="CM452" s="9"/>
      <c r="CN452" s="9">
        <v>0</v>
      </c>
      <c r="CO452" s="9" t="s">
        <v>1925</v>
      </c>
      <c r="CP452" s="9"/>
      <c r="CQ452" s="9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2465C-EB26-4118-8DB0-DC49E2A686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Contract</vt:lpstr>
      <vt:lpstr>RESUMEN</vt:lpstr>
      <vt:lpstr>Payment_2</vt:lpstr>
      <vt:lpstr>OTROS DATOS CONTRATO</vt:lpstr>
      <vt:lpstr>ChargentOrders</vt:lpstr>
      <vt:lpstr>Claude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López</cp:lastModifiedBy>
  <dcterms:created xsi:type="dcterms:W3CDTF">2026-07-23T15:22:35Z</dcterms:created>
  <dcterms:modified xsi:type="dcterms:W3CDTF">2026-07-24T18:34:20Z</dcterms:modified>
</cp:coreProperties>
</file>